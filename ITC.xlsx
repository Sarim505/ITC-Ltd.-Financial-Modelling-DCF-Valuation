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im\Downloads\"/>
    </mc:Choice>
  </mc:AlternateContent>
  <xr:revisionPtr revIDLastSave="0" documentId="13_ncr:1_{72D2B5F8-0B6C-43CF-885D-AAD61235DB41}" xr6:coauthVersionLast="47" xr6:coauthVersionMax="47" xr10:uidLastSave="{00000000-0000-0000-0000-000000000000}"/>
  <bookViews>
    <workbookView xWindow="-108" yWindow="-108" windowWidth="23256" windowHeight="12456" firstSheet="14" activeTab="21" xr2:uid="{00000000-000D-0000-FFFF-FFFF00000000}"/>
  </bookViews>
  <sheets>
    <sheet name="Profit &amp; Loss" sheetId="1" r:id="rId1"/>
    <sheet name="Historical Financial Statemen" sheetId="7" r:id="rId2"/>
    <sheet name="Ratio Analysis" sheetId="9" r:id="rId3"/>
    <sheet name="Sheet1" sheetId="8" state="hidden" r:id="rId4"/>
    <sheet name="Forecasting" sheetId="11" r:id="rId5"/>
    <sheet name="Data Sheet" sheetId="6" state="hidden" r:id="rId6"/>
    <sheet name="Quarters" sheetId="3" state="hidden" r:id="rId7"/>
    <sheet name="WACC" sheetId="13" r:id="rId8"/>
    <sheet name="Balance Sheet" sheetId="2" state="hidden" r:id="rId9"/>
    <sheet name="Cash Flow" sheetId="4" state="hidden" r:id="rId10"/>
    <sheet name="Customization" sheetId="5" state="hidden" r:id="rId11"/>
    <sheet name="Raw Data" sheetId="15" state="hidden" r:id="rId12"/>
    <sheet name="Reg. Beta" sheetId="14" r:id="rId13"/>
    <sheet name="Intrinsic Growth" sheetId="12" r:id="rId14"/>
    <sheet name="Common Size Statement" sheetId="16" r:id="rId15"/>
    <sheet name="Ind.details" sheetId="17" state="hidden" r:id="rId16"/>
    <sheet name="Equity Value" sheetId="18" r:id="rId17"/>
    <sheet name="Sheet2" sheetId="19" state="hidden" r:id="rId18"/>
    <sheet name="Comps_Val" sheetId="20" r:id="rId19"/>
    <sheet name="FTF_Analysis" sheetId="21" r:id="rId20"/>
    <sheet name="VAR_MCS" sheetId="23" r:id="rId21"/>
    <sheet name="S_VAR" sheetId="24" r:id="rId22"/>
  </sheets>
  <externalReferences>
    <externalReference r:id="rId23"/>
  </externalReferences>
  <definedNames>
    <definedName name="_xlchart.v1.0" hidden="1">VAR_MCS!$G$7:$G$4966</definedName>
    <definedName name="_xlchart.v1.1" hidden="1">S_VAR!$D$8:$D$4966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7" i="11" l="1"/>
  <c r="J8" i="11"/>
  <c r="J9" i="11"/>
  <c r="J10" i="11"/>
  <c r="J11" i="11"/>
  <c r="J12" i="11"/>
  <c r="J13" i="11"/>
  <c r="J14" i="11"/>
  <c r="J6" i="11"/>
  <c r="E7" i="11"/>
  <c r="E6" i="11"/>
  <c r="I15" i="11"/>
  <c r="D15" i="11"/>
  <c r="L10" i="7"/>
  <c r="D4966" i="24"/>
  <c r="D4965" i="24"/>
  <c r="D4964" i="24"/>
  <c r="D4963" i="24"/>
  <c r="D4962" i="24"/>
  <c r="D4961" i="24"/>
  <c r="D4960" i="24"/>
  <c r="D4959" i="24"/>
  <c r="D4958" i="24"/>
  <c r="D4957" i="24"/>
  <c r="D4956" i="24"/>
  <c r="D4955" i="24"/>
  <c r="D4954" i="24"/>
  <c r="D4953" i="24"/>
  <c r="D4952" i="24"/>
  <c r="D4951" i="24"/>
  <c r="D4950" i="24"/>
  <c r="D4949" i="24"/>
  <c r="D4948" i="24"/>
  <c r="D4947" i="24"/>
  <c r="D4946" i="24"/>
  <c r="D4945" i="24"/>
  <c r="D4944" i="24"/>
  <c r="D4943" i="24"/>
  <c r="D4942" i="24"/>
  <c r="D4941" i="24"/>
  <c r="D4940" i="24"/>
  <c r="D4939" i="24"/>
  <c r="D4938" i="24"/>
  <c r="D4937" i="24"/>
  <c r="D4936" i="24"/>
  <c r="D4935" i="24"/>
  <c r="D4934" i="24"/>
  <c r="D4933" i="24"/>
  <c r="D4932" i="24"/>
  <c r="D4931" i="24"/>
  <c r="D4930" i="24"/>
  <c r="D4929" i="24"/>
  <c r="D4928" i="24"/>
  <c r="D4927" i="24"/>
  <c r="D4926" i="24"/>
  <c r="D4925" i="24"/>
  <c r="D4924" i="24"/>
  <c r="D4923" i="24"/>
  <c r="D4922" i="24"/>
  <c r="D4921" i="24"/>
  <c r="D4920" i="24"/>
  <c r="D4919" i="24"/>
  <c r="D4918" i="24"/>
  <c r="D4917" i="24"/>
  <c r="D4916" i="24"/>
  <c r="D4915" i="24"/>
  <c r="D4914" i="24"/>
  <c r="D4913" i="24"/>
  <c r="D4912" i="24"/>
  <c r="D4911" i="24"/>
  <c r="D4910" i="24"/>
  <c r="D4909" i="24"/>
  <c r="D4908" i="24"/>
  <c r="D4907" i="24"/>
  <c r="D4906" i="24"/>
  <c r="D4905" i="24"/>
  <c r="D4904" i="24"/>
  <c r="D4903" i="24"/>
  <c r="D4902" i="24"/>
  <c r="D4901" i="24"/>
  <c r="D4900" i="24"/>
  <c r="D4899" i="24"/>
  <c r="D4898" i="24"/>
  <c r="D4897" i="24"/>
  <c r="D4896" i="24"/>
  <c r="D4895" i="24"/>
  <c r="D4894" i="24"/>
  <c r="D4893" i="24"/>
  <c r="D4892" i="24"/>
  <c r="D4891" i="24"/>
  <c r="D4890" i="24"/>
  <c r="D4889" i="24"/>
  <c r="D4888" i="24"/>
  <c r="D4887" i="24"/>
  <c r="D4886" i="24"/>
  <c r="D4885" i="24"/>
  <c r="D4884" i="24"/>
  <c r="D4883" i="24"/>
  <c r="D4882" i="24"/>
  <c r="D4881" i="24"/>
  <c r="D4880" i="24"/>
  <c r="D4879" i="24"/>
  <c r="D4878" i="24"/>
  <c r="D4877" i="24"/>
  <c r="D4876" i="24"/>
  <c r="D4875" i="24"/>
  <c r="D4874" i="24"/>
  <c r="D4873" i="24"/>
  <c r="D4872" i="24"/>
  <c r="D4871" i="24"/>
  <c r="D4870" i="24"/>
  <c r="D4869" i="24"/>
  <c r="D4868" i="24"/>
  <c r="D4867" i="24"/>
  <c r="D4866" i="24"/>
  <c r="D4865" i="24"/>
  <c r="D4864" i="24"/>
  <c r="D4863" i="24"/>
  <c r="D4862" i="24"/>
  <c r="D4861" i="24"/>
  <c r="D4860" i="24"/>
  <c r="D4859" i="24"/>
  <c r="D4858" i="24"/>
  <c r="D4857" i="24"/>
  <c r="D4856" i="24"/>
  <c r="D4855" i="24"/>
  <c r="D4854" i="24"/>
  <c r="D4853" i="24"/>
  <c r="D4852" i="24"/>
  <c r="D4851" i="24"/>
  <c r="D4850" i="24"/>
  <c r="D4849" i="24"/>
  <c r="D4848" i="24"/>
  <c r="D4847" i="24"/>
  <c r="D4846" i="24"/>
  <c r="D4845" i="24"/>
  <c r="D4844" i="24"/>
  <c r="D4843" i="24"/>
  <c r="D4842" i="24"/>
  <c r="D4841" i="24"/>
  <c r="D4840" i="24"/>
  <c r="D4839" i="24"/>
  <c r="D4838" i="24"/>
  <c r="D4837" i="24"/>
  <c r="D4836" i="24"/>
  <c r="D4835" i="24"/>
  <c r="D4834" i="24"/>
  <c r="D4833" i="24"/>
  <c r="D4832" i="24"/>
  <c r="D4831" i="24"/>
  <c r="D4830" i="24"/>
  <c r="D4829" i="24"/>
  <c r="D4828" i="24"/>
  <c r="D4827" i="24"/>
  <c r="D4826" i="24"/>
  <c r="D4825" i="24"/>
  <c r="D4824" i="24"/>
  <c r="D4823" i="24"/>
  <c r="D4822" i="24"/>
  <c r="D4821" i="24"/>
  <c r="D4820" i="24"/>
  <c r="D4819" i="24"/>
  <c r="D4818" i="24"/>
  <c r="D4817" i="24"/>
  <c r="D4816" i="24"/>
  <c r="D4815" i="24"/>
  <c r="D4814" i="24"/>
  <c r="D4813" i="24"/>
  <c r="D4812" i="24"/>
  <c r="D4811" i="24"/>
  <c r="D4810" i="24"/>
  <c r="D4809" i="24"/>
  <c r="D4808" i="24"/>
  <c r="D4807" i="24"/>
  <c r="D4806" i="24"/>
  <c r="D4805" i="24"/>
  <c r="D4804" i="24"/>
  <c r="D4803" i="24"/>
  <c r="D4802" i="24"/>
  <c r="D4801" i="24"/>
  <c r="D4800" i="24"/>
  <c r="D4799" i="24"/>
  <c r="D4798" i="24"/>
  <c r="D4797" i="24"/>
  <c r="D4796" i="24"/>
  <c r="D4795" i="24"/>
  <c r="D4794" i="24"/>
  <c r="D4793" i="24"/>
  <c r="D4792" i="24"/>
  <c r="D4791" i="24"/>
  <c r="D4790" i="24"/>
  <c r="D4789" i="24"/>
  <c r="D4788" i="24"/>
  <c r="D4787" i="24"/>
  <c r="D4786" i="24"/>
  <c r="D4785" i="24"/>
  <c r="D4784" i="24"/>
  <c r="D4783" i="24"/>
  <c r="D4782" i="24"/>
  <c r="D4781" i="24"/>
  <c r="D4780" i="24"/>
  <c r="D4779" i="24"/>
  <c r="D4778" i="24"/>
  <c r="D4777" i="24"/>
  <c r="D4776" i="24"/>
  <c r="D4775" i="24"/>
  <c r="D4774" i="24"/>
  <c r="D4773" i="24"/>
  <c r="D4772" i="24"/>
  <c r="D4771" i="24"/>
  <c r="D4770" i="24"/>
  <c r="D4769" i="24"/>
  <c r="D4768" i="24"/>
  <c r="D4767" i="24"/>
  <c r="D4766" i="24"/>
  <c r="D4765" i="24"/>
  <c r="D4764" i="24"/>
  <c r="D4763" i="24"/>
  <c r="D4762" i="24"/>
  <c r="D4761" i="24"/>
  <c r="D4760" i="24"/>
  <c r="D4759" i="24"/>
  <c r="D4758" i="24"/>
  <c r="D4757" i="24"/>
  <c r="D4756" i="24"/>
  <c r="D4755" i="24"/>
  <c r="D4754" i="24"/>
  <c r="D4753" i="24"/>
  <c r="D4752" i="24"/>
  <c r="D4751" i="24"/>
  <c r="D4750" i="24"/>
  <c r="D4749" i="24"/>
  <c r="D4748" i="24"/>
  <c r="D4747" i="24"/>
  <c r="D4746" i="24"/>
  <c r="D4745" i="24"/>
  <c r="D4744" i="24"/>
  <c r="D4743" i="24"/>
  <c r="D4742" i="24"/>
  <c r="D4741" i="24"/>
  <c r="D4740" i="24"/>
  <c r="D4739" i="24"/>
  <c r="D4738" i="24"/>
  <c r="D4737" i="24"/>
  <c r="D4736" i="24"/>
  <c r="D4735" i="24"/>
  <c r="D4734" i="24"/>
  <c r="D4733" i="24"/>
  <c r="D4732" i="24"/>
  <c r="D4731" i="24"/>
  <c r="D4730" i="24"/>
  <c r="D4729" i="24"/>
  <c r="D4728" i="24"/>
  <c r="D4727" i="24"/>
  <c r="D4726" i="24"/>
  <c r="D4725" i="24"/>
  <c r="D4724" i="24"/>
  <c r="D4723" i="24"/>
  <c r="D4722" i="24"/>
  <c r="D4721" i="24"/>
  <c r="D4720" i="24"/>
  <c r="D4719" i="24"/>
  <c r="D4718" i="24"/>
  <c r="D4717" i="24"/>
  <c r="D4716" i="24"/>
  <c r="D4715" i="24"/>
  <c r="D4714" i="24"/>
  <c r="D4713" i="24"/>
  <c r="D4712" i="24"/>
  <c r="D4711" i="24"/>
  <c r="D4710" i="24"/>
  <c r="D4709" i="24"/>
  <c r="D4708" i="24"/>
  <c r="D4707" i="24"/>
  <c r="D4706" i="24"/>
  <c r="D4705" i="24"/>
  <c r="D4704" i="24"/>
  <c r="D4703" i="24"/>
  <c r="D4702" i="24"/>
  <c r="D4701" i="24"/>
  <c r="D4700" i="24"/>
  <c r="D4699" i="24"/>
  <c r="D4698" i="24"/>
  <c r="D4697" i="24"/>
  <c r="D4696" i="24"/>
  <c r="D4695" i="24"/>
  <c r="D4694" i="24"/>
  <c r="D4693" i="24"/>
  <c r="D4692" i="24"/>
  <c r="D4691" i="24"/>
  <c r="D4690" i="24"/>
  <c r="D4689" i="24"/>
  <c r="D4688" i="24"/>
  <c r="D4687" i="24"/>
  <c r="D4686" i="24"/>
  <c r="D4685" i="24"/>
  <c r="D4684" i="24"/>
  <c r="D4683" i="24"/>
  <c r="D4682" i="24"/>
  <c r="D4681" i="24"/>
  <c r="D4680" i="24"/>
  <c r="D4679" i="24"/>
  <c r="D4678" i="24"/>
  <c r="D4677" i="24"/>
  <c r="D4676" i="24"/>
  <c r="D4675" i="24"/>
  <c r="D4674" i="24"/>
  <c r="D4673" i="24"/>
  <c r="D4672" i="24"/>
  <c r="D4671" i="24"/>
  <c r="D4670" i="24"/>
  <c r="D4669" i="24"/>
  <c r="D4668" i="24"/>
  <c r="D4667" i="24"/>
  <c r="D4666" i="24"/>
  <c r="D4665" i="24"/>
  <c r="D4664" i="24"/>
  <c r="D4663" i="24"/>
  <c r="D4662" i="24"/>
  <c r="D4661" i="24"/>
  <c r="D4660" i="24"/>
  <c r="D4659" i="24"/>
  <c r="D4658" i="24"/>
  <c r="D4657" i="24"/>
  <c r="D4656" i="24"/>
  <c r="D4655" i="24"/>
  <c r="D4654" i="24"/>
  <c r="D4653" i="24"/>
  <c r="D4652" i="24"/>
  <c r="D4651" i="24"/>
  <c r="D4650" i="24"/>
  <c r="D4649" i="24"/>
  <c r="D4648" i="24"/>
  <c r="D4647" i="24"/>
  <c r="D4646" i="24"/>
  <c r="D4645" i="24"/>
  <c r="D4644" i="24"/>
  <c r="D4643" i="24"/>
  <c r="D4642" i="24"/>
  <c r="D4641" i="24"/>
  <c r="D4640" i="24"/>
  <c r="D4639" i="24"/>
  <c r="D4638" i="24"/>
  <c r="D4637" i="24"/>
  <c r="D4636" i="24"/>
  <c r="D4635" i="24"/>
  <c r="D4634" i="24"/>
  <c r="D4633" i="24"/>
  <c r="D4632" i="24"/>
  <c r="D4631" i="24"/>
  <c r="D4630" i="24"/>
  <c r="D4629" i="24"/>
  <c r="D4628" i="24"/>
  <c r="D4627" i="24"/>
  <c r="D4626" i="24"/>
  <c r="D4625" i="24"/>
  <c r="D4624" i="24"/>
  <c r="D4623" i="24"/>
  <c r="D4622" i="24"/>
  <c r="D4621" i="24"/>
  <c r="D4620" i="24"/>
  <c r="D4619" i="24"/>
  <c r="D4618" i="24"/>
  <c r="D4617" i="24"/>
  <c r="D4616" i="24"/>
  <c r="D4615" i="24"/>
  <c r="D4614" i="24"/>
  <c r="D4613" i="24"/>
  <c r="D4612" i="24"/>
  <c r="D4611" i="24"/>
  <c r="D4610" i="24"/>
  <c r="D4609" i="24"/>
  <c r="D4608" i="24"/>
  <c r="D4607" i="24"/>
  <c r="D4606" i="24"/>
  <c r="D4605" i="24"/>
  <c r="D4604" i="24"/>
  <c r="D4603" i="24"/>
  <c r="D4602" i="24"/>
  <c r="D4601" i="24"/>
  <c r="D4600" i="24"/>
  <c r="D4599" i="24"/>
  <c r="D4598" i="24"/>
  <c r="D4597" i="24"/>
  <c r="D4596" i="24"/>
  <c r="D4595" i="24"/>
  <c r="D4594" i="24"/>
  <c r="D4593" i="24"/>
  <c r="D4592" i="24"/>
  <c r="D4591" i="24"/>
  <c r="D4590" i="24"/>
  <c r="D4589" i="24"/>
  <c r="D4588" i="24"/>
  <c r="D4587" i="24"/>
  <c r="D4586" i="24"/>
  <c r="D4585" i="24"/>
  <c r="D4584" i="24"/>
  <c r="D4583" i="24"/>
  <c r="D4582" i="24"/>
  <c r="D4581" i="24"/>
  <c r="D4580" i="24"/>
  <c r="D4579" i="24"/>
  <c r="D4578" i="24"/>
  <c r="D4577" i="24"/>
  <c r="D4576" i="24"/>
  <c r="D4575" i="24"/>
  <c r="D4574" i="24"/>
  <c r="D4573" i="24"/>
  <c r="D4572" i="24"/>
  <c r="D4571" i="24"/>
  <c r="D4570" i="24"/>
  <c r="D4569" i="24"/>
  <c r="D4568" i="24"/>
  <c r="D4567" i="24"/>
  <c r="D4566" i="24"/>
  <c r="D4565" i="24"/>
  <c r="D4564" i="24"/>
  <c r="D4563" i="24"/>
  <c r="D4562" i="24"/>
  <c r="D4561" i="24"/>
  <c r="D4560" i="24"/>
  <c r="D4559" i="24"/>
  <c r="D4558" i="24"/>
  <c r="D4557" i="24"/>
  <c r="D4556" i="24"/>
  <c r="D4555" i="24"/>
  <c r="D4554" i="24"/>
  <c r="D4553" i="24"/>
  <c r="D4552" i="24"/>
  <c r="D4551" i="24"/>
  <c r="D4550" i="24"/>
  <c r="D4549" i="24"/>
  <c r="D4548" i="24"/>
  <c r="D4547" i="24"/>
  <c r="D4546" i="24"/>
  <c r="D4545" i="24"/>
  <c r="D4544" i="24"/>
  <c r="D4543" i="24"/>
  <c r="D4542" i="24"/>
  <c r="D4541" i="24"/>
  <c r="D4540" i="24"/>
  <c r="D4539" i="24"/>
  <c r="D4538" i="24"/>
  <c r="D4537" i="24"/>
  <c r="D4536" i="24"/>
  <c r="D4535" i="24"/>
  <c r="D4534" i="24"/>
  <c r="D4533" i="24"/>
  <c r="D4532" i="24"/>
  <c r="D4531" i="24"/>
  <c r="D4530" i="24"/>
  <c r="D4529" i="24"/>
  <c r="D4528" i="24"/>
  <c r="D4527" i="24"/>
  <c r="D4526" i="24"/>
  <c r="D4525" i="24"/>
  <c r="D4524" i="24"/>
  <c r="D4523" i="24"/>
  <c r="D4522" i="24"/>
  <c r="D4521" i="24"/>
  <c r="D4520" i="24"/>
  <c r="D4519" i="24"/>
  <c r="D4518" i="24"/>
  <c r="D4517" i="24"/>
  <c r="D4516" i="24"/>
  <c r="D4515" i="24"/>
  <c r="D4514" i="24"/>
  <c r="D4513" i="24"/>
  <c r="D4512" i="24"/>
  <c r="D4511" i="24"/>
  <c r="D4510" i="24"/>
  <c r="D4509" i="24"/>
  <c r="D4508" i="24"/>
  <c r="D4507" i="24"/>
  <c r="D4506" i="24"/>
  <c r="D4505" i="24"/>
  <c r="D4504" i="24"/>
  <c r="D4503" i="24"/>
  <c r="D4502" i="24"/>
  <c r="D4501" i="24"/>
  <c r="D4500" i="24"/>
  <c r="D4499" i="24"/>
  <c r="D4498" i="24"/>
  <c r="D4497" i="24"/>
  <c r="D4496" i="24"/>
  <c r="D4495" i="24"/>
  <c r="D4494" i="24"/>
  <c r="D4493" i="24"/>
  <c r="D4492" i="24"/>
  <c r="D4491" i="24"/>
  <c r="D4490" i="24"/>
  <c r="D4489" i="24"/>
  <c r="D4488" i="24"/>
  <c r="D4487" i="24"/>
  <c r="D4486" i="24"/>
  <c r="D4485" i="24"/>
  <c r="D4484" i="24"/>
  <c r="D4483" i="24"/>
  <c r="D4482" i="24"/>
  <c r="D4481" i="24"/>
  <c r="D4480" i="24"/>
  <c r="D4479" i="24"/>
  <c r="D4478" i="24"/>
  <c r="D4477" i="24"/>
  <c r="D4476" i="24"/>
  <c r="D4475" i="24"/>
  <c r="D4474" i="24"/>
  <c r="D4473" i="24"/>
  <c r="D4472" i="24"/>
  <c r="D4471" i="24"/>
  <c r="D4470" i="24"/>
  <c r="D4469" i="24"/>
  <c r="D4468" i="24"/>
  <c r="D4467" i="24"/>
  <c r="D4466" i="24"/>
  <c r="D4465" i="24"/>
  <c r="D4464" i="24"/>
  <c r="D4463" i="24"/>
  <c r="D4462" i="24"/>
  <c r="D4461" i="24"/>
  <c r="D4460" i="24"/>
  <c r="D4459" i="24"/>
  <c r="D4458" i="24"/>
  <c r="D4457" i="24"/>
  <c r="D4456" i="24"/>
  <c r="D4455" i="24"/>
  <c r="D4454" i="24"/>
  <c r="D4453" i="24"/>
  <c r="D4452" i="24"/>
  <c r="D4451" i="24"/>
  <c r="D4450" i="24"/>
  <c r="D4449" i="24"/>
  <c r="D4448" i="24"/>
  <c r="D4447" i="24"/>
  <c r="D4446" i="24"/>
  <c r="D4445" i="24"/>
  <c r="D4444" i="24"/>
  <c r="D4443" i="24"/>
  <c r="D4442" i="24"/>
  <c r="D4441" i="24"/>
  <c r="D4440" i="24"/>
  <c r="D4439" i="24"/>
  <c r="D4438" i="24"/>
  <c r="D4437" i="24"/>
  <c r="D4436" i="24"/>
  <c r="D4435" i="24"/>
  <c r="D4434" i="24"/>
  <c r="D4433" i="24"/>
  <c r="D4432" i="24"/>
  <c r="D4431" i="24"/>
  <c r="D4430" i="24"/>
  <c r="D4429" i="24"/>
  <c r="D4428" i="24"/>
  <c r="D4427" i="24"/>
  <c r="D4426" i="24"/>
  <c r="D4425" i="24"/>
  <c r="D4424" i="24"/>
  <c r="D4423" i="24"/>
  <c r="D4422" i="24"/>
  <c r="D4421" i="24"/>
  <c r="D4420" i="24"/>
  <c r="D4419" i="24"/>
  <c r="D4418" i="24"/>
  <c r="D4417" i="24"/>
  <c r="D4416" i="24"/>
  <c r="D4415" i="24"/>
  <c r="D4414" i="24"/>
  <c r="D4413" i="24"/>
  <c r="D4412" i="24"/>
  <c r="D4411" i="24"/>
  <c r="D4410" i="24"/>
  <c r="D4409" i="24"/>
  <c r="D4408" i="24"/>
  <c r="D4407" i="24"/>
  <c r="D4406" i="24"/>
  <c r="D4405" i="24"/>
  <c r="D4404" i="24"/>
  <c r="D4403" i="24"/>
  <c r="D4402" i="24"/>
  <c r="D4401" i="24"/>
  <c r="D4400" i="24"/>
  <c r="D4399" i="24"/>
  <c r="D4398" i="24"/>
  <c r="D4397" i="24"/>
  <c r="D4396" i="24"/>
  <c r="D4395" i="24"/>
  <c r="D4394" i="24"/>
  <c r="D4393" i="24"/>
  <c r="D4392" i="24"/>
  <c r="D4391" i="24"/>
  <c r="D4390" i="24"/>
  <c r="D4389" i="24"/>
  <c r="D4388" i="24"/>
  <c r="D4387" i="24"/>
  <c r="D4386" i="24"/>
  <c r="D4385" i="24"/>
  <c r="D4384" i="24"/>
  <c r="D4383" i="24"/>
  <c r="D4382" i="24"/>
  <c r="D4381" i="24"/>
  <c r="D4380" i="24"/>
  <c r="D4379" i="24"/>
  <c r="D4378" i="24"/>
  <c r="D4377" i="24"/>
  <c r="D4376" i="24"/>
  <c r="D4375" i="24"/>
  <c r="D4374" i="24"/>
  <c r="D4373" i="24"/>
  <c r="D4372" i="24"/>
  <c r="D4371" i="24"/>
  <c r="D4370" i="24"/>
  <c r="D4369" i="24"/>
  <c r="D4368" i="24"/>
  <c r="D4367" i="24"/>
  <c r="D4366" i="24"/>
  <c r="D4365" i="24"/>
  <c r="D4364" i="24"/>
  <c r="D4363" i="24"/>
  <c r="D4362" i="24"/>
  <c r="D4361" i="24"/>
  <c r="D4360" i="24"/>
  <c r="D4359" i="24"/>
  <c r="D4358" i="24"/>
  <c r="D4357" i="24"/>
  <c r="D4356" i="24"/>
  <c r="D4355" i="24"/>
  <c r="D4354" i="24"/>
  <c r="D4353" i="24"/>
  <c r="D4352" i="24"/>
  <c r="D4351" i="24"/>
  <c r="D4350" i="24"/>
  <c r="D4349" i="24"/>
  <c r="D4348" i="24"/>
  <c r="D4347" i="24"/>
  <c r="D4346" i="24"/>
  <c r="D4345" i="24"/>
  <c r="D4344" i="24"/>
  <c r="D4343" i="24"/>
  <c r="D4342" i="24"/>
  <c r="D4341" i="24"/>
  <c r="D4340" i="24"/>
  <c r="D4339" i="24"/>
  <c r="D4338" i="24"/>
  <c r="D4337" i="24"/>
  <c r="D4336" i="24"/>
  <c r="D4335" i="24"/>
  <c r="D4334" i="24"/>
  <c r="D4333" i="24"/>
  <c r="D4332" i="24"/>
  <c r="D4331" i="24"/>
  <c r="D4330" i="24"/>
  <c r="D4329" i="24"/>
  <c r="D4328" i="24"/>
  <c r="D4327" i="24"/>
  <c r="D4326" i="24"/>
  <c r="D4325" i="24"/>
  <c r="D4324" i="24"/>
  <c r="D4323" i="24"/>
  <c r="D4322" i="24"/>
  <c r="D4321" i="24"/>
  <c r="D4320" i="24"/>
  <c r="D4319" i="24"/>
  <c r="D4318" i="24"/>
  <c r="D4317" i="24"/>
  <c r="D4316" i="24"/>
  <c r="D4315" i="24"/>
  <c r="D4314" i="24"/>
  <c r="D4313" i="24"/>
  <c r="D4312" i="24"/>
  <c r="D4311" i="24"/>
  <c r="D4310" i="24"/>
  <c r="D4309" i="24"/>
  <c r="D4308" i="24"/>
  <c r="D4307" i="24"/>
  <c r="D4306" i="24"/>
  <c r="D4305" i="24"/>
  <c r="D4304" i="24"/>
  <c r="D4303" i="24"/>
  <c r="D4302" i="24"/>
  <c r="D4301" i="24"/>
  <c r="D4300" i="24"/>
  <c r="D4299" i="24"/>
  <c r="D4298" i="24"/>
  <c r="D4297" i="24"/>
  <c r="D4296" i="24"/>
  <c r="D4295" i="24"/>
  <c r="D4294" i="24"/>
  <c r="D4293" i="24"/>
  <c r="D4292" i="24"/>
  <c r="D4291" i="24"/>
  <c r="D4290" i="24"/>
  <c r="D4289" i="24"/>
  <c r="D4288" i="24"/>
  <c r="D4287" i="24"/>
  <c r="D4286" i="24"/>
  <c r="D4285" i="24"/>
  <c r="D4284" i="24"/>
  <c r="D4283" i="24"/>
  <c r="D4282" i="24"/>
  <c r="D4281" i="24"/>
  <c r="D4280" i="24"/>
  <c r="D4279" i="24"/>
  <c r="D4278" i="24"/>
  <c r="D4277" i="24"/>
  <c r="D4276" i="24"/>
  <c r="D4275" i="24"/>
  <c r="D4274" i="24"/>
  <c r="D4273" i="24"/>
  <c r="D4272" i="24"/>
  <c r="D4271" i="24"/>
  <c r="D4270" i="24"/>
  <c r="D4269" i="24"/>
  <c r="D4268" i="24"/>
  <c r="D4267" i="24"/>
  <c r="D4266" i="24"/>
  <c r="D4265" i="24"/>
  <c r="D4264" i="24"/>
  <c r="D4263" i="24"/>
  <c r="D4262" i="24"/>
  <c r="D4261" i="24"/>
  <c r="D4260" i="24"/>
  <c r="D4259" i="24"/>
  <c r="D4258" i="24"/>
  <c r="D4257" i="24"/>
  <c r="D4256" i="24"/>
  <c r="D4255" i="24"/>
  <c r="D4254" i="24"/>
  <c r="D4253" i="24"/>
  <c r="D4252" i="24"/>
  <c r="D4251" i="24"/>
  <c r="D4250" i="24"/>
  <c r="D4249" i="24"/>
  <c r="D4248" i="24"/>
  <c r="D4247" i="24"/>
  <c r="D4246" i="24"/>
  <c r="D4245" i="24"/>
  <c r="D4244" i="24"/>
  <c r="D4243" i="24"/>
  <c r="D4242" i="24"/>
  <c r="D4241" i="24"/>
  <c r="D4240" i="24"/>
  <c r="D4239" i="24"/>
  <c r="D4238" i="24"/>
  <c r="D4237" i="24"/>
  <c r="D4236" i="24"/>
  <c r="D4235" i="24"/>
  <c r="D4234" i="24"/>
  <c r="D4233" i="24"/>
  <c r="D4232" i="24"/>
  <c r="D4231" i="24"/>
  <c r="D4230" i="24"/>
  <c r="D4229" i="24"/>
  <c r="D4228" i="24"/>
  <c r="D4227" i="24"/>
  <c r="D4226" i="24"/>
  <c r="D4225" i="24"/>
  <c r="D4224" i="24"/>
  <c r="D4223" i="24"/>
  <c r="D4222" i="24"/>
  <c r="D4221" i="24"/>
  <c r="D4220" i="24"/>
  <c r="D4219" i="24"/>
  <c r="D4218" i="24"/>
  <c r="D4217" i="24"/>
  <c r="D4216" i="24"/>
  <c r="D4215" i="24"/>
  <c r="D4214" i="24"/>
  <c r="D4213" i="24"/>
  <c r="D4212" i="24"/>
  <c r="D4211" i="24"/>
  <c r="D4210" i="24"/>
  <c r="D4209" i="24"/>
  <c r="D4208" i="24"/>
  <c r="D4207" i="24"/>
  <c r="D4206" i="24"/>
  <c r="D4205" i="24"/>
  <c r="D4204" i="24"/>
  <c r="D4203" i="24"/>
  <c r="D4202" i="24"/>
  <c r="D4201" i="24"/>
  <c r="D4200" i="24"/>
  <c r="D4199" i="24"/>
  <c r="D4198" i="24"/>
  <c r="D4197" i="24"/>
  <c r="D4196" i="24"/>
  <c r="D4195" i="24"/>
  <c r="D4194" i="24"/>
  <c r="D4193" i="24"/>
  <c r="D4192" i="24"/>
  <c r="D4191" i="24"/>
  <c r="D4190" i="24"/>
  <c r="D4189" i="24"/>
  <c r="D4188" i="24"/>
  <c r="D4187" i="24"/>
  <c r="D4186" i="24"/>
  <c r="D4185" i="24"/>
  <c r="D4184" i="24"/>
  <c r="D4183" i="24"/>
  <c r="D4182" i="24"/>
  <c r="D4181" i="24"/>
  <c r="D4180" i="24"/>
  <c r="D4179" i="24"/>
  <c r="D4178" i="24"/>
  <c r="D4177" i="24"/>
  <c r="D4176" i="24"/>
  <c r="D4175" i="24"/>
  <c r="D4174" i="24"/>
  <c r="D4173" i="24"/>
  <c r="D4172" i="24"/>
  <c r="D4171" i="24"/>
  <c r="D4170" i="24"/>
  <c r="D4169" i="24"/>
  <c r="D4168" i="24"/>
  <c r="D4167" i="24"/>
  <c r="D4166" i="24"/>
  <c r="D4165" i="24"/>
  <c r="D4164" i="24"/>
  <c r="D4163" i="24"/>
  <c r="D4162" i="24"/>
  <c r="D4161" i="24"/>
  <c r="D4160" i="24"/>
  <c r="D4159" i="24"/>
  <c r="D4158" i="24"/>
  <c r="D4157" i="24"/>
  <c r="D4156" i="24"/>
  <c r="D4155" i="24"/>
  <c r="D4154" i="24"/>
  <c r="D4153" i="24"/>
  <c r="D4152" i="24"/>
  <c r="D4151" i="24"/>
  <c r="D4150" i="24"/>
  <c r="D4149" i="24"/>
  <c r="D4148" i="24"/>
  <c r="D4147" i="24"/>
  <c r="D4146" i="24"/>
  <c r="D4145" i="24"/>
  <c r="D4144" i="24"/>
  <c r="D4143" i="24"/>
  <c r="D4142" i="24"/>
  <c r="D4141" i="24"/>
  <c r="D4140" i="24"/>
  <c r="D4139" i="24"/>
  <c r="D4138" i="24"/>
  <c r="D4137" i="24"/>
  <c r="D4136" i="24"/>
  <c r="D4135" i="24"/>
  <c r="D4134" i="24"/>
  <c r="D4133" i="24"/>
  <c r="D4132" i="24"/>
  <c r="D4131" i="24"/>
  <c r="D4130" i="24"/>
  <c r="D4129" i="24"/>
  <c r="D4128" i="24"/>
  <c r="D4127" i="24"/>
  <c r="D4126" i="24"/>
  <c r="D4125" i="24"/>
  <c r="D4124" i="24"/>
  <c r="D4123" i="24"/>
  <c r="D4122" i="24"/>
  <c r="D4121" i="24"/>
  <c r="D4120" i="24"/>
  <c r="D4119" i="24"/>
  <c r="D4118" i="24"/>
  <c r="D4117" i="24"/>
  <c r="D4116" i="24"/>
  <c r="D4115" i="24"/>
  <c r="D4114" i="24"/>
  <c r="D4113" i="24"/>
  <c r="D4112" i="24"/>
  <c r="D4111" i="24"/>
  <c r="D4110" i="24"/>
  <c r="D4109" i="24"/>
  <c r="D4108" i="24"/>
  <c r="D4107" i="24"/>
  <c r="D4106" i="24"/>
  <c r="D4105" i="24"/>
  <c r="D4104" i="24"/>
  <c r="D4103" i="24"/>
  <c r="D4102" i="24"/>
  <c r="D4101" i="24"/>
  <c r="D4100" i="24"/>
  <c r="D4099" i="24"/>
  <c r="D4098" i="24"/>
  <c r="D4097" i="24"/>
  <c r="D4096" i="24"/>
  <c r="D4095" i="24"/>
  <c r="D4094" i="24"/>
  <c r="D4093" i="24"/>
  <c r="D4092" i="24"/>
  <c r="D4091" i="24"/>
  <c r="D4090" i="24"/>
  <c r="D4089" i="24"/>
  <c r="D4088" i="24"/>
  <c r="D4087" i="24"/>
  <c r="D4086" i="24"/>
  <c r="D4085" i="24"/>
  <c r="D4084" i="24"/>
  <c r="D4083" i="24"/>
  <c r="D4082" i="24"/>
  <c r="D4081" i="24"/>
  <c r="D4080" i="24"/>
  <c r="D4079" i="24"/>
  <c r="D4078" i="24"/>
  <c r="D4077" i="24"/>
  <c r="D4076" i="24"/>
  <c r="D4075" i="24"/>
  <c r="D4074" i="24"/>
  <c r="D4073" i="24"/>
  <c r="D4072" i="24"/>
  <c r="D4071" i="24"/>
  <c r="D4070" i="24"/>
  <c r="D4069" i="24"/>
  <c r="D4068" i="24"/>
  <c r="D4067" i="24"/>
  <c r="D4066" i="24"/>
  <c r="D4065" i="24"/>
  <c r="D4064" i="24"/>
  <c r="D4063" i="24"/>
  <c r="D4062" i="24"/>
  <c r="D4061" i="24"/>
  <c r="D4060" i="24"/>
  <c r="D4059" i="24"/>
  <c r="D4058" i="24"/>
  <c r="D4057" i="24"/>
  <c r="D4056" i="24"/>
  <c r="D4055" i="24"/>
  <c r="D4054" i="24"/>
  <c r="D4053" i="24"/>
  <c r="D4052" i="24"/>
  <c r="D4051" i="24"/>
  <c r="D4050" i="24"/>
  <c r="D4049" i="24"/>
  <c r="D4048" i="24"/>
  <c r="D4047" i="24"/>
  <c r="D4046" i="24"/>
  <c r="D4045" i="24"/>
  <c r="D4044" i="24"/>
  <c r="D4043" i="24"/>
  <c r="D4042" i="24"/>
  <c r="D4041" i="24"/>
  <c r="D4040" i="24"/>
  <c r="D4039" i="24"/>
  <c r="D4038" i="24"/>
  <c r="D4037" i="24"/>
  <c r="D4036" i="24"/>
  <c r="D4035" i="24"/>
  <c r="D4034" i="24"/>
  <c r="D4033" i="24"/>
  <c r="D4032" i="24"/>
  <c r="D4031" i="24"/>
  <c r="D4030" i="24"/>
  <c r="D4029" i="24"/>
  <c r="D4028" i="24"/>
  <c r="D4027" i="24"/>
  <c r="D4026" i="24"/>
  <c r="D4025" i="24"/>
  <c r="D4024" i="24"/>
  <c r="D4023" i="24"/>
  <c r="D4022" i="24"/>
  <c r="D4021" i="24"/>
  <c r="D4020" i="24"/>
  <c r="D4019" i="24"/>
  <c r="D4018" i="24"/>
  <c r="D4017" i="24"/>
  <c r="D4016" i="24"/>
  <c r="D4015" i="24"/>
  <c r="D4014" i="24"/>
  <c r="D4013" i="24"/>
  <c r="D4012" i="24"/>
  <c r="D4011" i="24"/>
  <c r="D4010" i="24"/>
  <c r="D4009" i="24"/>
  <c r="D4008" i="24"/>
  <c r="D4007" i="24"/>
  <c r="D4006" i="24"/>
  <c r="D4005" i="24"/>
  <c r="D4004" i="24"/>
  <c r="D4003" i="24"/>
  <c r="D4002" i="24"/>
  <c r="D4001" i="24"/>
  <c r="D4000" i="24"/>
  <c r="D3999" i="24"/>
  <c r="D3998" i="24"/>
  <c r="D3997" i="24"/>
  <c r="D3996" i="24"/>
  <c r="D3995" i="24"/>
  <c r="D3994" i="24"/>
  <c r="D3993" i="24"/>
  <c r="D3992" i="24"/>
  <c r="D3991" i="24"/>
  <c r="D3990" i="24"/>
  <c r="D3989" i="24"/>
  <c r="D3988" i="24"/>
  <c r="D3987" i="24"/>
  <c r="D3986" i="24"/>
  <c r="D3985" i="24"/>
  <c r="D3984" i="24"/>
  <c r="D3983" i="24"/>
  <c r="D3982" i="24"/>
  <c r="D3981" i="24"/>
  <c r="D3980" i="24"/>
  <c r="D3979" i="24"/>
  <c r="D3978" i="24"/>
  <c r="D3977" i="24"/>
  <c r="D3976" i="24"/>
  <c r="D3975" i="24"/>
  <c r="D3974" i="24"/>
  <c r="D3973" i="24"/>
  <c r="D3972" i="24"/>
  <c r="D3971" i="24"/>
  <c r="D3970" i="24"/>
  <c r="D3969" i="24"/>
  <c r="D3968" i="24"/>
  <c r="D3967" i="24"/>
  <c r="D3966" i="24"/>
  <c r="D3965" i="24"/>
  <c r="D3964" i="24"/>
  <c r="D3963" i="24"/>
  <c r="D3962" i="24"/>
  <c r="D3961" i="24"/>
  <c r="D3960" i="24"/>
  <c r="D3959" i="24"/>
  <c r="D3958" i="24"/>
  <c r="D3957" i="24"/>
  <c r="D3956" i="24"/>
  <c r="D3955" i="24"/>
  <c r="D3954" i="24"/>
  <c r="D3953" i="24"/>
  <c r="D3952" i="24"/>
  <c r="D3951" i="24"/>
  <c r="D3950" i="24"/>
  <c r="D3949" i="24"/>
  <c r="D3948" i="24"/>
  <c r="D3947" i="24"/>
  <c r="D3946" i="24"/>
  <c r="D3945" i="24"/>
  <c r="D3944" i="24"/>
  <c r="D3943" i="24"/>
  <c r="D3942" i="24"/>
  <c r="D3941" i="24"/>
  <c r="D3940" i="24"/>
  <c r="D3939" i="24"/>
  <c r="D3938" i="24"/>
  <c r="D3937" i="24"/>
  <c r="D3936" i="24"/>
  <c r="D3935" i="24"/>
  <c r="D3934" i="24"/>
  <c r="D3933" i="24"/>
  <c r="D3932" i="24"/>
  <c r="D3931" i="24"/>
  <c r="D3930" i="24"/>
  <c r="D3929" i="24"/>
  <c r="D3928" i="24"/>
  <c r="D3927" i="24"/>
  <c r="D3926" i="24"/>
  <c r="D3925" i="24"/>
  <c r="D3924" i="24"/>
  <c r="D3923" i="24"/>
  <c r="D3922" i="24"/>
  <c r="D3921" i="24"/>
  <c r="D3920" i="24"/>
  <c r="D3919" i="24"/>
  <c r="D3918" i="24"/>
  <c r="D3917" i="24"/>
  <c r="D3916" i="24"/>
  <c r="D3915" i="24"/>
  <c r="D3914" i="24"/>
  <c r="D3913" i="24"/>
  <c r="D3912" i="24"/>
  <c r="D3911" i="24"/>
  <c r="D3910" i="24"/>
  <c r="D3909" i="24"/>
  <c r="D3908" i="24"/>
  <c r="D3907" i="24"/>
  <c r="D3906" i="24"/>
  <c r="D3905" i="24"/>
  <c r="D3904" i="24"/>
  <c r="D3903" i="24"/>
  <c r="D3902" i="24"/>
  <c r="D3901" i="24"/>
  <c r="D3900" i="24"/>
  <c r="D3899" i="24"/>
  <c r="D3898" i="24"/>
  <c r="D3897" i="24"/>
  <c r="D3896" i="24"/>
  <c r="D3895" i="24"/>
  <c r="D3894" i="24"/>
  <c r="D3893" i="24"/>
  <c r="D3892" i="24"/>
  <c r="D3891" i="24"/>
  <c r="D3890" i="24"/>
  <c r="D3889" i="24"/>
  <c r="D3888" i="24"/>
  <c r="D3887" i="24"/>
  <c r="D3886" i="24"/>
  <c r="D3885" i="24"/>
  <c r="D3884" i="24"/>
  <c r="D3883" i="24"/>
  <c r="D3882" i="24"/>
  <c r="D3881" i="24"/>
  <c r="D3880" i="24"/>
  <c r="D3879" i="24"/>
  <c r="D3878" i="24"/>
  <c r="D3877" i="24"/>
  <c r="D3876" i="24"/>
  <c r="D3875" i="24"/>
  <c r="D3874" i="24"/>
  <c r="D3873" i="24"/>
  <c r="D3872" i="24"/>
  <c r="D3871" i="24"/>
  <c r="D3870" i="24"/>
  <c r="D3869" i="24"/>
  <c r="D3868" i="24"/>
  <c r="D3867" i="24"/>
  <c r="D3866" i="24"/>
  <c r="D3865" i="24"/>
  <c r="D3864" i="24"/>
  <c r="D3863" i="24"/>
  <c r="D3862" i="24"/>
  <c r="D3861" i="24"/>
  <c r="D3860" i="24"/>
  <c r="D3859" i="24"/>
  <c r="D3858" i="24"/>
  <c r="D3857" i="24"/>
  <c r="D3856" i="24"/>
  <c r="D3855" i="24"/>
  <c r="D3854" i="24"/>
  <c r="D3853" i="24"/>
  <c r="D3852" i="24"/>
  <c r="D3851" i="24"/>
  <c r="D3850" i="24"/>
  <c r="D3849" i="24"/>
  <c r="D3848" i="24"/>
  <c r="D3847" i="24"/>
  <c r="D3846" i="24"/>
  <c r="D3845" i="24"/>
  <c r="D3844" i="24"/>
  <c r="D3843" i="24"/>
  <c r="D3842" i="24"/>
  <c r="D3841" i="24"/>
  <c r="D3840" i="24"/>
  <c r="D3839" i="24"/>
  <c r="D3838" i="24"/>
  <c r="D3837" i="24"/>
  <c r="D3836" i="24"/>
  <c r="D3835" i="24"/>
  <c r="D3834" i="24"/>
  <c r="D3833" i="24"/>
  <c r="D3832" i="24"/>
  <c r="D3831" i="24"/>
  <c r="D3830" i="24"/>
  <c r="D3829" i="24"/>
  <c r="D3828" i="24"/>
  <c r="D3827" i="24"/>
  <c r="D3826" i="24"/>
  <c r="D3825" i="24"/>
  <c r="D3824" i="24"/>
  <c r="D3823" i="24"/>
  <c r="D3822" i="24"/>
  <c r="D3821" i="24"/>
  <c r="D3820" i="24"/>
  <c r="D3819" i="24"/>
  <c r="D3818" i="24"/>
  <c r="D3817" i="24"/>
  <c r="D3816" i="24"/>
  <c r="D3815" i="24"/>
  <c r="D3814" i="24"/>
  <c r="D3813" i="24"/>
  <c r="D3812" i="24"/>
  <c r="D3811" i="24"/>
  <c r="D3810" i="24"/>
  <c r="D3809" i="24"/>
  <c r="D3808" i="24"/>
  <c r="D3807" i="24"/>
  <c r="D3806" i="24"/>
  <c r="D3805" i="24"/>
  <c r="D3804" i="24"/>
  <c r="D3803" i="24"/>
  <c r="D3802" i="24"/>
  <c r="D3801" i="24"/>
  <c r="D3800" i="24"/>
  <c r="D3799" i="24"/>
  <c r="D3798" i="24"/>
  <c r="D3797" i="24"/>
  <c r="D3796" i="24"/>
  <c r="D3795" i="24"/>
  <c r="D3794" i="24"/>
  <c r="D3793" i="24"/>
  <c r="D3792" i="24"/>
  <c r="D3791" i="24"/>
  <c r="D3790" i="24"/>
  <c r="D3789" i="24"/>
  <c r="D3788" i="24"/>
  <c r="D3787" i="24"/>
  <c r="D3786" i="24"/>
  <c r="D3785" i="24"/>
  <c r="D3784" i="24"/>
  <c r="D3783" i="24"/>
  <c r="D3782" i="24"/>
  <c r="D3781" i="24"/>
  <c r="D3780" i="24"/>
  <c r="D3779" i="24"/>
  <c r="D3778" i="24"/>
  <c r="D3777" i="24"/>
  <c r="D3776" i="24"/>
  <c r="D3775" i="24"/>
  <c r="D3774" i="24"/>
  <c r="D3773" i="24"/>
  <c r="D3772" i="24"/>
  <c r="D3771" i="24"/>
  <c r="D3770" i="24"/>
  <c r="D3769" i="24"/>
  <c r="D3768" i="24"/>
  <c r="D3767" i="24"/>
  <c r="D3766" i="24"/>
  <c r="D3765" i="24"/>
  <c r="D3764" i="24"/>
  <c r="D3763" i="24"/>
  <c r="D3762" i="24"/>
  <c r="D3761" i="24"/>
  <c r="D3760" i="24"/>
  <c r="D3759" i="24"/>
  <c r="D3758" i="24"/>
  <c r="D3757" i="24"/>
  <c r="D3756" i="24"/>
  <c r="D3755" i="24"/>
  <c r="D3754" i="24"/>
  <c r="D3753" i="24"/>
  <c r="D3752" i="24"/>
  <c r="D3751" i="24"/>
  <c r="D3750" i="24"/>
  <c r="D3749" i="24"/>
  <c r="D3748" i="24"/>
  <c r="D3747" i="24"/>
  <c r="D3746" i="24"/>
  <c r="D3745" i="24"/>
  <c r="D3744" i="24"/>
  <c r="D3743" i="24"/>
  <c r="D3742" i="24"/>
  <c r="D3741" i="24"/>
  <c r="D3740" i="24"/>
  <c r="D3739" i="24"/>
  <c r="D3738" i="24"/>
  <c r="D3737" i="24"/>
  <c r="D3736" i="24"/>
  <c r="D3735" i="24"/>
  <c r="D3734" i="24"/>
  <c r="D3733" i="24"/>
  <c r="D3732" i="24"/>
  <c r="D3731" i="24"/>
  <c r="D3730" i="24"/>
  <c r="D3729" i="24"/>
  <c r="D3728" i="24"/>
  <c r="D3727" i="24"/>
  <c r="D3726" i="24"/>
  <c r="D3725" i="24"/>
  <c r="D3724" i="24"/>
  <c r="D3723" i="24"/>
  <c r="D3722" i="24"/>
  <c r="D3721" i="24"/>
  <c r="D3720" i="24"/>
  <c r="D3719" i="24"/>
  <c r="D3718" i="24"/>
  <c r="D3717" i="24"/>
  <c r="D3716" i="24"/>
  <c r="D3715" i="24"/>
  <c r="D3714" i="24"/>
  <c r="D3713" i="24"/>
  <c r="D3712" i="24"/>
  <c r="D3711" i="24"/>
  <c r="D3710" i="24"/>
  <c r="D3709" i="24"/>
  <c r="D3708" i="24"/>
  <c r="D3707" i="24"/>
  <c r="D3706" i="24"/>
  <c r="D3705" i="24"/>
  <c r="D3704" i="24"/>
  <c r="D3703" i="24"/>
  <c r="D3702" i="24"/>
  <c r="D3701" i="24"/>
  <c r="D3700" i="24"/>
  <c r="D3699" i="24"/>
  <c r="D3698" i="24"/>
  <c r="D3697" i="24"/>
  <c r="D3696" i="24"/>
  <c r="D3695" i="24"/>
  <c r="D3694" i="24"/>
  <c r="D3693" i="24"/>
  <c r="D3692" i="24"/>
  <c r="D3691" i="24"/>
  <c r="D3690" i="24"/>
  <c r="D3689" i="24"/>
  <c r="D3688" i="24"/>
  <c r="D3687" i="24"/>
  <c r="D3686" i="24"/>
  <c r="D3685" i="24"/>
  <c r="D3684" i="24"/>
  <c r="D3683" i="24"/>
  <c r="D3682" i="24"/>
  <c r="D3681" i="24"/>
  <c r="D3680" i="24"/>
  <c r="D3679" i="24"/>
  <c r="D3678" i="24"/>
  <c r="D3677" i="24"/>
  <c r="D3676" i="24"/>
  <c r="D3675" i="24"/>
  <c r="D3674" i="24"/>
  <c r="D3673" i="24"/>
  <c r="D3672" i="24"/>
  <c r="D3671" i="24"/>
  <c r="D3670" i="24"/>
  <c r="D3669" i="24"/>
  <c r="D3668" i="24"/>
  <c r="D3667" i="24"/>
  <c r="D3666" i="24"/>
  <c r="D3665" i="24"/>
  <c r="D3664" i="24"/>
  <c r="D3663" i="24"/>
  <c r="D3662" i="24"/>
  <c r="D3661" i="24"/>
  <c r="D3660" i="24"/>
  <c r="D3659" i="24"/>
  <c r="D3658" i="24"/>
  <c r="D3657" i="24"/>
  <c r="D3656" i="24"/>
  <c r="D3655" i="24"/>
  <c r="D3654" i="24"/>
  <c r="D3653" i="24"/>
  <c r="D3652" i="24"/>
  <c r="D3651" i="24"/>
  <c r="D3650" i="24"/>
  <c r="D3649" i="24"/>
  <c r="D3648" i="24"/>
  <c r="D3647" i="24"/>
  <c r="D3646" i="24"/>
  <c r="D3645" i="24"/>
  <c r="D3644" i="24"/>
  <c r="D3643" i="24"/>
  <c r="D3642" i="24"/>
  <c r="D3641" i="24"/>
  <c r="D3640" i="24"/>
  <c r="D3639" i="24"/>
  <c r="D3638" i="24"/>
  <c r="D3637" i="24"/>
  <c r="D3636" i="24"/>
  <c r="D3635" i="24"/>
  <c r="D3634" i="24"/>
  <c r="D3633" i="24"/>
  <c r="D3632" i="24"/>
  <c r="D3631" i="24"/>
  <c r="D3630" i="24"/>
  <c r="D3629" i="24"/>
  <c r="D3628" i="24"/>
  <c r="D3627" i="24"/>
  <c r="D3626" i="24"/>
  <c r="D3625" i="24"/>
  <c r="D3624" i="24"/>
  <c r="D3623" i="24"/>
  <c r="D3622" i="24"/>
  <c r="D3621" i="24"/>
  <c r="D3620" i="24"/>
  <c r="D3619" i="24"/>
  <c r="D3618" i="24"/>
  <c r="D3617" i="24"/>
  <c r="D3616" i="24"/>
  <c r="D3615" i="24"/>
  <c r="D3614" i="24"/>
  <c r="D3613" i="24"/>
  <c r="D3612" i="24"/>
  <c r="D3611" i="24"/>
  <c r="D3610" i="24"/>
  <c r="D3609" i="24"/>
  <c r="D3608" i="24"/>
  <c r="D3607" i="24"/>
  <c r="D3606" i="24"/>
  <c r="D3605" i="24"/>
  <c r="D3604" i="24"/>
  <c r="D3603" i="24"/>
  <c r="D3602" i="24"/>
  <c r="D3601" i="24"/>
  <c r="D3600" i="24"/>
  <c r="D3599" i="24"/>
  <c r="D3598" i="24"/>
  <c r="D3597" i="24"/>
  <c r="D3596" i="24"/>
  <c r="D3595" i="24"/>
  <c r="D3594" i="24"/>
  <c r="D3593" i="24"/>
  <c r="D3592" i="24"/>
  <c r="D3591" i="24"/>
  <c r="D3590" i="24"/>
  <c r="D3589" i="24"/>
  <c r="D3588" i="24"/>
  <c r="D3587" i="24"/>
  <c r="D3586" i="24"/>
  <c r="D3585" i="24"/>
  <c r="D3584" i="24"/>
  <c r="D3583" i="24"/>
  <c r="D3582" i="24"/>
  <c r="D3581" i="24"/>
  <c r="D3580" i="24"/>
  <c r="D3579" i="24"/>
  <c r="D3578" i="24"/>
  <c r="D3577" i="24"/>
  <c r="D3576" i="24"/>
  <c r="D3575" i="24"/>
  <c r="D3574" i="24"/>
  <c r="D3573" i="24"/>
  <c r="D3572" i="24"/>
  <c r="D3571" i="24"/>
  <c r="D3570" i="24"/>
  <c r="D3569" i="24"/>
  <c r="D3568" i="24"/>
  <c r="D3567" i="24"/>
  <c r="D3566" i="24"/>
  <c r="D3565" i="24"/>
  <c r="D3564" i="24"/>
  <c r="D3563" i="24"/>
  <c r="D3562" i="24"/>
  <c r="D3561" i="24"/>
  <c r="D3560" i="24"/>
  <c r="D3559" i="24"/>
  <c r="D3558" i="24"/>
  <c r="D3557" i="24"/>
  <c r="D3556" i="24"/>
  <c r="D3555" i="24"/>
  <c r="D3554" i="24"/>
  <c r="D3553" i="24"/>
  <c r="D3552" i="24"/>
  <c r="D3551" i="24"/>
  <c r="D3550" i="24"/>
  <c r="D3549" i="24"/>
  <c r="D3548" i="24"/>
  <c r="D3547" i="24"/>
  <c r="D3546" i="24"/>
  <c r="D3545" i="24"/>
  <c r="D3544" i="24"/>
  <c r="D3543" i="24"/>
  <c r="D3542" i="24"/>
  <c r="D3541" i="24"/>
  <c r="D3540" i="24"/>
  <c r="D3539" i="24"/>
  <c r="D3538" i="24"/>
  <c r="D3537" i="24"/>
  <c r="D3536" i="24"/>
  <c r="D3535" i="24"/>
  <c r="D3534" i="24"/>
  <c r="D3533" i="24"/>
  <c r="D3532" i="24"/>
  <c r="D3531" i="24"/>
  <c r="D3530" i="24"/>
  <c r="D3529" i="24"/>
  <c r="D3528" i="24"/>
  <c r="D3527" i="24"/>
  <c r="D3526" i="24"/>
  <c r="D3525" i="24"/>
  <c r="D3524" i="24"/>
  <c r="D3523" i="24"/>
  <c r="D3522" i="24"/>
  <c r="D3521" i="24"/>
  <c r="D3520" i="24"/>
  <c r="D3519" i="24"/>
  <c r="D3518" i="24"/>
  <c r="D3517" i="24"/>
  <c r="D3516" i="24"/>
  <c r="D3515" i="24"/>
  <c r="D3514" i="24"/>
  <c r="D3513" i="24"/>
  <c r="D3512" i="24"/>
  <c r="D3511" i="24"/>
  <c r="D3510" i="24"/>
  <c r="D3509" i="24"/>
  <c r="D3508" i="24"/>
  <c r="D3507" i="24"/>
  <c r="D3506" i="24"/>
  <c r="D3505" i="24"/>
  <c r="D3504" i="24"/>
  <c r="D3503" i="24"/>
  <c r="D3502" i="24"/>
  <c r="D3501" i="24"/>
  <c r="D3500" i="24"/>
  <c r="D3499" i="24"/>
  <c r="D3498" i="24"/>
  <c r="D3497" i="24"/>
  <c r="D3496" i="24"/>
  <c r="D3495" i="24"/>
  <c r="D3494" i="24"/>
  <c r="D3493" i="24"/>
  <c r="D3492" i="24"/>
  <c r="D3491" i="24"/>
  <c r="D3490" i="24"/>
  <c r="D3489" i="24"/>
  <c r="D3488" i="24"/>
  <c r="D3487" i="24"/>
  <c r="D3486" i="24"/>
  <c r="D3485" i="24"/>
  <c r="D3484" i="24"/>
  <c r="D3483" i="24"/>
  <c r="D3482" i="24"/>
  <c r="D3481" i="24"/>
  <c r="D3480" i="24"/>
  <c r="D3479" i="24"/>
  <c r="D3478" i="24"/>
  <c r="D3477" i="24"/>
  <c r="D3476" i="24"/>
  <c r="D3475" i="24"/>
  <c r="D3474" i="24"/>
  <c r="D3473" i="24"/>
  <c r="D3472" i="24"/>
  <c r="D3471" i="24"/>
  <c r="D3470" i="24"/>
  <c r="D3469" i="24"/>
  <c r="D3468" i="24"/>
  <c r="D3467" i="24"/>
  <c r="D3466" i="24"/>
  <c r="D3465" i="24"/>
  <c r="D3464" i="24"/>
  <c r="D3463" i="24"/>
  <c r="D3462" i="24"/>
  <c r="D3461" i="24"/>
  <c r="D3460" i="24"/>
  <c r="D3459" i="24"/>
  <c r="D3458" i="24"/>
  <c r="D3457" i="24"/>
  <c r="D3456" i="24"/>
  <c r="D3455" i="24"/>
  <c r="D3454" i="24"/>
  <c r="D3453" i="24"/>
  <c r="D3452" i="24"/>
  <c r="D3451" i="24"/>
  <c r="D3450" i="24"/>
  <c r="D3449" i="24"/>
  <c r="D3448" i="24"/>
  <c r="D3447" i="24"/>
  <c r="D3446" i="24"/>
  <c r="D3445" i="24"/>
  <c r="D3444" i="24"/>
  <c r="D3443" i="24"/>
  <c r="D3442" i="24"/>
  <c r="D3441" i="24"/>
  <c r="D3440" i="24"/>
  <c r="D3439" i="24"/>
  <c r="D3438" i="24"/>
  <c r="D3437" i="24"/>
  <c r="D3436" i="24"/>
  <c r="D3435" i="24"/>
  <c r="D3434" i="24"/>
  <c r="D3433" i="24"/>
  <c r="D3432" i="24"/>
  <c r="D3431" i="24"/>
  <c r="D3430" i="24"/>
  <c r="D3429" i="24"/>
  <c r="D3428" i="24"/>
  <c r="D3427" i="24"/>
  <c r="D3426" i="24"/>
  <c r="D3425" i="24"/>
  <c r="D3424" i="24"/>
  <c r="D3423" i="24"/>
  <c r="D3422" i="24"/>
  <c r="D3421" i="24"/>
  <c r="D3420" i="24"/>
  <c r="D3419" i="24"/>
  <c r="D3418" i="24"/>
  <c r="D3417" i="24"/>
  <c r="D3416" i="24"/>
  <c r="D3415" i="24"/>
  <c r="D3414" i="24"/>
  <c r="D3413" i="24"/>
  <c r="D3412" i="24"/>
  <c r="D3411" i="24"/>
  <c r="D3410" i="24"/>
  <c r="D3409" i="24"/>
  <c r="D3408" i="24"/>
  <c r="D3407" i="24"/>
  <c r="D3406" i="24"/>
  <c r="D3405" i="24"/>
  <c r="D3404" i="24"/>
  <c r="D3403" i="24"/>
  <c r="D3402" i="24"/>
  <c r="D3401" i="24"/>
  <c r="D3400" i="24"/>
  <c r="D3399" i="24"/>
  <c r="D3398" i="24"/>
  <c r="D3397" i="24"/>
  <c r="D3396" i="24"/>
  <c r="D3395" i="24"/>
  <c r="D3394" i="24"/>
  <c r="D3393" i="24"/>
  <c r="D3392" i="24"/>
  <c r="D3391" i="24"/>
  <c r="D3390" i="24"/>
  <c r="D3389" i="24"/>
  <c r="D3388" i="24"/>
  <c r="D3387" i="24"/>
  <c r="D3386" i="24"/>
  <c r="D3385" i="24"/>
  <c r="D3384" i="24"/>
  <c r="D3383" i="24"/>
  <c r="D3382" i="24"/>
  <c r="D3381" i="24"/>
  <c r="D3380" i="24"/>
  <c r="D3379" i="24"/>
  <c r="D3378" i="24"/>
  <c r="D3377" i="24"/>
  <c r="D3376" i="24"/>
  <c r="D3375" i="24"/>
  <c r="D3374" i="24"/>
  <c r="D3373" i="24"/>
  <c r="D3372" i="24"/>
  <c r="D3371" i="24"/>
  <c r="D3370" i="24"/>
  <c r="D3369" i="24"/>
  <c r="D3368" i="24"/>
  <c r="D3367" i="24"/>
  <c r="D3366" i="24"/>
  <c r="D3365" i="24"/>
  <c r="D3364" i="24"/>
  <c r="D3363" i="24"/>
  <c r="D3362" i="24"/>
  <c r="D3361" i="24"/>
  <c r="D3360" i="24"/>
  <c r="D3359" i="24"/>
  <c r="D3358" i="24"/>
  <c r="D3357" i="24"/>
  <c r="D3356" i="24"/>
  <c r="D3355" i="24"/>
  <c r="D3354" i="24"/>
  <c r="D3353" i="24"/>
  <c r="D3352" i="24"/>
  <c r="D3351" i="24"/>
  <c r="D3350" i="24"/>
  <c r="D3349" i="24"/>
  <c r="D3348" i="24"/>
  <c r="D3347" i="24"/>
  <c r="D3346" i="24"/>
  <c r="D3345" i="24"/>
  <c r="D3344" i="24"/>
  <c r="D3343" i="24"/>
  <c r="D3342" i="24"/>
  <c r="D3341" i="24"/>
  <c r="D3340" i="24"/>
  <c r="D3339" i="24"/>
  <c r="D3338" i="24"/>
  <c r="D3337" i="24"/>
  <c r="D3336" i="24"/>
  <c r="D3335" i="24"/>
  <c r="D3334" i="24"/>
  <c r="D3333" i="24"/>
  <c r="D3332" i="24"/>
  <c r="D3331" i="24"/>
  <c r="D3330" i="24"/>
  <c r="D3329" i="24"/>
  <c r="D3328" i="24"/>
  <c r="D3327" i="24"/>
  <c r="D3326" i="24"/>
  <c r="D3325" i="24"/>
  <c r="D3324" i="24"/>
  <c r="D3323" i="24"/>
  <c r="D3322" i="24"/>
  <c r="D3321" i="24"/>
  <c r="D3320" i="24"/>
  <c r="D3319" i="24"/>
  <c r="D3318" i="24"/>
  <c r="D3317" i="24"/>
  <c r="D3316" i="24"/>
  <c r="D3315" i="24"/>
  <c r="D3314" i="24"/>
  <c r="D3313" i="24"/>
  <c r="D3312" i="24"/>
  <c r="D3311" i="24"/>
  <c r="D3310" i="24"/>
  <c r="D3309" i="24"/>
  <c r="D3308" i="24"/>
  <c r="D3307" i="24"/>
  <c r="D3306" i="24"/>
  <c r="D3305" i="24"/>
  <c r="D3304" i="24"/>
  <c r="D3303" i="24"/>
  <c r="D3302" i="24"/>
  <c r="D3301" i="24"/>
  <c r="D3300" i="24"/>
  <c r="D3299" i="24"/>
  <c r="D3298" i="24"/>
  <c r="D3297" i="24"/>
  <c r="D3296" i="24"/>
  <c r="D3295" i="24"/>
  <c r="D3294" i="24"/>
  <c r="D3293" i="24"/>
  <c r="D3292" i="24"/>
  <c r="D3291" i="24"/>
  <c r="D3290" i="24"/>
  <c r="D3289" i="24"/>
  <c r="D3288" i="24"/>
  <c r="D3287" i="24"/>
  <c r="D3286" i="24"/>
  <c r="D3285" i="24"/>
  <c r="D3284" i="24"/>
  <c r="D3283" i="24"/>
  <c r="D3282" i="24"/>
  <c r="D3281" i="24"/>
  <c r="D3280" i="24"/>
  <c r="D3279" i="24"/>
  <c r="D3278" i="24"/>
  <c r="D3277" i="24"/>
  <c r="D3276" i="24"/>
  <c r="D3275" i="24"/>
  <c r="D3274" i="24"/>
  <c r="D3273" i="24"/>
  <c r="D3272" i="24"/>
  <c r="D3271" i="24"/>
  <c r="D3270" i="24"/>
  <c r="D3269" i="24"/>
  <c r="D3268" i="24"/>
  <c r="D3267" i="24"/>
  <c r="D3266" i="24"/>
  <c r="D3265" i="24"/>
  <c r="D3264" i="24"/>
  <c r="D3263" i="24"/>
  <c r="D3262" i="24"/>
  <c r="D3261" i="24"/>
  <c r="D3260" i="24"/>
  <c r="D3259" i="24"/>
  <c r="D3258" i="24"/>
  <c r="D3257" i="24"/>
  <c r="D3256" i="24"/>
  <c r="D3255" i="24"/>
  <c r="D3254" i="24"/>
  <c r="D3253" i="24"/>
  <c r="D3252" i="24"/>
  <c r="D3251" i="24"/>
  <c r="D3250" i="24"/>
  <c r="D3249" i="24"/>
  <c r="D3248" i="24"/>
  <c r="D3247" i="24"/>
  <c r="D3246" i="24"/>
  <c r="D3245" i="24"/>
  <c r="D3244" i="24"/>
  <c r="D3243" i="24"/>
  <c r="D3242" i="24"/>
  <c r="D3241" i="24"/>
  <c r="D3240" i="24"/>
  <c r="D3239" i="24"/>
  <c r="D3238" i="24"/>
  <c r="D3237" i="24"/>
  <c r="D3236" i="24"/>
  <c r="D3235" i="24"/>
  <c r="D3234" i="24"/>
  <c r="D3233" i="24"/>
  <c r="D3232" i="24"/>
  <c r="D3231" i="24"/>
  <c r="D3230" i="24"/>
  <c r="D3229" i="24"/>
  <c r="D3228" i="24"/>
  <c r="D3227" i="24"/>
  <c r="D3226" i="24"/>
  <c r="D3225" i="24"/>
  <c r="D3224" i="24"/>
  <c r="D3223" i="24"/>
  <c r="D3222" i="24"/>
  <c r="D3221" i="24"/>
  <c r="D3220" i="24"/>
  <c r="D3219" i="24"/>
  <c r="D3218" i="24"/>
  <c r="D3217" i="24"/>
  <c r="D3216" i="24"/>
  <c r="D3215" i="24"/>
  <c r="D3214" i="24"/>
  <c r="D3213" i="24"/>
  <c r="D3212" i="24"/>
  <c r="D3211" i="24"/>
  <c r="D3210" i="24"/>
  <c r="D3209" i="24"/>
  <c r="D3208" i="24"/>
  <c r="D3207" i="24"/>
  <c r="D3206" i="24"/>
  <c r="D3205" i="24"/>
  <c r="D3204" i="24"/>
  <c r="D3203" i="24"/>
  <c r="D3202" i="24"/>
  <c r="D3201" i="24"/>
  <c r="D3200" i="24"/>
  <c r="D3199" i="24"/>
  <c r="D3198" i="24"/>
  <c r="D3197" i="24"/>
  <c r="D3196" i="24"/>
  <c r="D3195" i="24"/>
  <c r="D3194" i="24"/>
  <c r="D3193" i="24"/>
  <c r="D3192" i="24"/>
  <c r="D3191" i="24"/>
  <c r="D3190" i="24"/>
  <c r="D3189" i="24"/>
  <c r="D3188" i="24"/>
  <c r="D3187" i="24"/>
  <c r="D3186" i="24"/>
  <c r="D3185" i="24"/>
  <c r="D3184" i="24"/>
  <c r="D3183" i="24"/>
  <c r="D3182" i="24"/>
  <c r="D3181" i="24"/>
  <c r="D3180" i="24"/>
  <c r="D3179" i="24"/>
  <c r="D3178" i="24"/>
  <c r="D3177" i="24"/>
  <c r="D3176" i="24"/>
  <c r="D3175" i="24"/>
  <c r="D3174" i="24"/>
  <c r="D3173" i="24"/>
  <c r="D3172" i="24"/>
  <c r="D3171" i="24"/>
  <c r="D3170" i="24"/>
  <c r="D3169" i="24"/>
  <c r="D3168" i="24"/>
  <c r="D3167" i="24"/>
  <c r="D3166" i="24"/>
  <c r="D3165" i="24"/>
  <c r="D3164" i="24"/>
  <c r="D3163" i="24"/>
  <c r="D3162" i="24"/>
  <c r="D3161" i="24"/>
  <c r="D3160" i="24"/>
  <c r="D3159" i="24"/>
  <c r="D3158" i="24"/>
  <c r="D3157" i="24"/>
  <c r="D3156" i="24"/>
  <c r="D3155" i="24"/>
  <c r="D3154" i="24"/>
  <c r="D3153" i="24"/>
  <c r="D3152" i="24"/>
  <c r="D3151" i="24"/>
  <c r="D3150" i="24"/>
  <c r="D3149" i="24"/>
  <c r="D3148" i="24"/>
  <c r="D3147" i="24"/>
  <c r="D3146" i="24"/>
  <c r="D3145" i="24"/>
  <c r="D3144" i="24"/>
  <c r="D3143" i="24"/>
  <c r="D3142" i="24"/>
  <c r="D3141" i="24"/>
  <c r="D3140" i="24"/>
  <c r="D3139" i="24"/>
  <c r="D3138" i="24"/>
  <c r="D3137" i="24"/>
  <c r="D3136" i="24"/>
  <c r="D3135" i="24"/>
  <c r="D3134" i="24"/>
  <c r="D3133" i="24"/>
  <c r="D3132" i="24"/>
  <c r="D3131" i="24"/>
  <c r="D3130" i="24"/>
  <c r="D3129" i="24"/>
  <c r="D3128" i="24"/>
  <c r="D3127" i="24"/>
  <c r="D3126" i="24"/>
  <c r="D3125" i="24"/>
  <c r="D3124" i="24"/>
  <c r="D3123" i="24"/>
  <c r="D3122" i="24"/>
  <c r="D3121" i="24"/>
  <c r="D3120" i="24"/>
  <c r="D3119" i="24"/>
  <c r="D3118" i="24"/>
  <c r="D3117" i="24"/>
  <c r="D3116" i="24"/>
  <c r="D3115" i="24"/>
  <c r="D3114" i="24"/>
  <c r="D3113" i="24"/>
  <c r="D3112" i="24"/>
  <c r="D3111" i="24"/>
  <c r="D3110" i="24"/>
  <c r="D3109" i="24"/>
  <c r="D3108" i="24"/>
  <c r="D3107" i="24"/>
  <c r="D3106" i="24"/>
  <c r="D3105" i="24"/>
  <c r="D3104" i="24"/>
  <c r="D3103" i="24"/>
  <c r="D3102" i="24"/>
  <c r="D3101" i="24"/>
  <c r="D3100" i="24"/>
  <c r="D3099" i="24"/>
  <c r="D3098" i="24"/>
  <c r="D3097" i="24"/>
  <c r="D3096" i="24"/>
  <c r="D3095" i="24"/>
  <c r="D3094" i="24"/>
  <c r="D3093" i="24"/>
  <c r="D3092" i="24"/>
  <c r="D3091" i="24"/>
  <c r="D3090" i="24"/>
  <c r="D3089" i="24"/>
  <c r="D3088" i="24"/>
  <c r="D3087" i="24"/>
  <c r="D3086" i="24"/>
  <c r="D3085" i="24"/>
  <c r="D3084" i="24"/>
  <c r="D3083" i="24"/>
  <c r="D3082" i="24"/>
  <c r="D3081" i="24"/>
  <c r="D3080" i="24"/>
  <c r="D3079" i="24"/>
  <c r="D3078" i="24"/>
  <c r="D3077" i="24"/>
  <c r="D3076" i="24"/>
  <c r="D3075" i="24"/>
  <c r="D3074" i="24"/>
  <c r="D3073" i="24"/>
  <c r="D3072" i="24"/>
  <c r="D3071" i="24"/>
  <c r="D3070" i="24"/>
  <c r="D3069" i="24"/>
  <c r="D3068" i="24"/>
  <c r="D3067" i="24"/>
  <c r="D3066" i="24"/>
  <c r="D3065" i="24"/>
  <c r="D3064" i="24"/>
  <c r="D3063" i="24"/>
  <c r="D3062" i="24"/>
  <c r="D3061" i="24"/>
  <c r="D3060" i="24"/>
  <c r="D3059" i="24"/>
  <c r="D3058" i="24"/>
  <c r="D3057" i="24"/>
  <c r="D3056" i="24"/>
  <c r="D3055" i="24"/>
  <c r="D3054" i="24"/>
  <c r="D3053" i="24"/>
  <c r="D3052" i="24"/>
  <c r="D3051" i="24"/>
  <c r="D3050" i="24"/>
  <c r="D3049" i="24"/>
  <c r="D3048" i="24"/>
  <c r="D3047" i="24"/>
  <c r="D3046" i="24"/>
  <c r="D3045" i="24"/>
  <c r="D3044" i="24"/>
  <c r="D3043" i="24"/>
  <c r="D3042" i="24"/>
  <c r="D3041" i="24"/>
  <c r="D3040" i="24"/>
  <c r="D3039" i="24"/>
  <c r="D3038" i="24"/>
  <c r="D3037" i="24"/>
  <c r="D3036" i="24"/>
  <c r="D3035" i="24"/>
  <c r="D3034" i="24"/>
  <c r="D3033" i="24"/>
  <c r="D3032" i="24"/>
  <c r="D3031" i="24"/>
  <c r="D3030" i="24"/>
  <c r="D3029" i="24"/>
  <c r="D3028" i="24"/>
  <c r="D3027" i="24"/>
  <c r="D3026" i="24"/>
  <c r="D3025" i="24"/>
  <c r="D3024" i="24"/>
  <c r="D3023" i="24"/>
  <c r="D3022" i="24"/>
  <c r="D3021" i="24"/>
  <c r="D3020" i="24"/>
  <c r="D3019" i="24"/>
  <c r="D3018" i="24"/>
  <c r="D3017" i="24"/>
  <c r="D3016" i="24"/>
  <c r="D3015" i="24"/>
  <c r="D3014" i="24"/>
  <c r="D3013" i="24"/>
  <c r="D3012" i="24"/>
  <c r="D3011" i="24"/>
  <c r="D3010" i="24"/>
  <c r="D3009" i="24"/>
  <c r="D3008" i="24"/>
  <c r="D3007" i="24"/>
  <c r="D3006" i="24"/>
  <c r="D3005" i="24"/>
  <c r="D3004" i="24"/>
  <c r="D3003" i="24"/>
  <c r="D3002" i="24"/>
  <c r="D3001" i="24"/>
  <c r="D3000" i="24"/>
  <c r="D2999" i="24"/>
  <c r="D2998" i="24"/>
  <c r="D2997" i="24"/>
  <c r="D2996" i="24"/>
  <c r="D2995" i="24"/>
  <c r="D2994" i="24"/>
  <c r="D2993" i="24"/>
  <c r="D2992" i="24"/>
  <c r="D2991" i="24"/>
  <c r="D2990" i="24"/>
  <c r="D2989" i="24"/>
  <c r="D2988" i="24"/>
  <c r="D2987" i="24"/>
  <c r="D2986" i="24"/>
  <c r="D2985" i="24"/>
  <c r="D2984" i="24"/>
  <c r="D2983" i="24"/>
  <c r="D2982" i="24"/>
  <c r="D2981" i="24"/>
  <c r="D2980" i="24"/>
  <c r="D2979" i="24"/>
  <c r="D2978" i="24"/>
  <c r="D2977" i="24"/>
  <c r="D2976" i="24"/>
  <c r="D2975" i="24"/>
  <c r="D2974" i="24"/>
  <c r="D2973" i="24"/>
  <c r="D2972" i="24"/>
  <c r="D2971" i="24"/>
  <c r="D2970" i="24"/>
  <c r="D2969" i="24"/>
  <c r="D2968" i="24"/>
  <c r="D2967" i="24"/>
  <c r="D2966" i="24"/>
  <c r="D2965" i="24"/>
  <c r="D2964" i="24"/>
  <c r="D2963" i="24"/>
  <c r="D2962" i="24"/>
  <c r="D2961" i="24"/>
  <c r="D2960" i="24"/>
  <c r="D2959" i="24"/>
  <c r="D2958" i="24"/>
  <c r="D2957" i="24"/>
  <c r="D2956" i="24"/>
  <c r="D2955" i="24"/>
  <c r="D2954" i="24"/>
  <c r="D2953" i="24"/>
  <c r="D2952" i="24"/>
  <c r="D2951" i="24"/>
  <c r="D2950" i="24"/>
  <c r="D2949" i="24"/>
  <c r="D2948" i="24"/>
  <c r="D2947" i="24"/>
  <c r="D2946" i="24"/>
  <c r="D2945" i="24"/>
  <c r="D2944" i="24"/>
  <c r="D2943" i="24"/>
  <c r="D2942" i="24"/>
  <c r="D2941" i="24"/>
  <c r="D2940" i="24"/>
  <c r="D2939" i="24"/>
  <c r="D2938" i="24"/>
  <c r="D2937" i="24"/>
  <c r="D2936" i="24"/>
  <c r="D2935" i="24"/>
  <c r="D2934" i="24"/>
  <c r="D2933" i="24"/>
  <c r="D2932" i="24"/>
  <c r="D2931" i="24"/>
  <c r="D2930" i="24"/>
  <c r="D2929" i="24"/>
  <c r="D2928" i="24"/>
  <c r="D2927" i="24"/>
  <c r="D2926" i="24"/>
  <c r="D2925" i="24"/>
  <c r="D2924" i="24"/>
  <c r="D2923" i="24"/>
  <c r="D2922" i="24"/>
  <c r="D2921" i="24"/>
  <c r="D2920" i="24"/>
  <c r="D2919" i="24"/>
  <c r="D2918" i="24"/>
  <c r="D2917" i="24"/>
  <c r="D2916" i="24"/>
  <c r="D2915" i="24"/>
  <c r="D2914" i="24"/>
  <c r="D2913" i="24"/>
  <c r="D2912" i="24"/>
  <c r="D2911" i="24"/>
  <c r="D2910" i="24"/>
  <c r="D2909" i="24"/>
  <c r="D2908" i="24"/>
  <c r="D2907" i="24"/>
  <c r="D2906" i="24"/>
  <c r="D2905" i="24"/>
  <c r="D2904" i="24"/>
  <c r="D2903" i="24"/>
  <c r="D2902" i="24"/>
  <c r="D2901" i="24"/>
  <c r="D2900" i="24"/>
  <c r="D2899" i="24"/>
  <c r="D2898" i="24"/>
  <c r="D2897" i="24"/>
  <c r="D2896" i="24"/>
  <c r="D2895" i="24"/>
  <c r="D2894" i="24"/>
  <c r="D2893" i="24"/>
  <c r="D2892" i="24"/>
  <c r="D2891" i="24"/>
  <c r="D2890" i="24"/>
  <c r="D2889" i="24"/>
  <c r="D2888" i="24"/>
  <c r="D2887" i="24"/>
  <c r="D2886" i="24"/>
  <c r="D2885" i="24"/>
  <c r="D2884" i="24"/>
  <c r="D2883" i="24"/>
  <c r="D2882" i="24"/>
  <c r="D2881" i="24"/>
  <c r="D2880" i="24"/>
  <c r="D2879" i="24"/>
  <c r="D2878" i="24"/>
  <c r="D2877" i="24"/>
  <c r="D2876" i="24"/>
  <c r="D2875" i="24"/>
  <c r="D2874" i="24"/>
  <c r="D2873" i="24"/>
  <c r="D2872" i="24"/>
  <c r="D2871" i="24"/>
  <c r="D2870" i="24"/>
  <c r="D2869" i="24"/>
  <c r="D2868" i="24"/>
  <c r="D2867" i="24"/>
  <c r="D2866" i="24"/>
  <c r="D2865" i="24"/>
  <c r="D2864" i="24"/>
  <c r="D2863" i="24"/>
  <c r="D2862" i="24"/>
  <c r="D2861" i="24"/>
  <c r="D2860" i="24"/>
  <c r="D2859" i="24"/>
  <c r="D2858" i="24"/>
  <c r="D2857" i="24"/>
  <c r="D2856" i="24"/>
  <c r="D2855" i="24"/>
  <c r="D2854" i="24"/>
  <c r="D2853" i="24"/>
  <c r="D2852" i="24"/>
  <c r="D2851" i="24"/>
  <c r="D2850" i="24"/>
  <c r="D2849" i="24"/>
  <c r="D2848" i="24"/>
  <c r="D2847" i="24"/>
  <c r="D2846" i="24"/>
  <c r="D2845" i="24"/>
  <c r="D2844" i="24"/>
  <c r="D2843" i="24"/>
  <c r="D2842" i="24"/>
  <c r="D2841" i="24"/>
  <c r="D2840" i="24"/>
  <c r="D2839" i="24"/>
  <c r="D2838" i="24"/>
  <c r="D2837" i="24"/>
  <c r="D2836" i="24"/>
  <c r="D2835" i="24"/>
  <c r="D2834" i="24"/>
  <c r="D2833" i="24"/>
  <c r="D2832" i="24"/>
  <c r="D2831" i="24"/>
  <c r="D2830" i="24"/>
  <c r="D2829" i="24"/>
  <c r="D2828" i="24"/>
  <c r="D2827" i="24"/>
  <c r="D2826" i="24"/>
  <c r="D2825" i="24"/>
  <c r="D2824" i="24"/>
  <c r="D2823" i="24"/>
  <c r="D2822" i="24"/>
  <c r="D2821" i="24"/>
  <c r="D2820" i="24"/>
  <c r="D2819" i="24"/>
  <c r="D2818" i="24"/>
  <c r="D2817" i="24"/>
  <c r="D2816" i="24"/>
  <c r="D2815" i="24"/>
  <c r="D2814" i="24"/>
  <c r="D2813" i="24"/>
  <c r="D2812" i="24"/>
  <c r="D2811" i="24"/>
  <c r="D2810" i="24"/>
  <c r="D2809" i="24"/>
  <c r="D2808" i="24"/>
  <c r="D2807" i="24"/>
  <c r="D2806" i="24"/>
  <c r="D2805" i="24"/>
  <c r="D2804" i="24"/>
  <c r="D2803" i="24"/>
  <c r="D2802" i="24"/>
  <c r="D2801" i="24"/>
  <c r="D2800" i="24"/>
  <c r="D2799" i="24"/>
  <c r="D2798" i="24"/>
  <c r="D2797" i="24"/>
  <c r="D2796" i="24"/>
  <c r="D2795" i="24"/>
  <c r="D2794" i="24"/>
  <c r="D2793" i="24"/>
  <c r="D2792" i="24"/>
  <c r="D2791" i="24"/>
  <c r="D2790" i="24"/>
  <c r="D2789" i="24"/>
  <c r="D2788" i="24"/>
  <c r="D2787" i="24"/>
  <c r="D2786" i="24"/>
  <c r="D2785" i="24"/>
  <c r="D2784" i="24"/>
  <c r="D2783" i="24"/>
  <c r="D2782" i="24"/>
  <c r="D2781" i="24"/>
  <c r="D2780" i="24"/>
  <c r="D2779" i="24"/>
  <c r="D2778" i="24"/>
  <c r="D2777" i="24"/>
  <c r="D2776" i="24"/>
  <c r="D2775" i="24"/>
  <c r="D2774" i="24"/>
  <c r="D2773" i="24"/>
  <c r="D2772" i="24"/>
  <c r="D2771" i="24"/>
  <c r="D2770" i="24"/>
  <c r="D2769" i="24"/>
  <c r="D2768" i="24"/>
  <c r="D2767" i="24"/>
  <c r="D2766" i="24"/>
  <c r="D2765" i="24"/>
  <c r="D2764" i="24"/>
  <c r="D2763" i="24"/>
  <c r="D2762" i="24"/>
  <c r="D2761" i="24"/>
  <c r="D2760" i="24"/>
  <c r="D2759" i="24"/>
  <c r="D2758" i="24"/>
  <c r="D2757" i="24"/>
  <c r="D2756" i="24"/>
  <c r="D2755" i="24"/>
  <c r="D2754" i="24"/>
  <c r="D2753" i="24"/>
  <c r="D2752" i="24"/>
  <c r="D2751" i="24"/>
  <c r="D2750" i="24"/>
  <c r="D2749" i="24"/>
  <c r="D2748" i="24"/>
  <c r="D2747" i="24"/>
  <c r="D2746" i="24"/>
  <c r="D2745" i="24"/>
  <c r="D2744" i="24"/>
  <c r="D2743" i="24"/>
  <c r="D2742" i="24"/>
  <c r="D2741" i="24"/>
  <c r="D2740" i="24"/>
  <c r="D2739" i="24"/>
  <c r="D2738" i="24"/>
  <c r="D2737" i="24"/>
  <c r="D2736" i="24"/>
  <c r="D2735" i="24"/>
  <c r="D2734" i="24"/>
  <c r="D2733" i="24"/>
  <c r="D2732" i="24"/>
  <c r="D2731" i="24"/>
  <c r="D2730" i="24"/>
  <c r="D2729" i="24"/>
  <c r="D2728" i="24"/>
  <c r="D2727" i="24"/>
  <c r="D2726" i="24"/>
  <c r="D2725" i="24"/>
  <c r="D2724" i="24"/>
  <c r="D2723" i="24"/>
  <c r="D2722" i="24"/>
  <c r="D2721" i="24"/>
  <c r="D2720" i="24"/>
  <c r="D2719" i="24"/>
  <c r="D2718" i="24"/>
  <c r="D2717" i="24"/>
  <c r="D2716" i="24"/>
  <c r="D2715" i="24"/>
  <c r="D2714" i="24"/>
  <c r="D2713" i="24"/>
  <c r="D2712" i="24"/>
  <c r="D2711" i="24"/>
  <c r="D2710" i="24"/>
  <c r="D2709" i="24"/>
  <c r="D2708" i="24"/>
  <c r="D2707" i="24"/>
  <c r="D2706" i="24"/>
  <c r="D2705" i="24"/>
  <c r="D2704" i="24"/>
  <c r="D2703" i="24"/>
  <c r="D2702" i="24"/>
  <c r="D2701" i="24"/>
  <c r="D2700" i="24"/>
  <c r="D2699" i="24"/>
  <c r="D2698" i="24"/>
  <c r="D2697" i="24"/>
  <c r="D2696" i="24"/>
  <c r="D2695" i="24"/>
  <c r="D2694" i="24"/>
  <c r="D2693" i="24"/>
  <c r="D2692" i="24"/>
  <c r="D2691" i="24"/>
  <c r="D2690" i="24"/>
  <c r="D2689" i="24"/>
  <c r="D2688" i="24"/>
  <c r="D2687" i="24"/>
  <c r="D2686" i="24"/>
  <c r="D2685" i="24"/>
  <c r="D2684" i="24"/>
  <c r="D2683" i="24"/>
  <c r="D2682" i="24"/>
  <c r="D2681" i="24"/>
  <c r="D2680" i="24"/>
  <c r="D2679" i="24"/>
  <c r="D2678" i="24"/>
  <c r="D2677" i="24"/>
  <c r="D2676" i="24"/>
  <c r="D2675" i="24"/>
  <c r="D2674" i="24"/>
  <c r="D2673" i="24"/>
  <c r="D2672" i="24"/>
  <c r="D2671" i="24"/>
  <c r="D2670" i="24"/>
  <c r="D2669" i="24"/>
  <c r="D2668" i="24"/>
  <c r="D2667" i="24"/>
  <c r="D2666" i="24"/>
  <c r="D2665" i="24"/>
  <c r="D2664" i="24"/>
  <c r="D2663" i="24"/>
  <c r="D2662" i="24"/>
  <c r="D2661" i="24"/>
  <c r="D2660" i="24"/>
  <c r="D2659" i="24"/>
  <c r="D2658" i="24"/>
  <c r="D2657" i="24"/>
  <c r="D2656" i="24"/>
  <c r="D2655" i="24"/>
  <c r="D2654" i="24"/>
  <c r="D2653" i="24"/>
  <c r="D2652" i="24"/>
  <c r="D2651" i="24"/>
  <c r="D2650" i="24"/>
  <c r="D2649" i="24"/>
  <c r="D2648" i="24"/>
  <c r="D2647" i="24"/>
  <c r="D2646" i="24"/>
  <c r="D2645" i="24"/>
  <c r="D2644" i="24"/>
  <c r="D2643" i="24"/>
  <c r="D2642" i="24"/>
  <c r="D2641" i="24"/>
  <c r="D2640" i="24"/>
  <c r="D2639" i="24"/>
  <c r="D2638" i="24"/>
  <c r="D2637" i="24"/>
  <c r="D2636" i="24"/>
  <c r="D2635" i="24"/>
  <c r="D2634" i="24"/>
  <c r="D2633" i="24"/>
  <c r="D2632" i="24"/>
  <c r="D2631" i="24"/>
  <c r="D2630" i="24"/>
  <c r="D2629" i="24"/>
  <c r="D2628" i="24"/>
  <c r="D2627" i="24"/>
  <c r="D2626" i="24"/>
  <c r="D2625" i="24"/>
  <c r="D2624" i="24"/>
  <c r="D2623" i="24"/>
  <c r="D2622" i="24"/>
  <c r="D2621" i="24"/>
  <c r="D2620" i="24"/>
  <c r="D2619" i="24"/>
  <c r="D2618" i="24"/>
  <c r="D2617" i="24"/>
  <c r="D2616" i="24"/>
  <c r="D2615" i="24"/>
  <c r="D2614" i="24"/>
  <c r="D2613" i="24"/>
  <c r="D2612" i="24"/>
  <c r="D2611" i="24"/>
  <c r="D2610" i="24"/>
  <c r="D2609" i="24"/>
  <c r="D2608" i="24"/>
  <c r="D2607" i="24"/>
  <c r="D2606" i="24"/>
  <c r="D2605" i="24"/>
  <c r="D2604" i="24"/>
  <c r="D2603" i="24"/>
  <c r="D2602" i="24"/>
  <c r="D2601" i="24"/>
  <c r="D2600" i="24"/>
  <c r="D2599" i="24"/>
  <c r="D2598" i="24"/>
  <c r="D2597" i="24"/>
  <c r="D2596" i="24"/>
  <c r="D2595" i="24"/>
  <c r="D2594" i="24"/>
  <c r="D2593" i="24"/>
  <c r="D2592" i="24"/>
  <c r="D2591" i="24"/>
  <c r="D2590" i="24"/>
  <c r="D2589" i="24"/>
  <c r="D2588" i="24"/>
  <c r="D2587" i="24"/>
  <c r="D2586" i="24"/>
  <c r="D2585" i="24"/>
  <c r="D2584" i="24"/>
  <c r="D2583" i="24"/>
  <c r="D2582" i="24"/>
  <c r="D2581" i="24"/>
  <c r="D2580" i="24"/>
  <c r="D2579" i="24"/>
  <c r="D2578" i="24"/>
  <c r="D2577" i="24"/>
  <c r="D2576" i="24"/>
  <c r="D2575" i="24"/>
  <c r="D2574" i="24"/>
  <c r="D2573" i="24"/>
  <c r="D2572" i="24"/>
  <c r="D2571" i="24"/>
  <c r="D2570" i="24"/>
  <c r="D2569" i="24"/>
  <c r="D2568" i="24"/>
  <c r="D2567" i="24"/>
  <c r="D2566" i="24"/>
  <c r="D2565" i="24"/>
  <c r="D2564" i="24"/>
  <c r="D2563" i="24"/>
  <c r="D2562" i="24"/>
  <c r="D2561" i="24"/>
  <c r="D2560" i="24"/>
  <c r="D2559" i="24"/>
  <c r="D2558" i="24"/>
  <c r="D2557" i="24"/>
  <c r="D2556" i="24"/>
  <c r="D2555" i="24"/>
  <c r="D2554" i="24"/>
  <c r="D2553" i="24"/>
  <c r="D2552" i="24"/>
  <c r="D2551" i="24"/>
  <c r="D2550" i="24"/>
  <c r="D2549" i="24"/>
  <c r="D2548" i="24"/>
  <c r="D2547" i="24"/>
  <c r="D2546" i="24"/>
  <c r="D2545" i="24"/>
  <c r="D2544" i="24"/>
  <c r="D2543" i="24"/>
  <c r="D2542" i="24"/>
  <c r="D2541" i="24"/>
  <c r="D2540" i="24"/>
  <c r="D2539" i="24"/>
  <c r="D2538" i="24"/>
  <c r="D2537" i="24"/>
  <c r="D2536" i="24"/>
  <c r="D2535" i="24"/>
  <c r="D2534" i="24"/>
  <c r="D2533" i="24"/>
  <c r="D2532" i="24"/>
  <c r="D2531" i="24"/>
  <c r="D2530" i="24"/>
  <c r="D2529" i="24"/>
  <c r="D2528" i="24"/>
  <c r="D2527" i="24"/>
  <c r="D2526" i="24"/>
  <c r="D2525" i="24"/>
  <c r="D2524" i="24"/>
  <c r="D2523" i="24"/>
  <c r="D2522" i="24"/>
  <c r="D2521" i="24"/>
  <c r="D2520" i="24"/>
  <c r="D2519" i="24"/>
  <c r="D2518" i="24"/>
  <c r="D2517" i="24"/>
  <c r="D2516" i="24"/>
  <c r="D2515" i="24"/>
  <c r="D2514" i="24"/>
  <c r="D2513" i="24"/>
  <c r="D2512" i="24"/>
  <c r="D2511" i="24"/>
  <c r="D2510" i="24"/>
  <c r="D2509" i="24"/>
  <c r="D2508" i="24"/>
  <c r="D2507" i="24"/>
  <c r="D2506" i="24"/>
  <c r="D2505" i="24"/>
  <c r="D2504" i="24"/>
  <c r="D2503" i="24"/>
  <c r="D2502" i="24"/>
  <c r="D2501" i="24"/>
  <c r="D2500" i="24"/>
  <c r="D2499" i="24"/>
  <c r="D2498" i="24"/>
  <c r="D2497" i="24"/>
  <c r="D2496" i="24"/>
  <c r="D2495" i="24"/>
  <c r="D2494" i="24"/>
  <c r="D2493" i="24"/>
  <c r="D2492" i="24"/>
  <c r="D2491" i="24"/>
  <c r="D2490" i="24"/>
  <c r="D2489" i="24"/>
  <c r="D2488" i="24"/>
  <c r="D2487" i="24"/>
  <c r="D2486" i="24"/>
  <c r="D2485" i="24"/>
  <c r="D2484" i="24"/>
  <c r="D2483" i="24"/>
  <c r="D2482" i="24"/>
  <c r="D2481" i="24"/>
  <c r="D2480" i="24"/>
  <c r="D2479" i="24"/>
  <c r="D2478" i="24"/>
  <c r="D2477" i="24"/>
  <c r="D2476" i="24"/>
  <c r="D2475" i="24"/>
  <c r="D2474" i="24"/>
  <c r="D2473" i="24"/>
  <c r="D2472" i="24"/>
  <c r="D2471" i="24"/>
  <c r="D2470" i="24"/>
  <c r="D2469" i="24"/>
  <c r="D2468" i="24"/>
  <c r="D2467" i="24"/>
  <c r="D2466" i="24"/>
  <c r="D2465" i="24"/>
  <c r="D2464" i="24"/>
  <c r="D2463" i="24"/>
  <c r="D2462" i="24"/>
  <c r="D2461" i="24"/>
  <c r="D2460" i="24"/>
  <c r="D2459" i="24"/>
  <c r="D2458" i="24"/>
  <c r="D2457" i="24"/>
  <c r="D2456" i="24"/>
  <c r="D2455" i="24"/>
  <c r="D2454" i="24"/>
  <c r="D2453" i="24"/>
  <c r="D2452" i="24"/>
  <c r="D2451" i="24"/>
  <c r="D2450" i="24"/>
  <c r="D2449" i="24"/>
  <c r="D2448" i="24"/>
  <c r="D2447" i="24"/>
  <c r="D2446" i="24"/>
  <c r="D2445" i="24"/>
  <c r="D2444" i="24"/>
  <c r="D2443" i="24"/>
  <c r="D2442" i="24"/>
  <c r="D2441" i="24"/>
  <c r="D2440" i="24"/>
  <c r="D2439" i="24"/>
  <c r="D2438" i="24"/>
  <c r="D2437" i="24"/>
  <c r="D2436" i="24"/>
  <c r="D2435" i="24"/>
  <c r="D2434" i="24"/>
  <c r="D2433" i="24"/>
  <c r="D2432" i="24"/>
  <c r="D2431" i="24"/>
  <c r="D2430" i="24"/>
  <c r="D2429" i="24"/>
  <c r="D2428" i="24"/>
  <c r="D2427" i="24"/>
  <c r="D2426" i="24"/>
  <c r="D2425" i="24"/>
  <c r="D2424" i="24"/>
  <c r="D2423" i="24"/>
  <c r="D2422" i="24"/>
  <c r="D2421" i="24"/>
  <c r="D2420" i="24"/>
  <c r="D2419" i="24"/>
  <c r="D2418" i="24"/>
  <c r="D2417" i="24"/>
  <c r="D2416" i="24"/>
  <c r="D2415" i="24"/>
  <c r="D2414" i="24"/>
  <c r="D2413" i="24"/>
  <c r="D2412" i="24"/>
  <c r="D2411" i="24"/>
  <c r="D2410" i="24"/>
  <c r="D2409" i="24"/>
  <c r="D2408" i="24"/>
  <c r="D2407" i="24"/>
  <c r="D2406" i="24"/>
  <c r="D2405" i="24"/>
  <c r="D2404" i="24"/>
  <c r="D2403" i="24"/>
  <c r="D2402" i="24"/>
  <c r="D2401" i="24"/>
  <c r="D2400" i="24"/>
  <c r="D2399" i="24"/>
  <c r="D2398" i="24"/>
  <c r="D2397" i="24"/>
  <c r="D2396" i="24"/>
  <c r="D2395" i="24"/>
  <c r="D2394" i="24"/>
  <c r="D2393" i="24"/>
  <c r="D2392" i="24"/>
  <c r="D2391" i="24"/>
  <c r="D2390" i="24"/>
  <c r="D2389" i="24"/>
  <c r="D2388" i="24"/>
  <c r="D2387" i="24"/>
  <c r="D2386" i="24"/>
  <c r="D2385" i="24"/>
  <c r="D2384" i="24"/>
  <c r="D2383" i="24"/>
  <c r="D2382" i="24"/>
  <c r="D2381" i="24"/>
  <c r="D2380" i="24"/>
  <c r="D2379" i="24"/>
  <c r="D2378" i="24"/>
  <c r="D2377" i="24"/>
  <c r="D2376" i="24"/>
  <c r="D2375" i="24"/>
  <c r="D2374" i="24"/>
  <c r="D2373" i="24"/>
  <c r="D2372" i="24"/>
  <c r="D2371" i="24"/>
  <c r="D2370" i="24"/>
  <c r="D2369" i="24"/>
  <c r="D2368" i="24"/>
  <c r="D2367" i="24"/>
  <c r="D2366" i="24"/>
  <c r="D2365" i="24"/>
  <c r="D2364" i="24"/>
  <c r="D2363" i="24"/>
  <c r="D2362" i="24"/>
  <c r="D2361" i="24"/>
  <c r="D2360" i="24"/>
  <c r="D2359" i="24"/>
  <c r="D2358" i="24"/>
  <c r="D2357" i="24"/>
  <c r="D2356" i="24"/>
  <c r="D2355" i="24"/>
  <c r="D2354" i="24"/>
  <c r="D2353" i="24"/>
  <c r="D2352" i="24"/>
  <c r="D2351" i="24"/>
  <c r="D2350" i="24"/>
  <c r="D2349" i="24"/>
  <c r="D2348" i="24"/>
  <c r="D2347" i="24"/>
  <c r="D2346" i="24"/>
  <c r="D2345" i="24"/>
  <c r="D2344" i="24"/>
  <c r="D2343" i="24"/>
  <c r="D2342" i="24"/>
  <c r="D2341" i="24"/>
  <c r="D2340" i="24"/>
  <c r="D2339" i="24"/>
  <c r="D2338" i="24"/>
  <c r="D2337" i="24"/>
  <c r="D2336" i="24"/>
  <c r="D2335" i="24"/>
  <c r="D2334" i="24"/>
  <c r="D2333" i="24"/>
  <c r="D2332" i="24"/>
  <c r="D2331" i="24"/>
  <c r="D2330" i="24"/>
  <c r="D2329" i="24"/>
  <c r="D2328" i="24"/>
  <c r="D2327" i="24"/>
  <c r="D2326" i="24"/>
  <c r="D2325" i="24"/>
  <c r="D2324" i="24"/>
  <c r="D2323" i="24"/>
  <c r="D2322" i="24"/>
  <c r="D2321" i="24"/>
  <c r="D2320" i="24"/>
  <c r="D2319" i="24"/>
  <c r="D2318" i="24"/>
  <c r="D2317" i="24"/>
  <c r="D2316" i="24"/>
  <c r="D2315" i="24"/>
  <c r="D2314" i="24"/>
  <c r="D2313" i="24"/>
  <c r="D2312" i="24"/>
  <c r="D2311" i="24"/>
  <c r="D2310" i="24"/>
  <c r="D2309" i="24"/>
  <c r="D2308" i="24"/>
  <c r="D2307" i="24"/>
  <c r="D2306" i="24"/>
  <c r="D2305" i="24"/>
  <c r="D2304" i="24"/>
  <c r="D2303" i="24"/>
  <c r="D2302" i="24"/>
  <c r="D2301" i="24"/>
  <c r="D2300" i="24"/>
  <c r="D2299" i="24"/>
  <c r="D2298" i="24"/>
  <c r="D2297" i="24"/>
  <c r="D2296" i="24"/>
  <c r="D2295" i="24"/>
  <c r="D2294" i="24"/>
  <c r="D2293" i="24"/>
  <c r="D2292" i="24"/>
  <c r="D2291" i="24"/>
  <c r="D2290" i="24"/>
  <c r="D2289" i="24"/>
  <c r="D2288" i="24"/>
  <c r="D2287" i="24"/>
  <c r="D2286" i="24"/>
  <c r="D2285" i="24"/>
  <c r="D2284" i="24"/>
  <c r="D2283" i="24"/>
  <c r="D2282" i="24"/>
  <c r="D2281" i="24"/>
  <c r="D2280" i="24"/>
  <c r="D2279" i="24"/>
  <c r="D2278" i="24"/>
  <c r="D2277" i="24"/>
  <c r="D2276" i="24"/>
  <c r="D2275" i="24"/>
  <c r="D2274" i="24"/>
  <c r="D2273" i="24"/>
  <c r="D2272" i="24"/>
  <c r="D2271" i="24"/>
  <c r="D2270" i="24"/>
  <c r="D2269" i="24"/>
  <c r="D2268" i="24"/>
  <c r="D2267" i="24"/>
  <c r="D2266" i="24"/>
  <c r="D2265" i="24"/>
  <c r="D2264" i="24"/>
  <c r="D2263" i="24"/>
  <c r="D2262" i="24"/>
  <c r="D2261" i="24"/>
  <c r="D2260" i="24"/>
  <c r="D2259" i="24"/>
  <c r="D2258" i="24"/>
  <c r="D2257" i="24"/>
  <c r="D2256" i="24"/>
  <c r="D2255" i="24"/>
  <c r="D2254" i="24"/>
  <c r="D2253" i="24"/>
  <c r="D2252" i="24"/>
  <c r="D2251" i="24"/>
  <c r="D2250" i="24"/>
  <c r="D2249" i="24"/>
  <c r="D2248" i="24"/>
  <c r="D2247" i="24"/>
  <c r="D2246" i="24"/>
  <c r="D2245" i="24"/>
  <c r="D2244" i="24"/>
  <c r="D2243" i="24"/>
  <c r="D2242" i="24"/>
  <c r="D2241" i="24"/>
  <c r="D2240" i="24"/>
  <c r="D2239" i="24"/>
  <c r="D2238" i="24"/>
  <c r="D2237" i="24"/>
  <c r="D2236" i="24"/>
  <c r="D2235" i="24"/>
  <c r="D2234" i="24"/>
  <c r="D2233" i="24"/>
  <c r="D2232" i="24"/>
  <c r="D2231" i="24"/>
  <c r="D2230" i="24"/>
  <c r="D2229" i="24"/>
  <c r="D2228" i="24"/>
  <c r="D2227" i="24"/>
  <c r="D2226" i="24"/>
  <c r="D2225" i="24"/>
  <c r="D2224" i="24"/>
  <c r="D2223" i="24"/>
  <c r="D2222" i="24"/>
  <c r="D2221" i="24"/>
  <c r="D2220" i="24"/>
  <c r="D2219" i="24"/>
  <c r="D2218" i="24"/>
  <c r="D2217" i="24"/>
  <c r="D2216" i="24"/>
  <c r="D2215" i="24"/>
  <c r="D2214" i="24"/>
  <c r="D2213" i="24"/>
  <c r="D2212" i="24"/>
  <c r="D2211" i="24"/>
  <c r="D2210" i="24"/>
  <c r="D2209" i="24"/>
  <c r="D2208" i="24"/>
  <c r="D2207" i="24"/>
  <c r="D2206" i="24"/>
  <c r="D2205" i="24"/>
  <c r="D2204" i="24"/>
  <c r="D2203" i="24"/>
  <c r="D2202" i="24"/>
  <c r="D2201" i="24"/>
  <c r="D2200" i="24"/>
  <c r="D2199" i="24"/>
  <c r="D2198" i="24"/>
  <c r="D2197" i="24"/>
  <c r="D2196" i="24"/>
  <c r="D2195" i="24"/>
  <c r="D2194" i="24"/>
  <c r="D2193" i="24"/>
  <c r="D2192" i="24"/>
  <c r="D2191" i="24"/>
  <c r="D2190" i="24"/>
  <c r="D2189" i="24"/>
  <c r="D2188" i="24"/>
  <c r="D2187" i="24"/>
  <c r="D2186" i="24"/>
  <c r="D2185" i="24"/>
  <c r="D2184" i="24"/>
  <c r="D2183" i="24"/>
  <c r="D2182" i="24"/>
  <c r="D2181" i="24"/>
  <c r="D2180" i="24"/>
  <c r="D2179" i="24"/>
  <c r="D2178" i="24"/>
  <c r="D2177" i="24"/>
  <c r="D2176" i="24"/>
  <c r="D2175" i="24"/>
  <c r="D2174" i="24"/>
  <c r="D2173" i="24"/>
  <c r="D2172" i="24"/>
  <c r="D2171" i="24"/>
  <c r="D2170" i="24"/>
  <c r="D2169" i="24"/>
  <c r="D2168" i="24"/>
  <c r="D2167" i="24"/>
  <c r="D2166" i="24"/>
  <c r="D2165" i="24"/>
  <c r="D2164" i="24"/>
  <c r="D2163" i="24"/>
  <c r="D2162" i="24"/>
  <c r="D2161" i="24"/>
  <c r="D2160" i="24"/>
  <c r="D2159" i="24"/>
  <c r="D2158" i="24"/>
  <c r="D2157" i="24"/>
  <c r="D2156" i="24"/>
  <c r="D2155" i="24"/>
  <c r="D2154" i="24"/>
  <c r="D2153" i="24"/>
  <c r="D2152" i="24"/>
  <c r="D2151" i="24"/>
  <c r="D2150" i="24"/>
  <c r="D2149" i="24"/>
  <c r="D2148" i="24"/>
  <c r="D2147" i="24"/>
  <c r="D2146" i="24"/>
  <c r="D2145" i="24"/>
  <c r="D2144" i="24"/>
  <c r="D2143" i="24"/>
  <c r="D2142" i="24"/>
  <c r="D2141" i="24"/>
  <c r="D2140" i="24"/>
  <c r="D2139" i="24"/>
  <c r="D2138" i="24"/>
  <c r="D2137" i="24"/>
  <c r="D2136" i="24"/>
  <c r="D2135" i="24"/>
  <c r="D2134" i="24"/>
  <c r="D2133" i="24"/>
  <c r="D2132" i="24"/>
  <c r="D2131" i="24"/>
  <c r="D2130" i="24"/>
  <c r="D2129" i="24"/>
  <c r="D2128" i="24"/>
  <c r="D2127" i="24"/>
  <c r="D2126" i="24"/>
  <c r="D2125" i="24"/>
  <c r="D2124" i="24"/>
  <c r="D2123" i="24"/>
  <c r="D2122" i="24"/>
  <c r="D2121" i="24"/>
  <c r="D2120" i="24"/>
  <c r="D2119" i="24"/>
  <c r="D2118" i="24"/>
  <c r="D2117" i="24"/>
  <c r="D2116" i="24"/>
  <c r="D2115" i="24"/>
  <c r="D2114" i="24"/>
  <c r="D2113" i="24"/>
  <c r="D2112" i="24"/>
  <c r="D2111" i="24"/>
  <c r="D2110" i="24"/>
  <c r="D2109" i="24"/>
  <c r="D2108" i="24"/>
  <c r="D2107" i="24"/>
  <c r="D2106" i="24"/>
  <c r="D2105" i="24"/>
  <c r="D2104" i="24"/>
  <c r="D2103" i="24"/>
  <c r="D2102" i="24"/>
  <c r="D2101" i="24"/>
  <c r="D2100" i="24"/>
  <c r="D2099" i="24"/>
  <c r="D2098" i="24"/>
  <c r="D2097" i="24"/>
  <c r="D2096" i="24"/>
  <c r="D2095" i="24"/>
  <c r="D2094" i="24"/>
  <c r="D2093" i="24"/>
  <c r="D2092" i="24"/>
  <c r="D2091" i="24"/>
  <c r="D2090" i="24"/>
  <c r="D2089" i="24"/>
  <c r="D2088" i="24"/>
  <c r="D2087" i="24"/>
  <c r="D2086" i="24"/>
  <c r="D2085" i="24"/>
  <c r="D2084" i="24"/>
  <c r="D2083" i="24"/>
  <c r="D2082" i="24"/>
  <c r="D2081" i="24"/>
  <c r="D2080" i="24"/>
  <c r="D2079" i="24"/>
  <c r="D2078" i="24"/>
  <c r="D2077" i="24"/>
  <c r="D2076" i="24"/>
  <c r="D2075" i="24"/>
  <c r="D2074" i="24"/>
  <c r="D2073" i="24"/>
  <c r="D2072" i="24"/>
  <c r="D2071" i="24"/>
  <c r="D2070" i="24"/>
  <c r="D2069" i="24"/>
  <c r="D2068" i="24"/>
  <c r="D2067" i="24"/>
  <c r="D2066" i="24"/>
  <c r="D2065" i="24"/>
  <c r="D2064" i="24"/>
  <c r="D2063" i="24"/>
  <c r="D2062" i="24"/>
  <c r="D2061" i="24"/>
  <c r="D2060" i="24"/>
  <c r="D2059" i="24"/>
  <c r="D2058" i="24"/>
  <c r="D2057" i="24"/>
  <c r="D2056" i="24"/>
  <c r="D2055" i="24"/>
  <c r="D2054" i="24"/>
  <c r="D2053" i="24"/>
  <c r="D2052" i="24"/>
  <c r="D2051" i="24"/>
  <c r="D2050" i="24"/>
  <c r="D2049" i="24"/>
  <c r="D2048" i="24"/>
  <c r="D2047" i="24"/>
  <c r="D2046" i="24"/>
  <c r="D2045" i="24"/>
  <c r="D2044" i="24"/>
  <c r="D2043" i="24"/>
  <c r="D2042" i="24"/>
  <c r="D2041" i="24"/>
  <c r="D2040" i="24"/>
  <c r="D2039" i="24"/>
  <c r="D2038" i="24"/>
  <c r="D2037" i="24"/>
  <c r="D2036" i="24"/>
  <c r="D2035" i="24"/>
  <c r="D2034" i="24"/>
  <c r="D2033" i="24"/>
  <c r="D2032" i="24"/>
  <c r="D2031" i="24"/>
  <c r="D2030" i="24"/>
  <c r="D2029" i="24"/>
  <c r="D2028" i="24"/>
  <c r="D2027" i="24"/>
  <c r="D2026" i="24"/>
  <c r="D2025" i="24"/>
  <c r="D2024" i="24"/>
  <c r="D2023" i="24"/>
  <c r="D2022" i="24"/>
  <c r="D2021" i="24"/>
  <c r="D2020" i="24"/>
  <c r="D2019" i="24"/>
  <c r="D2018" i="24"/>
  <c r="D2017" i="24"/>
  <c r="D2016" i="24"/>
  <c r="D2015" i="24"/>
  <c r="D2014" i="24"/>
  <c r="D2013" i="24"/>
  <c r="D2012" i="24"/>
  <c r="D2011" i="24"/>
  <c r="D2010" i="24"/>
  <c r="D2009" i="24"/>
  <c r="D2008" i="24"/>
  <c r="D2007" i="24"/>
  <c r="D2006" i="24"/>
  <c r="D2005" i="24"/>
  <c r="D2004" i="24"/>
  <c r="D2003" i="24"/>
  <c r="D2002" i="24"/>
  <c r="D2001" i="24"/>
  <c r="D2000" i="24"/>
  <c r="D1999" i="24"/>
  <c r="D1998" i="24"/>
  <c r="D1997" i="24"/>
  <c r="D1996" i="24"/>
  <c r="D1995" i="24"/>
  <c r="D1994" i="24"/>
  <c r="D1993" i="24"/>
  <c r="D1992" i="24"/>
  <c r="D1991" i="24"/>
  <c r="D1990" i="24"/>
  <c r="D1989" i="24"/>
  <c r="D1988" i="24"/>
  <c r="D1987" i="24"/>
  <c r="D1986" i="24"/>
  <c r="D1985" i="24"/>
  <c r="D1984" i="24"/>
  <c r="D1983" i="24"/>
  <c r="D1982" i="24"/>
  <c r="D1981" i="24"/>
  <c r="D1980" i="24"/>
  <c r="D1979" i="24"/>
  <c r="D1978" i="24"/>
  <c r="D1977" i="24"/>
  <c r="D1976" i="24"/>
  <c r="D1975" i="24"/>
  <c r="D1974" i="24"/>
  <c r="D1973" i="24"/>
  <c r="D1972" i="24"/>
  <c r="D1971" i="24"/>
  <c r="D1970" i="24"/>
  <c r="D1969" i="24"/>
  <c r="D1968" i="24"/>
  <c r="D1967" i="24"/>
  <c r="D1966" i="24"/>
  <c r="D1965" i="24"/>
  <c r="D1964" i="24"/>
  <c r="D1963" i="24"/>
  <c r="D1962" i="24"/>
  <c r="D1961" i="24"/>
  <c r="D1960" i="24"/>
  <c r="D1959" i="24"/>
  <c r="D1958" i="24"/>
  <c r="D1957" i="24"/>
  <c r="D1956" i="24"/>
  <c r="D1955" i="24"/>
  <c r="D1954" i="24"/>
  <c r="D1953" i="24"/>
  <c r="D1952" i="24"/>
  <c r="D1951" i="24"/>
  <c r="D1950" i="24"/>
  <c r="D1949" i="24"/>
  <c r="D1948" i="24"/>
  <c r="D1947" i="24"/>
  <c r="D1946" i="24"/>
  <c r="D1945" i="24"/>
  <c r="D1944" i="24"/>
  <c r="D1943" i="24"/>
  <c r="D1942" i="24"/>
  <c r="D1941" i="24"/>
  <c r="D1940" i="24"/>
  <c r="D1939" i="24"/>
  <c r="D1938" i="24"/>
  <c r="D1937" i="24"/>
  <c r="D1936" i="24"/>
  <c r="D1935" i="24"/>
  <c r="D1934" i="24"/>
  <c r="D1933" i="24"/>
  <c r="D1932" i="24"/>
  <c r="D1931" i="24"/>
  <c r="D1930" i="24"/>
  <c r="D1929" i="24"/>
  <c r="D1928" i="24"/>
  <c r="D1927" i="24"/>
  <c r="D1926" i="24"/>
  <c r="D1925" i="24"/>
  <c r="D1924" i="24"/>
  <c r="D1923" i="24"/>
  <c r="D1922" i="24"/>
  <c r="D1921" i="24"/>
  <c r="D1920" i="24"/>
  <c r="D1919" i="24"/>
  <c r="D1918" i="24"/>
  <c r="D1917" i="24"/>
  <c r="D1916" i="24"/>
  <c r="D1915" i="24"/>
  <c r="D1914" i="24"/>
  <c r="D1913" i="24"/>
  <c r="D1912" i="24"/>
  <c r="D1911" i="24"/>
  <c r="D1910" i="24"/>
  <c r="D1909" i="24"/>
  <c r="D1908" i="24"/>
  <c r="D1907" i="24"/>
  <c r="D1906" i="24"/>
  <c r="D1905" i="24"/>
  <c r="D1904" i="24"/>
  <c r="D1903" i="24"/>
  <c r="D1902" i="24"/>
  <c r="D1901" i="24"/>
  <c r="D1900" i="24"/>
  <c r="D1899" i="24"/>
  <c r="D1898" i="24"/>
  <c r="D1897" i="24"/>
  <c r="D1896" i="24"/>
  <c r="D1895" i="24"/>
  <c r="D1894" i="24"/>
  <c r="D1893" i="24"/>
  <c r="D1892" i="24"/>
  <c r="D1891" i="24"/>
  <c r="D1890" i="24"/>
  <c r="D1889" i="24"/>
  <c r="D1888" i="24"/>
  <c r="D1887" i="24"/>
  <c r="D1886" i="24"/>
  <c r="D1885" i="24"/>
  <c r="D1884" i="24"/>
  <c r="D1883" i="24"/>
  <c r="D1882" i="24"/>
  <c r="D1881" i="24"/>
  <c r="D1880" i="24"/>
  <c r="D1879" i="24"/>
  <c r="D1878" i="24"/>
  <c r="D1877" i="24"/>
  <c r="D1876" i="24"/>
  <c r="D1875" i="24"/>
  <c r="D1874" i="24"/>
  <c r="D1873" i="24"/>
  <c r="D1872" i="24"/>
  <c r="D1871" i="24"/>
  <c r="D1870" i="24"/>
  <c r="D1869" i="24"/>
  <c r="D1868" i="24"/>
  <c r="D1867" i="24"/>
  <c r="D1866" i="24"/>
  <c r="D1865" i="24"/>
  <c r="D1864" i="24"/>
  <c r="D1863" i="24"/>
  <c r="D1862" i="24"/>
  <c r="D1861" i="24"/>
  <c r="D1860" i="24"/>
  <c r="D1859" i="24"/>
  <c r="D1858" i="24"/>
  <c r="D1857" i="24"/>
  <c r="D1856" i="24"/>
  <c r="D1855" i="24"/>
  <c r="D1854" i="24"/>
  <c r="D1853" i="24"/>
  <c r="D1852" i="24"/>
  <c r="D1851" i="24"/>
  <c r="D1850" i="24"/>
  <c r="D1849" i="24"/>
  <c r="D1848" i="24"/>
  <c r="D1847" i="24"/>
  <c r="D1846" i="24"/>
  <c r="D1845" i="24"/>
  <c r="D1844" i="24"/>
  <c r="D1843" i="24"/>
  <c r="D1842" i="24"/>
  <c r="D1841" i="24"/>
  <c r="D1840" i="24"/>
  <c r="D1839" i="24"/>
  <c r="D1838" i="24"/>
  <c r="D1837" i="24"/>
  <c r="D1836" i="24"/>
  <c r="D1835" i="24"/>
  <c r="D1834" i="24"/>
  <c r="D1833" i="24"/>
  <c r="D1832" i="24"/>
  <c r="D1831" i="24"/>
  <c r="D1830" i="24"/>
  <c r="D1829" i="24"/>
  <c r="D1828" i="24"/>
  <c r="D1827" i="24"/>
  <c r="D1826" i="24"/>
  <c r="D1825" i="24"/>
  <c r="D1824" i="24"/>
  <c r="D1823" i="24"/>
  <c r="D1822" i="24"/>
  <c r="D1821" i="24"/>
  <c r="D1820" i="24"/>
  <c r="D1819" i="24"/>
  <c r="D1818" i="24"/>
  <c r="D1817" i="24"/>
  <c r="D1816" i="24"/>
  <c r="D1815" i="24"/>
  <c r="D1814" i="24"/>
  <c r="D1813" i="24"/>
  <c r="D1812" i="24"/>
  <c r="D1811" i="24"/>
  <c r="D1810" i="24"/>
  <c r="D1809" i="24"/>
  <c r="D1808" i="24"/>
  <c r="D1807" i="24"/>
  <c r="D1806" i="24"/>
  <c r="D1805" i="24"/>
  <c r="D1804" i="24"/>
  <c r="D1803" i="24"/>
  <c r="D1802" i="24"/>
  <c r="D1801" i="24"/>
  <c r="D1800" i="24"/>
  <c r="D1799" i="24"/>
  <c r="D1798" i="24"/>
  <c r="D1797" i="24"/>
  <c r="D1796" i="24"/>
  <c r="D1795" i="24"/>
  <c r="D1794" i="24"/>
  <c r="D1793" i="24"/>
  <c r="D1792" i="24"/>
  <c r="D1791" i="24"/>
  <c r="D1790" i="24"/>
  <c r="D1789" i="24"/>
  <c r="D1788" i="24"/>
  <c r="D1787" i="24"/>
  <c r="D1786" i="24"/>
  <c r="D1785" i="24"/>
  <c r="D1784" i="24"/>
  <c r="D1783" i="24"/>
  <c r="D1782" i="24"/>
  <c r="D1781" i="24"/>
  <c r="D1780" i="24"/>
  <c r="D1779" i="24"/>
  <c r="D1778" i="24"/>
  <c r="D1777" i="24"/>
  <c r="D1776" i="24"/>
  <c r="D1775" i="24"/>
  <c r="D1774" i="24"/>
  <c r="D1773" i="24"/>
  <c r="D1772" i="24"/>
  <c r="D1771" i="24"/>
  <c r="D1770" i="24"/>
  <c r="D1769" i="24"/>
  <c r="D1768" i="24"/>
  <c r="D1767" i="24"/>
  <c r="D1766" i="24"/>
  <c r="D1765" i="24"/>
  <c r="D1764" i="24"/>
  <c r="D1763" i="24"/>
  <c r="D1762" i="24"/>
  <c r="D1761" i="24"/>
  <c r="D1760" i="24"/>
  <c r="D1759" i="24"/>
  <c r="D1758" i="24"/>
  <c r="D1757" i="24"/>
  <c r="D1756" i="24"/>
  <c r="D1755" i="24"/>
  <c r="D1754" i="24"/>
  <c r="D1753" i="24"/>
  <c r="D1752" i="24"/>
  <c r="D1751" i="24"/>
  <c r="D1750" i="24"/>
  <c r="D1749" i="24"/>
  <c r="D1748" i="24"/>
  <c r="D1747" i="24"/>
  <c r="D1746" i="24"/>
  <c r="D1745" i="24"/>
  <c r="D1744" i="24"/>
  <c r="D1743" i="24"/>
  <c r="D1742" i="24"/>
  <c r="D1741" i="24"/>
  <c r="D1740" i="24"/>
  <c r="D1739" i="24"/>
  <c r="D1738" i="24"/>
  <c r="D1737" i="24"/>
  <c r="D1736" i="24"/>
  <c r="D1735" i="24"/>
  <c r="D1734" i="24"/>
  <c r="D1733" i="24"/>
  <c r="D1732" i="24"/>
  <c r="D1731" i="24"/>
  <c r="D1730" i="24"/>
  <c r="D1729" i="24"/>
  <c r="D1728" i="24"/>
  <c r="D1727" i="24"/>
  <c r="D1726" i="24"/>
  <c r="D1725" i="24"/>
  <c r="D1724" i="24"/>
  <c r="D1723" i="24"/>
  <c r="D1722" i="24"/>
  <c r="D1721" i="24"/>
  <c r="D1720" i="24"/>
  <c r="D1719" i="24"/>
  <c r="D1718" i="24"/>
  <c r="D1717" i="24"/>
  <c r="D1716" i="24"/>
  <c r="D1715" i="24"/>
  <c r="D1714" i="24"/>
  <c r="D1713" i="24"/>
  <c r="D1712" i="24"/>
  <c r="D1711" i="24"/>
  <c r="D1710" i="24"/>
  <c r="D1709" i="24"/>
  <c r="D1708" i="24"/>
  <c r="D1707" i="24"/>
  <c r="D1706" i="24"/>
  <c r="D1705" i="24"/>
  <c r="D1704" i="24"/>
  <c r="D1703" i="24"/>
  <c r="D1702" i="24"/>
  <c r="D1701" i="24"/>
  <c r="D1700" i="24"/>
  <c r="D1699" i="24"/>
  <c r="D1698" i="24"/>
  <c r="D1697" i="24"/>
  <c r="D1696" i="24"/>
  <c r="D1695" i="24"/>
  <c r="D1694" i="24"/>
  <c r="D1693" i="24"/>
  <c r="D1692" i="24"/>
  <c r="D1691" i="24"/>
  <c r="D1690" i="24"/>
  <c r="D1689" i="24"/>
  <c r="D1688" i="24"/>
  <c r="D1687" i="24"/>
  <c r="D1686" i="24"/>
  <c r="D1685" i="24"/>
  <c r="D1684" i="24"/>
  <c r="D1683" i="24"/>
  <c r="D1682" i="24"/>
  <c r="D1681" i="24"/>
  <c r="D1680" i="24"/>
  <c r="D1679" i="24"/>
  <c r="D1678" i="24"/>
  <c r="D1677" i="24"/>
  <c r="D1676" i="24"/>
  <c r="D1675" i="24"/>
  <c r="D1674" i="24"/>
  <c r="D1673" i="24"/>
  <c r="D1672" i="24"/>
  <c r="D1671" i="24"/>
  <c r="D1670" i="24"/>
  <c r="D1669" i="24"/>
  <c r="D1668" i="24"/>
  <c r="D1667" i="24"/>
  <c r="D1666" i="24"/>
  <c r="D1665" i="24"/>
  <c r="D1664" i="24"/>
  <c r="D1663" i="24"/>
  <c r="D1662" i="24"/>
  <c r="D1661" i="24"/>
  <c r="D1660" i="24"/>
  <c r="D1659" i="24"/>
  <c r="D1658" i="24"/>
  <c r="D1657" i="24"/>
  <c r="D1656" i="24"/>
  <c r="D1655" i="24"/>
  <c r="D1654" i="24"/>
  <c r="D1653" i="24"/>
  <c r="D1652" i="24"/>
  <c r="D1651" i="24"/>
  <c r="D1650" i="24"/>
  <c r="D1649" i="24"/>
  <c r="D1648" i="24"/>
  <c r="D1647" i="24"/>
  <c r="D1646" i="24"/>
  <c r="D1645" i="24"/>
  <c r="D1644" i="24"/>
  <c r="D1643" i="24"/>
  <c r="D1642" i="24"/>
  <c r="D1641" i="24"/>
  <c r="D1640" i="24"/>
  <c r="D1639" i="24"/>
  <c r="D1638" i="24"/>
  <c r="D1637" i="24"/>
  <c r="D1636" i="24"/>
  <c r="D1635" i="24"/>
  <c r="D1634" i="24"/>
  <c r="D1633" i="24"/>
  <c r="D1632" i="24"/>
  <c r="D1631" i="24"/>
  <c r="D1630" i="24"/>
  <c r="D1629" i="24"/>
  <c r="D1628" i="24"/>
  <c r="D1627" i="24"/>
  <c r="D1626" i="24"/>
  <c r="D1625" i="24"/>
  <c r="D1624" i="24"/>
  <c r="D1623" i="24"/>
  <c r="D1622" i="24"/>
  <c r="D1621" i="24"/>
  <c r="D1620" i="24"/>
  <c r="D1619" i="24"/>
  <c r="D1618" i="24"/>
  <c r="D1617" i="24"/>
  <c r="D1616" i="24"/>
  <c r="D1615" i="24"/>
  <c r="D1614" i="24"/>
  <c r="D1613" i="24"/>
  <c r="D1612" i="24"/>
  <c r="D1611" i="24"/>
  <c r="D1610" i="24"/>
  <c r="D1609" i="24"/>
  <c r="D1608" i="24"/>
  <c r="D1607" i="24"/>
  <c r="D1606" i="24"/>
  <c r="D1605" i="24"/>
  <c r="D1604" i="24"/>
  <c r="D1603" i="24"/>
  <c r="D1602" i="24"/>
  <c r="D1601" i="24"/>
  <c r="D1600" i="24"/>
  <c r="D1599" i="24"/>
  <c r="D1598" i="24"/>
  <c r="D1597" i="24"/>
  <c r="D1596" i="24"/>
  <c r="D1595" i="24"/>
  <c r="D1594" i="24"/>
  <c r="D1593" i="24"/>
  <c r="D1592" i="24"/>
  <c r="D1591" i="24"/>
  <c r="D1590" i="24"/>
  <c r="D1589" i="24"/>
  <c r="D1588" i="24"/>
  <c r="D1587" i="24"/>
  <c r="D1586" i="24"/>
  <c r="D1585" i="24"/>
  <c r="D1584" i="24"/>
  <c r="D1583" i="24"/>
  <c r="D1582" i="24"/>
  <c r="D1581" i="24"/>
  <c r="D1580" i="24"/>
  <c r="D1579" i="24"/>
  <c r="D1578" i="24"/>
  <c r="D1577" i="24"/>
  <c r="D1576" i="24"/>
  <c r="D1575" i="24"/>
  <c r="D1574" i="24"/>
  <c r="D1573" i="24"/>
  <c r="D1572" i="24"/>
  <c r="D1571" i="24"/>
  <c r="D1570" i="24"/>
  <c r="D1569" i="24"/>
  <c r="D1568" i="24"/>
  <c r="D1567" i="24"/>
  <c r="D1566" i="24"/>
  <c r="D1565" i="24"/>
  <c r="D1564" i="24"/>
  <c r="D1563" i="24"/>
  <c r="D1562" i="24"/>
  <c r="D1561" i="24"/>
  <c r="D1560" i="24"/>
  <c r="D1559" i="24"/>
  <c r="D1558" i="24"/>
  <c r="D1557" i="24"/>
  <c r="D1556" i="24"/>
  <c r="D1555" i="24"/>
  <c r="D1554" i="24"/>
  <c r="D1553" i="24"/>
  <c r="D1552" i="24"/>
  <c r="D1551" i="24"/>
  <c r="D1550" i="24"/>
  <c r="D1549" i="24"/>
  <c r="D1548" i="24"/>
  <c r="D1547" i="24"/>
  <c r="D1546" i="24"/>
  <c r="D1545" i="24"/>
  <c r="D1544" i="24"/>
  <c r="D1543" i="24"/>
  <c r="D1542" i="24"/>
  <c r="D1541" i="24"/>
  <c r="D1540" i="24"/>
  <c r="D1539" i="24"/>
  <c r="D1538" i="24"/>
  <c r="D1537" i="24"/>
  <c r="D1536" i="24"/>
  <c r="D1535" i="24"/>
  <c r="D1534" i="24"/>
  <c r="D1533" i="24"/>
  <c r="D1532" i="24"/>
  <c r="D1531" i="24"/>
  <c r="D1530" i="24"/>
  <c r="D1529" i="24"/>
  <c r="D1528" i="24"/>
  <c r="D1527" i="24"/>
  <c r="D1526" i="24"/>
  <c r="D1525" i="24"/>
  <c r="D1524" i="24"/>
  <c r="D1523" i="24"/>
  <c r="D1522" i="24"/>
  <c r="D1521" i="24"/>
  <c r="D1520" i="24"/>
  <c r="D1519" i="24"/>
  <c r="D1518" i="24"/>
  <c r="D1517" i="24"/>
  <c r="D1516" i="24"/>
  <c r="D1515" i="24"/>
  <c r="D1514" i="24"/>
  <c r="D1513" i="24"/>
  <c r="D1512" i="24"/>
  <c r="D1511" i="24"/>
  <c r="D1510" i="24"/>
  <c r="D1509" i="24"/>
  <c r="D1508" i="24"/>
  <c r="D1507" i="24"/>
  <c r="D1506" i="24"/>
  <c r="D1505" i="24"/>
  <c r="D1504" i="24"/>
  <c r="D1503" i="24"/>
  <c r="D1502" i="24"/>
  <c r="D1501" i="24"/>
  <c r="D1500" i="24"/>
  <c r="D1499" i="24"/>
  <c r="D1498" i="24"/>
  <c r="D1497" i="24"/>
  <c r="D1496" i="24"/>
  <c r="D1495" i="24"/>
  <c r="D1494" i="24"/>
  <c r="D1493" i="24"/>
  <c r="D1492" i="24"/>
  <c r="D1491" i="24"/>
  <c r="D1490" i="24"/>
  <c r="D1489" i="24"/>
  <c r="D1488" i="24"/>
  <c r="D1487" i="24"/>
  <c r="D1486" i="24"/>
  <c r="D1485" i="24"/>
  <c r="D1484" i="24"/>
  <c r="D1483" i="24"/>
  <c r="D1482" i="24"/>
  <c r="D1481" i="24"/>
  <c r="D1480" i="24"/>
  <c r="D1479" i="24"/>
  <c r="D1478" i="24"/>
  <c r="D1477" i="24"/>
  <c r="D1476" i="24"/>
  <c r="D1475" i="24"/>
  <c r="D1474" i="24"/>
  <c r="D1473" i="24"/>
  <c r="D1472" i="24"/>
  <c r="D1471" i="24"/>
  <c r="D1470" i="24"/>
  <c r="D1469" i="24"/>
  <c r="D1468" i="24"/>
  <c r="D1467" i="24"/>
  <c r="D1466" i="24"/>
  <c r="D1465" i="24"/>
  <c r="D1464" i="24"/>
  <c r="D1463" i="24"/>
  <c r="D1462" i="24"/>
  <c r="D1461" i="24"/>
  <c r="D1460" i="24"/>
  <c r="D1459" i="24"/>
  <c r="D1458" i="24"/>
  <c r="D1457" i="24"/>
  <c r="D1456" i="24"/>
  <c r="D1455" i="24"/>
  <c r="D1454" i="24"/>
  <c r="D1453" i="24"/>
  <c r="D1452" i="24"/>
  <c r="D1451" i="24"/>
  <c r="D1450" i="24"/>
  <c r="D1449" i="24"/>
  <c r="D1448" i="24"/>
  <c r="D1447" i="24"/>
  <c r="D1446" i="24"/>
  <c r="D1445" i="24"/>
  <c r="D1444" i="24"/>
  <c r="D1443" i="24"/>
  <c r="D1442" i="24"/>
  <c r="D1441" i="24"/>
  <c r="D1440" i="24"/>
  <c r="D1439" i="24"/>
  <c r="D1438" i="24"/>
  <c r="D1437" i="24"/>
  <c r="D1436" i="24"/>
  <c r="D1435" i="24"/>
  <c r="D1434" i="24"/>
  <c r="D1433" i="24"/>
  <c r="D1432" i="24"/>
  <c r="D1431" i="24"/>
  <c r="D1430" i="24"/>
  <c r="D1429" i="24"/>
  <c r="D1428" i="24"/>
  <c r="D1427" i="24"/>
  <c r="D1426" i="24"/>
  <c r="D1425" i="24"/>
  <c r="D1424" i="24"/>
  <c r="D1423" i="24"/>
  <c r="D1422" i="24"/>
  <c r="D1421" i="24"/>
  <c r="D1420" i="24"/>
  <c r="D1419" i="24"/>
  <c r="D1418" i="24"/>
  <c r="D1417" i="24"/>
  <c r="D1416" i="24"/>
  <c r="D1415" i="24"/>
  <c r="D1414" i="24"/>
  <c r="D1413" i="24"/>
  <c r="D1412" i="24"/>
  <c r="D1411" i="24"/>
  <c r="D1410" i="24"/>
  <c r="D1409" i="24"/>
  <c r="D1408" i="24"/>
  <c r="D1407" i="24"/>
  <c r="D1406" i="24"/>
  <c r="D1405" i="24"/>
  <c r="D1404" i="24"/>
  <c r="D1403" i="24"/>
  <c r="D1402" i="24"/>
  <c r="D1401" i="24"/>
  <c r="D1400" i="24"/>
  <c r="D1399" i="24"/>
  <c r="D1398" i="24"/>
  <c r="D1397" i="24"/>
  <c r="D1396" i="24"/>
  <c r="D1395" i="24"/>
  <c r="D1394" i="24"/>
  <c r="D1393" i="24"/>
  <c r="D1392" i="24"/>
  <c r="D1391" i="24"/>
  <c r="D1390" i="24"/>
  <c r="D1389" i="24"/>
  <c r="D1388" i="24"/>
  <c r="D1387" i="24"/>
  <c r="D1386" i="24"/>
  <c r="D1385" i="24"/>
  <c r="D1384" i="24"/>
  <c r="D1383" i="24"/>
  <c r="D1382" i="24"/>
  <c r="D1381" i="24"/>
  <c r="D1380" i="24"/>
  <c r="D1379" i="24"/>
  <c r="D1378" i="24"/>
  <c r="D1377" i="24"/>
  <c r="D1376" i="24"/>
  <c r="D1375" i="24"/>
  <c r="D1374" i="24"/>
  <c r="D1373" i="24"/>
  <c r="D1372" i="24"/>
  <c r="D1371" i="24"/>
  <c r="D1370" i="24"/>
  <c r="D1369" i="24"/>
  <c r="D1368" i="24"/>
  <c r="D1367" i="24"/>
  <c r="D1366" i="24"/>
  <c r="D1365" i="24"/>
  <c r="D1364" i="24"/>
  <c r="D1363" i="24"/>
  <c r="D1362" i="24"/>
  <c r="D1361" i="24"/>
  <c r="D1360" i="24"/>
  <c r="D1359" i="24"/>
  <c r="D1358" i="24"/>
  <c r="D1357" i="24"/>
  <c r="D1356" i="24"/>
  <c r="D1355" i="24"/>
  <c r="D1354" i="24"/>
  <c r="D1353" i="24"/>
  <c r="D1352" i="24"/>
  <c r="D1351" i="24"/>
  <c r="D1350" i="24"/>
  <c r="D1349" i="24"/>
  <c r="D1348" i="24"/>
  <c r="D1347" i="24"/>
  <c r="D1346" i="24"/>
  <c r="D1345" i="24"/>
  <c r="D1344" i="24"/>
  <c r="D1343" i="24"/>
  <c r="D1342" i="24"/>
  <c r="D1341" i="24"/>
  <c r="D1340" i="24"/>
  <c r="D1339" i="24"/>
  <c r="D1338" i="24"/>
  <c r="D1337" i="24"/>
  <c r="D1336" i="24"/>
  <c r="D1335" i="24"/>
  <c r="D1334" i="24"/>
  <c r="D1333" i="24"/>
  <c r="D1332" i="24"/>
  <c r="D1331" i="24"/>
  <c r="D1330" i="24"/>
  <c r="D1329" i="24"/>
  <c r="D1328" i="24"/>
  <c r="D1327" i="24"/>
  <c r="D1326" i="24"/>
  <c r="D1325" i="24"/>
  <c r="D1324" i="24"/>
  <c r="D1323" i="24"/>
  <c r="D1322" i="24"/>
  <c r="D1321" i="24"/>
  <c r="D1320" i="24"/>
  <c r="D1319" i="24"/>
  <c r="D1318" i="24"/>
  <c r="D1317" i="24"/>
  <c r="D1316" i="24"/>
  <c r="D1315" i="24"/>
  <c r="D1314" i="24"/>
  <c r="D1313" i="24"/>
  <c r="D1312" i="24"/>
  <c r="D1311" i="24"/>
  <c r="D1310" i="24"/>
  <c r="D1309" i="24"/>
  <c r="D1308" i="24"/>
  <c r="D1307" i="24"/>
  <c r="D1306" i="24"/>
  <c r="D1305" i="24"/>
  <c r="D1304" i="24"/>
  <c r="D1303" i="24"/>
  <c r="D1302" i="24"/>
  <c r="D1301" i="24"/>
  <c r="D1300" i="24"/>
  <c r="D1299" i="24"/>
  <c r="D1298" i="24"/>
  <c r="D1297" i="24"/>
  <c r="D1296" i="24"/>
  <c r="D1295" i="24"/>
  <c r="D1294" i="24"/>
  <c r="D1293" i="24"/>
  <c r="D1292" i="24"/>
  <c r="D1291" i="24"/>
  <c r="D1290" i="24"/>
  <c r="D1289" i="24"/>
  <c r="D1288" i="24"/>
  <c r="D1287" i="24"/>
  <c r="D1286" i="24"/>
  <c r="D1285" i="24"/>
  <c r="D1284" i="24"/>
  <c r="D1283" i="24"/>
  <c r="D1282" i="24"/>
  <c r="D1281" i="24"/>
  <c r="D1280" i="24"/>
  <c r="D1279" i="24"/>
  <c r="D1278" i="24"/>
  <c r="D1277" i="24"/>
  <c r="D1276" i="24"/>
  <c r="D1275" i="24"/>
  <c r="D1274" i="24"/>
  <c r="D1273" i="24"/>
  <c r="D1272" i="24"/>
  <c r="D1271" i="24"/>
  <c r="D1270" i="24"/>
  <c r="D1269" i="24"/>
  <c r="D1268" i="24"/>
  <c r="D1267" i="24"/>
  <c r="D1266" i="24"/>
  <c r="D1265" i="24"/>
  <c r="D1264" i="24"/>
  <c r="D1263" i="24"/>
  <c r="D1262" i="24"/>
  <c r="D1261" i="24"/>
  <c r="D1260" i="24"/>
  <c r="D1259" i="24"/>
  <c r="D1258" i="24"/>
  <c r="D1257" i="24"/>
  <c r="D1256" i="24"/>
  <c r="D1255" i="24"/>
  <c r="D1254" i="24"/>
  <c r="D1253" i="24"/>
  <c r="D1252" i="24"/>
  <c r="D1251" i="24"/>
  <c r="D1250" i="24"/>
  <c r="D1249" i="24"/>
  <c r="D1248" i="24"/>
  <c r="D1247" i="24"/>
  <c r="D1246" i="24"/>
  <c r="D1245" i="24"/>
  <c r="D1244" i="24"/>
  <c r="D1243" i="24"/>
  <c r="D1242" i="24"/>
  <c r="D1241" i="24"/>
  <c r="D1240" i="24"/>
  <c r="D1239" i="24"/>
  <c r="D1238" i="24"/>
  <c r="D1237" i="24"/>
  <c r="D1236" i="24"/>
  <c r="D1235" i="24"/>
  <c r="D1234" i="24"/>
  <c r="D1233" i="24"/>
  <c r="D1232" i="24"/>
  <c r="D1231" i="24"/>
  <c r="D1230" i="24"/>
  <c r="D1229" i="24"/>
  <c r="D1228" i="24"/>
  <c r="D1227" i="24"/>
  <c r="D1226" i="24"/>
  <c r="D1225" i="24"/>
  <c r="D1224" i="24"/>
  <c r="D1223" i="24"/>
  <c r="D1222" i="24"/>
  <c r="D1221" i="24"/>
  <c r="D1220" i="24"/>
  <c r="D1219" i="24"/>
  <c r="D1218" i="24"/>
  <c r="D1217" i="24"/>
  <c r="D1216" i="24"/>
  <c r="D1215" i="24"/>
  <c r="D1214" i="24"/>
  <c r="D1213" i="24"/>
  <c r="D1212" i="24"/>
  <c r="D1211" i="24"/>
  <c r="D1210" i="24"/>
  <c r="D1209" i="24"/>
  <c r="D1208" i="24"/>
  <c r="D1207" i="24"/>
  <c r="D1206" i="24"/>
  <c r="D1205" i="24"/>
  <c r="D1204" i="24"/>
  <c r="D1203" i="24"/>
  <c r="D1202" i="24"/>
  <c r="D1201" i="24"/>
  <c r="D1200" i="24"/>
  <c r="D1199" i="24"/>
  <c r="D1198" i="24"/>
  <c r="D1197" i="24"/>
  <c r="D1196" i="24"/>
  <c r="D1195" i="24"/>
  <c r="D1194" i="24"/>
  <c r="D1193" i="24"/>
  <c r="D1192" i="24"/>
  <c r="D1191" i="24"/>
  <c r="D1190" i="24"/>
  <c r="D1189" i="24"/>
  <c r="D1188" i="24"/>
  <c r="D1187" i="24"/>
  <c r="D1186" i="24"/>
  <c r="D1185" i="24"/>
  <c r="D1184" i="24"/>
  <c r="D1183" i="24"/>
  <c r="D1182" i="24"/>
  <c r="D1181" i="24"/>
  <c r="D1180" i="24"/>
  <c r="D1179" i="24"/>
  <c r="D1178" i="24"/>
  <c r="D1177" i="24"/>
  <c r="D1176" i="24"/>
  <c r="D1175" i="24"/>
  <c r="D1174" i="24"/>
  <c r="D1173" i="24"/>
  <c r="D1172" i="24"/>
  <c r="D1171" i="24"/>
  <c r="D1170" i="24"/>
  <c r="D1169" i="24"/>
  <c r="D1168" i="24"/>
  <c r="D1167" i="24"/>
  <c r="D1166" i="24"/>
  <c r="D1165" i="24"/>
  <c r="D1164" i="24"/>
  <c r="D1163" i="24"/>
  <c r="D1162" i="24"/>
  <c r="D1161" i="24"/>
  <c r="D1160" i="24"/>
  <c r="D1159" i="24"/>
  <c r="D1158" i="24"/>
  <c r="D1157" i="24"/>
  <c r="D1156" i="24"/>
  <c r="D1155" i="24"/>
  <c r="D1154" i="24"/>
  <c r="D1153" i="24"/>
  <c r="D1152" i="24"/>
  <c r="D1151" i="24"/>
  <c r="D1150" i="24"/>
  <c r="D1149" i="24"/>
  <c r="D1148" i="24"/>
  <c r="D1147" i="24"/>
  <c r="D1146" i="24"/>
  <c r="D1145" i="24"/>
  <c r="D1144" i="24"/>
  <c r="D1143" i="24"/>
  <c r="D1142" i="24"/>
  <c r="D1141" i="24"/>
  <c r="D1140" i="24"/>
  <c r="D1139" i="24"/>
  <c r="D1138" i="24"/>
  <c r="D1137" i="24"/>
  <c r="D1136" i="24"/>
  <c r="D1135" i="24"/>
  <c r="D1134" i="24"/>
  <c r="D1133" i="24"/>
  <c r="D1132" i="24"/>
  <c r="D1131" i="24"/>
  <c r="D1130" i="24"/>
  <c r="D1129" i="24"/>
  <c r="D1128" i="24"/>
  <c r="D1127" i="24"/>
  <c r="D1126" i="24"/>
  <c r="D1125" i="24"/>
  <c r="D1124" i="24"/>
  <c r="D1123" i="24"/>
  <c r="D1122" i="24"/>
  <c r="D1121" i="24"/>
  <c r="D1120" i="24"/>
  <c r="D1119" i="24"/>
  <c r="D1118" i="24"/>
  <c r="D1117" i="24"/>
  <c r="D1116" i="24"/>
  <c r="D1115" i="24"/>
  <c r="D1114" i="24"/>
  <c r="D1113" i="24"/>
  <c r="D1112" i="24"/>
  <c r="D1111" i="24"/>
  <c r="D1110" i="24"/>
  <c r="D1109" i="24"/>
  <c r="D1108" i="24"/>
  <c r="D1107" i="24"/>
  <c r="D1106" i="24"/>
  <c r="D1105" i="24"/>
  <c r="D1104" i="24"/>
  <c r="D1103" i="24"/>
  <c r="D1102" i="24"/>
  <c r="D1101" i="24"/>
  <c r="D1100" i="24"/>
  <c r="D1099" i="24"/>
  <c r="D1098" i="24"/>
  <c r="D1097" i="24"/>
  <c r="D1096" i="24"/>
  <c r="D1095" i="24"/>
  <c r="D1094" i="24"/>
  <c r="D1093" i="24"/>
  <c r="D1092" i="24"/>
  <c r="D1091" i="24"/>
  <c r="D1090" i="24"/>
  <c r="D1089" i="24"/>
  <c r="D1088" i="24"/>
  <c r="D1087" i="24"/>
  <c r="D1086" i="24"/>
  <c r="D1085" i="24"/>
  <c r="D1084" i="24"/>
  <c r="D1083" i="24"/>
  <c r="D1082" i="24"/>
  <c r="D1081" i="24"/>
  <c r="D1080" i="24"/>
  <c r="D1079" i="24"/>
  <c r="D1078" i="24"/>
  <c r="D1077" i="24"/>
  <c r="D1076" i="24"/>
  <c r="D1075" i="24"/>
  <c r="D1074" i="24"/>
  <c r="D1073" i="24"/>
  <c r="D1072" i="24"/>
  <c r="D1071" i="24"/>
  <c r="D1070" i="24"/>
  <c r="D1069" i="24"/>
  <c r="D1068" i="24"/>
  <c r="D1067" i="24"/>
  <c r="D1066" i="24"/>
  <c r="D1065" i="24"/>
  <c r="D1064" i="24"/>
  <c r="D1063" i="24"/>
  <c r="D1062" i="24"/>
  <c r="D1061" i="24"/>
  <c r="D1060" i="24"/>
  <c r="D1059" i="24"/>
  <c r="D1058" i="24"/>
  <c r="D1057" i="24"/>
  <c r="D1056" i="24"/>
  <c r="D1055" i="24"/>
  <c r="D1054" i="24"/>
  <c r="D1053" i="24"/>
  <c r="D1052" i="24"/>
  <c r="D1051" i="24"/>
  <c r="D1050" i="24"/>
  <c r="D1049" i="24"/>
  <c r="D1048" i="24"/>
  <c r="D1047" i="24"/>
  <c r="D1046" i="24"/>
  <c r="D1045" i="24"/>
  <c r="D1044" i="24"/>
  <c r="D1043" i="24"/>
  <c r="D1042" i="24"/>
  <c r="D1041" i="24"/>
  <c r="D1040" i="24"/>
  <c r="D1039" i="24"/>
  <c r="D1038" i="24"/>
  <c r="D1037" i="24"/>
  <c r="D1036" i="24"/>
  <c r="D1035" i="24"/>
  <c r="D1034" i="24"/>
  <c r="D1033" i="24"/>
  <c r="D1032" i="24"/>
  <c r="D1031" i="24"/>
  <c r="D1030" i="24"/>
  <c r="D1029" i="24"/>
  <c r="D1028" i="24"/>
  <c r="D1027" i="24"/>
  <c r="D1026" i="24"/>
  <c r="D1025" i="24"/>
  <c r="D1024" i="24"/>
  <c r="D1023" i="24"/>
  <c r="D1022" i="24"/>
  <c r="D1021" i="24"/>
  <c r="D1020" i="24"/>
  <c r="D1019" i="24"/>
  <c r="D1018" i="24"/>
  <c r="D1017" i="24"/>
  <c r="D1016" i="24"/>
  <c r="D1015" i="24"/>
  <c r="D1014" i="24"/>
  <c r="D1013" i="24"/>
  <c r="D1012" i="24"/>
  <c r="D1011" i="24"/>
  <c r="D1010" i="24"/>
  <c r="D1009" i="24"/>
  <c r="D1008" i="24"/>
  <c r="D1007" i="24"/>
  <c r="D1006" i="24"/>
  <c r="D1005" i="24"/>
  <c r="D1004" i="24"/>
  <c r="D1003" i="24"/>
  <c r="D1002" i="24"/>
  <c r="D1001" i="24"/>
  <c r="D1000" i="24"/>
  <c r="D999" i="24"/>
  <c r="D998" i="24"/>
  <c r="D997" i="24"/>
  <c r="D996" i="24"/>
  <c r="D995" i="24"/>
  <c r="D994" i="24"/>
  <c r="D993" i="24"/>
  <c r="D992" i="24"/>
  <c r="D991" i="24"/>
  <c r="D990" i="24"/>
  <c r="D989" i="24"/>
  <c r="D988" i="24"/>
  <c r="D987" i="24"/>
  <c r="D986" i="24"/>
  <c r="D985" i="24"/>
  <c r="D984" i="24"/>
  <c r="D983" i="24"/>
  <c r="D982" i="24"/>
  <c r="D981" i="24"/>
  <c r="D980" i="24"/>
  <c r="D979" i="24"/>
  <c r="D978" i="24"/>
  <c r="D977" i="24"/>
  <c r="D976" i="24"/>
  <c r="D975" i="24"/>
  <c r="D974" i="24"/>
  <c r="D973" i="24"/>
  <c r="D972" i="24"/>
  <c r="D971" i="24"/>
  <c r="D970" i="24"/>
  <c r="D969" i="24"/>
  <c r="D968" i="24"/>
  <c r="D967" i="24"/>
  <c r="D966" i="24"/>
  <c r="D965" i="24"/>
  <c r="D964" i="24"/>
  <c r="D963" i="24"/>
  <c r="D962" i="24"/>
  <c r="D961" i="24"/>
  <c r="D960" i="24"/>
  <c r="D959" i="24"/>
  <c r="D958" i="24"/>
  <c r="D957" i="24"/>
  <c r="D956" i="24"/>
  <c r="D955" i="24"/>
  <c r="D954" i="24"/>
  <c r="D953" i="24"/>
  <c r="D952" i="24"/>
  <c r="D951" i="24"/>
  <c r="D950" i="24"/>
  <c r="D949" i="24"/>
  <c r="D948" i="24"/>
  <c r="D947" i="24"/>
  <c r="D946" i="24"/>
  <c r="D945" i="24"/>
  <c r="D944" i="24"/>
  <c r="D943" i="24"/>
  <c r="D942" i="24"/>
  <c r="D941" i="24"/>
  <c r="D940" i="24"/>
  <c r="D939" i="24"/>
  <c r="D938" i="24"/>
  <c r="D937" i="24"/>
  <c r="D936" i="24"/>
  <c r="D935" i="24"/>
  <c r="D934" i="24"/>
  <c r="D933" i="24"/>
  <c r="D932" i="24"/>
  <c r="D931" i="24"/>
  <c r="D930" i="24"/>
  <c r="D929" i="24"/>
  <c r="D928" i="24"/>
  <c r="D927" i="24"/>
  <c r="D926" i="24"/>
  <c r="D925" i="24"/>
  <c r="D924" i="24"/>
  <c r="D923" i="24"/>
  <c r="D922" i="24"/>
  <c r="D921" i="24"/>
  <c r="D920" i="24"/>
  <c r="D919" i="24"/>
  <c r="D918" i="24"/>
  <c r="D917" i="24"/>
  <c r="D916" i="24"/>
  <c r="D915" i="24"/>
  <c r="D914" i="24"/>
  <c r="D913" i="24"/>
  <c r="D912" i="24"/>
  <c r="D911" i="24"/>
  <c r="D910" i="24"/>
  <c r="D909" i="24"/>
  <c r="D908" i="24"/>
  <c r="D907" i="24"/>
  <c r="D906" i="24"/>
  <c r="D905" i="24"/>
  <c r="D904" i="24"/>
  <c r="D903" i="24"/>
  <c r="D902" i="24"/>
  <c r="D901" i="24"/>
  <c r="D900" i="24"/>
  <c r="D899" i="24"/>
  <c r="D898" i="24"/>
  <c r="D897" i="24"/>
  <c r="D896" i="24"/>
  <c r="D895" i="24"/>
  <c r="D894" i="24"/>
  <c r="D893" i="24"/>
  <c r="D892" i="24"/>
  <c r="D891" i="24"/>
  <c r="D890" i="24"/>
  <c r="D889" i="24"/>
  <c r="D888" i="24"/>
  <c r="D887" i="24"/>
  <c r="D886" i="24"/>
  <c r="D885" i="24"/>
  <c r="D884" i="24"/>
  <c r="D883" i="24"/>
  <c r="D882" i="24"/>
  <c r="D881" i="24"/>
  <c r="D880" i="24"/>
  <c r="D879" i="24"/>
  <c r="D878" i="24"/>
  <c r="D877" i="24"/>
  <c r="D876" i="24"/>
  <c r="D875" i="24"/>
  <c r="D874" i="24"/>
  <c r="D873" i="24"/>
  <c r="D872" i="24"/>
  <c r="D871" i="24"/>
  <c r="D870" i="24"/>
  <c r="D869" i="24"/>
  <c r="D868" i="24"/>
  <c r="D867" i="24"/>
  <c r="D866" i="24"/>
  <c r="D865" i="24"/>
  <c r="D864" i="24"/>
  <c r="D863" i="24"/>
  <c r="D862" i="24"/>
  <c r="D861" i="24"/>
  <c r="D860" i="24"/>
  <c r="D859" i="24"/>
  <c r="D858" i="24"/>
  <c r="D857" i="24"/>
  <c r="D856" i="24"/>
  <c r="D855" i="24"/>
  <c r="D854" i="24"/>
  <c r="D853" i="24"/>
  <c r="D852" i="24"/>
  <c r="D851" i="24"/>
  <c r="D850" i="24"/>
  <c r="D849" i="24"/>
  <c r="D848" i="24"/>
  <c r="D847" i="24"/>
  <c r="D846" i="24"/>
  <c r="D845" i="24"/>
  <c r="D844" i="24"/>
  <c r="D843" i="24"/>
  <c r="D842" i="24"/>
  <c r="D841" i="24"/>
  <c r="D840" i="24"/>
  <c r="D839" i="24"/>
  <c r="D838" i="24"/>
  <c r="D837" i="24"/>
  <c r="D836" i="24"/>
  <c r="D835" i="24"/>
  <c r="D834" i="24"/>
  <c r="D833" i="24"/>
  <c r="D832" i="24"/>
  <c r="D831" i="24"/>
  <c r="D830" i="24"/>
  <c r="D829" i="24"/>
  <c r="D828" i="24"/>
  <c r="D827" i="24"/>
  <c r="D826" i="24"/>
  <c r="D825" i="24"/>
  <c r="D824" i="24"/>
  <c r="D823" i="24"/>
  <c r="D822" i="24"/>
  <c r="D821" i="24"/>
  <c r="D820" i="24"/>
  <c r="D819" i="24"/>
  <c r="D818" i="24"/>
  <c r="D817" i="24"/>
  <c r="D816" i="24"/>
  <c r="D815" i="24"/>
  <c r="D814" i="24"/>
  <c r="D813" i="24"/>
  <c r="D812" i="24"/>
  <c r="D811" i="24"/>
  <c r="D810" i="24"/>
  <c r="D809" i="24"/>
  <c r="D808" i="24"/>
  <c r="D807" i="24"/>
  <c r="D806" i="24"/>
  <c r="D805" i="24"/>
  <c r="D804" i="24"/>
  <c r="D803" i="24"/>
  <c r="D802" i="24"/>
  <c r="D801" i="24"/>
  <c r="D800" i="24"/>
  <c r="D799" i="24"/>
  <c r="D798" i="24"/>
  <c r="D797" i="24"/>
  <c r="D796" i="24"/>
  <c r="D795" i="24"/>
  <c r="D794" i="24"/>
  <c r="D793" i="24"/>
  <c r="D792" i="24"/>
  <c r="D791" i="24"/>
  <c r="D790" i="24"/>
  <c r="D789" i="24"/>
  <c r="D788" i="24"/>
  <c r="D787" i="24"/>
  <c r="D786" i="24"/>
  <c r="D785" i="24"/>
  <c r="D784" i="24"/>
  <c r="D783" i="24"/>
  <c r="D782" i="24"/>
  <c r="D781" i="24"/>
  <c r="D780" i="24"/>
  <c r="D779" i="24"/>
  <c r="D778" i="24"/>
  <c r="D777" i="24"/>
  <c r="D776" i="24"/>
  <c r="D775" i="24"/>
  <c r="D774" i="24"/>
  <c r="D773" i="24"/>
  <c r="D772" i="24"/>
  <c r="D771" i="24"/>
  <c r="D770" i="24"/>
  <c r="D769" i="24"/>
  <c r="D768" i="24"/>
  <c r="D767" i="24"/>
  <c r="D766" i="24"/>
  <c r="D765" i="24"/>
  <c r="D764" i="24"/>
  <c r="D763" i="24"/>
  <c r="D762" i="24"/>
  <c r="D761" i="24"/>
  <c r="D760" i="24"/>
  <c r="D759" i="24"/>
  <c r="D758" i="24"/>
  <c r="D757" i="24"/>
  <c r="D756" i="24"/>
  <c r="D755" i="24"/>
  <c r="D754" i="24"/>
  <c r="D753" i="24"/>
  <c r="D752" i="24"/>
  <c r="D751" i="24"/>
  <c r="D750" i="24"/>
  <c r="D749" i="24"/>
  <c r="D748" i="24"/>
  <c r="D747" i="24"/>
  <c r="D746" i="24"/>
  <c r="D745" i="24"/>
  <c r="D744" i="24"/>
  <c r="D743" i="24"/>
  <c r="D742" i="24"/>
  <c r="D741" i="24"/>
  <c r="D740" i="24"/>
  <c r="D739" i="24"/>
  <c r="D738" i="24"/>
  <c r="D737" i="24"/>
  <c r="D736" i="24"/>
  <c r="D735" i="24"/>
  <c r="D734" i="24"/>
  <c r="D733" i="24"/>
  <c r="D732" i="24"/>
  <c r="D731" i="24"/>
  <c r="D730" i="24"/>
  <c r="D729" i="24"/>
  <c r="D728" i="24"/>
  <c r="D727" i="24"/>
  <c r="D726" i="24"/>
  <c r="D725" i="24"/>
  <c r="D724" i="24"/>
  <c r="D723" i="24"/>
  <c r="D722" i="24"/>
  <c r="D721" i="24"/>
  <c r="D720" i="24"/>
  <c r="D719" i="24"/>
  <c r="D718" i="24"/>
  <c r="D717" i="24"/>
  <c r="D716" i="24"/>
  <c r="D715" i="24"/>
  <c r="D714" i="24"/>
  <c r="D713" i="24"/>
  <c r="D712" i="24"/>
  <c r="D711" i="24"/>
  <c r="D710" i="24"/>
  <c r="D709" i="24"/>
  <c r="D708" i="24"/>
  <c r="D707" i="24"/>
  <c r="D706" i="24"/>
  <c r="D705" i="24"/>
  <c r="D704" i="24"/>
  <c r="D703" i="24"/>
  <c r="D702" i="24"/>
  <c r="D701" i="24"/>
  <c r="D700" i="24"/>
  <c r="D699" i="24"/>
  <c r="D698" i="24"/>
  <c r="D697" i="24"/>
  <c r="D696" i="24"/>
  <c r="D695" i="24"/>
  <c r="D694" i="24"/>
  <c r="D693" i="24"/>
  <c r="D692" i="24"/>
  <c r="D691" i="24"/>
  <c r="D690" i="24"/>
  <c r="D689" i="24"/>
  <c r="D688" i="24"/>
  <c r="D687" i="24"/>
  <c r="D686" i="24"/>
  <c r="D685" i="24"/>
  <c r="D684" i="24"/>
  <c r="D683" i="24"/>
  <c r="D682" i="24"/>
  <c r="D681" i="24"/>
  <c r="D680" i="24"/>
  <c r="D679" i="24"/>
  <c r="D678" i="24"/>
  <c r="D677" i="24"/>
  <c r="D676" i="24"/>
  <c r="D675" i="24"/>
  <c r="D674" i="24"/>
  <c r="D673" i="24"/>
  <c r="D672" i="24"/>
  <c r="D671" i="24"/>
  <c r="D670" i="24"/>
  <c r="D669" i="24"/>
  <c r="D668" i="24"/>
  <c r="D667" i="24"/>
  <c r="D666" i="24"/>
  <c r="D665" i="24"/>
  <c r="D664" i="24"/>
  <c r="D663" i="24"/>
  <c r="D662" i="24"/>
  <c r="D661" i="24"/>
  <c r="D660" i="24"/>
  <c r="D659" i="24"/>
  <c r="D658" i="24"/>
  <c r="D657" i="24"/>
  <c r="D656" i="24"/>
  <c r="D655" i="24"/>
  <c r="D654" i="24"/>
  <c r="D653" i="24"/>
  <c r="D652" i="24"/>
  <c r="D651" i="24"/>
  <c r="D650" i="24"/>
  <c r="D649" i="24"/>
  <c r="D648" i="24"/>
  <c r="D647" i="24"/>
  <c r="D646" i="24"/>
  <c r="D645" i="24"/>
  <c r="D644" i="24"/>
  <c r="D643" i="24"/>
  <c r="D642" i="24"/>
  <c r="D641" i="24"/>
  <c r="D640" i="24"/>
  <c r="D639" i="24"/>
  <c r="D638" i="24"/>
  <c r="D637" i="24"/>
  <c r="D636" i="24"/>
  <c r="D635" i="24"/>
  <c r="D634" i="24"/>
  <c r="D633" i="24"/>
  <c r="D632" i="24"/>
  <c r="D631" i="24"/>
  <c r="D630" i="24"/>
  <c r="D629" i="24"/>
  <c r="D628" i="24"/>
  <c r="D627" i="24"/>
  <c r="D626" i="24"/>
  <c r="D625" i="24"/>
  <c r="D624" i="24"/>
  <c r="D623" i="24"/>
  <c r="D622" i="24"/>
  <c r="D621" i="24"/>
  <c r="D620" i="24"/>
  <c r="D619" i="24"/>
  <c r="D618" i="24"/>
  <c r="D617" i="24"/>
  <c r="D616" i="24"/>
  <c r="D615" i="24"/>
  <c r="D614" i="24"/>
  <c r="D613" i="24"/>
  <c r="D612" i="24"/>
  <c r="D611" i="24"/>
  <c r="D610" i="24"/>
  <c r="D609" i="24"/>
  <c r="D608" i="24"/>
  <c r="D607" i="24"/>
  <c r="D606" i="24"/>
  <c r="D605" i="24"/>
  <c r="D604" i="24"/>
  <c r="D603" i="24"/>
  <c r="D602" i="24"/>
  <c r="D601" i="24"/>
  <c r="D600" i="24"/>
  <c r="D599" i="24"/>
  <c r="D598" i="24"/>
  <c r="D597" i="24"/>
  <c r="D596" i="24"/>
  <c r="D595" i="24"/>
  <c r="D594" i="24"/>
  <c r="D593" i="24"/>
  <c r="D592" i="24"/>
  <c r="D591" i="24"/>
  <c r="D590" i="24"/>
  <c r="D589" i="24"/>
  <c r="D588" i="24"/>
  <c r="D587" i="24"/>
  <c r="D586" i="24"/>
  <c r="D585" i="24"/>
  <c r="D584" i="24"/>
  <c r="D583" i="24"/>
  <c r="D582" i="24"/>
  <c r="D581" i="24"/>
  <c r="D580" i="24"/>
  <c r="D579" i="24"/>
  <c r="D578" i="24"/>
  <c r="D577" i="24"/>
  <c r="D576" i="24"/>
  <c r="D575" i="24"/>
  <c r="D574" i="24"/>
  <c r="D573" i="24"/>
  <c r="D572" i="24"/>
  <c r="D571" i="24"/>
  <c r="D570" i="24"/>
  <c r="D569" i="24"/>
  <c r="D568" i="24"/>
  <c r="D567" i="24"/>
  <c r="D566" i="24"/>
  <c r="D565" i="24"/>
  <c r="D564" i="24"/>
  <c r="D563" i="24"/>
  <c r="D562" i="24"/>
  <c r="D561" i="24"/>
  <c r="D560" i="24"/>
  <c r="D559" i="24"/>
  <c r="D558" i="24"/>
  <c r="D557" i="24"/>
  <c r="D556" i="24"/>
  <c r="D555" i="24"/>
  <c r="D554" i="24"/>
  <c r="D553" i="24"/>
  <c r="D552" i="24"/>
  <c r="D551" i="24"/>
  <c r="D550" i="24"/>
  <c r="D549" i="24"/>
  <c r="D548" i="24"/>
  <c r="D547" i="24"/>
  <c r="D546" i="24"/>
  <c r="D545" i="24"/>
  <c r="D544" i="24"/>
  <c r="D543" i="24"/>
  <c r="D542" i="24"/>
  <c r="D541" i="24"/>
  <c r="D540" i="24"/>
  <c r="D539" i="24"/>
  <c r="D538" i="24"/>
  <c r="D537" i="24"/>
  <c r="D536" i="24"/>
  <c r="D535" i="24"/>
  <c r="D534" i="24"/>
  <c r="D533" i="24"/>
  <c r="D532" i="24"/>
  <c r="D531" i="24"/>
  <c r="D530" i="24"/>
  <c r="D529" i="24"/>
  <c r="D528" i="24"/>
  <c r="D527" i="24"/>
  <c r="D526" i="24"/>
  <c r="D525" i="24"/>
  <c r="D524" i="24"/>
  <c r="D523" i="24"/>
  <c r="D522" i="24"/>
  <c r="D521" i="24"/>
  <c r="D520" i="24"/>
  <c r="D519" i="24"/>
  <c r="D518" i="24"/>
  <c r="D517" i="24"/>
  <c r="D516" i="24"/>
  <c r="D515" i="24"/>
  <c r="D514" i="24"/>
  <c r="D513" i="24"/>
  <c r="D512" i="24"/>
  <c r="D511" i="24"/>
  <c r="D510" i="24"/>
  <c r="D509" i="24"/>
  <c r="D508" i="24"/>
  <c r="D507" i="24"/>
  <c r="D506" i="24"/>
  <c r="D505" i="24"/>
  <c r="D504" i="24"/>
  <c r="D503" i="24"/>
  <c r="D502" i="24"/>
  <c r="D501" i="24"/>
  <c r="D500" i="24"/>
  <c r="D499" i="24"/>
  <c r="D498" i="24"/>
  <c r="D497" i="24"/>
  <c r="D496" i="24"/>
  <c r="D495" i="24"/>
  <c r="D494" i="24"/>
  <c r="D493" i="24"/>
  <c r="D492" i="24"/>
  <c r="D491" i="24"/>
  <c r="D490" i="24"/>
  <c r="D489" i="24"/>
  <c r="D488" i="24"/>
  <c r="D487" i="24"/>
  <c r="D486" i="24"/>
  <c r="D485" i="24"/>
  <c r="D484" i="24"/>
  <c r="D483" i="24"/>
  <c r="D482" i="24"/>
  <c r="D481" i="24"/>
  <c r="D480" i="24"/>
  <c r="D479" i="24"/>
  <c r="D478" i="24"/>
  <c r="D477" i="24"/>
  <c r="D476" i="24"/>
  <c r="D475" i="24"/>
  <c r="D474" i="24"/>
  <c r="D473" i="24"/>
  <c r="D472" i="24"/>
  <c r="D471" i="24"/>
  <c r="D470" i="24"/>
  <c r="D469" i="24"/>
  <c r="D468" i="24"/>
  <c r="D467" i="24"/>
  <c r="D466" i="24"/>
  <c r="D465" i="24"/>
  <c r="D464" i="24"/>
  <c r="D463" i="24"/>
  <c r="D462" i="24"/>
  <c r="D461" i="24"/>
  <c r="D460" i="24"/>
  <c r="D459" i="24"/>
  <c r="D458" i="24"/>
  <c r="D457" i="24"/>
  <c r="D456" i="24"/>
  <c r="D455" i="24"/>
  <c r="D454" i="24"/>
  <c r="D453" i="24"/>
  <c r="D452" i="24"/>
  <c r="D451" i="24"/>
  <c r="D450" i="24"/>
  <c r="D449" i="24"/>
  <c r="D448" i="24"/>
  <c r="D447" i="24"/>
  <c r="D446" i="24"/>
  <c r="D445" i="24"/>
  <c r="D444" i="24"/>
  <c r="D443" i="24"/>
  <c r="D442" i="24"/>
  <c r="D441" i="24"/>
  <c r="D440" i="24"/>
  <c r="D439" i="24"/>
  <c r="D438" i="24"/>
  <c r="D437" i="24"/>
  <c r="D436" i="24"/>
  <c r="D435" i="24"/>
  <c r="D434" i="24"/>
  <c r="D433" i="24"/>
  <c r="D432" i="24"/>
  <c r="D431" i="24"/>
  <c r="D430" i="24"/>
  <c r="D429" i="24"/>
  <c r="D428" i="24"/>
  <c r="D427" i="24"/>
  <c r="D426" i="24"/>
  <c r="D425" i="24"/>
  <c r="D424" i="24"/>
  <c r="D423" i="24"/>
  <c r="D422" i="24"/>
  <c r="D421" i="24"/>
  <c r="D420" i="24"/>
  <c r="D419" i="24"/>
  <c r="D418" i="24"/>
  <c r="D417" i="24"/>
  <c r="D416" i="24"/>
  <c r="D415" i="24"/>
  <c r="D414" i="24"/>
  <c r="D413" i="24"/>
  <c r="D412" i="24"/>
  <c r="D411" i="24"/>
  <c r="D410" i="24"/>
  <c r="D409" i="24"/>
  <c r="D408" i="24"/>
  <c r="D407" i="24"/>
  <c r="D406" i="24"/>
  <c r="D405" i="24"/>
  <c r="D404" i="24"/>
  <c r="D403" i="24"/>
  <c r="D402" i="24"/>
  <c r="D401" i="24"/>
  <c r="D400" i="24"/>
  <c r="D399" i="24"/>
  <c r="D398" i="24"/>
  <c r="D397" i="24"/>
  <c r="D396" i="24"/>
  <c r="D395" i="24"/>
  <c r="D394" i="24"/>
  <c r="D393" i="24"/>
  <c r="D392" i="24"/>
  <c r="D391" i="24"/>
  <c r="D390" i="24"/>
  <c r="D389" i="24"/>
  <c r="D388" i="24"/>
  <c r="D387" i="24"/>
  <c r="D386" i="24"/>
  <c r="D385" i="24"/>
  <c r="D384" i="24"/>
  <c r="D383" i="24"/>
  <c r="D382" i="24"/>
  <c r="D381" i="24"/>
  <c r="D380" i="24"/>
  <c r="D379" i="24"/>
  <c r="D378" i="24"/>
  <c r="D377" i="24"/>
  <c r="D376" i="24"/>
  <c r="D375" i="24"/>
  <c r="D374" i="24"/>
  <c r="D373" i="24"/>
  <c r="D372" i="24"/>
  <c r="D371" i="24"/>
  <c r="D370" i="24"/>
  <c r="D369" i="24"/>
  <c r="D368" i="24"/>
  <c r="D367" i="24"/>
  <c r="D366" i="24"/>
  <c r="D365" i="24"/>
  <c r="D364" i="24"/>
  <c r="D363" i="24"/>
  <c r="D362" i="24"/>
  <c r="D361" i="24"/>
  <c r="D360" i="24"/>
  <c r="D359" i="24"/>
  <c r="D358" i="24"/>
  <c r="D357" i="24"/>
  <c r="D356" i="24"/>
  <c r="D355" i="24"/>
  <c r="D354" i="24"/>
  <c r="D353" i="24"/>
  <c r="D352" i="24"/>
  <c r="D351" i="24"/>
  <c r="D350" i="24"/>
  <c r="D349" i="24"/>
  <c r="D348" i="24"/>
  <c r="D347" i="24"/>
  <c r="D346" i="24"/>
  <c r="D345" i="24"/>
  <c r="D344" i="24"/>
  <c r="D343" i="24"/>
  <c r="D342" i="24"/>
  <c r="D341" i="24"/>
  <c r="D340" i="24"/>
  <c r="D339" i="24"/>
  <c r="D338" i="24"/>
  <c r="D337" i="24"/>
  <c r="D336" i="24"/>
  <c r="D335" i="24"/>
  <c r="D334" i="24"/>
  <c r="D333" i="24"/>
  <c r="D332" i="24"/>
  <c r="D331" i="24"/>
  <c r="D330" i="24"/>
  <c r="D329" i="24"/>
  <c r="D328" i="24"/>
  <c r="D327" i="24"/>
  <c r="D326" i="24"/>
  <c r="D325" i="24"/>
  <c r="D324" i="24"/>
  <c r="D323" i="24"/>
  <c r="D322" i="24"/>
  <c r="D321" i="24"/>
  <c r="D320" i="24"/>
  <c r="D319" i="24"/>
  <c r="D318" i="24"/>
  <c r="D317" i="24"/>
  <c r="D316" i="24"/>
  <c r="D315" i="24"/>
  <c r="D314" i="24"/>
  <c r="D313" i="24"/>
  <c r="D312" i="24"/>
  <c r="D311" i="24"/>
  <c r="D310" i="24"/>
  <c r="D309" i="24"/>
  <c r="D308" i="24"/>
  <c r="D307" i="24"/>
  <c r="D306" i="24"/>
  <c r="D305" i="24"/>
  <c r="D304" i="24"/>
  <c r="D303" i="24"/>
  <c r="D302" i="24"/>
  <c r="D301" i="24"/>
  <c r="D300" i="24"/>
  <c r="D299" i="24"/>
  <c r="D298" i="24"/>
  <c r="D297" i="24"/>
  <c r="D296" i="24"/>
  <c r="D295" i="24"/>
  <c r="D294" i="24"/>
  <c r="D293" i="24"/>
  <c r="D292" i="24"/>
  <c r="D291" i="24"/>
  <c r="D290" i="24"/>
  <c r="D289" i="24"/>
  <c r="D288" i="24"/>
  <c r="D287" i="24"/>
  <c r="D286" i="24"/>
  <c r="D285" i="24"/>
  <c r="D284" i="24"/>
  <c r="D283" i="24"/>
  <c r="D282" i="24"/>
  <c r="D281" i="24"/>
  <c r="D280" i="24"/>
  <c r="D279" i="24"/>
  <c r="D278" i="24"/>
  <c r="D277" i="24"/>
  <c r="D276" i="24"/>
  <c r="D275" i="24"/>
  <c r="D274" i="24"/>
  <c r="D273" i="24"/>
  <c r="D272" i="24"/>
  <c r="D271" i="24"/>
  <c r="D270" i="24"/>
  <c r="D269" i="24"/>
  <c r="D268" i="24"/>
  <c r="D267" i="24"/>
  <c r="D266" i="24"/>
  <c r="D265" i="24"/>
  <c r="D264" i="24"/>
  <c r="D263" i="24"/>
  <c r="D262" i="24"/>
  <c r="D261" i="24"/>
  <c r="D260" i="24"/>
  <c r="D259" i="24"/>
  <c r="D258" i="24"/>
  <c r="D257" i="24"/>
  <c r="D256" i="24"/>
  <c r="D255" i="24"/>
  <c r="D254" i="24"/>
  <c r="D253" i="24"/>
  <c r="D252" i="24"/>
  <c r="D251" i="24"/>
  <c r="D250" i="24"/>
  <c r="D249" i="24"/>
  <c r="D248" i="24"/>
  <c r="D247" i="24"/>
  <c r="D246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D227" i="24"/>
  <c r="D226" i="24"/>
  <c r="D225" i="24"/>
  <c r="D224" i="24"/>
  <c r="D223" i="24"/>
  <c r="D222" i="24"/>
  <c r="D221" i="24"/>
  <c r="D220" i="24"/>
  <c r="D219" i="24"/>
  <c r="D218" i="24"/>
  <c r="D217" i="24"/>
  <c r="D216" i="24"/>
  <c r="D215" i="24"/>
  <c r="D214" i="24"/>
  <c r="D213" i="24"/>
  <c r="D212" i="24"/>
  <c r="D211" i="24"/>
  <c r="D210" i="24"/>
  <c r="D209" i="24"/>
  <c r="D208" i="24"/>
  <c r="D207" i="24"/>
  <c r="D206" i="24"/>
  <c r="D205" i="24"/>
  <c r="D204" i="24"/>
  <c r="D203" i="24"/>
  <c r="D202" i="24"/>
  <c r="D201" i="24"/>
  <c r="D200" i="24"/>
  <c r="D199" i="24"/>
  <c r="D198" i="24"/>
  <c r="D197" i="24"/>
  <c r="D196" i="24"/>
  <c r="D195" i="24"/>
  <c r="D194" i="24"/>
  <c r="D193" i="24"/>
  <c r="D192" i="24"/>
  <c r="D191" i="24"/>
  <c r="D190" i="24"/>
  <c r="D189" i="24"/>
  <c r="D188" i="24"/>
  <c r="D187" i="24"/>
  <c r="D186" i="24"/>
  <c r="D185" i="24"/>
  <c r="D184" i="24"/>
  <c r="D183" i="24"/>
  <c r="D182" i="24"/>
  <c r="D181" i="24"/>
  <c r="D180" i="24"/>
  <c r="D179" i="24"/>
  <c r="D178" i="24"/>
  <c r="D177" i="24"/>
  <c r="D176" i="24"/>
  <c r="D175" i="24"/>
  <c r="D174" i="24"/>
  <c r="D173" i="24"/>
  <c r="D172" i="24"/>
  <c r="D171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H19" i="24"/>
  <c r="D22" i="24"/>
  <c r="H18" i="24"/>
  <c r="D21" i="24"/>
  <c r="H17" i="24"/>
  <c r="D20" i="24"/>
  <c r="H16" i="24"/>
  <c r="D19" i="24"/>
  <c r="D18" i="24"/>
  <c r="D17" i="24"/>
  <c r="D16" i="24"/>
  <c r="D15" i="24"/>
  <c r="D14" i="24"/>
  <c r="D13" i="24"/>
  <c r="D12" i="24"/>
  <c r="D11" i="24"/>
  <c r="I19" i="24" s="1"/>
  <c r="J19" i="24" s="1"/>
  <c r="K19" i="24" s="1"/>
  <c r="D10" i="24"/>
  <c r="D9" i="24"/>
  <c r="D8" i="24"/>
  <c r="J17" i="23"/>
  <c r="J18" i="23"/>
  <c r="J19" i="23"/>
  <c r="J16" i="23"/>
  <c r="D4444" i="23"/>
  <c r="D4445" i="23"/>
  <c r="D4446" i="23"/>
  <c r="D4447" i="23"/>
  <c r="D4448" i="23"/>
  <c r="D4449" i="23"/>
  <c r="D4450" i="23"/>
  <c r="D4451" i="23"/>
  <c r="D4452" i="23"/>
  <c r="D4453" i="23"/>
  <c r="D4454" i="23"/>
  <c r="D4455" i="23"/>
  <c r="D4456" i="23"/>
  <c r="D4457" i="23"/>
  <c r="D4458" i="23"/>
  <c r="D4459" i="23"/>
  <c r="D4460" i="23"/>
  <c r="D4461" i="23"/>
  <c r="D4462" i="23"/>
  <c r="D4463" i="23"/>
  <c r="D4464" i="23"/>
  <c r="D4465" i="23"/>
  <c r="D4466" i="23"/>
  <c r="D4467" i="23"/>
  <c r="D4468" i="23"/>
  <c r="D4469" i="23"/>
  <c r="D4470" i="23"/>
  <c r="D4471" i="23"/>
  <c r="D4472" i="23"/>
  <c r="D4473" i="23"/>
  <c r="D4474" i="23"/>
  <c r="D4475" i="23"/>
  <c r="D4476" i="23"/>
  <c r="D4477" i="23"/>
  <c r="D4478" i="23"/>
  <c r="D4479" i="23"/>
  <c r="D4480" i="23"/>
  <c r="D4481" i="23"/>
  <c r="D4482" i="23"/>
  <c r="D4483" i="23"/>
  <c r="D4484" i="23"/>
  <c r="D4485" i="23"/>
  <c r="D4486" i="23"/>
  <c r="D4487" i="23"/>
  <c r="D4488" i="23"/>
  <c r="D4489" i="23"/>
  <c r="D4490" i="23"/>
  <c r="D4491" i="23"/>
  <c r="D4492" i="23"/>
  <c r="D4493" i="23"/>
  <c r="D4494" i="23"/>
  <c r="D4495" i="23"/>
  <c r="D4496" i="23"/>
  <c r="D4497" i="23"/>
  <c r="D4498" i="23"/>
  <c r="D4499" i="23"/>
  <c r="D4500" i="23"/>
  <c r="D4501" i="23"/>
  <c r="D4502" i="23"/>
  <c r="D4503" i="23"/>
  <c r="D4504" i="23"/>
  <c r="D4505" i="23"/>
  <c r="D4506" i="23"/>
  <c r="D4507" i="23"/>
  <c r="D4508" i="23"/>
  <c r="D4509" i="23"/>
  <c r="D4510" i="23"/>
  <c r="D4511" i="23"/>
  <c r="D4512" i="23"/>
  <c r="D4513" i="23"/>
  <c r="D4514" i="23"/>
  <c r="D4515" i="23"/>
  <c r="D4516" i="23"/>
  <c r="D4517" i="23"/>
  <c r="D4518" i="23"/>
  <c r="D4519" i="23"/>
  <c r="D4520" i="23"/>
  <c r="D4521" i="23"/>
  <c r="D4522" i="23"/>
  <c r="D4523" i="23"/>
  <c r="D4524" i="23"/>
  <c r="D4525" i="23"/>
  <c r="D4526" i="23"/>
  <c r="D4527" i="23"/>
  <c r="D4528" i="23"/>
  <c r="D4529" i="23"/>
  <c r="D4530" i="23"/>
  <c r="D4531" i="23"/>
  <c r="D4532" i="23"/>
  <c r="D4533" i="23"/>
  <c r="D4534" i="23"/>
  <c r="D4535" i="23"/>
  <c r="D4536" i="23"/>
  <c r="D4537" i="23"/>
  <c r="D4538" i="23"/>
  <c r="D4539" i="23"/>
  <c r="D4540" i="23"/>
  <c r="D4541" i="23"/>
  <c r="D4542" i="23"/>
  <c r="D4543" i="23"/>
  <c r="D4544" i="23"/>
  <c r="D4545" i="23"/>
  <c r="D4546" i="23"/>
  <c r="D4547" i="23"/>
  <c r="D4548" i="23"/>
  <c r="D4549" i="23"/>
  <c r="D4550" i="23"/>
  <c r="D4551" i="23"/>
  <c r="D4552" i="23"/>
  <c r="D4553" i="23"/>
  <c r="D4554" i="23"/>
  <c r="D4555" i="23"/>
  <c r="D4556" i="23"/>
  <c r="D4557" i="23"/>
  <c r="D4558" i="23"/>
  <c r="D4559" i="23"/>
  <c r="D4560" i="23"/>
  <c r="D4561" i="23"/>
  <c r="D4562" i="23"/>
  <c r="D4563" i="23"/>
  <c r="D4564" i="23"/>
  <c r="D4565" i="23"/>
  <c r="D4566" i="23"/>
  <c r="D4567" i="23"/>
  <c r="D4568" i="23"/>
  <c r="D4569" i="23"/>
  <c r="D4570" i="23"/>
  <c r="D4571" i="23"/>
  <c r="D4572" i="23"/>
  <c r="D4573" i="23"/>
  <c r="D4574" i="23"/>
  <c r="D4575" i="23"/>
  <c r="D4576" i="23"/>
  <c r="D4577" i="23"/>
  <c r="D4578" i="23"/>
  <c r="D4579" i="23"/>
  <c r="D4580" i="23"/>
  <c r="D4581" i="23"/>
  <c r="D4582" i="23"/>
  <c r="D4583" i="23"/>
  <c r="D4584" i="23"/>
  <c r="D4585" i="23"/>
  <c r="D4586" i="23"/>
  <c r="D4587" i="23"/>
  <c r="D4588" i="23"/>
  <c r="D4589" i="23"/>
  <c r="D4590" i="23"/>
  <c r="D4591" i="23"/>
  <c r="D4592" i="23"/>
  <c r="D4593" i="23"/>
  <c r="D4594" i="23"/>
  <c r="D4595" i="23"/>
  <c r="D4596" i="23"/>
  <c r="D4597" i="23"/>
  <c r="D4598" i="23"/>
  <c r="D4599" i="23"/>
  <c r="D4600" i="23"/>
  <c r="D4601" i="23"/>
  <c r="D4602" i="23"/>
  <c r="D4603" i="23"/>
  <c r="D4604" i="23"/>
  <c r="D4605" i="23"/>
  <c r="D4606" i="23"/>
  <c r="D4607" i="23"/>
  <c r="D4608" i="23"/>
  <c r="D4609" i="23"/>
  <c r="D4610" i="23"/>
  <c r="D4611" i="23"/>
  <c r="D4612" i="23"/>
  <c r="D4613" i="23"/>
  <c r="D4614" i="23"/>
  <c r="D4615" i="23"/>
  <c r="D4616" i="23"/>
  <c r="D4617" i="23"/>
  <c r="D4618" i="23"/>
  <c r="D4619" i="23"/>
  <c r="D4620" i="23"/>
  <c r="D4621" i="23"/>
  <c r="D4622" i="23"/>
  <c r="D4623" i="23"/>
  <c r="D4624" i="23"/>
  <c r="D4625" i="23"/>
  <c r="D4626" i="23"/>
  <c r="D4627" i="23"/>
  <c r="D4628" i="23"/>
  <c r="D4629" i="23"/>
  <c r="D4630" i="23"/>
  <c r="D4631" i="23"/>
  <c r="D4632" i="23"/>
  <c r="D4633" i="23"/>
  <c r="D4634" i="23"/>
  <c r="D4635" i="23"/>
  <c r="D4636" i="23"/>
  <c r="D4637" i="23"/>
  <c r="D4638" i="23"/>
  <c r="D4639" i="23"/>
  <c r="D4640" i="23"/>
  <c r="D4641" i="23"/>
  <c r="D4642" i="23"/>
  <c r="D4643" i="23"/>
  <c r="D4644" i="23"/>
  <c r="D4645" i="23"/>
  <c r="D4646" i="23"/>
  <c r="D4647" i="23"/>
  <c r="D4648" i="23"/>
  <c r="D4649" i="23"/>
  <c r="D4650" i="23"/>
  <c r="D4651" i="23"/>
  <c r="D4652" i="23"/>
  <c r="D4653" i="23"/>
  <c r="D4654" i="23"/>
  <c r="D4655" i="23"/>
  <c r="D4656" i="23"/>
  <c r="D4657" i="23"/>
  <c r="D4658" i="23"/>
  <c r="D4659" i="23"/>
  <c r="D4660" i="23"/>
  <c r="D4661" i="23"/>
  <c r="D4662" i="23"/>
  <c r="D4663" i="23"/>
  <c r="D4664" i="23"/>
  <c r="D4665" i="23"/>
  <c r="D4666" i="23"/>
  <c r="D4667" i="23"/>
  <c r="D4668" i="23"/>
  <c r="D4669" i="23"/>
  <c r="D4670" i="23"/>
  <c r="D4671" i="23"/>
  <c r="D4672" i="23"/>
  <c r="D4673" i="23"/>
  <c r="D4674" i="23"/>
  <c r="D4675" i="23"/>
  <c r="D4676" i="23"/>
  <c r="D4677" i="23"/>
  <c r="D4678" i="23"/>
  <c r="D4679" i="23"/>
  <c r="D4680" i="23"/>
  <c r="D4681" i="23"/>
  <c r="D4682" i="23"/>
  <c r="D4683" i="23"/>
  <c r="D4684" i="23"/>
  <c r="D4685" i="23"/>
  <c r="D4686" i="23"/>
  <c r="D4687" i="23"/>
  <c r="D4688" i="23"/>
  <c r="D4689" i="23"/>
  <c r="D4690" i="23"/>
  <c r="D4691" i="23"/>
  <c r="D4692" i="23"/>
  <c r="D4693" i="23"/>
  <c r="D4694" i="23"/>
  <c r="D4695" i="23"/>
  <c r="D4696" i="23"/>
  <c r="D4697" i="23"/>
  <c r="D4698" i="23"/>
  <c r="D4699" i="23"/>
  <c r="D4700" i="23"/>
  <c r="D4701" i="23"/>
  <c r="D4702" i="23"/>
  <c r="D4703" i="23"/>
  <c r="D4704" i="23"/>
  <c r="D4705" i="23"/>
  <c r="D4706" i="23"/>
  <c r="D4707" i="23"/>
  <c r="D4708" i="23"/>
  <c r="D4709" i="23"/>
  <c r="D4710" i="23"/>
  <c r="D4711" i="23"/>
  <c r="D4712" i="23"/>
  <c r="D4713" i="23"/>
  <c r="D4714" i="23"/>
  <c r="D4715" i="23"/>
  <c r="D4716" i="23"/>
  <c r="D4717" i="23"/>
  <c r="D4718" i="23"/>
  <c r="D4719" i="23"/>
  <c r="D4720" i="23"/>
  <c r="D4721" i="23"/>
  <c r="D4722" i="23"/>
  <c r="D4723" i="23"/>
  <c r="D4724" i="23"/>
  <c r="D4725" i="23"/>
  <c r="D4726" i="23"/>
  <c r="D4727" i="23"/>
  <c r="D4728" i="23"/>
  <c r="D4729" i="23"/>
  <c r="D4730" i="23"/>
  <c r="D4731" i="23"/>
  <c r="D4732" i="23"/>
  <c r="D4733" i="23"/>
  <c r="D4734" i="23"/>
  <c r="D4735" i="23"/>
  <c r="D4736" i="23"/>
  <c r="D4737" i="23"/>
  <c r="D4738" i="23"/>
  <c r="D4739" i="23"/>
  <c r="D4740" i="23"/>
  <c r="D4741" i="23"/>
  <c r="D4742" i="23"/>
  <c r="D4743" i="23"/>
  <c r="D4744" i="23"/>
  <c r="D4745" i="23"/>
  <c r="D4746" i="23"/>
  <c r="D4747" i="23"/>
  <c r="D4748" i="23"/>
  <c r="D4749" i="23"/>
  <c r="D4750" i="23"/>
  <c r="D4751" i="23"/>
  <c r="D4752" i="23"/>
  <c r="D4753" i="23"/>
  <c r="D4754" i="23"/>
  <c r="D4755" i="23"/>
  <c r="D4756" i="23"/>
  <c r="D4757" i="23"/>
  <c r="D4758" i="23"/>
  <c r="D4759" i="23"/>
  <c r="D4760" i="23"/>
  <c r="D4761" i="23"/>
  <c r="D4762" i="23"/>
  <c r="D4763" i="23"/>
  <c r="D4764" i="23"/>
  <c r="D4765" i="23"/>
  <c r="D4766" i="23"/>
  <c r="D4767" i="23"/>
  <c r="D4768" i="23"/>
  <c r="D4769" i="23"/>
  <c r="D4770" i="23"/>
  <c r="D4771" i="23"/>
  <c r="D4772" i="23"/>
  <c r="D4773" i="23"/>
  <c r="D4774" i="23"/>
  <c r="D4775" i="23"/>
  <c r="D4776" i="23"/>
  <c r="D4777" i="23"/>
  <c r="D4778" i="23"/>
  <c r="D4779" i="23"/>
  <c r="D4780" i="23"/>
  <c r="D4781" i="23"/>
  <c r="D4782" i="23"/>
  <c r="D4783" i="23"/>
  <c r="D4784" i="23"/>
  <c r="D4785" i="23"/>
  <c r="D4786" i="23"/>
  <c r="D4787" i="23"/>
  <c r="D4788" i="23"/>
  <c r="D4789" i="23"/>
  <c r="D4790" i="23"/>
  <c r="D4791" i="23"/>
  <c r="D4792" i="23"/>
  <c r="D4793" i="23"/>
  <c r="D4794" i="23"/>
  <c r="D4795" i="23"/>
  <c r="D4796" i="23"/>
  <c r="D4797" i="23"/>
  <c r="D4798" i="23"/>
  <c r="D4799" i="23"/>
  <c r="D4800" i="23"/>
  <c r="D4801" i="23"/>
  <c r="D4802" i="23"/>
  <c r="D4803" i="23"/>
  <c r="D4804" i="23"/>
  <c r="D4805" i="23"/>
  <c r="D4806" i="23"/>
  <c r="D4807" i="23"/>
  <c r="D4808" i="23"/>
  <c r="D4809" i="23"/>
  <c r="D4810" i="23"/>
  <c r="D4811" i="23"/>
  <c r="D4812" i="23"/>
  <c r="D4813" i="23"/>
  <c r="D4814" i="23"/>
  <c r="D4815" i="23"/>
  <c r="D4816" i="23"/>
  <c r="D4817" i="23"/>
  <c r="D4818" i="23"/>
  <c r="D4819" i="23"/>
  <c r="D4820" i="23"/>
  <c r="D4821" i="23"/>
  <c r="D4822" i="23"/>
  <c r="D4823" i="23"/>
  <c r="D4824" i="23"/>
  <c r="D4825" i="23"/>
  <c r="D4826" i="23"/>
  <c r="D4827" i="23"/>
  <c r="D4828" i="23"/>
  <c r="D4829" i="23"/>
  <c r="D4830" i="23"/>
  <c r="D4831" i="23"/>
  <c r="D4832" i="23"/>
  <c r="D4833" i="23"/>
  <c r="D4834" i="23"/>
  <c r="D4835" i="23"/>
  <c r="D4836" i="23"/>
  <c r="D4837" i="23"/>
  <c r="D4838" i="23"/>
  <c r="D4839" i="23"/>
  <c r="D4840" i="23"/>
  <c r="D4841" i="23"/>
  <c r="D4842" i="23"/>
  <c r="D4843" i="23"/>
  <c r="D4844" i="23"/>
  <c r="D4845" i="23"/>
  <c r="D4846" i="23"/>
  <c r="D4847" i="23"/>
  <c r="D4848" i="23"/>
  <c r="D4849" i="23"/>
  <c r="D4850" i="23"/>
  <c r="D4851" i="23"/>
  <c r="D4852" i="23"/>
  <c r="D4853" i="23"/>
  <c r="D4854" i="23"/>
  <c r="D4855" i="23"/>
  <c r="D4856" i="23"/>
  <c r="D4857" i="23"/>
  <c r="D4858" i="23"/>
  <c r="D4859" i="23"/>
  <c r="D4860" i="23"/>
  <c r="D4861" i="23"/>
  <c r="D4862" i="23"/>
  <c r="D4863" i="23"/>
  <c r="D4864" i="23"/>
  <c r="D4865" i="23"/>
  <c r="D4866" i="23"/>
  <c r="D4867" i="23"/>
  <c r="D4868" i="23"/>
  <c r="D4869" i="23"/>
  <c r="D4870" i="23"/>
  <c r="D4871" i="23"/>
  <c r="D4872" i="23"/>
  <c r="D4873" i="23"/>
  <c r="D4874" i="23"/>
  <c r="D4875" i="23"/>
  <c r="D4876" i="23"/>
  <c r="D4877" i="23"/>
  <c r="D4878" i="23"/>
  <c r="D4879" i="23"/>
  <c r="D4880" i="23"/>
  <c r="D4881" i="23"/>
  <c r="D4882" i="23"/>
  <c r="D4883" i="23"/>
  <c r="D4884" i="23"/>
  <c r="D4885" i="23"/>
  <c r="D4886" i="23"/>
  <c r="D4887" i="23"/>
  <c r="D4888" i="23"/>
  <c r="D4889" i="23"/>
  <c r="D4890" i="23"/>
  <c r="D4891" i="23"/>
  <c r="D4892" i="23"/>
  <c r="D4893" i="23"/>
  <c r="D4894" i="23"/>
  <c r="D4895" i="23"/>
  <c r="D4896" i="23"/>
  <c r="D4897" i="23"/>
  <c r="D4898" i="23"/>
  <c r="D4899" i="23"/>
  <c r="D4900" i="23"/>
  <c r="D4901" i="23"/>
  <c r="D4902" i="23"/>
  <c r="D4903" i="23"/>
  <c r="D4904" i="23"/>
  <c r="D4905" i="23"/>
  <c r="D4906" i="23"/>
  <c r="D4907" i="23"/>
  <c r="D4908" i="23"/>
  <c r="D4909" i="23"/>
  <c r="D4910" i="23"/>
  <c r="D4911" i="23"/>
  <c r="D4912" i="23"/>
  <c r="D4913" i="23"/>
  <c r="D4914" i="23"/>
  <c r="D4915" i="23"/>
  <c r="D4916" i="23"/>
  <c r="D4917" i="23"/>
  <c r="D4918" i="23"/>
  <c r="D4919" i="23"/>
  <c r="D4920" i="23"/>
  <c r="D4921" i="23"/>
  <c r="D4922" i="23"/>
  <c r="D4923" i="23"/>
  <c r="D4924" i="23"/>
  <c r="D4925" i="23"/>
  <c r="D4926" i="23"/>
  <c r="D4927" i="23"/>
  <c r="D4928" i="23"/>
  <c r="D4929" i="23"/>
  <c r="D4930" i="23"/>
  <c r="D4931" i="23"/>
  <c r="D4932" i="23"/>
  <c r="D4933" i="23"/>
  <c r="D4934" i="23"/>
  <c r="D4935" i="23"/>
  <c r="D4936" i="23"/>
  <c r="D4937" i="23"/>
  <c r="D4938" i="23"/>
  <c r="D4939" i="23"/>
  <c r="D4940" i="23"/>
  <c r="D4941" i="23"/>
  <c r="D4942" i="23"/>
  <c r="D4943" i="23"/>
  <c r="D4944" i="23"/>
  <c r="D4945" i="23"/>
  <c r="D4946" i="23"/>
  <c r="D4947" i="23"/>
  <c r="D4948" i="23"/>
  <c r="D4949" i="23"/>
  <c r="D4950" i="23"/>
  <c r="D4951" i="23"/>
  <c r="D4952" i="23"/>
  <c r="D4953" i="23"/>
  <c r="D4954" i="23"/>
  <c r="D4955" i="23"/>
  <c r="D4956" i="23"/>
  <c r="D4957" i="23"/>
  <c r="D4958" i="23"/>
  <c r="D4959" i="23"/>
  <c r="D4960" i="23"/>
  <c r="D4961" i="23"/>
  <c r="D4962" i="23"/>
  <c r="D4963" i="23"/>
  <c r="D4964" i="23"/>
  <c r="D4965" i="23"/>
  <c r="D4966" i="23"/>
  <c r="D539" i="23"/>
  <c r="D540" i="23"/>
  <c r="D541" i="23"/>
  <c r="D542" i="23"/>
  <c r="D543" i="23"/>
  <c r="D544" i="23"/>
  <c r="D545" i="23"/>
  <c r="D546" i="23"/>
  <c r="D547" i="23"/>
  <c r="D548" i="23"/>
  <c r="D549" i="23"/>
  <c r="D550" i="23"/>
  <c r="D551" i="23"/>
  <c r="D552" i="23"/>
  <c r="D553" i="23"/>
  <c r="D554" i="23"/>
  <c r="D555" i="23"/>
  <c r="D556" i="23"/>
  <c r="D557" i="23"/>
  <c r="D558" i="23"/>
  <c r="D559" i="23"/>
  <c r="D560" i="23"/>
  <c r="D561" i="23"/>
  <c r="D562" i="23"/>
  <c r="D563" i="23"/>
  <c r="D564" i="23"/>
  <c r="D565" i="23"/>
  <c r="D566" i="23"/>
  <c r="D567" i="23"/>
  <c r="D568" i="23"/>
  <c r="D569" i="23"/>
  <c r="D570" i="23"/>
  <c r="D571" i="23"/>
  <c r="D572" i="23"/>
  <c r="D573" i="23"/>
  <c r="D574" i="23"/>
  <c r="D575" i="23"/>
  <c r="D576" i="23"/>
  <c r="D577" i="23"/>
  <c r="D578" i="23"/>
  <c r="D579" i="23"/>
  <c r="D580" i="23"/>
  <c r="D581" i="23"/>
  <c r="D582" i="23"/>
  <c r="D583" i="23"/>
  <c r="D584" i="23"/>
  <c r="D585" i="23"/>
  <c r="D586" i="23"/>
  <c r="D587" i="23"/>
  <c r="D588" i="23"/>
  <c r="D589" i="23"/>
  <c r="D590" i="23"/>
  <c r="D591" i="23"/>
  <c r="D592" i="23"/>
  <c r="D593" i="23"/>
  <c r="D594" i="23"/>
  <c r="D595" i="23"/>
  <c r="D596" i="23"/>
  <c r="D597" i="23"/>
  <c r="D598" i="23"/>
  <c r="D599" i="23"/>
  <c r="D600" i="23"/>
  <c r="D601" i="23"/>
  <c r="D602" i="23"/>
  <c r="D603" i="23"/>
  <c r="D604" i="23"/>
  <c r="D605" i="23"/>
  <c r="D606" i="23"/>
  <c r="D607" i="23"/>
  <c r="D608" i="23"/>
  <c r="D609" i="23"/>
  <c r="D610" i="23"/>
  <c r="D611" i="23"/>
  <c r="D612" i="23"/>
  <c r="D613" i="23"/>
  <c r="D614" i="23"/>
  <c r="D615" i="23"/>
  <c r="D616" i="23"/>
  <c r="D617" i="23"/>
  <c r="D618" i="23"/>
  <c r="D619" i="23"/>
  <c r="D620" i="23"/>
  <c r="D621" i="23"/>
  <c r="D622" i="23"/>
  <c r="D623" i="23"/>
  <c r="D624" i="23"/>
  <c r="D625" i="23"/>
  <c r="D626" i="23"/>
  <c r="D627" i="23"/>
  <c r="D628" i="23"/>
  <c r="D629" i="23"/>
  <c r="D630" i="23"/>
  <c r="D631" i="23"/>
  <c r="D632" i="23"/>
  <c r="D633" i="23"/>
  <c r="D634" i="23"/>
  <c r="D635" i="23"/>
  <c r="D636" i="23"/>
  <c r="D637" i="23"/>
  <c r="D638" i="23"/>
  <c r="D639" i="23"/>
  <c r="D640" i="23"/>
  <c r="D641" i="23"/>
  <c r="D642" i="23"/>
  <c r="D643" i="23"/>
  <c r="D644" i="23"/>
  <c r="D645" i="23"/>
  <c r="D646" i="23"/>
  <c r="D647" i="23"/>
  <c r="D648" i="23"/>
  <c r="D649" i="23"/>
  <c r="D650" i="23"/>
  <c r="D651" i="23"/>
  <c r="D652" i="23"/>
  <c r="D653" i="23"/>
  <c r="D654" i="23"/>
  <c r="D655" i="23"/>
  <c r="D656" i="23"/>
  <c r="D657" i="23"/>
  <c r="D658" i="23"/>
  <c r="D659" i="23"/>
  <c r="D660" i="23"/>
  <c r="D661" i="23"/>
  <c r="D662" i="23"/>
  <c r="D663" i="23"/>
  <c r="D664" i="23"/>
  <c r="D665" i="23"/>
  <c r="D666" i="23"/>
  <c r="D667" i="23"/>
  <c r="D668" i="23"/>
  <c r="D669" i="23"/>
  <c r="D670" i="23"/>
  <c r="D671" i="23"/>
  <c r="D672" i="23"/>
  <c r="D673" i="23"/>
  <c r="D674" i="23"/>
  <c r="D675" i="23"/>
  <c r="D676" i="23"/>
  <c r="D677" i="23"/>
  <c r="D678" i="23"/>
  <c r="D679" i="23"/>
  <c r="D680" i="23"/>
  <c r="D681" i="23"/>
  <c r="D682" i="23"/>
  <c r="D683" i="23"/>
  <c r="D684" i="23"/>
  <c r="D685" i="23"/>
  <c r="D686" i="23"/>
  <c r="D687" i="23"/>
  <c r="D688" i="23"/>
  <c r="D689" i="23"/>
  <c r="D690" i="23"/>
  <c r="D691" i="23"/>
  <c r="D692" i="23"/>
  <c r="D693" i="23"/>
  <c r="D694" i="23"/>
  <c r="D695" i="23"/>
  <c r="D696" i="23"/>
  <c r="D697" i="23"/>
  <c r="D698" i="23"/>
  <c r="D699" i="23"/>
  <c r="D700" i="23"/>
  <c r="D701" i="23"/>
  <c r="D702" i="23"/>
  <c r="D703" i="23"/>
  <c r="D704" i="23"/>
  <c r="D705" i="23"/>
  <c r="D706" i="23"/>
  <c r="D707" i="23"/>
  <c r="D708" i="23"/>
  <c r="D709" i="23"/>
  <c r="D710" i="23"/>
  <c r="D711" i="23"/>
  <c r="D712" i="23"/>
  <c r="D713" i="23"/>
  <c r="D714" i="23"/>
  <c r="D715" i="23"/>
  <c r="D716" i="23"/>
  <c r="D717" i="23"/>
  <c r="D718" i="23"/>
  <c r="D719" i="23"/>
  <c r="D720" i="23"/>
  <c r="D721" i="23"/>
  <c r="D722" i="23"/>
  <c r="D723" i="23"/>
  <c r="D724" i="23"/>
  <c r="D725" i="23"/>
  <c r="D726" i="23"/>
  <c r="D727" i="23"/>
  <c r="D728" i="23"/>
  <c r="D729" i="23"/>
  <c r="D730" i="23"/>
  <c r="D731" i="23"/>
  <c r="D732" i="23"/>
  <c r="D733" i="23"/>
  <c r="D734" i="23"/>
  <c r="D735" i="23"/>
  <c r="D736" i="23"/>
  <c r="D737" i="23"/>
  <c r="D738" i="23"/>
  <c r="D739" i="23"/>
  <c r="D740" i="23"/>
  <c r="D741" i="23"/>
  <c r="D742" i="23"/>
  <c r="D743" i="23"/>
  <c r="D744" i="23"/>
  <c r="D745" i="23"/>
  <c r="D746" i="23"/>
  <c r="D747" i="23"/>
  <c r="D748" i="23"/>
  <c r="D749" i="23"/>
  <c r="D750" i="23"/>
  <c r="D751" i="23"/>
  <c r="D752" i="23"/>
  <c r="D753" i="23"/>
  <c r="D754" i="23"/>
  <c r="D755" i="23"/>
  <c r="D756" i="23"/>
  <c r="D757" i="23"/>
  <c r="D758" i="23"/>
  <c r="D759" i="23"/>
  <c r="D760" i="23"/>
  <c r="D761" i="23"/>
  <c r="D762" i="23"/>
  <c r="D763" i="23"/>
  <c r="D764" i="23"/>
  <c r="D765" i="23"/>
  <c r="D766" i="23"/>
  <c r="D767" i="23"/>
  <c r="D768" i="23"/>
  <c r="D769" i="23"/>
  <c r="D770" i="23"/>
  <c r="D771" i="23"/>
  <c r="D772" i="23"/>
  <c r="D773" i="23"/>
  <c r="D774" i="23"/>
  <c r="D775" i="23"/>
  <c r="D776" i="23"/>
  <c r="D777" i="23"/>
  <c r="D778" i="23"/>
  <c r="D779" i="23"/>
  <c r="D780" i="23"/>
  <c r="D781" i="23"/>
  <c r="D782" i="23"/>
  <c r="D783" i="23"/>
  <c r="D784" i="23"/>
  <c r="D785" i="23"/>
  <c r="D786" i="23"/>
  <c r="D787" i="23"/>
  <c r="D788" i="23"/>
  <c r="D789" i="23"/>
  <c r="D790" i="23"/>
  <c r="D791" i="23"/>
  <c r="D792" i="23"/>
  <c r="D793" i="23"/>
  <c r="D794" i="23"/>
  <c r="D795" i="23"/>
  <c r="D796" i="23"/>
  <c r="D797" i="23"/>
  <c r="D798" i="23"/>
  <c r="D799" i="23"/>
  <c r="D800" i="23"/>
  <c r="D801" i="23"/>
  <c r="D802" i="23"/>
  <c r="D803" i="23"/>
  <c r="D804" i="23"/>
  <c r="D805" i="23"/>
  <c r="D806" i="23"/>
  <c r="D807" i="23"/>
  <c r="D808" i="23"/>
  <c r="D809" i="23"/>
  <c r="D810" i="23"/>
  <c r="D811" i="23"/>
  <c r="D812" i="23"/>
  <c r="D813" i="23"/>
  <c r="D814" i="23"/>
  <c r="D815" i="23"/>
  <c r="D816" i="23"/>
  <c r="D817" i="23"/>
  <c r="D818" i="23"/>
  <c r="D819" i="23"/>
  <c r="D820" i="23"/>
  <c r="D821" i="23"/>
  <c r="D822" i="23"/>
  <c r="D823" i="23"/>
  <c r="D824" i="23"/>
  <c r="D825" i="23"/>
  <c r="D826" i="23"/>
  <c r="D827" i="23"/>
  <c r="D828" i="23"/>
  <c r="D829" i="23"/>
  <c r="D830" i="23"/>
  <c r="D831" i="23"/>
  <c r="D832" i="23"/>
  <c r="D833" i="23"/>
  <c r="D834" i="23"/>
  <c r="D835" i="23"/>
  <c r="D836" i="23"/>
  <c r="D837" i="23"/>
  <c r="D838" i="23"/>
  <c r="D839" i="23"/>
  <c r="D840" i="23"/>
  <c r="D841" i="23"/>
  <c r="D842" i="23"/>
  <c r="D843" i="23"/>
  <c r="D844" i="23"/>
  <c r="D845" i="23"/>
  <c r="D846" i="23"/>
  <c r="D847" i="23"/>
  <c r="D848" i="23"/>
  <c r="D849" i="23"/>
  <c r="D850" i="23"/>
  <c r="D851" i="23"/>
  <c r="D852" i="23"/>
  <c r="D853" i="23"/>
  <c r="D854" i="23"/>
  <c r="D855" i="23"/>
  <c r="D856" i="23"/>
  <c r="D857" i="23"/>
  <c r="D858" i="23"/>
  <c r="D859" i="23"/>
  <c r="D860" i="23"/>
  <c r="D861" i="23"/>
  <c r="D862" i="23"/>
  <c r="D863" i="23"/>
  <c r="D864" i="23"/>
  <c r="D865" i="23"/>
  <c r="D866" i="23"/>
  <c r="D867" i="23"/>
  <c r="D868" i="23"/>
  <c r="D869" i="23"/>
  <c r="D870" i="23"/>
  <c r="D871" i="23"/>
  <c r="D872" i="23"/>
  <c r="D873" i="23"/>
  <c r="D874" i="23"/>
  <c r="D875" i="23"/>
  <c r="D876" i="23"/>
  <c r="D877" i="23"/>
  <c r="D878" i="23"/>
  <c r="D879" i="23"/>
  <c r="D880" i="23"/>
  <c r="D881" i="23"/>
  <c r="D882" i="23"/>
  <c r="D883" i="23"/>
  <c r="D884" i="23"/>
  <c r="D885" i="23"/>
  <c r="D886" i="23"/>
  <c r="D887" i="23"/>
  <c r="D888" i="23"/>
  <c r="D889" i="23"/>
  <c r="D890" i="23"/>
  <c r="D891" i="23"/>
  <c r="D892" i="23"/>
  <c r="D893" i="23"/>
  <c r="D894" i="23"/>
  <c r="D895" i="23"/>
  <c r="D896" i="23"/>
  <c r="D897" i="23"/>
  <c r="D898" i="23"/>
  <c r="D899" i="23"/>
  <c r="D900" i="23"/>
  <c r="D901" i="23"/>
  <c r="D902" i="23"/>
  <c r="D903" i="23"/>
  <c r="D904" i="23"/>
  <c r="D905" i="23"/>
  <c r="D906" i="23"/>
  <c r="D907" i="23"/>
  <c r="D908" i="23"/>
  <c r="D909" i="23"/>
  <c r="D910" i="23"/>
  <c r="D911" i="23"/>
  <c r="D912" i="23"/>
  <c r="D913" i="23"/>
  <c r="D914" i="23"/>
  <c r="D915" i="23"/>
  <c r="D916" i="23"/>
  <c r="D917" i="23"/>
  <c r="D918" i="23"/>
  <c r="D919" i="23"/>
  <c r="D920" i="23"/>
  <c r="D921" i="23"/>
  <c r="D922" i="23"/>
  <c r="D923" i="23"/>
  <c r="D924" i="23"/>
  <c r="D925" i="23"/>
  <c r="D926" i="23"/>
  <c r="D927" i="23"/>
  <c r="D928" i="23"/>
  <c r="D929" i="23"/>
  <c r="D930" i="23"/>
  <c r="D931" i="23"/>
  <c r="D932" i="23"/>
  <c r="D933" i="23"/>
  <c r="D934" i="23"/>
  <c r="D935" i="23"/>
  <c r="D936" i="23"/>
  <c r="D937" i="23"/>
  <c r="D938" i="23"/>
  <c r="D939" i="23"/>
  <c r="D940" i="23"/>
  <c r="D941" i="23"/>
  <c r="D942" i="23"/>
  <c r="D943" i="23"/>
  <c r="D944" i="23"/>
  <c r="D945" i="23"/>
  <c r="D946" i="23"/>
  <c r="D947" i="23"/>
  <c r="D948" i="23"/>
  <c r="D949" i="23"/>
  <c r="D950" i="23"/>
  <c r="D951" i="23"/>
  <c r="D952" i="23"/>
  <c r="D953" i="23"/>
  <c r="D954" i="23"/>
  <c r="D955" i="23"/>
  <c r="D956" i="23"/>
  <c r="D957" i="23"/>
  <c r="D958" i="23"/>
  <c r="D959" i="23"/>
  <c r="D960" i="23"/>
  <c r="D961" i="23"/>
  <c r="D962" i="23"/>
  <c r="D963" i="23"/>
  <c r="D964" i="23"/>
  <c r="D965" i="23"/>
  <c r="D966" i="23"/>
  <c r="D967" i="23"/>
  <c r="D968" i="23"/>
  <c r="D969" i="23"/>
  <c r="D970" i="23"/>
  <c r="D971" i="23"/>
  <c r="D972" i="23"/>
  <c r="D973" i="23"/>
  <c r="D974" i="23"/>
  <c r="D975" i="23"/>
  <c r="D976" i="23"/>
  <c r="D977" i="23"/>
  <c r="D978" i="23"/>
  <c r="D979" i="23"/>
  <c r="D980" i="23"/>
  <c r="D981" i="23"/>
  <c r="D982" i="23"/>
  <c r="D983" i="23"/>
  <c r="D984" i="23"/>
  <c r="D985" i="23"/>
  <c r="D986" i="23"/>
  <c r="D987" i="23"/>
  <c r="D988" i="23"/>
  <c r="D989" i="23"/>
  <c r="D990" i="23"/>
  <c r="D991" i="23"/>
  <c r="D992" i="23"/>
  <c r="D993" i="23"/>
  <c r="D994" i="23"/>
  <c r="D995" i="23"/>
  <c r="D996" i="23"/>
  <c r="D997" i="23"/>
  <c r="D998" i="23"/>
  <c r="D999" i="23"/>
  <c r="D1000" i="23"/>
  <c r="D1001" i="23"/>
  <c r="D1002" i="23"/>
  <c r="D1003" i="23"/>
  <c r="D1004" i="23"/>
  <c r="D1005" i="23"/>
  <c r="D1006" i="23"/>
  <c r="D1007" i="23"/>
  <c r="D1008" i="23"/>
  <c r="D1009" i="23"/>
  <c r="D1010" i="23"/>
  <c r="D1011" i="23"/>
  <c r="D1012" i="23"/>
  <c r="D1013" i="23"/>
  <c r="D1014" i="23"/>
  <c r="D1015" i="23"/>
  <c r="D1016" i="23"/>
  <c r="D1017" i="23"/>
  <c r="D1018" i="23"/>
  <c r="D1019" i="23"/>
  <c r="D1020" i="23"/>
  <c r="D1021" i="23"/>
  <c r="D1022" i="23"/>
  <c r="D1023" i="23"/>
  <c r="D1024" i="23"/>
  <c r="D1025" i="23"/>
  <c r="D1026" i="23"/>
  <c r="D1027" i="23"/>
  <c r="D1028" i="23"/>
  <c r="D1029" i="23"/>
  <c r="D1030" i="23"/>
  <c r="D1031" i="23"/>
  <c r="D1032" i="23"/>
  <c r="D1033" i="23"/>
  <c r="D1034" i="23"/>
  <c r="D1035" i="23"/>
  <c r="D1036" i="23"/>
  <c r="D1037" i="23"/>
  <c r="D1038" i="23"/>
  <c r="D1039" i="23"/>
  <c r="D1040" i="23"/>
  <c r="D1041" i="23"/>
  <c r="D1042" i="23"/>
  <c r="D1043" i="23"/>
  <c r="D1044" i="23"/>
  <c r="D1045" i="23"/>
  <c r="D1046" i="23"/>
  <c r="D1047" i="23"/>
  <c r="D1048" i="23"/>
  <c r="D1049" i="23"/>
  <c r="D1050" i="23"/>
  <c r="D1051" i="23"/>
  <c r="D1052" i="23"/>
  <c r="D1053" i="23"/>
  <c r="D1054" i="23"/>
  <c r="D1055" i="23"/>
  <c r="D1056" i="23"/>
  <c r="D1057" i="23"/>
  <c r="D1058" i="23"/>
  <c r="D1059" i="23"/>
  <c r="D1060" i="23"/>
  <c r="D1061" i="23"/>
  <c r="D1062" i="23"/>
  <c r="D1063" i="23"/>
  <c r="D1064" i="23"/>
  <c r="D1065" i="23"/>
  <c r="D1066" i="23"/>
  <c r="D1067" i="23"/>
  <c r="D1068" i="23"/>
  <c r="D1069" i="23"/>
  <c r="D1070" i="23"/>
  <c r="D1071" i="23"/>
  <c r="D1072" i="23"/>
  <c r="D1073" i="23"/>
  <c r="D1074" i="23"/>
  <c r="D1075" i="23"/>
  <c r="D1076" i="23"/>
  <c r="D1077" i="23"/>
  <c r="D1078" i="23"/>
  <c r="D1079" i="23"/>
  <c r="D1080" i="23"/>
  <c r="D1081" i="23"/>
  <c r="D1082" i="23"/>
  <c r="D1083" i="23"/>
  <c r="D1084" i="23"/>
  <c r="D1085" i="23"/>
  <c r="D1086" i="23"/>
  <c r="D1087" i="23"/>
  <c r="D1088" i="23"/>
  <c r="D1089" i="23"/>
  <c r="D1090" i="23"/>
  <c r="D1091" i="23"/>
  <c r="D1092" i="23"/>
  <c r="D1093" i="23"/>
  <c r="D1094" i="23"/>
  <c r="D1095" i="23"/>
  <c r="D1096" i="23"/>
  <c r="D1097" i="23"/>
  <c r="D1098" i="23"/>
  <c r="D1099" i="23"/>
  <c r="D1100" i="23"/>
  <c r="D1101" i="23"/>
  <c r="D1102" i="23"/>
  <c r="D1103" i="23"/>
  <c r="D1104" i="23"/>
  <c r="D1105" i="23"/>
  <c r="D1106" i="23"/>
  <c r="D1107" i="23"/>
  <c r="D1108" i="23"/>
  <c r="D1109" i="23"/>
  <c r="D1110" i="23"/>
  <c r="D1111" i="23"/>
  <c r="D1112" i="23"/>
  <c r="D1113" i="23"/>
  <c r="D1114" i="23"/>
  <c r="D1115" i="23"/>
  <c r="D1116" i="23"/>
  <c r="D1117" i="23"/>
  <c r="D1118" i="23"/>
  <c r="D1119" i="23"/>
  <c r="D1120" i="23"/>
  <c r="D1121" i="23"/>
  <c r="D1122" i="23"/>
  <c r="D1123" i="23"/>
  <c r="D1124" i="23"/>
  <c r="D1125" i="23"/>
  <c r="D1126" i="23"/>
  <c r="D1127" i="23"/>
  <c r="D1128" i="23"/>
  <c r="D1129" i="23"/>
  <c r="D1130" i="23"/>
  <c r="D1131" i="23"/>
  <c r="D1132" i="23"/>
  <c r="D1133" i="23"/>
  <c r="D1134" i="23"/>
  <c r="D1135" i="23"/>
  <c r="D1136" i="23"/>
  <c r="D1137" i="23"/>
  <c r="D1138" i="23"/>
  <c r="D1139" i="23"/>
  <c r="D1140" i="23"/>
  <c r="D1141" i="23"/>
  <c r="D1142" i="23"/>
  <c r="D1143" i="23"/>
  <c r="D1144" i="23"/>
  <c r="D1145" i="23"/>
  <c r="D1146" i="23"/>
  <c r="D1147" i="23"/>
  <c r="D1148" i="23"/>
  <c r="D1149" i="23"/>
  <c r="D1150" i="23"/>
  <c r="D1151" i="23"/>
  <c r="D1152" i="23"/>
  <c r="D1153" i="23"/>
  <c r="D1154" i="23"/>
  <c r="D1155" i="23"/>
  <c r="D1156" i="23"/>
  <c r="D1157" i="23"/>
  <c r="D1158" i="23"/>
  <c r="D1159" i="23"/>
  <c r="D1160" i="23"/>
  <c r="D1161" i="23"/>
  <c r="D1162" i="23"/>
  <c r="D1163" i="23"/>
  <c r="D1164" i="23"/>
  <c r="D1165" i="23"/>
  <c r="D1166" i="23"/>
  <c r="D1167" i="23"/>
  <c r="D1168" i="23"/>
  <c r="D1169" i="23"/>
  <c r="D1170" i="23"/>
  <c r="D1171" i="23"/>
  <c r="D1172" i="23"/>
  <c r="D1173" i="23"/>
  <c r="D1174" i="23"/>
  <c r="D1175" i="23"/>
  <c r="D1176" i="23"/>
  <c r="D1177" i="23"/>
  <c r="D1178" i="23"/>
  <c r="D1179" i="23"/>
  <c r="D1180" i="23"/>
  <c r="D1181" i="23"/>
  <c r="D1182" i="23"/>
  <c r="D1183" i="23"/>
  <c r="D1184" i="23"/>
  <c r="D1185" i="23"/>
  <c r="D1186" i="23"/>
  <c r="D1187" i="23"/>
  <c r="D1188" i="23"/>
  <c r="D1189" i="23"/>
  <c r="D1190" i="23"/>
  <c r="D1191" i="23"/>
  <c r="D1192" i="23"/>
  <c r="D1193" i="23"/>
  <c r="D1194" i="23"/>
  <c r="D1195" i="23"/>
  <c r="D1196" i="23"/>
  <c r="D1197" i="23"/>
  <c r="D1198" i="23"/>
  <c r="D1199" i="23"/>
  <c r="D1200" i="23"/>
  <c r="D1201" i="23"/>
  <c r="D1202" i="23"/>
  <c r="D1203" i="23"/>
  <c r="D1204" i="23"/>
  <c r="D1205" i="23"/>
  <c r="D1206" i="23"/>
  <c r="D1207" i="23"/>
  <c r="D1208" i="23"/>
  <c r="D1209" i="23"/>
  <c r="D1210" i="23"/>
  <c r="D1211" i="23"/>
  <c r="D1212" i="23"/>
  <c r="D1213" i="23"/>
  <c r="D1214" i="23"/>
  <c r="D1215" i="23"/>
  <c r="D1216" i="23"/>
  <c r="D1217" i="23"/>
  <c r="D1218" i="23"/>
  <c r="D1219" i="23"/>
  <c r="D1220" i="23"/>
  <c r="D1221" i="23"/>
  <c r="D1222" i="23"/>
  <c r="D1223" i="23"/>
  <c r="D1224" i="23"/>
  <c r="D1225" i="23"/>
  <c r="D1226" i="23"/>
  <c r="D1227" i="23"/>
  <c r="D1228" i="23"/>
  <c r="D1229" i="23"/>
  <c r="D1230" i="23"/>
  <c r="D1231" i="23"/>
  <c r="D1232" i="23"/>
  <c r="D1233" i="23"/>
  <c r="D1234" i="23"/>
  <c r="D1235" i="23"/>
  <c r="D1236" i="23"/>
  <c r="D1237" i="23"/>
  <c r="D1238" i="23"/>
  <c r="D1239" i="23"/>
  <c r="D1240" i="23"/>
  <c r="D1241" i="23"/>
  <c r="D1242" i="23"/>
  <c r="D1243" i="23"/>
  <c r="D1244" i="23"/>
  <c r="D1245" i="23"/>
  <c r="D1246" i="23"/>
  <c r="D1247" i="23"/>
  <c r="D1248" i="23"/>
  <c r="D1249" i="23"/>
  <c r="D1250" i="23"/>
  <c r="D1251" i="23"/>
  <c r="D1252" i="23"/>
  <c r="D1253" i="23"/>
  <c r="D1254" i="23"/>
  <c r="D1255" i="23"/>
  <c r="D1256" i="23"/>
  <c r="D1257" i="23"/>
  <c r="D1258" i="23"/>
  <c r="D1259" i="23"/>
  <c r="D1260" i="23"/>
  <c r="D1261" i="23"/>
  <c r="D1262" i="23"/>
  <c r="D1263" i="23"/>
  <c r="D1264" i="23"/>
  <c r="D1265" i="23"/>
  <c r="D1266" i="23"/>
  <c r="D1267" i="23"/>
  <c r="D1268" i="23"/>
  <c r="D1269" i="23"/>
  <c r="D1270" i="23"/>
  <c r="D1271" i="23"/>
  <c r="D1272" i="23"/>
  <c r="D1273" i="23"/>
  <c r="D1274" i="23"/>
  <c r="D1275" i="23"/>
  <c r="D1276" i="23"/>
  <c r="D1277" i="23"/>
  <c r="D1278" i="23"/>
  <c r="D1279" i="23"/>
  <c r="D1280" i="23"/>
  <c r="D1281" i="23"/>
  <c r="D1282" i="23"/>
  <c r="D1283" i="23"/>
  <c r="D1284" i="23"/>
  <c r="D1285" i="23"/>
  <c r="D1286" i="23"/>
  <c r="D1287" i="23"/>
  <c r="D1288" i="23"/>
  <c r="D1289" i="23"/>
  <c r="D1290" i="23"/>
  <c r="D1291" i="23"/>
  <c r="D1292" i="23"/>
  <c r="D1293" i="23"/>
  <c r="D1294" i="23"/>
  <c r="D1295" i="23"/>
  <c r="D1296" i="23"/>
  <c r="D1297" i="23"/>
  <c r="D1298" i="23"/>
  <c r="D1299" i="23"/>
  <c r="D1300" i="23"/>
  <c r="D1301" i="23"/>
  <c r="D1302" i="23"/>
  <c r="D1303" i="23"/>
  <c r="D1304" i="23"/>
  <c r="D1305" i="23"/>
  <c r="D1306" i="23"/>
  <c r="D1307" i="23"/>
  <c r="D1308" i="23"/>
  <c r="D1309" i="23"/>
  <c r="D1310" i="23"/>
  <c r="D1311" i="23"/>
  <c r="D1312" i="23"/>
  <c r="D1313" i="23"/>
  <c r="D1314" i="23"/>
  <c r="D1315" i="23"/>
  <c r="D1316" i="23"/>
  <c r="D1317" i="23"/>
  <c r="D1318" i="23"/>
  <c r="D1319" i="23"/>
  <c r="D1320" i="23"/>
  <c r="D1321" i="23"/>
  <c r="D1322" i="23"/>
  <c r="D1323" i="23"/>
  <c r="D1324" i="23"/>
  <c r="D1325" i="23"/>
  <c r="D1326" i="23"/>
  <c r="D1327" i="23"/>
  <c r="D1328" i="23"/>
  <c r="D1329" i="23"/>
  <c r="D1330" i="23"/>
  <c r="D1331" i="23"/>
  <c r="D1332" i="23"/>
  <c r="D1333" i="23"/>
  <c r="D1334" i="23"/>
  <c r="D1335" i="23"/>
  <c r="D1336" i="23"/>
  <c r="D1337" i="23"/>
  <c r="D1338" i="23"/>
  <c r="D1339" i="23"/>
  <c r="D1340" i="23"/>
  <c r="D1341" i="23"/>
  <c r="D1342" i="23"/>
  <c r="D1343" i="23"/>
  <c r="D1344" i="23"/>
  <c r="D1345" i="23"/>
  <c r="D1346" i="23"/>
  <c r="D1347" i="23"/>
  <c r="D1348" i="23"/>
  <c r="D1349" i="23"/>
  <c r="D1350" i="23"/>
  <c r="D1351" i="23"/>
  <c r="D1352" i="23"/>
  <c r="D1353" i="23"/>
  <c r="D1354" i="23"/>
  <c r="D1355" i="23"/>
  <c r="D1356" i="23"/>
  <c r="D1357" i="23"/>
  <c r="D1358" i="23"/>
  <c r="D1359" i="23"/>
  <c r="D1360" i="23"/>
  <c r="D1361" i="23"/>
  <c r="D1362" i="23"/>
  <c r="D1363" i="23"/>
  <c r="D1364" i="23"/>
  <c r="D1365" i="23"/>
  <c r="D1366" i="23"/>
  <c r="D1367" i="23"/>
  <c r="D1368" i="23"/>
  <c r="D1369" i="23"/>
  <c r="D1370" i="23"/>
  <c r="D1371" i="23"/>
  <c r="D1372" i="23"/>
  <c r="D1373" i="23"/>
  <c r="D1374" i="23"/>
  <c r="D1375" i="23"/>
  <c r="D1376" i="23"/>
  <c r="D1377" i="23"/>
  <c r="D1378" i="23"/>
  <c r="D1379" i="23"/>
  <c r="D1380" i="23"/>
  <c r="D1381" i="23"/>
  <c r="D1382" i="23"/>
  <c r="D1383" i="23"/>
  <c r="D1384" i="23"/>
  <c r="D1385" i="23"/>
  <c r="D1386" i="23"/>
  <c r="D1387" i="23"/>
  <c r="D1388" i="23"/>
  <c r="D1389" i="23"/>
  <c r="D1390" i="23"/>
  <c r="D1391" i="23"/>
  <c r="D1392" i="23"/>
  <c r="D1393" i="23"/>
  <c r="D1394" i="23"/>
  <c r="D1395" i="23"/>
  <c r="D1396" i="23"/>
  <c r="D1397" i="23"/>
  <c r="D1398" i="23"/>
  <c r="D1399" i="23"/>
  <c r="D1400" i="23"/>
  <c r="D1401" i="23"/>
  <c r="D1402" i="23"/>
  <c r="D1403" i="23"/>
  <c r="D1404" i="23"/>
  <c r="D1405" i="23"/>
  <c r="D1406" i="23"/>
  <c r="D1407" i="23"/>
  <c r="D1408" i="23"/>
  <c r="D1409" i="23"/>
  <c r="D1410" i="23"/>
  <c r="D1411" i="23"/>
  <c r="D1412" i="23"/>
  <c r="D1413" i="23"/>
  <c r="D1414" i="23"/>
  <c r="D1415" i="23"/>
  <c r="D1416" i="23"/>
  <c r="D1417" i="23"/>
  <c r="D1418" i="23"/>
  <c r="D1419" i="23"/>
  <c r="D1420" i="23"/>
  <c r="D1421" i="23"/>
  <c r="D1422" i="23"/>
  <c r="D1423" i="23"/>
  <c r="D1424" i="23"/>
  <c r="D1425" i="23"/>
  <c r="D1426" i="23"/>
  <c r="D1427" i="23"/>
  <c r="D1428" i="23"/>
  <c r="D1429" i="23"/>
  <c r="D1430" i="23"/>
  <c r="D1431" i="23"/>
  <c r="D1432" i="23"/>
  <c r="D1433" i="23"/>
  <c r="D1434" i="23"/>
  <c r="D1435" i="23"/>
  <c r="D1436" i="23"/>
  <c r="D1437" i="23"/>
  <c r="D1438" i="23"/>
  <c r="D1439" i="23"/>
  <c r="D1440" i="23"/>
  <c r="D1441" i="23"/>
  <c r="D1442" i="23"/>
  <c r="D1443" i="23"/>
  <c r="D1444" i="23"/>
  <c r="D1445" i="23"/>
  <c r="D1446" i="23"/>
  <c r="D1447" i="23"/>
  <c r="D1448" i="23"/>
  <c r="D1449" i="23"/>
  <c r="D1450" i="23"/>
  <c r="D1451" i="23"/>
  <c r="D1452" i="23"/>
  <c r="D1453" i="23"/>
  <c r="D1454" i="23"/>
  <c r="D1455" i="23"/>
  <c r="D1456" i="23"/>
  <c r="D1457" i="23"/>
  <c r="D1458" i="23"/>
  <c r="D1459" i="23"/>
  <c r="D1460" i="23"/>
  <c r="D1461" i="23"/>
  <c r="D1462" i="23"/>
  <c r="D1463" i="23"/>
  <c r="D1464" i="23"/>
  <c r="D1465" i="23"/>
  <c r="D1466" i="23"/>
  <c r="D1467" i="23"/>
  <c r="D1468" i="23"/>
  <c r="D1469" i="23"/>
  <c r="D1470" i="23"/>
  <c r="D1471" i="23"/>
  <c r="D1472" i="23"/>
  <c r="D1473" i="23"/>
  <c r="D1474" i="23"/>
  <c r="D1475" i="23"/>
  <c r="D1476" i="23"/>
  <c r="D1477" i="23"/>
  <c r="D1478" i="23"/>
  <c r="D1479" i="23"/>
  <c r="D1480" i="23"/>
  <c r="D1481" i="23"/>
  <c r="D1482" i="23"/>
  <c r="D1483" i="23"/>
  <c r="D1484" i="23"/>
  <c r="D1485" i="23"/>
  <c r="D1486" i="23"/>
  <c r="D1487" i="23"/>
  <c r="D1488" i="23"/>
  <c r="D1489" i="23"/>
  <c r="D1490" i="23"/>
  <c r="D1491" i="23"/>
  <c r="D1492" i="23"/>
  <c r="D1493" i="23"/>
  <c r="D1494" i="23"/>
  <c r="D1495" i="23"/>
  <c r="D1496" i="23"/>
  <c r="D1497" i="23"/>
  <c r="D1498" i="23"/>
  <c r="D1499" i="23"/>
  <c r="D1500" i="23"/>
  <c r="D1501" i="23"/>
  <c r="D1502" i="23"/>
  <c r="D1503" i="23"/>
  <c r="D1504" i="23"/>
  <c r="D1505" i="23"/>
  <c r="D1506" i="23"/>
  <c r="D1507" i="23"/>
  <c r="D1508" i="23"/>
  <c r="D1509" i="23"/>
  <c r="D1510" i="23"/>
  <c r="D1511" i="23"/>
  <c r="D1512" i="23"/>
  <c r="D1513" i="23"/>
  <c r="D1514" i="23"/>
  <c r="D1515" i="23"/>
  <c r="D1516" i="23"/>
  <c r="D1517" i="23"/>
  <c r="D1518" i="23"/>
  <c r="D1519" i="23"/>
  <c r="D1520" i="23"/>
  <c r="D1521" i="23"/>
  <c r="D1522" i="23"/>
  <c r="D1523" i="23"/>
  <c r="D1524" i="23"/>
  <c r="D1525" i="23"/>
  <c r="D1526" i="23"/>
  <c r="D1527" i="23"/>
  <c r="D1528" i="23"/>
  <c r="D1529" i="23"/>
  <c r="D1530" i="23"/>
  <c r="D1531" i="23"/>
  <c r="D1532" i="23"/>
  <c r="D1533" i="23"/>
  <c r="D1534" i="23"/>
  <c r="D1535" i="23"/>
  <c r="D1536" i="23"/>
  <c r="D1537" i="23"/>
  <c r="D1538" i="23"/>
  <c r="D1539" i="23"/>
  <c r="D1540" i="23"/>
  <c r="D1541" i="23"/>
  <c r="D1542" i="23"/>
  <c r="D1543" i="23"/>
  <c r="D1544" i="23"/>
  <c r="D1545" i="23"/>
  <c r="D1546" i="23"/>
  <c r="D1547" i="23"/>
  <c r="D1548" i="23"/>
  <c r="D1549" i="23"/>
  <c r="D1550" i="23"/>
  <c r="D1551" i="23"/>
  <c r="D1552" i="23"/>
  <c r="D1553" i="23"/>
  <c r="D1554" i="23"/>
  <c r="D1555" i="23"/>
  <c r="D1556" i="23"/>
  <c r="D1557" i="23"/>
  <c r="D1558" i="23"/>
  <c r="D1559" i="23"/>
  <c r="D1560" i="23"/>
  <c r="D1561" i="23"/>
  <c r="D1562" i="23"/>
  <c r="D1563" i="23"/>
  <c r="D1564" i="23"/>
  <c r="D1565" i="23"/>
  <c r="D1566" i="23"/>
  <c r="D1567" i="23"/>
  <c r="D1568" i="23"/>
  <c r="D1569" i="23"/>
  <c r="D1570" i="23"/>
  <c r="D1571" i="23"/>
  <c r="D1572" i="23"/>
  <c r="D1573" i="23"/>
  <c r="D1574" i="23"/>
  <c r="D1575" i="23"/>
  <c r="D1576" i="23"/>
  <c r="D1577" i="23"/>
  <c r="D1578" i="23"/>
  <c r="D1579" i="23"/>
  <c r="D1580" i="23"/>
  <c r="D1581" i="23"/>
  <c r="D1582" i="23"/>
  <c r="D1583" i="23"/>
  <c r="D1584" i="23"/>
  <c r="D1585" i="23"/>
  <c r="D1586" i="23"/>
  <c r="D1587" i="23"/>
  <c r="D1588" i="23"/>
  <c r="D1589" i="23"/>
  <c r="D1590" i="23"/>
  <c r="D1591" i="23"/>
  <c r="D1592" i="23"/>
  <c r="D1593" i="23"/>
  <c r="D1594" i="23"/>
  <c r="D1595" i="23"/>
  <c r="D1596" i="23"/>
  <c r="D1597" i="23"/>
  <c r="D1598" i="23"/>
  <c r="D1599" i="23"/>
  <c r="D1600" i="23"/>
  <c r="D1601" i="23"/>
  <c r="D1602" i="23"/>
  <c r="D1603" i="23"/>
  <c r="D1604" i="23"/>
  <c r="D1605" i="23"/>
  <c r="D1606" i="23"/>
  <c r="D1607" i="23"/>
  <c r="D1608" i="23"/>
  <c r="D1609" i="23"/>
  <c r="D1610" i="23"/>
  <c r="D1611" i="23"/>
  <c r="D1612" i="23"/>
  <c r="D1613" i="23"/>
  <c r="D1614" i="23"/>
  <c r="D1615" i="23"/>
  <c r="D1616" i="23"/>
  <c r="D1617" i="23"/>
  <c r="D1618" i="23"/>
  <c r="D1619" i="23"/>
  <c r="D1620" i="23"/>
  <c r="D1621" i="23"/>
  <c r="D1622" i="23"/>
  <c r="D1623" i="23"/>
  <c r="D1624" i="23"/>
  <c r="D1625" i="23"/>
  <c r="D1626" i="23"/>
  <c r="D1627" i="23"/>
  <c r="D1628" i="23"/>
  <c r="D1629" i="23"/>
  <c r="D1630" i="23"/>
  <c r="D1631" i="23"/>
  <c r="D1632" i="23"/>
  <c r="D1633" i="23"/>
  <c r="D1634" i="23"/>
  <c r="D1635" i="23"/>
  <c r="D1636" i="23"/>
  <c r="D1637" i="23"/>
  <c r="D1638" i="23"/>
  <c r="D1639" i="23"/>
  <c r="D1640" i="23"/>
  <c r="D1641" i="23"/>
  <c r="D1642" i="23"/>
  <c r="D1643" i="23"/>
  <c r="D1644" i="23"/>
  <c r="D1645" i="23"/>
  <c r="D1646" i="23"/>
  <c r="D1647" i="23"/>
  <c r="D1648" i="23"/>
  <c r="D1649" i="23"/>
  <c r="D1650" i="23"/>
  <c r="D1651" i="23"/>
  <c r="D1652" i="23"/>
  <c r="D1653" i="23"/>
  <c r="D1654" i="23"/>
  <c r="D1655" i="23"/>
  <c r="D1656" i="23"/>
  <c r="D1657" i="23"/>
  <c r="D1658" i="23"/>
  <c r="D1659" i="23"/>
  <c r="D1660" i="23"/>
  <c r="D1661" i="23"/>
  <c r="D1662" i="23"/>
  <c r="D1663" i="23"/>
  <c r="D1664" i="23"/>
  <c r="D1665" i="23"/>
  <c r="D1666" i="23"/>
  <c r="D1667" i="23"/>
  <c r="D1668" i="23"/>
  <c r="D1669" i="23"/>
  <c r="D1670" i="23"/>
  <c r="D1671" i="23"/>
  <c r="D1672" i="23"/>
  <c r="D1673" i="23"/>
  <c r="D1674" i="23"/>
  <c r="D1675" i="23"/>
  <c r="D1676" i="23"/>
  <c r="D1677" i="23"/>
  <c r="D1678" i="23"/>
  <c r="D1679" i="23"/>
  <c r="D1680" i="23"/>
  <c r="D1681" i="23"/>
  <c r="D1682" i="23"/>
  <c r="D1683" i="23"/>
  <c r="D1684" i="23"/>
  <c r="D1685" i="23"/>
  <c r="D1686" i="23"/>
  <c r="D1687" i="23"/>
  <c r="D1688" i="23"/>
  <c r="D1689" i="23"/>
  <c r="D1690" i="23"/>
  <c r="D1691" i="23"/>
  <c r="D1692" i="23"/>
  <c r="D1693" i="23"/>
  <c r="D1694" i="23"/>
  <c r="D1695" i="23"/>
  <c r="D1696" i="23"/>
  <c r="D1697" i="23"/>
  <c r="D1698" i="23"/>
  <c r="D1699" i="23"/>
  <c r="D1700" i="23"/>
  <c r="D1701" i="23"/>
  <c r="D1702" i="23"/>
  <c r="D1703" i="23"/>
  <c r="D1704" i="23"/>
  <c r="D1705" i="23"/>
  <c r="D1706" i="23"/>
  <c r="D1707" i="23"/>
  <c r="D1708" i="23"/>
  <c r="D1709" i="23"/>
  <c r="D1710" i="23"/>
  <c r="D1711" i="23"/>
  <c r="D1712" i="23"/>
  <c r="D1713" i="23"/>
  <c r="D1714" i="23"/>
  <c r="D1715" i="23"/>
  <c r="D1716" i="23"/>
  <c r="D1717" i="23"/>
  <c r="D1718" i="23"/>
  <c r="D1719" i="23"/>
  <c r="D1720" i="23"/>
  <c r="D1721" i="23"/>
  <c r="D1722" i="23"/>
  <c r="D1723" i="23"/>
  <c r="D1724" i="23"/>
  <c r="D1725" i="23"/>
  <c r="D1726" i="23"/>
  <c r="D1727" i="23"/>
  <c r="D1728" i="23"/>
  <c r="D1729" i="23"/>
  <c r="D1730" i="23"/>
  <c r="D1731" i="23"/>
  <c r="D1732" i="23"/>
  <c r="D1733" i="23"/>
  <c r="D1734" i="23"/>
  <c r="D1735" i="23"/>
  <c r="D1736" i="23"/>
  <c r="D1737" i="23"/>
  <c r="D1738" i="23"/>
  <c r="D1739" i="23"/>
  <c r="D1740" i="23"/>
  <c r="D1741" i="23"/>
  <c r="D1742" i="23"/>
  <c r="D1743" i="23"/>
  <c r="D1744" i="23"/>
  <c r="D1745" i="23"/>
  <c r="D1746" i="23"/>
  <c r="D1747" i="23"/>
  <c r="D1748" i="23"/>
  <c r="D1749" i="23"/>
  <c r="D1750" i="23"/>
  <c r="D1751" i="23"/>
  <c r="D1752" i="23"/>
  <c r="D1753" i="23"/>
  <c r="D1754" i="23"/>
  <c r="D1755" i="23"/>
  <c r="D1756" i="23"/>
  <c r="D1757" i="23"/>
  <c r="D1758" i="23"/>
  <c r="D1759" i="23"/>
  <c r="D1760" i="23"/>
  <c r="D1761" i="23"/>
  <c r="D1762" i="23"/>
  <c r="D1763" i="23"/>
  <c r="D1764" i="23"/>
  <c r="D1765" i="23"/>
  <c r="D1766" i="23"/>
  <c r="D1767" i="23"/>
  <c r="D1768" i="23"/>
  <c r="D1769" i="23"/>
  <c r="D1770" i="23"/>
  <c r="D1771" i="23"/>
  <c r="D1772" i="23"/>
  <c r="D1773" i="23"/>
  <c r="D1774" i="23"/>
  <c r="D1775" i="23"/>
  <c r="D1776" i="23"/>
  <c r="D1777" i="23"/>
  <c r="D1778" i="23"/>
  <c r="D1779" i="23"/>
  <c r="D1780" i="23"/>
  <c r="D1781" i="23"/>
  <c r="D1782" i="23"/>
  <c r="D1783" i="23"/>
  <c r="D1784" i="23"/>
  <c r="D1785" i="23"/>
  <c r="D1786" i="23"/>
  <c r="D1787" i="23"/>
  <c r="D1788" i="23"/>
  <c r="D1789" i="23"/>
  <c r="D1790" i="23"/>
  <c r="D1791" i="23"/>
  <c r="D1792" i="23"/>
  <c r="D1793" i="23"/>
  <c r="D1794" i="23"/>
  <c r="D1795" i="23"/>
  <c r="D1796" i="23"/>
  <c r="D1797" i="23"/>
  <c r="D1798" i="23"/>
  <c r="D1799" i="23"/>
  <c r="D1800" i="23"/>
  <c r="D1801" i="23"/>
  <c r="D1802" i="23"/>
  <c r="D1803" i="23"/>
  <c r="D1804" i="23"/>
  <c r="D1805" i="23"/>
  <c r="D1806" i="23"/>
  <c r="D1807" i="23"/>
  <c r="D1808" i="23"/>
  <c r="D1809" i="23"/>
  <c r="D1810" i="23"/>
  <c r="D1811" i="23"/>
  <c r="D1812" i="23"/>
  <c r="D1813" i="23"/>
  <c r="D1814" i="23"/>
  <c r="D1815" i="23"/>
  <c r="D1816" i="23"/>
  <c r="D1817" i="23"/>
  <c r="D1818" i="23"/>
  <c r="D1819" i="23"/>
  <c r="D1820" i="23"/>
  <c r="D1821" i="23"/>
  <c r="D1822" i="23"/>
  <c r="D1823" i="23"/>
  <c r="D1824" i="23"/>
  <c r="D1825" i="23"/>
  <c r="D1826" i="23"/>
  <c r="D1827" i="23"/>
  <c r="D1828" i="23"/>
  <c r="D1829" i="23"/>
  <c r="D1830" i="23"/>
  <c r="D1831" i="23"/>
  <c r="D1832" i="23"/>
  <c r="D1833" i="23"/>
  <c r="D1834" i="23"/>
  <c r="D1835" i="23"/>
  <c r="D1836" i="23"/>
  <c r="D1837" i="23"/>
  <c r="D1838" i="23"/>
  <c r="D1839" i="23"/>
  <c r="D1840" i="23"/>
  <c r="D1841" i="23"/>
  <c r="D1842" i="23"/>
  <c r="D1843" i="23"/>
  <c r="D1844" i="23"/>
  <c r="D1845" i="23"/>
  <c r="D1846" i="23"/>
  <c r="D1847" i="23"/>
  <c r="D1848" i="23"/>
  <c r="D1849" i="23"/>
  <c r="D1850" i="23"/>
  <c r="D1851" i="23"/>
  <c r="D1852" i="23"/>
  <c r="D1853" i="23"/>
  <c r="D1854" i="23"/>
  <c r="D1855" i="23"/>
  <c r="D1856" i="23"/>
  <c r="D1857" i="23"/>
  <c r="D1858" i="23"/>
  <c r="D1859" i="23"/>
  <c r="D1860" i="23"/>
  <c r="D1861" i="23"/>
  <c r="D1862" i="23"/>
  <c r="D1863" i="23"/>
  <c r="D1864" i="23"/>
  <c r="D1865" i="23"/>
  <c r="D1866" i="23"/>
  <c r="D1867" i="23"/>
  <c r="D1868" i="23"/>
  <c r="D1869" i="23"/>
  <c r="D1870" i="23"/>
  <c r="D1871" i="23"/>
  <c r="D1872" i="23"/>
  <c r="D1873" i="23"/>
  <c r="D1874" i="23"/>
  <c r="D1875" i="23"/>
  <c r="D1876" i="23"/>
  <c r="D1877" i="23"/>
  <c r="D1878" i="23"/>
  <c r="D1879" i="23"/>
  <c r="D1880" i="23"/>
  <c r="D1881" i="23"/>
  <c r="D1882" i="23"/>
  <c r="D1883" i="23"/>
  <c r="D1884" i="23"/>
  <c r="D1885" i="23"/>
  <c r="D1886" i="23"/>
  <c r="D1887" i="23"/>
  <c r="D1888" i="23"/>
  <c r="D1889" i="23"/>
  <c r="D1890" i="23"/>
  <c r="D1891" i="23"/>
  <c r="D1892" i="23"/>
  <c r="D1893" i="23"/>
  <c r="D1894" i="23"/>
  <c r="D1895" i="23"/>
  <c r="D1896" i="23"/>
  <c r="D1897" i="23"/>
  <c r="D1898" i="23"/>
  <c r="D1899" i="23"/>
  <c r="D1900" i="23"/>
  <c r="D1901" i="23"/>
  <c r="D1902" i="23"/>
  <c r="D1903" i="23"/>
  <c r="D1904" i="23"/>
  <c r="D1905" i="23"/>
  <c r="D1906" i="23"/>
  <c r="D1907" i="23"/>
  <c r="D1908" i="23"/>
  <c r="D1909" i="23"/>
  <c r="D1910" i="23"/>
  <c r="D1911" i="23"/>
  <c r="D1912" i="23"/>
  <c r="D1913" i="23"/>
  <c r="D1914" i="23"/>
  <c r="D1915" i="23"/>
  <c r="D1916" i="23"/>
  <c r="D1917" i="23"/>
  <c r="D1918" i="23"/>
  <c r="D1919" i="23"/>
  <c r="D1920" i="23"/>
  <c r="D1921" i="23"/>
  <c r="D1922" i="23"/>
  <c r="D1923" i="23"/>
  <c r="D1924" i="23"/>
  <c r="D1925" i="23"/>
  <c r="D1926" i="23"/>
  <c r="D1927" i="23"/>
  <c r="D1928" i="23"/>
  <c r="D1929" i="23"/>
  <c r="D1930" i="23"/>
  <c r="D1931" i="23"/>
  <c r="D1932" i="23"/>
  <c r="D1933" i="23"/>
  <c r="D1934" i="23"/>
  <c r="D1935" i="23"/>
  <c r="D1936" i="23"/>
  <c r="D1937" i="23"/>
  <c r="D1938" i="23"/>
  <c r="D1939" i="23"/>
  <c r="D1940" i="23"/>
  <c r="D1941" i="23"/>
  <c r="D1942" i="23"/>
  <c r="D1943" i="23"/>
  <c r="D1944" i="23"/>
  <c r="D1945" i="23"/>
  <c r="D1946" i="23"/>
  <c r="D1947" i="23"/>
  <c r="D1948" i="23"/>
  <c r="D1949" i="23"/>
  <c r="D1950" i="23"/>
  <c r="D1951" i="23"/>
  <c r="D1952" i="23"/>
  <c r="D1953" i="23"/>
  <c r="D1954" i="23"/>
  <c r="D1955" i="23"/>
  <c r="D1956" i="23"/>
  <c r="D1957" i="23"/>
  <c r="D1958" i="23"/>
  <c r="D1959" i="23"/>
  <c r="D1960" i="23"/>
  <c r="D1961" i="23"/>
  <c r="D1962" i="23"/>
  <c r="D1963" i="23"/>
  <c r="D1964" i="23"/>
  <c r="D1965" i="23"/>
  <c r="D1966" i="23"/>
  <c r="D1967" i="23"/>
  <c r="D1968" i="23"/>
  <c r="D1969" i="23"/>
  <c r="D1970" i="23"/>
  <c r="D1971" i="23"/>
  <c r="D1972" i="23"/>
  <c r="D1973" i="23"/>
  <c r="D1974" i="23"/>
  <c r="D1975" i="23"/>
  <c r="D1976" i="23"/>
  <c r="D1977" i="23"/>
  <c r="D1978" i="23"/>
  <c r="D1979" i="23"/>
  <c r="D1980" i="23"/>
  <c r="D1981" i="23"/>
  <c r="D1982" i="23"/>
  <c r="D1983" i="23"/>
  <c r="D1984" i="23"/>
  <c r="D1985" i="23"/>
  <c r="D1986" i="23"/>
  <c r="D1987" i="23"/>
  <c r="D1988" i="23"/>
  <c r="D1989" i="23"/>
  <c r="D1990" i="23"/>
  <c r="D1991" i="23"/>
  <c r="D1992" i="23"/>
  <c r="D1993" i="23"/>
  <c r="D1994" i="23"/>
  <c r="D1995" i="23"/>
  <c r="D1996" i="23"/>
  <c r="D1997" i="23"/>
  <c r="D1998" i="23"/>
  <c r="D1999" i="23"/>
  <c r="D2000" i="23"/>
  <c r="D2001" i="23"/>
  <c r="D2002" i="23"/>
  <c r="D2003" i="23"/>
  <c r="D2004" i="23"/>
  <c r="D2005" i="23"/>
  <c r="D2006" i="23"/>
  <c r="D2007" i="23"/>
  <c r="D2008" i="23"/>
  <c r="D2009" i="23"/>
  <c r="D2010" i="23"/>
  <c r="D2011" i="23"/>
  <c r="D2012" i="23"/>
  <c r="D2013" i="23"/>
  <c r="D2014" i="23"/>
  <c r="D2015" i="23"/>
  <c r="D2016" i="23"/>
  <c r="D2017" i="23"/>
  <c r="D2018" i="23"/>
  <c r="D2019" i="23"/>
  <c r="D2020" i="23"/>
  <c r="D2021" i="23"/>
  <c r="D2022" i="23"/>
  <c r="D2023" i="23"/>
  <c r="D2024" i="23"/>
  <c r="D2025" i="23"/>
  <c r="D2026" i="23"/>
  <c r="D2027" i="23"/>
  <c r="D2028" i="23"/>
  <c r="D2029" i="23"/>
  <c r="D2030" i="23"/>
  <c r="D2031" i="23"/>
  <c r="D2032" i="23"/>
  <c r="D2033" i="23"/>
  <c r="D2034" i="23"/>
  <c r="D2035" i="23"/>
  <c r="D2036" i="23"/>
  <c r="D2037" i="23"/>
  <c r="D2038" i="23"/>
  <c r="D2039" i="23"/>
  <c r="D2040" i="23"/>
  <c r="D2041" i="23"/>
  <c r="D2042" i="23"/>
  <c r="D2043" i="23"/>
  <c r="D2044" i="23"/>
  <c r="D2045" i="23"/>
  <c r="D2046" i="23"/>
  <c r="D2047" i="23"/>
  <c r="D2048" i="23"/>
  <c r="D2049" i="23"/>
  <c r="D2050" i="23"/>
  <c r="D2051" i="23"/>
  <c r="D2052" i="23"/>
  <c r="D2053" i="23"/>
  <c r="D2054" i="23"/>
  <c r="D2055" i="23"/>
  <c r="D2056" i="23"/>
  <c r="D2057" i="23"/>
  <c r="D2058" i="23"/>
  <c r="D2059" i="23"/>
  <c r="D2060" i="23"/>
  <c r="D2061" i="23"/>
  <c r="D2062" i="23"/>
  <c r="D2063" i="23"/>
  <c r="D2064" i="23"/>
  <c r="D2065" i="23"/>
  <c r="D2066" i="23"/>
  <c r="D2067" i="23"/>
  <c r="D2068" i="23"/>
  <c r="D2069" i="23"/>
  <c r="D2070" i="23"/>
  <c r="D2071" i="23"/>
  <c r="D2072" i="23"/>
  <c r="D2073" i="23"/>
  <c r="D2074" i="23"/>
  <c r="D2075" i="23"/>
  <c r="D2076" i="23"/>
  <c r="D2077" i="23"/>
  <c r="D2078" i="23"/>
  <c r="D2079" i="23"/>
  <c r="D2080" i="23"/>
  <c r="D2081" i="23"/>
  <c r="D2082" i="23"/>
  <c r="D2083" i="23"/>
  <c r="D2084" i="23"/>
  <c r="D2085" i="23"/>
  <c r="D2086" i="23"/>
  <c r="D2087" i="23"/>
  <c r="D2088" i="23"/>
  <c r="D2089" i="23"/>
  <c r="D2090" i="23"/>
  <c r="D2091" i="23"/>
  <c r="D2092" i="23"/>
  <c r="D2093" i="23"/>
  <c r="D2094" i="23"/>
  <c r="D2095" i="23"/>
  <c r="D2096" i="23"/>
  <c r="D2097" i="23"/>
  <c r="D2098" i="23"/>
  <c r="D2099" i="23"/>
  <c r="D2100" i="23"/>
  <c r="D2101" i="23"/>
  <c r="D2102" i="23"/>
  <c r="D2103" i="23"/>
  <c r="D2104" i="23"/>
  <c r="D2105" i="23"/>
  <c r="D2106" i="23"/>
  <c r="D2107" i="23"/>
  <c r="D2108" i="23"/>
  <c r="D2109" i="23"/>
  <c r="D2110" i="23"/>
  <c r="D2111" i="23"/>
  <c r="D2112" i="23"/>
  <c r="D2113" i="23"/>
  <c r="D2114" i="23"/>
  <c r="D2115" i="23"/>
  <c r="D2116" i="23"/>
  <c r="D2117" i="23"/>
  <c r="D2118" i="23"/>
  <c r="D2119" i="23"/>
  <c r="D2120" i="23"/>
  <c r="D2121" i="23"/>
  <c r="D2122" i="23"/>
  <c r="D2123" i="23"/>
  <c r="D2124" i="23"/>
  <c r="D2125" i="23"/>
  <c r="D2126" i="23"/>
  <c r="D2127" i="23"/>
  <c r="D2128" i="23"/>
  <c r="D2129" i="23"/>
  <c r="D2130" i="23"/>
  <c r="D2131" i="23"/>
  <c r="D2132" i="23"/>
  <c r="D2133" i="23"/>
  <c r="D2134" i="23"/>
  <c r="D2135" i="23"/>
  <c r="D2136" i="23"/>
  <c r="D2137" i="23"/>
  <c r="D2138" i="23"/>
  <c r="D2139" i="23"/>
  <c r="D2140" i="23"/>
  <c r="D2141" i="23"/>
  <c r="D2142" i="23"/>
  <c r="D2143" i="23"/>
  <c r="D2144" i="23"/>
  <c r="D2145" i="23"/>
  <c r="D2146" i="23"/>
  <c r="D2147" i="23"/>
  <c r="D2148" i="23"/>
  <c r="D2149" i="23"/>
  <c r="D2150" i="23"/>
  <c r="D2151" i="23"/>
  <c r="D2152" i="23"/>
  <c r="D2153" i="23"/>
  <c r="D2154" i="23"/>
  <c r="D2155" i="23"/>
  <c r="D2156" i="23"/>
  <c r="D2157" i="23"/>
  <c r="D2158" i="23"/>
  <c r="D2159" i="23"/>
  <c r="D2160" i="23"/>
  <c r="D2161" i="23"/>
  <c r="D2162" i="23"/>
  <c r="D2163" i="23"/>
  <c r="D2164" i="23"/>
  <c r="D2165" i="23"/>
  <c r="D2166" i="23"/>
  <c r="D2167" i="23"/>
  <c r="D2168" i="23"/>
  <c r="D2169" i="23"/>
  <c r="D2170" i="23"/>
  <c r="D2171" i="23"/>
  <c r="D2172" i="23"/>
  <c r="D2173" i="23"/>
  <c r="D2174" i="23"/>
  <c r="D2175" i="23"/>
  <c r="D2176" i="23"/>
  <c r="D2177" i="23"/>
  <c r="D2178" i="23"/>
  <c r="D2179" i="23"/>
  <c r="D2180" i="23"/>
  <c r="D2181" i="23"/>
  <c r="D2182" i="23"/>
  <c r="D2183" i="23"/>
  <c r="D2184" i="23"/>
  <c r="D2185" i="23"/>
  <c r="D2186" i="23"/>
  <c r="D2187" i="23"/>
  <c r="D2188" i="23"/>
  <c r="D2189" i="23"/>
  <c r="D2190" i="23"/>
  <c r="D2191" i="23"/>
  <c r="D2192" i="23"/>
  <c r="D2193" i="23"/>
  <c r="D2194" i="23"/>
  <c r="D2195" i="23"/>
  <c r="D2196" i="23"/>
  <c r="D2197" i="23"/>
  <c r="D2198" i="23"/>
  <c r="D2199" i="23"/>
  <c r="D2200" i="23"/>
  <c r="D2201" i="23"/>
  <c r="D2202" i="23"/>
  <c r="D2203" i="23"/>
  <c r="D2204" i="23"/>
  <c r="D2205" i="23"/>
  <c r="D2206" i="23"/>
  <c r="D2207" i="23"/>
  <c r="D2208" i="23"/>
  <c r="D2209" i="23"/>
  <c r="D2210" i="23"/>
  <c r="D2211" i="23"/>
  <c r="D2212" i="23"/>
  <c r="D2213" i="23"/>
  <c r="D2214" i="23"/>
  <c r="D2215" i="23"/>
  <c r="D2216" i="23"/>
  <c r="D2217" i="23"/>
  <c r="D2218" i="23"/>
  <c r="D2219" i="23"/>
  <c r="D2220" i="23"/>
  <c r="D2221" i="23"/>
  <c r="D2222" i="23"/>
  <c r="D2223" i="23"/>
  <c r="D2224" i="23"/>
  <c r="D2225" i="23"/>
  <c r="D2226" i="23"/>
  <c r="D2227" i="23"/>
  <c r="D2228" i="23"/>
  <c r="D2229" i="23"/>
  <c r="D2230" i="23"/>
  <c r="D2231" i="23"/>
  <c r="D2232" i="23"/>
  <c r="D2233" i="23"/>
  <c r="D2234" i="23"/>
  <c r="D2235" i="23"/>
  <c r="D2236" i="23"/>
  <c r="D2237" i="23"/>
  <c r="D2238" i="23"/>
  <c r="D2239" i="23"/>
  <c r="D2240" i="23"/>
  <c r="D2241" i="23"/>
  <c r="D2242" i="23"/>
  <c r="D2243" i="23"/>
  <c r="D2244" i="23"/>
  <c r="D2245" i="23"/>
  <c r="D2246" i="23"/>
  <c r="D2247" i="23"/>
  <c r="D2248" i="23"/>
  <c r="D2249" i="23"/>
  <c r="D2250" i="23"/>
  <c r="D2251" i="23"/>
  <c r="D2252" i="23"/>
  <c r="D2253" i="23"/>
  <c r="D2254" i="23"/>
  <c r="D2255" i="23"/>
  <c r="D2256" i="23"/>
  <c r="D2257" i="23"/>
  <c r="D2258" i="23"/>
  <c r="D2259" i="23"/>
  <c r="D2260" i="23"/>
  <c r="D2261" i="23"/>
  <c r="D2262" i="23"/>
  <c r="D2263" i="23"/>
  <c r="D2264" i="23"/>
  <c r="D2265" i="23"/>
  <c r="D2266" i="23"/>
  <c r="D2267" i="23"/>
  <c r="D2268" i="23"/>
  <c r="D2269" i="23"/>
  <c r="D2270" i="23"/>
  <c r="D2271" i="23"/>
  <c r="D2272" i="23"/>
  <c r="D2273" i="23"/>
  <c r="D2274" i="23"/>
  <c r="D2275" i="23"/>
  <c r="D2276" i="23"/>
  <c r="D2277" i="23"/>
  <c r="D2278" i="23"/>
  <c r="D2279" i="23"/>
  <c r="D2280" i="23"/>
  <c r="D2281" i="23"/>
  <c r="D2282" i="23"/>
  <c r="D2283" i="23"/>
  <c r="D2284" i="23"/>
  <c r="D2285" i="23"/>
  <c r="D2286" i="23"/>
  <c r="D2287" i="23"/>
  <c r="D2288" i="23"/>
  <c r="D2289" i="23"/>
  <c r="D2290" i="23"/>
  <c r="D2291" i="23"/>
  <c r="D2292" i="23"/>
  <c r="D2293" i="23"/>
  <c r="D2294" i="23"/>
  <c r="D2295" i="23"/>
  <c r="D2296" i="23"/>
  <c r="D2297" i="23"/>
  <c r="D2298" i="23"/>
  <c r="D2299" i="23"/>
  <c r="D2300" i="23"/>
  <c r="D2301" i="23"/>
  <c r="D2302" i="23"/>
  <c r="D2303" i="23"/>
  <c r="D2304" i="23"/>
  <c r="D2305" i="23"/>
  <c r="D2306" i="23"/>
  <c r="D2307" i="23"/>
  <c r="D2308" i="23"/>
  <c r="D2309" i="23"/>
  <c r="D2310" i="23"/>
  <c r="D2311" i="23"/>
  <c r="D2312" i="23"/>
  <c r="D2313" i="23"/>
  <c r="D2314" i="23"/>
  <c r="D2315" i="23"/>
  <c r="D2316" i="23"/>
  <c r="D2317" i="23"/>
  <c r="D2318" i="23"/>
  <c r="D2319" i="23"/>
  <c r="D2320" i="23"/>
  <c r="D2321" i="23"/>
  <c r="D2322" i="23"/>
  <c r="D2323" i="23"/>
  <c r="D2324" i="23"/>
  <c r="D2325" i="23"/>
  <c r="D2326" i="23"/>
  <c r="D2327" i="23"/>
  <c r="D2328" i="23"/>
  <c r="D2329" i="23"/>
  <c r="D2330" i="23"/>
  <c r="D2331" i="23"/>
  <c r="D2332" i="23"/>
  <c r="D2333" i="23"/>
  <c r="D2334" i="23"/>
  <c r="D2335" i="23"/>
  <c r="D2336" i="23"/>
  <c r="D2337" i="23"/>
  <c r="D2338" i="23"/>
  <c r="D2339" i="23"/>
  <c r="D2340" i="23"/>
  <c r="D2341" i="23"/>
  <c r="D2342" i="23"/>
  <c r="D2343" i="23"/>
  <c r="D2344" i="23"/>
  <c r="D2345" i="23"/>
  <c r="D2346" i="23"/>
  <c r="D2347" i="23"/>
  <c r="D2348" i="23"/>
  <c r="D2349" i="23"/>
  <c r="D2350" i="23"/>
  <c r="D2351" i="23"/>
  <c r="D2352" i="23"/>
  <c r="D2353" i="23"/>
  <c r="D2354" i="23"/>
  <c r="D2355" i="23"/>
  <c r="D2356" i="23"/>
  <c r="D2357" i="23"/>
  <c r="D2358" i="23"/>
  <c r="D2359" i="23"/>
  <c r="D2360" i="23"/>
  <c r="D2361" i="23"/>
  <c r="D2362" i="23"/>
  <c r="D2363" i="23"/>
  <c r="D2364" i="23"/>
  <c r="D2365" i="23"/>
  <c r="D2366" i="23"/>
  <c r="D2367" i="23"/>
  <c r="D2368" i="23"/>
  <c r="D2369" i="23"/>
  <c r="D2370" i="23"/>
  <c r="D2371" i="23"/>
  <c r="D2372" i="23"/>
  <c r="D2373" i="23"/>
  <c r="D2374" i="23"/>
  <c r="D2375" i="23"/>
  <c r="D2376" i="23"/>
  <c r="D2377" i="23"/>
  <c r="D2378" i="23"/>
  <c r="D2379" i="23"/>
  <c r="D2380" i="23"/>
  <c r="D2381" i="23"/>
  <c r="D2382" i="23"/>
  <c r="D2383" i="23"/>
  <c r="D2384" i="23"/>
  <c r="D2385" i="23"/>
  <c r="D2386" i="23"/>
  <c r="D2387" i="23"/>
  <c r="D2388" i="23"/>
  <c r="D2389" i="23"/>
  <c r="D2390" i="23"/>
  <c r="D2391" i="23"/>
  <c r="D2392" i="23"/>
  <c r="D2393" i="23"/>
  <c r="D2394" i="23"/>
  <c r="D2395" i="23"/>
  <c r="D2396" i="23"/>
  <c r="D2397" i="23"/>
  <c r="D2398" i="23"/>
  <c r="D2399" i="23"/>
  <c r="D2400" i="23"/>
  <c r="D2401" i="23"/>
  <c r="D2402" i="23"/>
  <c r="D2403" i="23"/>
  <c r="D2404" i="23"/>
  <c r="D2405" i="23"/>
  <c r="D2406" i="23"/>
  <c r="D2407" i="23"/>
  <c r="D2408" i="23"/>
  <c r="D2409" i="23"/>
  <c r="D2410" i="23"/>
  <c r="D2411" i="23"/>
  <c r="D2412" i="23"/>
  <c r="D2413" i="23"/>
  <c r="D2414" i="23"/>
  <c r="D2415" i="23"/>
  <c r="D2416" i="23"/>
  <c r="D2417" i="23"/>
  <c r="D2418" i="23"/>
  <c r="D2419" i="23"/>
  <c r="D2420" i="23"/>
  <c r="D2421" i="23"/>
  <c r="D2422" i="23"/>
  <c r="D2423" i="23"/>
  <c r="D2424" i="23"/>
  <c r="D2425" i="23"/>
  <c r="D2426" i="23"/>
  <c r="D2427" i="23"/>
  <c r="D2428" i="23"/>
  <c r="D2429" i="23"/>
  <c r="D2430" i="23"/>
  <c r="D2431" i="23"/>
  <c r="D2432" i="23"/>
  <c r="D2433" i="23"/>
  <c r="D2434" i="23"/>
  <c r="D2435" i="23"/>
  <c r="D2436" i="23"/>
  <c r="D2437" i="23"/>
  <c r="D2438" i="23"/>
  <c r="D2439" i="23"/>
  <c r="D2440" i="23"/>
  <c r="D2441" i="23"/>
  <c r="D2442" i="23"/>
  <c r="D2443" i="23"/>
  <c r="D2444" i="23"/>
  <c r="D2445" i="23"/>
  <c r="D2446" i="23"/>
  <c r="D2447" i="23"/>
  <c r="D2448" i="23"/>
  <c r="D2449" i="23"/>
  <c r="D2450" i="23"/>
  <c r="D2451" i="23"/>
  <c r="D2452" i="23"/>
  <c r="D2453" i="23"/>
  <c r="D2454" i="23"/>
  <c r="D2455" i="23"/>
  <c r="D2456" i="23"/>
  <c r="D2457" i="23"/>
  <c r="D2458" i="23"/>
  <c r="D2459" i="23"/>
  <c r="D2460" i="23"/>
  <c r="D2461" i="23"/>
  <c r="D2462" i="23"/>
  <c r="D2463" i="23"/>
  <c r="D2464" i="23"/>
  <c r="D2465" i="23"/>
  <c r="D2466" i="23"/>
  <c r="D2467" i="23"/>
  <c r="D2468" i="23"/>
  <c r="D2469" i="23"/>
  <c r="D2470" i="23"/>
  <c r="D2471" i="23"/>
  <c r="D2472" i="23"/>
  <c r="D2473" i="23"/>
  <c r="D2474" i="23"/>
  <c r="D2475" i="23"/>
  <c r="D2476" i="23"/>
  <c r="D2477" i="23"/>
  <c r="D2478" i="23"/>
  <c r="D2479" i="23"/>
  <c r="D2480" i="23"/>
  <c r="D2481" i="23"/>
  <c r="D2482" i="23"/>
  <c r="D2483" i="23"/>
  <c r="D2484" i="23"/>
  <c r="D2485" i="23"/>
  <c r="D2486" i="23"/>
  <c r="D2487" i="23"/>
  <c r="D2488" i="23"/>
  <c r="D2489" i="23"/>
  <c r="D2490" i="23"/>
  <c r="D2491" i="23"/>
  <c r="D2492" i="23"/>
  <c r="D2493" i="23"/>
  <c r="D2494" i="23"/>
  <c r="D2495" i="23"/>
  <c r="D2496" i="23"/>
  <c r="D2497" i="23"/>
  <c r="D2498" i="23"/>
  <c r="D2499" i="23"/>
  <c r="D2500" i="23"/>
  <c r="D2501" i="23"/>
  <c r="D2502" i="23"/>
  <c r="D2503" i="23"/>
  <c r="D2504" i="23"/>
  <c r="D2505" i="23"/>
  <c r="D2506" i="23"/>
  <c r="D2507" i="23"/>
  <c r="D2508" i="23"/>
  <c r="D2509" i="23"/>
  <c r="D2510" i="23"/>
  <c r="D2511" i="23"/>
  <c r="D2512" i="23"/>
  <c r="D2513" i="23"/>
  <c r="D2514" i="23"/>
  <c r="D2515" i="23"/>
  <c r="D2516" i="23"/>
  <c r="D2517" i="23"/>
  <c r="D2518" i="23"/>
  <c r="D2519" i="23"/>
  <c r="D2520" i="23"/>
  <c r="D2521" i="23"/>
  <c r="D2522" i="23"/>
  <c r="D2523" i="23"/>
  <c r="D2524" i="23"/>
  <c r="D2525" i="23"/>
  <c r="D2526" i="23"/>
  <c r="D2527" i="23"/>
  <c r="D2528" i="23"/>
  <c r="D2529" i="23"/>
  <c r="D2530" i="23"/>
  <c r="D2531" i="23"/>
  <c r="D2532" i="23"/>
  <c r="D2533" i="23"/>
  <c r="D2534" i="23"/>
  <c r="D2535" i="23"/>
  <c r="D2536" i="23"/>
  <c r="D2537" i="23"/>
  <c r="D2538" i="23"/>
  <c r="D2539" i="23"/>
  <c r="D2540" i="23"/>
  <c r="D2541" i="23"/>
  <c r="D2542" i="23"/>
  <c r="D2543" i="23"/>
  <c r="D2544" i="23"/>
  <c r="D2545" i="23"/>
  <c r="D2546" i="23"/>
  <c r="D2547" i="23"/>
  <c r="D2548" i="23"/>
  <c r="D2549" i="23"/>
  <c r="D2550" i="23"/>
  <c r="D2551" i="23"/>
  <c r="D2552" i="23"/>
  <c r="D2553" i="23"/>
  <c r="D2554" i="23"/>
  <c r="D2555" i="23"/>
  <c r="D2556" i="23"/>
  <c r="D2557" i="23"/>
  <c r="D2558" i="23"/>
  <c r="D2559" i="23"/>
  <c r="D2560" i="23"/>
  <c r="D2561" i="23"/>
  <c r="D2562" i="23"/>
  <c r="D2563" i="23"/>
  <c r="D2564" i="23"/>
  <c r="D2565" i="23"/>
  <c r="D2566" i="23"/>
  <c r="D2567" i="23"/>
  <c r="D2568" i="23"/>
  <c r="D2569" i="23"/>
  <c r="D2570" i="23"/>
  <c r="D2571" i="23"/>
  <c r="D2572" i="23"/>
  <c r="D2573" i="23"/>
  <c r="D2574" i="23"/>
  <c r="D2575" i="23"/>
  <c r="D2576" i="23"/>
  <c r="D2577" i="23"/>
  <c r="D2578" i="23"/>
  <c r="D2579" i="23"/>
  <c r="D2580" i="23"/>
  <c r="D2581" i="23"/>
  <c r="D2582" i="23"/>
  <c r="D2583" i="23"/>
  <c r="D2584" i="23"/>
  <c r="D2585" i="23"/>
  <c r="D2586" i="23"/>
  <c r="D2587" i="23"/>
  <c r="D2588" i="23"/>
  <c r="D2589" i="23"/>
  <c r="D2590" i="23"/>
  <c r="D2591" i="23"/>
  <c r="D2592" i="23"/>
  <c r="D2593" i="23"/>
  <c r="D2594" i="23"/>
  <c r="D2595" i="23"/>
  <c r="D2596" i="23"/>
  <c r="D2597" i="23"/>
  <c r="D2598" i="23"/>
  <c r="D2599" i="23"/>
  <c r="D2600" i="23"/>
  <c r="D2601" i="23"/>
  <c r="D2602" i="23"/>
  <c r="D2603" i="23"/>
  <c r="D2604" i="23"/>
  <c r="D2605" i="23"/>
  <c r="D2606" i="23"/>
  <c r="D2607" i="23"/>
  <c r="D2608" i="23"/>
  <c r="D2609" i="23"/>
  <c r="D2610" i="23"/>
  <c r="D2611" i="23"/>
  <c r="D2612" i="23"/>
  <c r="D2613" i="23"/>
  <c r="D2614" i="23"/>
  <c r="D2615" i="23"/>
  <c r="D2616" i="23"/>
  <c r="D2617" i="23"/>
  <c r="D2618" i="23"/>
  <c r="D2619" i="23"/>
  <c r="D2620" i="23"/>
  <c r="D2621" i="23"/>
  <c r="D2622" i="23"/>
  <c r="D2623" i="23"/>
  <c r="D2624" i="23"/>
  <c r="D2625" i="23"/>
  <c r="D2626" i="23"/>
  <c r="D2627" i="23"/>
  <c r="D2628" i="23"/>
  <c r="D2629" i="23"/>
  <c r="D2630" i="23"/>
  <c r="D2631" i="23"/>
  <c r="D2632" i="23"/>
  <c r="D2633" i="23"/>
  <c r="D2634" i="23"/>
  <c r="D2635" i="23"/>
  <c r="D2636" i="23"/>
  <c r="D2637" i="23"/>
  <c r="D2638" i="23"/>
  <c r="D2639" i="23"/>
  <c r="D2640" i="23"/>
  <c r="D2641" i="23"/>
  <c r="D2642" i="23"/>
  <c r="D2643" i="23"/>
  <c r="D2644" i="23"/>
  <c r="D2645" i="23"/>
  <c r="D2646" i="23"/>
  <c r="D2647" i="23"/>
  <c r="D2648" i="23"/>
  <c r="D2649" i="23"/>
  <c r="D2650" i="23"/>
  <c r="D2651" i="23"/>
  <c r="D2652" i="23"/>
  <c r="D2653" i="23"/>
  <c r="D2654" i="23"/>
  <c r="D2655" i="23"/>
  <c r="D2656" i="23"/>
  <c r="D2657" i="23"/>
  <c r="D2658" i="23"/>
  <c r="D2659" i="23"/>
  <c r="D2660" i="23"/>
  <c r="D2661" i="23"/>
  <c r="D2662" i="23"/>
  <c r="D2663" i="23"/>
  <c r="D2664" i="23"/>
  <c r="D2665" i="23"/>
  <c r="D2666" i="23"/>
  <c r="D2667" i="23"/>
  <c r="D2668" i="23"/>
  <c r="D2669" i="23"/>
  <c r="D2670" i="23"/>
  <c r="D2671" i="23"/>
  <c r="D2672" i="23"/>
  <c r="D2673" i="23"/>
  <c r="D2674" i="23"/>
  <c r="D2675" i="23"/>
  <c r="D2676" i="23"/>
  <c r="D2677" i="23"/>
  <c r="D2678" i="23"/>
  <c r="D2679" i="23"/>
  <c r="D2680" i="23"/>
  <c r="D2681" i="23"/>
  <c r="D2682" i="23"/>
  <c r="D2683" i="23"/>
  <c r="D2684" i="23"/>
  <c r="D2685" i="23"/>
  <c r="D2686" i="23"/>
  <c r="D2687" i="23"/>
  <c r="D2688" i="23"/>
  <c r="D2689" i="23"/>
  <c r="D2690" i="23"/>
  <c r="D2691" i="23"/>
  <c r="D2692" i="23"/>
  <c r="D2693" i="23"/>
  <c r="D2694" i="23"/>
  <c r="D2695" i="23"/>
  <c r="D2696" i="23"/>
  <c r="D2697" i="23"/>
  <c r="D2698" i="23"/>
  <c r="D2699" i="23"/>
  <c r="D2700" i="23"/>
  <c r="D2701" i="23"/>
  <c r="D2702" i="23"/>
  <c r="D2703" i="23"/>
  <c r="D2704" i="23"/>
  <c r="D2705" i="23"/>
  <c r="D2706" i="23"/>
  <c r="D2707" i="23"/>
  <c r="D2708" i="23"/>
  <c r="D2709" i="23"/>
  <c r="D2710" i="23"/>
  <c r="D2711" i="23"/>
  <c r="D2712" i="23"/>
  <c r="D2713" i="23"/>
  <c r="D2714" i="23"/>
  <c r="D2715" i="23"/>
  <c r="D2716" i="23"/>
  <c r="D2717" i="23"/>
  <c r="D2718" i="23"/>
  <c r="D2719" i="23"/>
  <c r="D2720" i="23"/>
  <c r="D2721" i="23"/>
  <c r="D2722" i="23"/>
  <c r="D2723" i="23"/>
  <c r="D2724" i="23"/>
  <c r="D2725" i="23"/>
  <c r="D2726" i="23"/>
  <c r="D2727" i="23"/>
  <c r="D2728" i="23"/>
  <c r="D2729" i="23"/>
  <c r="D2730" i="23"/>
  <c r="D2731" i="23"/>
  <c r="D2732" i="23"/>
  <c r="D2733" i="23"/>
  <c r="D2734" i="23"/>
  <c r="D2735" i="23"/>
  <c r="D2736" i="23"/>
  <c r="D2737" i="23"/>
  <c r="D2738" i="23"/>
  <c r="D2739" i="23"/>
  <c r="D2740" i="23"/>
  <c r="D2741" i="23"/>
  <c r="D2742" i="23"/>
  <c r="D2743" i="23"/>
  <c r="D2744" i="23"/>
  <c r="D2745" i="23"/>
  <c r="D2746" i="23"/>
  <c r="D2747" i="23"/>
  <c r="D2748" i="23"/>
  <c r="D2749" i="23"/>
  <c r="D2750" i="23"/>
  <c r="D2751" i="23"/>
  <c r="D2752" i="23"/>
  <c r="D2753" i="23"/>
  <c r="D2754" i="23"/>
  <c r="D2755" i="23"/>
  <c r="D2756" i="23"/>
  <c r="D2757" i="23"/>
  <c r="D2758" i="23"/>
  <c r="D2759" i="23"/>
  <c r="D2760" i="23"/>
  <c r="D2761" i="23"/>
  <c r="D2762" i="23"/>
  <c r="D2763" i="23"/>
  <c r="D2764" i="23"/>
  <c r="D2765" i="23"/>
  <c r="D2766" i="23"/>
  <c r="D2767" i="23"/>
  <c r="D2768" i="23"/>
  <c r="D2769" i="23"/>
  <c r="D2770" i="23"/>
  <c r="D2771" i="23"/>
  <c r="D2772" i="23"/>
  <c r="D2773" i="23"/>
  <c r="D2774" i="23"/>
  <c r="D2775" i="23"/>
  <c r="D2776" i="23"/>
  <c r="D2777" i="23"/>
  <c r="D2778" i="23"/>
  <c r="D2779" i="23"/>
  <c r="D2780" i="23"/>
  <c r="D2781" i="23"/>
  <c r="D2782" i="23"/>
  <c r="D2783" i="23"/>
  <c r="D2784" i="23"/>
  <c r="D2785" i="23"/>
  <c r="D2786" i="23"/>
  <c r="D2787" i="23"/>
  <c r="D2788" i="23"/>
  <c r="D2789" i="23"/>
  <c r="D2790" i="23"/>
  <c r="D2791" i="23"/>
  <c r="D2792" i="23"/>
  <c r="D2793" i="23"/>
  <c r="D2794" i="23"/>
  <c r="D2795" i="23"/>
  <c r="D2796" i="23"/>
  <c r="D2797" i="23"/>
  <c r="D2798" i="23"/>
  <c r="D2799" i="23"/>
  <c r="D2800" i="23"/>
  <c r="D2801" i="23"/>
  <c r="D2802" i="23"/>
  <c r="D2803" i="23"/>
  <c r="D2804" i="23"/>
  <c r="D2805" i="23"/>
  <c r="D2806" i="23"/>
  <c r="D2807" i="23"/>
  <c r="D2808" i="23"/>
  <c r="D2809" i="23"/>
  <c r="D2810" i="23"/>
  <c r="D2811" i="23"/>
  <c r="D2812" i="23"/>
  <c r="D2813" i="23"/>
  <c r="D2814" i="23"/>
  <c r="D2815" i="23"/>
  <c r="D2816" i="23"/>
  <c r="D2817" i="23"/>
  <c r="D2818" i="23"/>
  <c r="D2819" i="23"/>
  <c r="D2820" i="23"/>
  <c r="D2821" i="23"/>
  <c r="D2822" i="23"/>
  <c r="D2823" i="23"/>
  <c r="D2824" i="23"/>
  <c r="D2825" i="23"/>
  <c r="D2826" i="23"/>
  <c r="D2827" i="23"/>
  <c r="D2828" i="23"/>
  <c r="D2829" i="23"/>
  <c r="D2830" i="23"/>
  <c r="D2831" i="23"/>
  <c r="D2832" i="23"/>
  <c r="D2833" i="23"/>
  <c r="D2834" i="23"/>
  <c r="D2835" i="23"/>
  <c r="D2836" i="23"/>
  <c r="D2837" i="23"/>
  <c r="D2838" i="23"/>
  <c r="D2839" i="23"/>
  <c r="D2840" i="23"/>
  <c r="D2841" i="23"/>
  <c r="D2842" i="23"/>
  <c r="D2843" i="23"/>
  <c r="D2844" i="23"/>
  <c r="D2845" i="23"/>
  <c r="D2846" i="23"/>
  <c r="D2847" i="23"/>
  <c r="D2848" i="23"/>
  <c r="D2849" i="23"/>
  <c r="D2850" i="23"/>
  <c r="D2851" i="23"/>
  <c r="D2852" i="23"/>
  <c r="D2853" i="23"/>
  <c r="D2854" i="23"/>
  <c r="D2855" i="23"/>
  <c r="D2856" i="23"/>
  <c r="D2857" i="23"/>
  <c r="D2858" i="23"/>
  <c r="D2859" i="23"/>
  <c r="D2860" i="23"/>
  <c r="D2861" i="23"/>
  <c r="D2862" i="23"/>
  <c r="D2863" i="23"/>
  <c r="D2864" i="23"/>
  <c r="D2865" i="23"/>
  <c r="D2866" i="23"/>
  <c r="D2867" i="23"/>
  <c r="D2868" i="23"/>
  <c r="D2869" i="23"/>
  <c r="D2870" i="23"/>
  <c r="D2871" i="23"/>
  <c r="D2872" i="23"/>
  <c r="D2873" i="23"/>
  <c r="D2874" i="23"/>
  <c r="D2875" i="23"/>
  <c r="D2876" i="23"/>
  <c r="D2877" i="23"/>
  <c r="D2878" i="23"/>
  <c r="D2879" i="23"/>
  <c r="D2880" i="23"/>
  <c r="D2881" i="23"/>
  <c r="D2882" i="23"/>
  <c r="D2883" i="23"/>
  <c r="D2884" i="23"/>
  <c r="D2885" i="23"/>
  <c r="D2886" i="23"/>
  <c r="D2887" i="23"/>
  <c r="D2888" i="23"/>
  <c r="D2889" i="23"/>
  <c r="D2890" i="23"/>
  <c r="D2891" i="23"/>
  <c r="D2892" i="23"/>
  <c r="D2893" i="23"/>
  <c r="D2894" i="23"/>
  <c r="D2895" i="23"/>
  <c r="D2896" i="23"/>
  <c r="D2897" i="23"/>
  <c r="D2898" i="23"/>
  <c r="D2899" i="23"/>
  <c r="D2900" i="23"/>
  <c r="D2901" i="23"/>
  <c r="D2902" i="23"/>
  <c r="D2903" i="23"/>
  <c r="D2904" i="23"/>
  <c r="D2905" i="23"/>
  <c r="D2906" i="23"/>
  <c r="D2907" i="23"/>
  <c r="D2908" i="23"/>
  <c r="D2909" i="23"/>
  <c r="D2910" i="23"/>
  <c r="D2911" i="23"/>
  <c r="D2912" i="23"/>
  <c r="D2913" i="23"/>
  <c r="D2914" i="23"/>
  <c r="D2915" i="23"/>
  <c r="D2916" i="23"/>
  <c r="D2917" i="23"/>
  <c r="D2918" i="23"/>
  <c r="D2919" i="23"/>
  <c r="D2920" i="23"/>
  <c r="D2921" i="23"/>
  <c r="D2922" i="23"/>
  <c r="D2923" i="23"/>
  <c r="D2924" i="23"/>
  <c r="D2925" i="23"/>
  <c r="D2926" i="23"/>
  <c r="D2927" i="23"/>
  <c r="D2928" i="23"/>
  <c r="D2929" i="23"/>
  <c r="D2930" i="23"/>
  <c r="D2931" i="23"/>
  <c r="D2932" i="23"/>
  <c r="D2933" i="23"/>
  <c r="D2934" i="23"/>
  <c r="D2935" i="23"/>
  <c r="D2936" i="23"/>
  <c r="D2937" i="23"/>
  <c r="D2938" i="23"/>
  <c r="D2939" i="23"/>
  <c r="D2940" i="23"/>
  <c r="D2941" i="23"/>
  <c r="D2942" i="23"/>
  <c r="D2943" i="23"/>
  <c r="D2944" i="23"/>
  <c r="D2945" i="23"/>
  <c r="D2946" i="23"/>
  <c r="D2947" i="23"/>
  <c r="D2948" i="23"/>
  <c r="D2949" i="23"/>
  <c r="D2950" i="23"/>
  <c r="D2951" i="23"/>
  <c r="D2952" i="23"/>
  <c r="D2953" i="23"/>
  <c r="D2954" i="23"/>
  <c r="D2955" i="23"/>
  <c r="D2956" i="23"/>
  <c r="D2957" i="23"/>
  <c r="D2958" i="23"/>
  <c r="D2959" i="23"/>
  <c r="D2960" i="23"/>
  <c r="D2961" i="23"/>
  <c r="D2962" i="23"/>
  <c r="D2963" i="23"/>
  <c r="D2964" i="23"/>
  <c r="D2965" i="23"/>
  <c r="D2966" i="23"/>
  <c r="D2967" i="23"/>
  <c r="D2968" i="23"/>
  <c r="D2969" i="23"/>
  <c r="D2970" i="23"/>
  <c r="D2971" i="23"/>
  <c r="D2972" i="23"/>
  <c r="D2973" i="23"/>
  <c r="D2974" i="23"/>
  <c r="D2975" i="23"/>
  <c r="D2976" i="23"/>
  <c r="D2977" i="23"/>
  <c r="D2978" i="23"/>
  <c r="D2979" i="23"/>
  <c r="D2980" i="23"/>
  <c r="D2981" i="23"/>
  <c r="D2982" i="23"/>
  <c r="D2983" i="23"/>
  <c r="D2984" i="23"/>
  <c r="D2985" i="23"/>
  <c r="D2986" i="23"/>
  <c r="D2987" i="23"/>
  <c r="D2988" i="23"/>
  <c r="D2989" i="23"/>
  <c r="D2990" i="23"/>
  <c r="D2991" i="23"/>
  <c r="D2992" i="23"/>
  <c r="D2993" i="23"/>
  <c r="D2994" i="23"/>
  <c r="D2995" i="23"/>
  <c r="D2996" i="23"/>
  <c r="D2997" i="23"/>
  <c r="D2998" i="23"/>
  <c r="D2999" i="23"/>
  <c r="D3000" i="23"/>
  <c r="D3001" i="23"/>
  <c r="D3002" i="23"/>
  <c r="D3003" i="23"/>
  <c r="D3004" i="23"/>
  <c r="D3005" i="23"/>
  <c r="D3006" i="23"/>
  <c r="D3007" i="23"/>
  <c r="D3008" i="23"/>
  <c r="D3009" i="23"/>
  <c r="D3010" i="23"/>
  <c r="D3011" i="23"/>
  <c r="D3012" i="23"/>
  <c r="D3013" i="23"/>
  <c r="D3014" i="23"/>
  <c r="D3015" i="23"/>
  <c r="D3016" i="23"/>
  <c r="D3017" i="23"/>
  <c r="D3018" i="23"/>
  <c r="D3019" i="23"/>
  <c r="D3020" i="23"/>
  <c r="D3021" i="23"/>
  <c r="D3022" i="23"/>
  <c r="D3023" i="23"/>
  <c r="D3024" i="23"/>
  <c r="D3025" i="23"/>
  <c r="D3026" i="23"/>
  <c r="D3027" i="23"/>
  <c r="D3028" i="23"/>
  <c r="D3029" i="23"/>
  <c r="D3030" i="23"/>
  <c r="D3031" i="23"/>
  <c r="D3032" i="23"/>
  <c r="D3033" i="23"/>
  <c r="D3034" i="23"/>
  <c r="D3035" i="23"/>
  <c r="D3036" i="23"/>
  <c r="D3037" i="23"/>
  <c r="D3038" i="23"/>
  <c r="D3039" i="23"/>
  <c r="D3040" i="23"/>
  <c r="D3041" i="23"/>
  <c r="D3042" i="23"/>
  <c r="D3043" i="23"/>
  <c r="D3044" i="23"/>
  <c r="D3045" i="23"/>
  <c r="D3046" i="23"/>
  <c r="D3047" i="23"/>
  <c r="D3048" i="23"/>
  <c r="D3049" i="23"/>
  <c r="D3050" i="23"/>
  <c r="D3051" i="23"/>
  <c r="D3052" i="23"/>
  <c r="D3053" i="23"/>
  <c r="D3054" i="23"/>
  <c r="D3055" i="23"/>
  <c r="D3056" i="23"/>
  <c r="D3057" i="23"/>
  <c r="D3058" i="23"/>
  <c r="D3059" i="23"/>
  <c r="D3060" i="23"/>
  <c r="D3061" i="23"/>
  <c r="D3062" i="23"/>
  <c r="D3063" i="23"/>
  <c r="D3064" i="23"/>
  <c r="D3065" i="23"/>
  <c r="D3066" i="23"/>
  <c r="D3067" i="23"/>
  <c r="D3068" i="23"/>
  <c r="D3069" i="23"/>
  <c r="D3070" i="23"/>
  <c r="D3071" i="23"/>
  <c r="D3072" i="23"/>
  <c r="D3073" i="23"/>
  <c r="D3074" i="23"/>
  <c r="D3075" i="23"/>
  <c r="D3076" i="23"/>
  <c r="D3077" i="23"/>
  <c r="D3078" i="23"/>
  <c r="D3079" i="23"/>
  <c r="D3080" i="23"/>
  <c r="D3081" i="23"/>
  <c r="D3082" i="23"/>
  <c r="D3083" i="23"/>
  <c r="D3084" i="23"/>
  <c r="D3085" i="23"/>
  <c r="D3086" i="23"/>
  <c r="D3087" i="23"/>
  <c r="D3088" i="23"/>
  <c r="D3089" i="23"/>
  <c r="D3090" i="23"/>
  <c r="D3091" i="23"/>
  <c r="D3092" i="23"/>
  <c r="D3093" i="23"/>
  <c r="D3094" i="23"/>
  <c r="D3095" i="23"/>
  <c r="D3096" i="23"/>
  <c r="D3097" i="23"/>
  <c r="D3098" i="23"/>
  <c r="D3099" i="23"/>
  <c r="D3100" i="23"/>
  <c r="D3101" i="23"/>
  <c r="D3102" i="23"/>
  <c r="D3103" i="23"/>
  <c r="D3104" i="23"/>
  <c r="D3105" i="23"/>
  <c r="D3106" i="23"/>
  <c r="D3107" i="23"/>
  <c r="D3108" i="23"/>
  <c r="D3109" i="23"/>
  <c r="D3110" i="23"/>
  <c r="D3111" i="23"/>
  <c r="D3112" i="23"/>
  <c r="D3113" i="23"/>
  <c r="D3114" i="23"/>
  <c r="D3115" i="23"/>
  <c r="D3116" i="23"/>
  <c r="D3117" i="23"/>
  <c r="D3118" i="23"/>
  <c r="D3119" i="23"/>
  <c r="D3120" i="23"/>
  <c r="D3121" i="23"/>
  <c r="D3122" i="23"/>
  <c r="D3123" i="23"/>
  <c r="D3124" i="23"/>
  <c r="D3125" i="23"/>
  <c r="D3126" i="23"/>
  <c r="D3127" i="23"/>
  <c r="D3128" i="23"/>
  <c r="D3129" i="23"/>
  <c r="D3130" i="23"/>
  <c r="D3131" i="23"/>
  <c r="D3132" i="23"/>
  <c r="D3133" i="23"/>
  <c r="D3134" i="23"/>
  <c r="D3135" i="23"/>
  <c r="D3136" i="23"/>
  <c r="D3137" i="23"/>
  <c r="D3138" i="23"/>
  <c r="D3139" i="23"/>
  <c r="D3140" i="23"/>
  <c r="D3141" i="23"/>
  <c r="D3142" i="23"/>
  <c r="D3143" i="23"/>
  <c r="D3144" i="23"/>
  <c r="D3145" i="23"/>
  <c r="D3146" i="23"/>
  <c r="D3147" i="23"/>
  <c r="D3148" i="23"/>
  <c r="D3149" i="23"/>
  <c r="D3150" i="23"/>
  <c r="D3151" i="23"/>
  <c r="D3152" i="23"/>
  <c r="D3153" i="23"/>
  <c r="D3154" i="23"/>
  <c r="D3155" i="23"/>
  <c r="D3156" i="23"/>
  <c r="D3157" i="23"/>
  <c r="D3158" i="23"/>
  <c r="D3159" i="23"/>
  <c r="D3160" i="23"/>
  <c r="D3161" i="23"/>
  <c r="D3162" i="23"/>
  <c r="D3163" i="23"/>
  <c r="D3164" i="23"/>
  <c r="D3165" i="23"/>
  <c r="D3166" i="23"/>
  <c r="D3167" i="23"/>
  <c r="D3168" i="23"/>
  <c r="D3169" i="23"/>
  <c r="D3170" i="23"/>
  <c r="D3171" i="23"/>
  <c r="D3172" i="23"/>
  <c r="D3173" i="23"/>
  <c r="D3174" i="23"/>
  <c r="D3175" i="23"/>
  <c r="D3176" i="23"/>
  <c r="D3177" i="23"/>
  <c r="D3178" i="23"/>
  <c r="D3179" i="23"/>
  <c r="D3180" i="23"/>
  <c r="D3181" i="23"/>
  <c r="D3182" i="23"/>
  <c r="D3183" i="23"/>
  <c r="D3184" i="23"/>
  <c r="D3185" i="23"/>
  <c r="D3186" i="23"/>
  <c r="D3187" i="23"/>
  <c r="D3188" i="23"/>
  <c r="D3189" i="23"/>
  <c r="D3190" i="23"/>
  <c r="D3191" i="23"/>
  <c r="D3192" i="23"/>
  <c r="D3193" i="23"/>
  <c r="D3194" i="23"/>
  <c r="D3195" i="23"/>
  <c r="D3196" i="23"/>
  <c r="D3197" i="23"/>
  <c r="D3198" i="23"/>
  <c r="D3199" i="23"/>
  <c r="D3200" i="23"/>
  <c r="D3201" i="23"/>
  <c r="D3202" i="23"/>
  <c r="D3203" i="23"/>
  <c r="D3204" i="23"/>
  <c r="D3205" i="23"/>
  <c r="D3206" i="23"/>
  <c r="D3207" i="23"/>
  <c r="D3208" i="23"/>
  <c r="D3209" i="23"/>
  <c r="D3210" i="23"/>
  <c r="D3211" i="23"/>
  <c r="D3212" i="23"/>
  <c r="D3213" i="23"/>
  <c r="D3214" i="23"/>
  <c r="D3215" i="23"/>
  <c r="D3216" i="23"/>
  <c r="D3217" i="23"/>
  <c r="D3218" i="23"/>
  <c r="D3219" i="23"/>
  <c r="D3220" i="23"/>
  <c r="D3221" i="23"/>
  <c r="D3222" i="23"/>
  <c r="D3223" i="23"/>
  <c r="D3224" i="23"/>
  <c r="D3225" i="23"/>
  <c r="D3226" i="23"/>
  <c r="D3227" i="23"/>
  <c r="D3228" i="23"/>
  <c r="D3229" i="23"/>
  <c r="D3230" i="23"/>
  <c r="D3231" i="23"/>
  <c r="D3232" i="23"/>
  <c r="D3233" i="23"/>
  <c r="D3234" i="23"/>
  <c r="D3235" i="23"/>
  <c r="D3236" i="23"/>
  <c r="D3237" i="23"/>
  <c r="D3238" i="23"/>
  <c r="D3239" i="23"/>
  <c r="D3240" i="23"/>
  <c r="D3241" i="23"/>
  <c r="D3242" i="23"/>
  <c r="D3243" i="23"/>
  <c r="D3244" i="23"/>
  <c r="D3245" i="23"/>
  <c r="D3246" i="23"/>
  <c r="D3247" i="23"/>
  <c r="D3248" i="23"/>
  <c r="D3249" i="23"/>
  <c r="D3250" i="23"/>
  <c r="D3251" i="23"/>
  <c r="D3252" i="23"/>
  <c r="D3253" i="23"/>
  <c r="D3254" i="23"/>
  <c r="D3255" i="23"/>
  <c r="D3256" i="23"/>
  <c r="D3257" i="23"/>
  <c r="D3258" i="23"/>
  <c r="D3259" i="23"/>
  <c r="D3260" i="23"/>
  <c r="D3261" i="23"/>
  <c r="D3262" i="23"/>
  <c r="D3263" i="23"/>
  <c r="D3264" i="23"/>
  <c r="D3265" i="23"/>
  <c r="D3266" i="23"/>
  <c r="D3267" i="23"/>
  <c r="D3268" i="23"/>
  <c r="D3269" i="23"/>
  <c r="D3270" i="23"/>
  <c r="D3271" i="23"/>
  <c r="D3272" i="23"/>
  <c r="D3273" i="23"/>
  <c r="D3274" i="23"/>
  <c r="D3275" i="23"/>
  <c r="D3276" i="23"/>
  <c r="D3277" i="23"/>
  <c r="D3278" i="23"/>
  <c r="D3279" i="23"/>
  <c r="D3280" i="23"/>
  <c r="D3281" i="23"/>
  <c r="D3282" i="23"/>
  <c r="D3283" i="23"/>
  <c r="D3284" i="23"/>
  <c r="D3285" i="23"/>
  <c r="D3286" i="23"/>
  <c r="D3287" i="23"/>
  <c r="D3288" i="23"/>
  <c r="D3289" i="23"/>
  <c r="D3290" i="23"/>
  <c r="D3291" i="23"/>
  <c r="D3292" i="23"/>
  <c r="D3293" i="23"/>
  <c r="D3294" i="23"/>
  <c r="D3295" i="23"/>
  <c r="D3296" i="23"/>
  <c r="D3297" i="23"/>
  <c r="D3298" i="23"/>
  <c r="D3299" i="23"/>
  <c r="D3300" i="23"/>
  <c r="D3301" i="23"/>
  <c r="D3302" i="23"/>
  <c r="D3303" i="23"/>
  <c r="D3304" i="23"/>
  <c r="D3305" i="23"/>
  <c r="D3306" i="23"/>
  <c r="D3307" i="23"/>
  <c r="D3308" i="23"/>
  <c r="D3309" i="23"/>
  <c r="D3310" i="23"/>
  <c r="D3311" i="23"/>
  <c r="D3312" i="23"/>
  <c r="D3313" i="23"/>
  <c r="D3314" i="23"/>
  <c r="D3315" i="23"/>
  <c r="D3316" i="23"/>
  <c r="D3317" i="23"/>
  <c r="D3318" i="23"/>
  <c r="D3319" i="23"/>
  <c r="D3320" i="23"/>
  <c r="D3321" i="23"/>
  <c r="D3322" i="23"/>
  <c r="D3323" i="23"/>
  <c r="D3324" i="23"/>
  <c r="D3325" i="23"/>
  <c r="D3326" i="23"/>
  <c r="D3327" i="23"/>
  <c r="D3328" i="23"/>
  <c r="D3329" i="23"/>
  <c r="D3330" i="23"/>
  <c r="D3331" i="23"/>
  <c r="D3332" i="23"/>
  <c r="D3333" i="23"/>
  <c r="D3334" i="23"/>
  <c r="D3335" i="23"/>
  <c r="D3336" i="23"/>
  <c r="D3337" i="23"/>
  <c r="D3338" i="23"/>
  <c r="D3339" i="23"/>
  <c r="D3340" i="23"/>
  <c r="D3341" i="23"/>
  <c r="D3342" i="23"/>
  <c r="D3343" i="23"/>
  <c r="D3344" i="23"/>
  <c r="D3345" i="23"/>
  <c r="D3346" i="23"/>
  <c r="D3347" i="23"/>
  <c r="D3348" i="23"/>
  <c r="D3349" i="23"/>
  <c r="D3350" i="23"/>
  <c r="D3351" i="23"/>
  <c r="D3352" i="23"/>
  <c r="D3353" i="23"/>
  <c r="D3354" i="23"/>
  <c r="D3355" i="23"/>
  <c r="D3356" i="23"/>
  <c r="D3357" i="23"/>
  <c r="D3358" i="23"/>
  <c r="D3359" i="23"/>
  <c r="D3360" i="23"/>
  <c r="D3361" i="23"/>
  <c r="D3362" i="23"/>
  <c r="D3363" i="23"/>
  <c r="D3364" i="23"/>
  <c r="D3365" i="23"/>
  <c r="D3366" i="23"/>
  <c r="D3367" i="23"/>
  <c r="D3368" i="23"/>
  <c r="D3369" i="23"/>
  <c r="D3370" i="23"/>
  <c r="D3371" i="23"/>
  <c r="D3372" i="23"/>
  <c r="D3373" i="23"/>
  <c r="D3374" i="23"/>
  <c r="D3375" i="23"/>
  <c r="D3376" i="23"/>
  <c r="D3377" i="23"/>
  <c r="D3378" i="23"/>
  <c r="D3379" i="23"/>
  <c r="D3380" i="23"/>
  <c r="D3381" i="23"/>
  <c r="D3382" i="23"/>
  <c r="D3383" i="23"/>
  <c r="D3384" i="23"/>
  <c r="D3385" i="23"/>
  <c r="D3386" i="23"/>
  <c r="D3387" i="23"/>
  <c r="D3388" i="23"/>
  <c r="D3389" i="23"/>
  <c r="D3390" i="23"/>
  <c r="D3391" i="23"/>
  <c r="D3392" i="23"/>
  <c r="D3393" i="23"/>
  <c r="D3394" i="23"/>
  <c r="D3395" i="23"/>
  <c r="D3396" i="23"/>
  <c r="D3397" i="23"/>
  <c r="D3398" i="23"/>
  <c r="D3399" i="23"/>
  <c r="D3400" i="23"/>
  <c r="D3401" i="23"/>
  <c r="D3402" i="23"/>
  <c r="D3403" i="23"/>
  <c r="D3404" i="23"/>
  <c r="D3405" i="23"/>
  <c r="D3406" i="23"/>
  <c r="D3407" i="23"/>
  <c r="D3408" i="23"/>
  <c r="D3409" i="23"/>
  <c r="D3410" i="23"/>
  <c r="D3411" i="23"/>
  <c r="D3412" i="23"/>
  <c r="D3413" i="23"/>
  <c r="D3414" i="23"/>
  <c r="D3415" i="23"/>
  <c r="D3416" i="23"/>
  <c r="D3417" i="23"/>
  <c r="D3418" i="23"/>
  <c r="D3419" i="23"/>
  <c r="D3420" i="23"/>
  <c r="D3421" i="23"/>
  <c r="D3422" i="23"/>
  <c r="D3423" i="23"/>
  <c r="D3424" i="23"/>
  <c r="D3425" i="23"/>
  <c r="D3426" i="23"/>
  <c r="D3427" i="23"/>
  <c r="D3428" i="23"/>
  <c r="D3429" i="23"/>
  <c r="D3430" i="23"/>
  <c r="D3431" i="23"/>
  <c r="D3432" i="23"/>
  <c r="D3433" i="23"/>
  <c r="D3434" i="23"/>
  <c r="D3435" i="23"/>
  <c r="D3436" i="23"/>
  <c r="D3437" i="23"/>
  <c r="D3438" i="23"/>
  <c r="D3439" i="23"/>
  <c r="D3440" i="23"/>
  <c r="D3441" i="23"/>
  <c r="D3442" i="23"/>
  <c r="D3443" i="23"/>
  <c r="D3444" i="23"/>
  <c r="D3445" i="23"/>
  <c r="D3446" i="23"/>
  <c r="D3447" i="23"/>
  <c r="D3448" i="23"/>
  <c r="D3449" i="23"/>
  <c r="D3450" i="23"/>
  <c r="D3451" i="23"/>
  <c r="D3452" i="23"/>
  <c r="D3453" i="23"/>
  <c r="D3454" i="23"/>
  <c r="D3455" i="23"/>
  <c r="D3456" i="23"/>
  <c r="D3457" i="23"/>
  <c r="D3458" i="23"/>
  <c r="D3459" i="23"/>
  <c r="D3460" i="23"/>
  <c r="D3461" i="23"/>
  <c r="D3462" i="23"/>
  <c r="D3463" i="23"/>
  <c r="D3464" i="23"/>
  <c r="D3465" i="23"/>
  <c r="D3466" i="23"/>
  <c r="D3467" i="23"/>
  <c r="D3468" i="23"/>
  <c r="D3469" i="23"/>
  <c r="D3470" i="23"/>
  <c r="D3471" i="23"/>
  <c r="D3472" i="23"/>
  <c r="D3473" i="23"/>
  <c r="D3474" i="23"/>
  <c r="D3475" i="23"/>
  <c r="D3476" i="23"/>
  <c r="D3477" i="23"/>
  <c r="D3478" i="23"/>
  <c r="D3479" i="23"/>
  <c r="D3480" i="23"/>
  <c r="D3481" i="23"/>
  <c r="D3482" i="23"/>
  <c r="D3483" i="23"/>
  <c r="D3484" i="23"/>
  <c r="D3485" i="23"/>
  <c r="D3486" i="23"/>
  <c r="D3487" i="23"/>
  <c r="D3488" i="23"/>
  <c r="D3489" i="23"/>
  <c r="D3490" i="23"/>
  <c r="D3491" i="23"/>
  <c r="D3492" i="23"/>
  <c r="D3493" i="23"/>
  <c r="D3494" i="23"/>
  <c r="D3495" i="23"/>
  <c r="D3496" i="23"/>
  <c r="D3497" i="23"/>
  <c r="D3498" i="23"/>
  <c r="D3499" i="23"/>
  <c r="D3500" i="23"/>
  <c r="D3501" i="23"/>
  <c r="D3502" i="23"/>
  <c r="D3503" i="23"/>
  <c r="D3504" i="23"/>
  <c r="D3505" i="23"/>
  <c r="D3506" i="23"/>
  <c r="D3507" i="23"/>
  <c r="D3508" i="23"/>
  <c r="D3509" i="23"/>
  <c r="D3510" i="23"/>
  <c r="D3511" i="23"/>
  <c r="D3512" i="23"/>
  <c r="D3513" i="23"/>
  <c r="D3514" i="23"/>
  <c r="D3515" i="23"/>
  <c r="D3516" i="23"/>
  <c r="D3517" i="23"/>
  <c r="D3518" i="23"/>
  <c r="D3519" i="23"/>
  <c r="D3520" i="23"/>
  <c r="D3521" i="23"/>
  <c r="D3522" i="23"/>
  <c r="D3523" i="23"/>
  <c r="D3524" i="23"/>
  <c r="D3525" i="23"/>
  <c r="D3526" i="23"/>
  <c r="D3527" i="23"/>
  <c r="D3528" i="23"/>
  <c r="D3529" i="23"/>
  <c r="D3530" i="23"/>
  <c r="D3531" i="23"/>
  <c r="D3532" i="23"/>
  <c r="D3533" i="23"/>
  <c r="D3534" i="23"/>
  <c r="D3535" i="23"/>
  <c r="D3536" i="23"/>
  <c r="D3537" i="23"/>
  <c r="D3538" i="23"/>
  <c r="D3539" i="23"/>
  <c r="D3540" i="23"/>
  <c r="D3541" i="23"/>
  <c r="D3542" i="23"/>
  <c r="D3543" i="23"/>
  <c r="D3544" i="23"/>
  <c r="D3545" i="23"/>
  <c r="D3546" i="23"/>
  <c r="D3547" i="23"/>
  <c r="D3548" i="23"/>
  <c r="D3549" i="23"/>
  <c r="D3550" i="23"/>
  <c r="D3551" i="23"/>
  <c r="D3552" i="23"/>
  <c r="D3553" i="23"/>
  <c r="D3554" i="23"/>
  <c r="D3555" i="23"/>
  <c r="D3556" i="23"/>
  <c r="D3557" i="23"/>
  <c r="D3558" i="23"/>
  <c r="D3559" i="23"/>
  <c r="D3560" i="23"/>
  <c r="D3561" i="23"/>
  <c r="D3562" i="23"/>
  <c r="D3563" i="23"/>
  <c r="D3564" i="23"/>
  <c r="D3565" i="23"/>
  <c r="D3566" i="23"/>
  <c r="D3567" i="23"/>
  <c r="D3568" i="23"/>
  <c r="D3569" i="23"/>
  <c r="D3570" i="23"/>
  <c r="D3571" i="23"/>
  <c r="D3572" i="23"/>
  <c r="D3573" i="23"/>
  <c r="D3574" i="23"/>
  <c r="D3575" i="23"/>
  <c r="D3576" i="23"/>
  <c r="D3577" i="23"/>
  <c r="D3578" i="23"/>
  <c r="D3579" i="23"/>
  <c r="D3580" i="23"/>
  <c r="D3581" i="23"/>
  <c r="D3582" i="23"/>
  <c r="D3583" i="23"/>
  <c r="D3584" i="23"/>
  <c r="D3585" i="23"/>
  <c r="D3586" i="23"/>
  <c r="D3587" i="23"/>
  <c r="D3588" i="23"/>
  <c r="D3589" i="23"/>
  <c r="D3590" i="23"/>
  <c r="D3591" i="23"/>
  <c r="D3592" i="23"/>
  <c r="D3593" i="23"/>
  <c r="D3594" i="23"/>
  <c r="D3595" i="23"/>
  <c r="D3596" i="23"/>
  <c r="D3597" i="23"/>
  <c r="D3598" i="23"/>
  <c r="D3599" i="23"/>
  <c r="D3600" i="23"/>
  <c r="D3601" i="23"/>
  <c r="D3602" i="23"/>
  <c r="D3603" i="23"/>
  <c r="D3604" i="23"/>
  <c r="D3605" i="23"/>
  <c r="D3606" i="23"/>
  <c r="D3607" i="23"/>
  <c r="D3608" i="23"/>
  <c r="D3609" i="23"/>
  <c r="D3610" i="23"/>
  <c r="D3611" i="23"/>
  <c r="D3612" i="23"/>
  <c r="D3613" i="23"/>
  <c r="D3614" i="23"/>
  <c r="D3615" i="23"/>
  <c r="D3616" i="23"/>
  <c r="D3617" i="23"/>
  <c r="D3618" i="23"/>
  <c r="D3619" i="23"/>
  <c r="D3620" i="23"/>
  <c r="D3621" i="23"/>
  <c r="D3622" i="23"/>
  <c r="D3623" i="23"/>
  <c r="D3624" i="23"/>
  <c r="D3625" i="23"/>
  <c r="D3626" i="23"/>
  <c r="D3627" i="23"/>
  <c r="D3628" i="23"/>
  <c r="D3629" i="23"/>
  <c r="D3630" i="23"/>
  <c r="D3631" i="23"/>
  <c r="D3632" i="23"/>
  <c r="D3633" i="23"/>
  <c r="D3634" i="23"/>
  <c r="D3635" i="23"/>
  <c r="D3636" i="23"/>
  <c r="D3637" i="23"/>
  <c r="D3638" i="23"/>
  <c r="D3639" i="23"/>
  <c r="D3640" i="23"/>
  <c r="D3641" i="23"/>
  <c r="D3642" i="23"/>
  <c r="D3643" i="23"/>
  <c r="D3644" i="23"/>
  <c r="D3645" i="23"/>
  <c r="D3646" i="23"/>
  <c r="D3647" i="23"/>
  <c r="D3648" i="23"/>
  <c r="D3649" i="23"/>
  <c r="D3650" i="23"/>
  <c r="D3651" i="23"/>
  <c r="D3652" i="23"/>
  <c r="D3653" i="23"/>
  <c r="D3654" i="23"/>
  <c r="D3655" i="23"/>
  <c r="D3656" i="23"/>
  <c r="D3657" i="23"/>
  <c r="D3658" i="23"/>
  <c r="D3659" i="23"/>
  <c r="D3660" i="23"/>
  <c r="D3661" i="23"/>
  <c r="D3662" i="23"/>
  <c r="D3663" i="23"/>
  <c r="D3664" i="23"/>
  <c r="D3665" i="23"/>
  <c r="D3666" i="23"/>
  <c r="D3667" i="23"/>
  <c r="D3668" i="23"/>
  <c r="D3669" i="23"/>
  <c r="D3670" i="23"/>
  <c r="D3671" i="23"/>
  <c r="D3672" i="23"/>
  <c r="D3673" i="23"/>
  <c r="D3674" i="23"/>
  <c r="D3675" i="23"/>
  <c r="D3676" i="23"/>
  <c r="D3677" i="23"/>
  <c r="D3678" i="23"/>
  <c r="D3679" i="23"/>
  <c r="D3680" i="23"/>
  <c r="D3681" i="23"/>
  <c r="D3682" i="23"/>
  <c r="D3683" i="23"/>
  <c r="D3684" i="23"/>
  <c r="D3685" i="23"/>
  <c r="D3686" i="23"/>
  <c r="D3687" i="23"/>
  <c r="D3688" i="23"/>
  <c r="D3689" i="23"/>
  <c r="D3690" i="23"/>
  <c r="D3691" i="23"/>
  <c r="D3692" i="23"/>
  <c r="D3693" i="23"/>
  <c r="D3694" i="23"/>
  <c r="D3695" i="23"/>
  <c r="D3696" i="23"/>
  <c r="D3697" i="23"/>
  <c r="D3698" i="23"/>
  <c r="D3699" i="23"/>
  <c r="D3700" i="23"/>
  <c r="D3701" i="23"/>
  <c r="D3702" i="23"/>
  <c r="D3703" i="23"/>
  <c r="D3704" i="23"/>
  <c r="D3705" i="23"/>
  <c r="D3706" i="23"/>
  <c r="D3707" i="23"/>
  <c r="D3708" i="23"/>
  <c r="D3709" i="23"/>
  <c r="D3710" i="23"/>
  <c r="D3711" i="23"/>
  <c r="D3712" i="23"/>
  <c r="D3713" i="23"/>
  <c r="D3714" i="23"/>
  <c r="D3715" i="23"/>
  <c r="D3716" i="23"/>
  <c r="D3717" i="23"/>
  <c r="D3718" i="23"/>
  <c r="D3719" i="23"/>
  <c r="D3720" i="23"/>
  <c r="D3721" i="23"/>
  <c r="D3722" i="23"/>
  <c r="D3723" i="23"/>
  <c r="D3724" i="23"/>
  <c r="D3725" i="23"/>
  <c r="D3726" i="23"/>
  <c r="D3727" i="23"/>
  <c r="D3728" i="23"/>
  <c r="D3729" i="23"/>
  <c r="D3730" i="23"/>
  <c r="D3731" i="23"/>
  <c r="D3732" i="23"/>
  <c r="D3733" i="23"/>
  <c r="D3734" i="23"/>
  <c r="D3735" i="23"/>
  <c r="D3736" i="23"/>
  <c r="D3737" i="23"/>
  <c r="D3738" i="23"/>
  <c r="D3739" i="23"/>
  <c r="D3740" i="23"/>
  <c r="D3741" i="23"/>
  <c r="D3742" i="23"/>
  <c r="D3743" i="23"/>
  <c r="D3744" i="23"/>
  <c r="D3745" i="23"/>
  <c r="D3746" i="23"/>
  <c r="D3747" i="23"/>
  <c r="D3748" i="23"/>
  <c r="D3749" i="23"/>
  <c r="D3750" i="23"/>
  <c r="D3751" i="23"/>
  <c r="D3752" i="23"/>
  <c r="D3753" i="23"/>
  <c r="D3754" i="23"/>
  <c r="D3755" i="23"/>
  <c r="D3756" i="23"/>
  <c r="D3757" i="23"/>
  <c r="D3758" i="23"/>
  <c r="D3759" i="23"/>
  <c r="D3760" i="23"/>
  <c r="D3761" i="23"/>
  <c r="D3762" i="23"/>
  <c r="D3763" i="23"/>
  <c r="D3764" i="23"/>
  <c r="D3765" i="23"/>
  <c r="D3766" i="23"/>
  <c r="D3767" i="23"/>
  <c r="D3768" i="23"/>
  <c r="D3769" i="23"/>
  <c r="D3770" i="23"/>
  <c r="D3771" i="23"/>
  <c r="D3772" i="23"/>
  <c r="D3773" i="23"/>
  <c r="D3774" i="23"/>
  <c r="D3775" i="23"/>
  <c r="D3776" i="23"/>
  <c r="D3777" i="23"/>
  <c r="D3778" i="23"/>
  <c r="D3779" i="23"/>
  <c r="D3780" i="23"/>
  <c r="D3781" i="23"/>
  <c r="D3782" i="23"/>
  <c r="D3783" i="23"/>
  <c r="D3784" i="23"/>
  <c r="D3785" i="23"/>
  <c r="D3786" i="23"/>
  <c r="D3787" i="23"/>
  <c r="D3788" i="23"/>
  <c r="D3789" i="23"/>
  <c r="D3790" i="23"/>
  <c r="D3791" i="23"/>
  <c r="D3792" i="23"/>
  <c r="D3793" i="23"/>
  <c r="D3794" i="23"/>
  <c r="D3795" i="23"/>
  <c r="D3796" i="23"/>
  <c r="D3797" i="23"/>
  <c r="D3798" i="23"/>
  <c r="D3799" i="23"/>
  <c r="D3800" i="23"/>
  <c r="D3801" i="23"/>
  <c r="D3802" i="23"/>
  <c r="D3803" i="23"/>
  <c r="D3804" i="23"/>
  <c r="D3805" i="23"/>
  <c r="D3806" i="23"/>
  <c r="D3807" i="23"/>
  <c r="D3808" i="23"/>
  <c r="D3809" i="23"/>
  <c r="D3810" i="23"/>
  <c r="D3811" i="23"/>
  <c r="D3812" i="23"/>
  <c r="D3813" i="23"/>
  <c r="D3814" i="23"/>
  <c r="D3815" i="23"/>
  <c r="D3816" i="23"/>
  <c r="D3817" i="23"/>
  <c r="D3818" i="23"/>
  <c r="D3819" i="23"/>
  <c r="D3820" i="23"/>
  <c r="D3821" i="23"/>
  <c r="D3822" i="23"/>
  <c r="D3823" i="23"/>
  <c r="D3824" i="23"/>
  <c r="D3825" i="23"/>
  <c r="D3826" i="23"/>
  <c r="D3827" i="23"/>
  <c r="D3828" i="23"/>
  <c r="D3829" i="23"/>
  <c r="D3830" i="23"/>
  <c r="D3831" i="23"/>
  <c r="D3832" i="23"/>
  <c r="D3833" i="23"/>
  <c r="D3834" i="23"/>
  <c r="D3835" i="23"/>
  <c r="D3836" i="23"/>
  <c r="D3837" i="23"/>
  <c r="D3838" i="23"/>
  <c r="D3839" i="23"/>
  <c r="D3840" i="23"/>
  <c r="D3841" i="23"/>
  <c r="D3842" i="23"/>
  <c r="D3843" i="23"/>
  <c r="D3844" i="23"/>
  <c r="D3845" i="23"/>
  <c r="D3846" i="23"/>
  <c r="D3847" i="23"/>
  <c r="D3848" i="23"/>
  <c r="D3849" i="23"/>
  <c r="D3850" i="23"/>
  <c r="D3851" i="23"/>
  <c r="D3852" i="23"/>
  <c r="D3853" i="23"/>
  <c r="D3854" i="23"/>
  <c r="D3855" i="23"/>
  <c r="D3856" i="23"/>
  <c r="D3857" i="23"/>
  <c r="D3858" i="23"/>
  <c r="D3859" i="23"/>
  <c r="D3860" i="23"/>
  <c r="D3861" i="23"/>
  <c r="D3862" i="23"/>
  <c r="D3863" i="23"/>
  <c r="D3864" i="23"/>
  <c r="D3865" i="23"/>
  <c r="D3866" i="23"/>
  <c r="D3867" i="23"/>
  <c r="D3868" i="23"/>
  <c r="D3869" i="23"/>
  <c r="D3870" i="23"/>
  <c r="D3871" i="23"/>
  <c r="D3872" i="23"/>
  <c r="D3873" i="23"/>
  <c r="D3874" i="23"/>
  <c r="D3875" i="23"/>
  <c r="D3876" i="23"/>
  <c r="D3877" i="23"/>
  <c r="D3878" i="23"/>
  <c r="D3879" i="23"/>
  <c r="D3880" i="23"/>
  <c r="D3881" i="23"/>
  <c r="D3882" i="23"/>
  <c r="D3883" i="23"/>
  <c r="D3884" i="23"/>
  <c r="D3885" i="23"/>
  <c r="D3886" i="23"/>
  <c r="D3887" i="23"/>
  <c r="D3888" i="23"/>
  <c r="D3889" i="23"/>
  <c r="D3890" i="23"/>
  <c r="D3891" i="23"/>
  <c r="D3892" i="23"/>
  <c r="D3893" i="23"/>
  <c r="D3894" i="23"/>
  <c r="D3895" i="23"/>
  <c r="D3896" i="23"/>
  <c r="D3897" i="23"/>
  <c r="D3898" i="23"/>
  <c r="D3899" i="23"/>
  <c r="D3900" i="23"/>
  <c r="D3901" i="23"/>
  <c r="D3902" i="23"/>
  <c r="D3903" i="23"/>
  <c r="D3904" i="23"/>
  <c r="D3905" i="23"/>
  <c r="D3906" i="23"/>
  <c r="D3907" i="23"/>
  <c r="D3908" i="23"/>
  <c r="D3909" i="23"/>
  <c r="D3910" i="23"/>
  <c r="D3911" i="23"/>
  <c r="D3912" i="23"/>
  <c r="D3913" i="23"/>
  <c r="D3914" i="23"/>
  <c r="D3915" i="23"/>
  <c r="D3916" i="23"/>
  <c r="D3917" i="23"/>
  <c r="D3918" i="23"/>
  <c r="D3919" i="23"/>
  <c r="D3920" i="23"/>
  <c r="D3921" i="23"/>
  <c r="D3922" i="23"/>
  <c r="D3923" i="23"/>
  <c r="D3924" i="23"/>
  <c r="D3925" i="23"/>
  <c r="D3926" i="23"/>
  <c r="D3927" i="23"/>
  <c r="D3928" i="23"/>
  <c r="D3929" i="23"/>
  <c r="D3930" i="23"/>
  <c r="D3931" i="23"/>
  <c r="D3932" i="23"/>
  <c r="D3933" i="23"/>
  <c r="D3934" i="23"/>
  <c r="D3935" i="23"/>
  <c r="D3936" i="23"/>
  <c r="D3937" i="23"/>
  <c r="D3938" i="23"/>
  <c r="D3939" i="23"/>
  <c r="D3940" i="23"/>
  <c r="D3941" i="23"/>
  <c r="D3942" i="23"/>
  <c r="D3943" i="23"/>
  <c r="D3944" i="23"/>
  <c r="D3945" i="23"/>
  <c r="D3946" i="23"/>
  <c r="D3947" i="23"/>
  <c r="D3948" i="23"/>
  <c r="D3949" i="23"/>
  <c r="D3950" i="23"/>
  <c r="D3951" i="23"/>
  <c r="D3952" i="23"/>
  <c r="D3953" i="23"/>
  <c r="D3954" i="23"/>
  <c r="D3955" i="23"/>
  <c r="D3956" i="23"/>
  <c r="D3957" i="23"/>
  <c r="D3958" i="23"/>
  <c r="D3959" i="23"/>
  <c r="D3960" i="23"/>
  <c r="D3961" i="23"/>
  <c r="D3962" i="23"/>
  <c r="D3963" i="23"/>
  <c r="D3964" i="23"/>
  <c r="D3965" i="23"/>
  <c r="D3966" i="23"/>
  <c r="D3967" i="23"/>
  <c r="D3968" i="23"/>
  <c r="D3969" i="23"/>
  <c r="D3970" i="23"/>
  <c r="D3971" i="23"/>
  <c r="D3972" i="23"/>
  <c r="D3973" i="23"/>
  <c r="D3974" i="23"/>
  <c r="D3975" i="23"/>
  <c r="D3976" i="23"/>
  <c r="D3977" i="23"/>
  <c r="D3978" i="23"/>
  <c r="D3979" i="23"/>
  <c r="D3980" i="23"/>
  <c r="D3981" i="23"/>
  <c r="D3982" i="23"/>
  <c r="D3983" i="23"/>
  <c r="D3984" i="23"/>
  <c r="D3985" i="23"/>
  <c r="D3986" i="23"/>
  <c r="D3987" i="23"/>
  <c r="D3988" i="23"/>
  <c r="D3989" i="23"/>
  <c r="D3990" i="23"/>
  <c r="D3991" i="23"/>
  <c r="D3992" i="23"/>
  <c r="D3993" i="23"/>
  <c r="D3994" i="23"/>
  <c r="D3995" i="23"/>
  <c r="D3996" i="23"/>
  <c r="D3997" i="23"/>
  <c r="D3998" i="23"/>
  <c r="D3999" i="23"/>
  <c r="D4000" i="23"/>
  <c r="D4001" i="23"/>
  <c r="D4002" i="23"/>
  <c r="D4003" i="23"/>
  <c r="D4004" i="23"/>
  <c r="D4005" i="23"/>
  <c r="D4006" i="23"/>
  <c r="D4007" i="23"/>
  <c r="D4008" i="23"/>
  <c r="D4009" i="23"/>
  <c r="D4010" i="23"/>
  <c r="D4011" i="23"/>
  <c r="D4012" i="23"/>
  <c r="D4013" i="23"/>
  <c r="D4014" i="23"/>
  <c r="D4015" i="23"/>
  <c r="D4016" i="23"/>
  <c r="D4017" i="23"/>
  <c r="D4018" i="23"/>
  <c r="D4019" i="23"/>
  <c r="D4020" i="23"/>
  <c r="D4021" i="23"/>
  <c r="D4022" i="23"/>
  <c r="D4023" i="23"/>
  <c r="D4024" i="23"/>
  <c r="D4025" i="23"/>
  <c r="D4026" i="23"/>
  <c r="D4027" i="23"/>
  <c r="D4028" i="23"/>
  <c r="D4029" i="23"/>
  <c r="D4030" i="23"/>
  <c r="D4031" i="23"/>
  <c r="D4032" i="23"/>
  <c r="D4033" i="23"/>
  <c r="D4034" i="23"/>
  <c r="D4035" i="23"/>
  <c r="D4036" i="23"/>
  <c r="D4037" i="23"/>
  <c r="D4038" i="23"/>
  <c r="D4039" i="23"/>
  <c r="D4040" i="23"/>
  <c r="D4041" i="23"/>
  <c r="D4042" i="23"/>
  <c r="D4043" i="23"/>
  <c r="D4044" i="23"/>
  <c r="D4045" i="23"/>
  <c r="D4046" i="23"/>
  <c r="D4047" i="23"/>
  <c r="D4048" i="23"/>
  <c r="D4049" i="23"/>
  <c r="D4050" i="23"/>
  <c r="D4051" i="23"/>
  <c r="D4052" i="23"/>
  <c r="D4053" i="23"/>
  <c r="D4054" i="23"/>
  <c r="D4055" i="23"/>
  <c r="D4056" i="23"/>
  <c r="D4057" i="23"/>
  <c r="D4058" i="23"/>
  <c r="D4059" i="23"/>
  <c r="D4060" i="23"/>
  <c r="D4061" i="23"/>
  <c r="D4062" i="23"/>
  <c r="D4063" i="23"/>
  <c r="D4064" i="23"/>
  <c r="D4065" i="23"/>
  <c r="D4066" i="23"/>
  <c r="D4067" i="23"/>
  <c r="D4068" i="23"/>
  <c r="D4069" i="23"/>
  <c r="D4070" i="23"/>
  <c r="D4071" i="23"/>
  <c r="D4072" i="23"/>
  <c r="D4073" i="23"/>
  <c r="D4074" i="23"/>
  <c r="D4075" i="23"/>
  <c r="D4076" i="23"/>
  <c r="D4077" i="23"/>
  <c r="D4078" i="23"/>
  <c r="D4079" i="23"/>
  <c r="D4080" i="23"/>
  <c r="D4081" i="23"/>
  <c r="D4082" i="23"/>
  <c r="D4083" i="23"/>
  <c r="D4084" i="23"/>
  <c r="D4085" i="23"/>
  <c r="D4086" i="23"/>
  <c r="D4087" i="23"/>
  <c r="D4088" i="23"/>
  <c r="D4089" i="23"/>
  <c r="D4090" i="23"/>
  <c r="D4091" i="23"/>
  <c r="D4092" i="23"/>
  <c r="D4093" i="23"/>
  <c r="D4094" i="23"/>
  <c r="D4095" i="23"/>
  <c r="D4096" i="23"/>
  <c r="D4097" i="23"/>
  <c r="D4098" i="23"/>
  <c r="D4099" i="23"/>
  <c r="D4100" i="23"/>
  <c r="D4101" i="23"/>
  <c r="D4102" i="23"/>
  <c r="D4103" i="23"/>
  <c r="D4104" i="23"/>
  <c r="D4105" i="23"/>
  <c r="D4106" i="23"/>
  <c r="D4107" i="23"/>
  <c r="D4108" i="23"/>
  <c r="D4109" i="23"/>
  <c r="D4110" i="23"/>
  <c r="D4111" i="23"/>
  <c r="D4112" i="23"/>
  <c r="D4113" i="23"/>
  <c r="D4114" i="23"/>
  <c r="D4115" i="23"/>
  <c r="D4116" i="23"/>
  <c r="D4117" i="23"/>
  <c r="D4118" i="23"/>
  <c r="D4119" i="23"/>
  <c r="D4120" i="23"/>
  <c r="D4121" i="23"/>
  <c r="D4122" i="23"/>
  <c r="D4123" i="23"/>
  <c r="D4124" i="23"/>
  <c r="D4125" i="23"/>
  <c r="D4126" i="23"/>
  <c r="D4127" i="23"/>
  <c r="D4128" i="23"/>
  <c r="D4129" i="23"/>
  <c r="D4130" i="23"/>
  <c r="D4131" i="23"/>
  <c r="D4132" i="23"/>
  <c r="D4133" i="23"/>
  <c r="D4134" i="23"/>
  <c r="D4135" i="23"/>
  <c r="D4136" i="23"/>
  <c r="D4137" i="23"/>
  <c r="D4138" i="23"/>
  <c r="D4139" i="23"/>
  <c r="D4140" i="23"/>
  <c r="D4141" i="23"/>
  <c r="D4142" i="23"/>
  <c r="D4143" i="23"/>
  <c r="D4144" i="23"/>
  <c r="D4145" i="23"/>
  <c r="D4146" i="23"/>
  <c r="D4147" i="23"/>
  <c r="D4148" i="23"/>
  <c r="D4149" i="23"/>
  <c r="D4150" i="23"/>
  <c r="D4151" i="23"/>
  <c r="D4152" i="23"/>
  <c r="D4153" i="23"/>
  <c r="D4154" i="23"/>
  <c r="D4155" i="23"/>
  <c r="D4156" i="23"/>
  <c r="D4157" i="23"/>
  <c r="D4158" i="23"/>
  <c r="D4159" i="23"/>
  <c r="D4160" i="23"/>
  <c r="D4161" i="23"/>
  <c r="D4162" i="23"/>
  <c r="D4163" i="23"/>
  <c r="D4164" i="23"/>
  <c r="D4165" i="23"/>
  <c r="D4166" i="23"/>
  <c r="D4167" i="23"/>
  <c r="D4168" i="23"/>
  <c r="D4169" i="23"/>
  <c r="D4170" i="23"/>
  <c r="D4171" i="23"/>
  <c r="D4172" i="23"/>
  <c r="D4173" i="23"/>
  <c r="D4174" i="23"/>
  <c r="D4175" i="23"/>
  <c r="D4176" i="23"/>
  <c r="D4177" i="23"/>
  <c r="D4178" i="23"/>
  <c r="D4179" i="23"/>
  <c r="D4180" i="23"/>
  <c r="D4181" i="23"/>
  <c r="D4182" i="23"/>
  <c r="D4183" i="23"/>
  <c r="D4184" i="23"/>
  <c r="D4185" i="23"/>
  <c r="D4186" i="23"/>
  <c r="D4187" i="23"/>
  <c r="D4188" i="23"/>
  <c r="D4189" i="23"/>
  <c r="D4190" i="23"/>
  <c r="D4191" i="23"/>
  <c r="D4192" i="23"/>
  <c r="D4193" i="23"/>
  <c r="D4194" i="23"/>
  <c r="D4195" i="23"/>
  <c r="D4196" i="23"/>
  <c r="D4197" i="23"/>
  <c r="D4198" i="23"/>
  <c r="D4199" i="23"/>
  <c r="D4200" i="23"/>
  <c r="D4201" i="23"/>
  <c r="D4202" i="23"/>
  <c r="D4203" i="23"/>
  <c r="D4204" i="23"/>
  <c r="D4205" i="23"/>
  <c r="D4206" i="23"/>
  <c r="D4207" i="23"/>
  <c r="D4208" i="23"/>
  <c r="D4209" i="23"/>
  <c r="D4210" i="23"/>
  <c r="D4211" i="23"/>
  <c r="D4212" i="23"/>
  <c r="D4213" i="23"/>
  <c r="D4214" i="23"/>
  <c r="D4215" i="23"/>
  <c r="D4216" i="23"/>
  <c r="D4217" i="23"/>
  <c r="D4218" i="23"/>
  <c r="D4219" i="23"/>
  <c r="D4220" i="23"/>
  <c r="D4221" i="23"/>
  <c r="D4222" i="23"/>
  <c r="D4223" i="23"/>
  <c r="D4224" i="23"/>
  <c r="D4225" i="23"/>
  <c r="D4226" i="23"/>
  <c r="D4227" i="23"/>
  <c r="D4228" i="23"/>
  <c r="D4229" i="23"/>
  <c r="D4230" i="23"/>
  <c r="D4231" i="23"/>
  <c r="D4232" i="23"/>
  <c r="D4233" i="23"/>
  <c r="D4234" i="23"/>
  <c r="D4235" i="23"/>
  <c r="D4236" i="23"/>
  <c r="D4237" i="23"/>
  <c r="D4238" i="23"/>
  <c r="D4239" i="23"/>
  <c r="D4240" i="23"/>
  <c r="D4241" i="23"/>
  <c r="D4242" i="23"/>
  <c r="D4243" i="23"/>
  <c r="D4244" i="23"/>
  <c r="D4245" i="23"/>
  <c r="D4246" i="23"/>
  <c r="D4247" i="23"/>
  <c r="D4248" i="23"/>
  <c r="D4249" i="23"/>
  <c r="D4250" i="23"/>
  <c r="D4251" i="23"/>
  <c r="D4252" i="23"/>
  <c r="D4253" i="23"/>
  <c r="D4254" i="23"/>
  <c r="D4255" i="23"/>
  <c r="D4256" i="23"/>
  <c r="D4257" i="23"/>
  <c r="D4258" i="23"/>
  <c r="D4259" i="23"/>
  <c r="D4260" i="23"/>
  <c r="D4261" i="23"/>
  <c r="D4262" i="23"/>
  <c r="D4263" i="23"/>
  <c r="D4264" i="23"/>
  <c r="D4265" i="23"/>
  <c r="D4266" i="23"/>
  <c r="D4267" i="23"/>
  <c r="D4268" i="23"/>
  <c r="D4269" i="23"/>
  <c r="D4270" i="23"/>
  <c r="D4271" i="23"/>
  <c r="D4272" i="23"/>
  <c r="D4273" i="23"/>
  <c r="D4274" i="23"/>
  <c r="D4275" i="23"/>
  <c r="D4276" i="23"/>
  <c r="D4277" i="23"/>
  <c r="D4278" i="23"/>
  <c r="D4279" i="23"/>
  <c r="D4280" i="23"/>
  <c r="D4281" i="23"/>
  <c r="D4282" i="23"/>
  <c r="D4283" i="23"/>
  <c r="D4284" i="23"/>
  <c r="D4285" i="23"/>
  <c r="D4286" i="23"/>
  <c r="D4287" i="23"/>
  <c r="D4288" i="23"/>
  <c r="D4289" i="23"/>
  <c r="D4290" i="23"/>
  <c r="D4291" i="23"/>
  <c r="D4292" i="23"/>
  <c r="D4293" i="23"/>
  <c r="D4294" i="23"/>
  <c r="D4295" i="23"/>
  <c r="D4296" i="23"/>
  <c r="D4297" i="23"/>
  <c r="D4298" i="23"/>
  <c r="D4299" i="23"/>
  <c r="D4300" i="23"/>
  <c r="D4301" i="23"/>
  <c r="D4302" i="23"/>
  <c r="D4303" i="23"/>
  <c r="D4304" i="23"/>
  <c r="D4305" i="23"/>
  <c r="D4306" i="23"/>
  <c r="D4307" i="23"/>
  <c r="D4308" i="23"/>
  <c r="D4309" i="23"/>
  <c r="D4310" i="23"/>
  <c r="D4311" i="23"/>
  <c r="D4312" i="23"/>
  <c r="D4313" i="23"/>
  <c r="D4314" i="23"/>
  <c r="D4315" i="23"/>
  <c r="D4316" i="23"/>
  <c r="D4317" i="23"/>
  <c r="D4318" i="23"/>
  <c r="D4319" i="23"/>
  <c r="D4320" i="23"/>
  <c r="D4321" i="23"/>
  <c r="D4322" i="23"/>
  <c r="D4323" i="23"/>
  <c r="D4324" i="23"/>
  <c r="D4325" i="23"/>
  <c r="D4326" i="23"/>
  <c r="D4327" i="23"/>
  <c r="D4328" i="23"/>
  <c r="D4329" i="23"/>
  <c r="D4330" i="23"/>
  <c r="D4331" i="23"/>
  <c r="D4332" i="23"/>
  <c r="D4333" i="23"/>
  <c r="D4334" i="23"/>
  <c r="D4335" i="23"/>
  <c r="D4336" i="23"/>
  <c r="D4337" i="23"/>
  <c r="D4338" i="23"/>
  <c r="D4339" i="23"/>
  <c r="D4340" i="23"/>
  <c r="D4341" i="23"/>
  <c r="D4342" i="23"/>
  <c r="D4343" i="23"/>
  <c r="D4344" i="23"/>
  <c r="D4345" i="23"/>
  <c r="D4346" i="23"/>
  <c r="D4347" i="23"/>
  <c r="D4348" i="23"/>
  <c r="D4349" i="23"/>
  <c r="D4350" i="23"/>
  <c r="D4351" i="23"/>
  <c r="D4352" i="23"/>
  <c r="D4353" i="23"/>
  <c r="D4354" i="23"/>
  <c r="D4355" i="23"/>
  <c r="D4356" i="23"/>
  <c r="D4357" i="23"/>
  <c r="D4358" i="23"/>
  <c r="D4359" i="23"/>
  <c r="D4360" i="23"/>
  <c r="D4361" i="23"/>
  <c r="D4362" i="23"/>
  <c r="D4363" i="23"/>
  <c r="D4364" i="23"/>
  <c r="D4365" i="23"/>
  <c r="D4366" i="23"/>
  <c r="D4367" i="23"/>
  <c r="D4368" i="23"/>
  <c r="D4369" i="23"/>
  <c r="D4370" i="23"/>
  <c r="D4371" i="23"/>
  <c r="D4372" i="23"/>
  <c r="D4373" i="23"/>
  <c r="D4374" i="23"/>
  <c r="D4375" i="23"/>
  <c r="D4376" i="23"/>
  <c r="D4377" i="23"/>
  <c r="D4378" i="23"/>
  <c r="D4379" i="23"/>
  <c r="D4380" i="23"/>
  <c r="D4381" i="23"/>
  <c r="D4382" i="23"/>
  <c r="D4383" i="23"/>
  <c r="D4384" i="23"/>
  <c r="D4385" i="23"/>
  <c r="D4386" i="23"/>
  <c r="D4387" i="23"/>
  <c r="D4388" i="23"/>
  <c r="D4389" i="23"/>
  <c r="D4390" i="23"/>
  <c r="D4391" i="23"/>
  <c r="D4392" i="23"/>
  <c r="D4393" i="23"/>
  <c r="D4394" i="23"/>
  <c r="D4395" i="23"/>
  <c r="D4396" i="23"/>
  <c r="D4397" i="23"/>
  <c r="D4398" i="23"/>
  <c r="D4399" i="23"/>
  <c r="D4400" i="23"/>
  <c r="D4401" i="23"/>
  <c r="D4402" i="23"/>
  <c r="D4403" i="23"/>
  <c r="D4404" i="23"/>
  <c r="D4405" i="23"/>
  <c r="D4406" i="23"/>
  <c r="D4407" i="23"/>
  <c r="D4408" i="23"/>
  <c r="D4409" i="23"/>
  <c r="D4410" i="23"/>
  <c r="D4411" i="23"/>
  <c r="D4412" i="23"/>
  <c r="D4413" i="23"/>
  <c r="D4414" i="23"/>
  <c r="D4415" i="23"/>
  <c r="D4416" i="23"/>
  <c r="D4417" i="23"/>
  <c r="D4418" i="23"/>
  <c r="D4419" i="23"/>
  <c r="D4420" i="23"/>
  <c r="D4421" i="23"/>
  <c r="D4422" i="23"/>
  <c r="D4423" i="23"/>
  <c r="D4424" i="23"/>
  <c r="D4425" i="23"/>
  <c r="D4426" i="23"/>
  <c r="D4427" i="23"/>
  <c r="D4428" i="23"/>
  <c r="D4429" i="23"/>
  <c r="D4430" i="23"/>
  <c r="D4431" i="23"/>
  <c r="D4432" i="23"/>
  <c r="D4433" i="23"/>
  <c r="D4434" i="23"/>
  <c r="D4435" i="23"/>
  <c r="D4436" i="23"/>
  <c r="D4437" i="23"/>
  <c r="D4438" i="23"/>
  <c r="D4439" i="23"/>
  <c r="D4440" i="23"/>
  <c r="D4441" i="23"/>
  <c r="D4442" i="23"/>
  <c r="D4443" i="23"/>
  <c r="D456" i="23"/>
  <c r="D457" i="23"/>
  <c r="D458" i="23"/>
  <c r="D459" i="23"/>
  <c r="D460" i="23"/>
  <c r="D461" i="23"/>
  <c r="D462" i="23"/>
  <c r="D463" i="23"/>
  <c r="D464" i="23"/>
  <c r="D465" i="23"/>
  <c r="D466" i="23"/>
  <c r="D467" i="23"/>
  <c r="D468" i="23"/>
  <c r="D469" i="23"/>
  <c r="D470" i="23"/>
  <c r="D471" i="23"/>
  <c r="D472" i="23"/>
  <c r="D473" i="23"/>
  <c r="D474" i="23"/>
  <c r="D475" i="23"/>
  <c r="D476" i="23"/>
  <c r="D477" i="23"/>
  <c r="D478" i="23"/>
  <c r="D479" i="23"/>
  <c r="D480" i="23"/>
  <c r="D481" i="23"/>
  <c r="D482" i="23"/>
  <c r="D483" i="23"/>
  <c r="D484" i="23"/>
  <c r="D485" i="23"/>
  <c r="D486" i="23"/>
  <c r="D487" i="23"/>
  <c r="D488" i="23"/>
  <c r="D489" i="23"/>
  <c r="D490" i="23"/>
  <c r="D491" i="23"/>
  <c r="D492" i="23"/>
  <c r="D493" i="23"/>
  <c r="D494" i="23"/>
  <c r="D495" i="23"/>
  <c r="D496" i="23"/>
  <c r="D497" i="23"/>
  <c r="D498" i="23"/>
  <c r="D499" i="23"/>
  <c r="D500" i="23"/>
  <c r="D501" i="23"/>
  <c r="D502" i="23"/>
  <c r="D503" i="23"/>
  <c r="D504" i="23"/>
  <c r="D505" i="23"/>
  <c r="D506" i="23"/>
  <c r="D507" i="23"/>
  <c r="D508" i="23"/>
  <c r="D509" i="23"/>
  <c r="D510" i="23"/>
  <c r="D511" i="23"/>
  <c r="D512" i="23"/>
  <c r="D513" i="23"/>
  <c r="D514" i="23"/>
  <c r="D515" i="23"/>
  <c r="D516" i="23"/>
  <c r="D517" i="23"/>
  <c r="D518" i="23"/>
  <c r="D519" i="23"/>
  <c r="D520" i="23"/>
  <c r="D521" i="23"/>
  <c r="D522" i="23"/>
  <c r="D523" i="23"/>
  <c r="D524" i="23"/>
  <c r="D525" i="23"/>
  <c r="D526" i="23"/>
  <c r="D527" i="23"/>
  <c r="D528" i="23"/>
  <c r="D529" i="23"/>
  <c r="D530" i="23"/>
  <c r="D531" i="23"/>
  <c r="D532" i="23"/>
  <c r="D533" i="23"/>
  <c r="D534" i="23"/>
  <c r="D535" i="23"/>
  <c r="D536" i="23"/>
  <c r="D537" i="23"/>
  <c r="D538" i="23"/>
  <c r="D446" i="23"/>
  <c r="D447" i="23"/>
  <c r="D448" i="23"/>
  <c r="D449" i="23"/>
  <c r="D450" i="23"/>
  <c r="D451" i="23"/>
  <c r="D452" i="23"/>
  <c r="D453" i="23"/>
  <c r="D454" i="23"/>
  <c r="D455" i="23"/>
  <c r="D8" i="23"/>
  <c r="D445" i="23"/>
  <c r="D444" i="23"/>
  <c r="D443" i="23"/>
  <c r="D442" i="23"/>
  <c r="D441" i="23"/>
  <c r="D440" i="23"/>
  <c r="D439" i="23"/>
  <c r="D438" i="23"/>
  <c r="D437" i="23"/>
  <c r="D436" i="23"/>
  <c r="D435" i="23"/>
  <c r="D434" i="23"/>
  <c r="D433" i="23"/>
  <c r="D432" i="23"/>
  <c r="D431" i="23"/>
  <c r="D430" i="23"/>
  <c r="D429" i="23"/>
  <c r="D428" i="23"/>
  <c r="D427" i="23"/>
  <c r="D426" i="23"/>
  <c r="D425" i="23"/>
  <c r="D424" i="23"/>
  <c r="D423" i="23"/>
  <c r="D422" i="23"/>
  <c r="D421" i="23"/>
  <c r="D420" i="23"/>
  <c r="D419" i="23"/>
  <c r="D418" i="23"/>
  <c r="D417" i="23"/>
  <c r="D416" i="23"/>
  <c r="D415" i="23"/>
  <c r="D414" i="23"/>
  <c r="D413" i="23"/>
  <c r="D412" i="23"/>
  <c r="D411" i="23"/>
  <c r="D410" i="23"/>
  <c r="D409" i="23"/>
  <c r="D408" i="23"/>
  <c r="D407" i="23"/>
  <c r="D406" i="23"/>
  <c r="D405" i="23"/>
  <c r="D404" i="23"/>
  <c r="D403" i="23"/>
  <c r="D402" i="23"/>
  <c r="D401" i="23"/>
  <c r="D400" i="23"/>
  <c r="D399" i="23"/>
  <c r="D398" i="23"/>
  <c r="D397" i="23"/>
  <c r="D396" i="23"/>
  <c r="D395" i="23"/>
  <c r="D394" i="23"/>
  <c r="D393" i="23"/>
  <c r="D392" i="23"/>
  <c r="D391" i="23"/>
  <c r="D390" i="23"/>
  <c r="D389" i="23"/>
  <c r="D388" i="23"/>
  <c r="D387" i="23"/>
  <c r="D386" i="23"/>
  <c r="D385" i="23"/>
  <c r="D384" i="23"/>
  <c r="D383" i="23"/>
  <c r="D382" i="23"/>
  <c r="D381" i="23"/>
  <c r="D380" i="23"/>
  <c r="D379" i="23"/>
  <c r="D378" i="23"/>
  <c r="D377" i="23"/>
  <c r="D376" i="23"/>
  <c r="D375" i="23"/>
  <c r="D374" i="23"/>
  <c r="D373" i="23"/>
  <c r="D372" i="23"/>
  <c r="D371" i="23"/>
  <c r="D370" i="23"/>
  <c r="D369" i="23"/>
  <c r="D368" i="23"/>
  <c r="D367" i="23"/>
  <c r="D366" i="23"/>
  <c r="D365" i="23"/>
  <c r="D364" i="23"/>
  <c r="D363" i="23"/>
  <c r="D362" i="23"/>
  <c r="D361" i="23"/>
  <c r="D360" i="23"/>
  <c r="D359" i="23"/>
  <c r="D358" i="23"/>
  <c r="D357" i="23"/>
  <c r="D356" i="23"/>
  <c r="D355" i="23"/>
  <c r="D354" i="23"/>
  <c r="D353" i="23"/>
  <c r="D352" i="23"/>
  <c r="D351" i="23"/>
  <c r="D350" i="23"/>
  <c r="D349" i="23"/>
  <c r="D348" i="23"/>
  <c r="D347" i="23"/>
  <c r="D346" i="23"/>
  <c r="D345" i="23"/>
  <c r="D344" i="23"/>
  <c r="D343" i="23"/>
  <c r="D342" i="23"/>
  <c r="D341" i="23"/>
  <c r="D340" i="23"/>
  <c r="D339" i="23"/>
  <c r="D338" i="23"/>
  <c r="D337" i="23"/>
  <c r="D336" i="23"/>
  <c r="D335" i="23"/>
  <c r="D334" i="23"/>
  <c r="D333" i="23"/>
  <c r="D332" i="23"/>
  <c r="D331" i="23"/>
  <c r="D330" i="23"/>
  <c r="D329" i="23"/>
  <c r="D328" i="23"/>
  <c r="D327" i="23"/>
  <c r="D326" i="23"/>
  <c r="D325" i="23"/>
  <c r="D324" i="23"/>
  <c r="D323" i="23"/>
  <c r="D322" i="23"/>
  <c r="D321" i="23"/>
  <c r="D320" i="23"/>
  <c r="D319" i="23"/>
  <c r="D318" i="23"/>
  <c r="D317" i="23"/>
  <c r="D316" i="23"/>
  <c r="D315" i="23"/>
  <c r="D314" i="23"/>
  <c r="D313" i="23"/>
  <c r="D312" i="23"/>
  <c r="D311" i="23"/>
  <c r="D310" i="23"/>
  <c r="D309" i="23"/>
  <c r="D308" i="23"/>
  <c r="D307" i="23"/>
  <c r="D306" i="23"/>
  <c r="D305" i="23"/>
  <c r="D304" i="23"/>
  <c r="D303" i="23"/>
  <c r="D302" i="23"/>
  <c r="D301" i="23"/>
  <c r="D300" i="23"/>
  <c r="D299" i="23"/>
  <c r="D298" i="23"/>
  <c r="D297" i="23"/>
  <c r="D296" i="23"/>
  <c r="D295" i="23"/>
  <c r="D294" i="23"/>
  <c r="D293" i="23"/>
  <c r="D292" i="23"/>
  <c r="D291" i="23"/>
  <c r="D290" i="23"/>
  <c r="D289" i="23"/>
  <c r="D288" i="23"/>
  <c r="D287" i="23"/>
  <c r="D286" i="23"/>
  <c r="D285" i="23"/>
  <c r="D284" i="23"/>
  <c r="D283" i="23"/>
  <c r="D282" i="23"/>
  <c r="D281" i="23"/>
  <c r="D280" i="23"/>
  <c r="D279" i="23"/>
  <c r="D278" i="23"/>
  <c r="D277" i="23"/>
  <c r="D276" i="23"/>
  <c r="D275" i="23"/>
  <c r="D274" i="23"/>
  <c r="D273" i="23"/>
  <c r="D272" i="23"/>
  <c r="D271" i="23"/>
  <c r="D270" i="23"/>
  <c r="D269" i="23"/>
  <c r="D268" i="23"/>
  <c r="D267" i="23"/>
  <c r="D266" i="23"/>
  <c r="D265" i="23"/>
  <c r="D264" i="23"/>
  <c r="D263" i="23"/>
  <c r="D262" i="23"/>
  <c r="D261" i="23"/>
  <c r="D260" i="23"/>
  <c r="D259" i="23"/>
  <c r="D258" i="23"/>
  <c r="D257" i="23"/>
  <c r="D256" i="23"/>
  <c r="D255" i="23"/>
  <c r="D254" i="23"/>
  <c r="D253" i="23"/>
  <c r="D252" i="23"/>
  <c r="D251" i="23"/>
  <c r="D250" i="23"/>
  <c r="D249" i="23"/>
  <c r="D248" i="23"/>
  <c r="D247" i="23"/>
  <c r="D246" i="23"/>
  <c r="D245" i="23"/>
  <c r="D244" i="23"/>
  <c r="D243" i="23"/>
  <c r="D242" i="23"/>
  <c r="D241" i="23"/>
  <c r="D240" i="23"/>
  <c r="D239" i="23"/>
  <c r="D238" i="23"/>
  <c r="D237" i="23"/>
  <c r="D236" i="23"/>
  <c r="D235" i="23"/>
  <c r="D234" i="23"/>
  <c r="D233" i="23"/>
  <c r="D232" i="23"/>
  <c r="D231" i="23"/>
  <c r="D230" i="23"/>
  <c r="D229" i="23"/>
  <c r="D228" i="23"/>
  <c r="D227" i="23"/>
  <c r="D226" i="23"/>
  <c r="D225" i="23"/>
  <c r="D224" i="23"/>
  <c r="D223" i="23"/>
  <c r="D222" i="23"/>
  <c r="D221" i="23"/>
  <c r="D220" i="23"/>
  <c r="D219" i="23"/>
  <c r="D218" i="23"/>
  <c r="D217" i="23"/>
  <c r="D216" i="23"/>
  <c r="D215" i="23"/>
  <c r="D214" i="23"/>
  <c r="D213" i="23"/>
  <c r="D212" i="23"/>
  <c r="D211" i="23"/>
  <c r="D210" i="23"/>
  <c r="D209" i="23"/>
  <c r="D208" i="23"/>
  <c r="D207" i="23"/>
  <c r="D206" i="23"/>
  <c r="D205" i="23"/>
  <c r="D204" i="23"/>
  <c r="D203" i="23"/>
  <c r="D202" i="23"/>
  <c r="D201" i="23"/>
  <c r="D200" i="23"/>
  <c r="D199" i="23"/>
  <c r="D198" i="23"/>
  <c r="D197" i="23"/>
  <c r="D196" i="23"/>
  <c r="D195" i="23"/>
  <c r="D194" i="23"/>
  <c r="D193" i="23"/>
  <c r="D192" i="23"/>
  <c r="D191" i="23"/>
  <c r="D190" i="23"/>
  <c r="D189" i="23"/>
  <c r="D188" i="23"/>
  <c r="D187" i="23"/>
  <c r="D186" i="23"/>
  <c r="D185" i="23"/>
  <c r="D184" i="23"/>
  <c r="D183" i="23"/>
  <c r="D182" i="23"/>
  <c r="D181" i="23"/>
  <c r="D180" i="23"/>
  <c r="D179" i="23"/>
  <c r="D178" i="23"/>
  <c r="D177" i="23"/>
  <c r="D176" i="23"/>
  <c r="D175" i="23"/>
  <c r="D174" i="23"/>
  <c r="D173" i="23"/>
  <c r="D172" i="23"/>
  <c r="D171" i="23"/>
  <c r="D170" i="23"/>
  <c r="D169" i="23"/>
  <c r="D168" i="23"/>
  <c r="D167" i="23"/>
  <c r="D166" i="23"/>
  <c r="D165" i="23"/>
  <c r="D164" i="23"/>
  <c r="D163" i="23"/>
  <c r="D162" i="23"/>
  <c r="D161" i="23"/>
  <c r="D160" i="23"/>
  <c r="D159" i="23"/>
  <c r="D158" i="23"/>
  <c r="D157" i="23"/>
  <c r="D156" i="23"/>
  <c r="D155" i="23"/>
  <c r="D154" i="23"/>
  <c r="D153" i="23"/>
  <c r="D152" i="23"/>
  <c r="D151" i="23"/>
  <c r="D150" i="23"/>
  <c r="D149" i="23"/>
  <c r="D148" i="23"/>
  <c r="D147" i="23"/>
  <c r="D146" i="23"/>
  <c r="D145" i="23"/>
  <c r="D144" i="23"/>
  <c r="D143" i="23"/>
  <c r="D142" i="23"/>
  <c r="D141" i="23"/>
  <c r="D140" i="23"/>
  <c r="D139" i="23"/>
  <c r="D138" i="23"/>
  <c r="D137" i="23"/>
  <c r="D136" i="23"/>
  <c r="D135" i="23"/>
  <c r="D134" i="23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E11" i="21"/>
  <c r="C11" i="21"/>
  <c r="F10" i="21"/>
  <c r="E10" i="21" s="1"/>
  <c r="D10" i="21"/>
  <c r="C10" i="21" s="1"/>
  <c r="F9" i="21"/>
  <c r="E9" i="21" s="1"/>
  <c r="D9" i="21"/>
  <c r="C9" i="21" s="1"/>
  <c r="F8" i="21"/>
  <c r="E8" i="21" s="1"/>
  <c r="D8" i="21"/>
  <c r="C8" i="21" s="1"/>
  <c r="E43" i="18"/>
  <c r="E42" i="18"/>
  <c r="L10" i="20"/>
  <c r="L11" i="20"/>
  <c r="L12" i="20"/>
  <c r="L13" i="20"/>
  <c r="L9" i="20"/>
  <c r="M4" i="19"/>
  <c r="G10" i="20" s="1"/>
  <c r="N24" i="20" s="1"/>
  <c r="M5" i="19"/>
  <c r="G11" i="20" s="1"/>
  <c r="M6" i="19"/>
  <c r="G12" i="20" s="1"/>
  <c r="M7" i="19"/>
  <c r="G13" i="20" s="1"/>
  <c r="M8" i="19"/>
  <c r="M3" i="19"/>
  <c r="G9" i="20" s="1"/>
  <c r="E6" i="12"/>
  <c r="F6" i="12"/>
  <c r="G6" i="12"/>
  <c r="H6" i="12"/>
  <c r="I6" i="12"/>
  <c r="J6" i="12"/>
  <c r="K6" i="12"/>
  <c r="L6" i="12"/>
  <c r="K10" i="20"/>
  <c r="K11" i="20"/>
  <c r="K12" i="20"/>
  <c r="K13" i="20"/>
  <c r="K9" i="20"/>
  <c r="J10" i="20"/>
  <c r="J11" i="20"/>
  <c r="J12" i="20"/>
  <c r="J13" i="20"/>
  <c r="J9" i="20"/>
  <c r="E10" i="20"/>
  <c r="O26" i="20" s="1"/>
  <c r="E11" i="20"/>
  <c r="E12" i="20"/>
  <c r="E13" i="20"/>
  <c r="E9" i="20"/>
  <c r="D10" i="20"/>
  <c r="D11" i="20"/>
  <c r="D12" i="20"/>
  <c r="D13" i="20"/>
  <c r="D9" i="20"/>
  <c r="B10" i="20"/>
  <c r="B11" i="20"/>
  <c r="B12" i="20"/>
  <c r="B13" i="20"/>
  <c r="B9" i="20"/>
  <c r="E31" i="18"/>
  <c r="I44" i="18" s="1"/>
  <c r="G14" i="18"/>
  <c r="M6" i="18"/>
  <c r="N6" i="18"/>
  <c r="F6" i="18"/>
  <c r="G6" i="18"/>
  <c r="H6" i="18"/>
  <c r="I6" i="18"/>
  <c r="J6" i="18"/>
  <c r="K6" i="18"/>
  <c r="L6" i="18"/>
  <c r="E6" i="18"/>
  <c r="D71" i="12"/>
  <c r="E71" i="12"/>
  <c r="F71" i="12"/>
  <c r="G71" i="12"/>
  <c r="H71" i="12"/>
  <c r="I71" i="12"/>
  <c r="J71" i="12"/>
  <c r="K71" i="12"/>
  <c r="L71" i="12"/>
  <c r="C71" i="12"/>
  <c r="D51" i="12"/>
  <c r="E51" i="12"/>
  <c r="F51" i="12"/>
  <c r="G51" i="12"/>
  <c r="H51" i="12"/>
  <c r="I51" i="12"/>
  <c r="J51" i="12"/>
  <c r="K51" i="12"/>
  <c r="L51" i="12"/>
  <c r="C51" i="12"/>
  <c r="D6" i="12"/>
  <c r="C6" i="12"/>
  <c r="D53" i="12"/>
  <c r="E53" i="12"/>
  <c r="F53" i="12"/>
  <c r="G53" i="12"/>
  <c r="H53" i="12"/>
  <c r="I53" i="12"/>
  <c r="J53" i="12"/>
  <c r="K53" i="12"/>
  <c r="L53" i="12"/>
  <c r="C53" i="12"/>
  <c r="C35" i="12"/>
  <c r="D35" i="12"/>
  <c r="E35" i="12"/>
  <c r="F35" i="12"/>
  <c r="G35" i="12"/>
  <c r="H35" i="12"/>
  <c r="I35" i="12"/>
  <c r="J35" i="12"/>
  <c r="K35" i="12"/>
  <c r="L35" i="12"/>
  <c r="B35" i="12"/>
  <c r="B34" i="12"/>
  <c r="C25" i="12"/>
  <c r="D25" i="12"/>
  <c r="E25" i="12"/>
  <c r="F25" i="12"/>
  <c r="G25" i="12"/>
  <c r="H25" i="12"/>
  <c r="I25" i="12"/>
  <c r="J25" i="12"/>
  <c r="K25" i="12"/>
  <c r="L25" i="12"/>
  <c r="C26" i="12"/>
  <c r="D26" i="12"/>
  <c r="E26" i="12"/>
  <c r="F26" i="12"/>
  <c r="G26" i="12"/>
  <c r="H26" i="12"/>
  <c r="I26" i="12"/>
  <c r="J26" i="12"/>
  <c r="K26" i="12"/>
  <c r="L26" i="12"/>
  <c r="C27" i="12"/>
  <c r="D27" i="12"/>
  <c r="E27" i="12"/>
  <c r="F27" i="12"/>
  <c r="G27" i="12"/>
  <c r="H27" i="12"/>
  <c r="I27" i="12"/>
  <c r="J27" i="12"/>
  <c r="K27" i="12"/>
  <c r="L27" i="12"/>
  <c r="C28" i="12"/>
  <c r="D28" i="12"/>
  <c r="E28" i="12"/>
  <c r="F28" i="12"/>
  <c r="G28" i="12"/>
  <c r="H28" i="12"/>
  <c r="I28" i="12"/>
  <c r="J28" i="12"/>
  <c r="K28" i="12"/>
  <c r="L28" i="12"/>
  <c r="C29" i="12"/>
  <c r="D29" i="12"/>
  <c r="E29" i="12"/>
  <c r="F29" i="12"/>
  <c r="G29" i="12"/>
  <c r="H29" i="12"/>
  <c r="I29" i="12"/>
  <c r="J29" i="12"/>
  <c r="K29" i="12"/>
  <c r="L29" i="12"/>
  <c r="C30" i="12"/>
  <c r="D30" i="12"/>
  <c r="E30" i="12"/>
  <c r="F30" i="12"/>
  <c r="G30" i="12"/>
  <c r="H30" i="12"/>
  <c r="I30" i="12"/>
  <c r="J30" i="12"/>
  <c r="K30" i="12"/>
  <c r="L30" i="12"/>
  <c r="C31" i="12"/>
  <c r="D31" i="12"/>
  <c r="E31" i="12"/>
  <c r="F31" i="12"/>
  <c r="G31" i="12"/>
  <c r="H31" i="12"/>
  <c r="I31" i="12"/>
  <c r="J31" i="12"/>
  <c r="K31" i="12"/>
  <c r="L31" i="12"/>
  <c r="C32" i="12"/>
  <c r="D32" i="12"/>
  <c r="E32" i="12"/>
  <c r="F32" i="12"/>
  <c r="G32" i="12"/>
  <c r="H32" i="12"/>
  <c r="I32" i="12"/>
  <c r="J32" i="12"/>
  <c r="K32" i="12"/>
  <c r="L32" i="12"/>
  <c r="C33" i="12"/>
  <c r="D33" i="12"/>
  <c r="E33" i="12"/>
  <c r="F33" i="12"/>
  <c r="G33" i="12"/>
  <c r="H33" i="12"/>
  <c r="I33" i="12"/>
  <c r="J33" i="12"/>
  <c r="K33" i="12"/>
  <c r="L33" i="12"/>
  <c r="B26" i="12"/>
  <c r="B27" i="12"/>
  <c r="B28" i="12"/>
  <c r="B29" i="12"/>
  <c r="B30" i="12"/>
  <c r="B31" i="12"/>
  <c r="B32" i="12"/>
  <c r="B33" i="12"/>
  <c r="B25" i="12"/>
  <c r="C16" i="12"/>
  <c r="D16" i="12"/>
  <c r="E16" i="12"/>
  <c r="F16" i="12"/>
  <c r="G16" i="12"/>
  <c r="H16" i="12"/>
  <c r="I16" i="12"/>
  <c r="J16" i="12"/>
  <c r="K16" i="12"/>
  <c r="L16" i="12"/>
  <c r="C17" i="12"/>
  <c r="D17" i="12"/>
  <c r="E17" i="12"/>
  <c r="F17" i="12"/>
  <c r="G17" i="12"/>
  <c r="H17" i="12"/>
  <c r="I17" i="12"/>
  <c r="J17" i="12"/>
  <c r="K17" i="12"/>
  <c r="L17" i="12"/>
  <c r="C18" i="12"/>
  <c r="D18" i="12"/>
  <c r="E18" i="12"/>
  <c r="F18" i="12"/>
  <c r="G18" i="12"/>
  <c r="H18" i="12"/>
  <c r="I18" i="12"/>
  <c r="J18" i="12"/>
  <c r="K18" i="12"/>
  <c r="L18" i="12"/>
  <c r="B17" i="12"/>
  <c r="B18" i="12"/>
  <c r="B16" i="12"/>
  <c r="D43" i="16"/>
  <c r="E43" i="16"/>
  <c r="F43" i="16"/>
  <c r="G43" i="16"/>
  <c r="H43" i="16"/>
  <c r="I43" i="16"/>
  <c r="J43" i="16"/>
  <c r="K43" i="16"/>
  <c r="L43" i="16"/>
  <c r="D44" i="16"/>
  <c r="E44" i="16"/>
  <c r="F44" i="16"/>
  <c r="G44" i="16"/>
  <c r="H44" i="16"/>
  <c r="I44" i="16"/>
  <c r="J44" i="16"/>
  <c r="K44" i="16"/>
  <c r="L44" i="16"/>
  <c r="D45" i="16"/>
  <c r="E45" i="16"/>
  <c r="F45" i="16"/>
  <c r="G45" i="16"/>
  <c r="H45" i="16"/>
  <c r="I45" i="16"/>
  <c r="J45" i="16"/>
  <c r="K45" i="16"/>
  <c r="L45" i="16"/>
  <c r="C44" i="16"/>
  <c r="C45" i="16"/>
  <c r="C43" i="16"/>
  <c r="H42" i="16"/>
  <c r="I42" i="16"/>
  <c r="J42" i="16"/>
  <c r="L42" i="16"/>
  <c r="C74" i="6"/>
  <c r="D74" i="6"/>
  <c r="E74" i="6"/>
  <c r="F74" i="6"/>
  <c r="G42" i="16" s="1"/>
  <c r="G74" i="6"/>
  <c r="H74" i="6"/>
  <c r="I74" i="6"/>
  <c r="J74" i="6"/>
  <c r="K42" i="16" s="1"/>
  <c r="K74" i="6"/>
  <c r="B74" i="6"/>
  <c r="C42" i="16" s="1"/>
  <c r="C40" i="16"/>
  <c r="C41" i="16"/>
  <c r="C39" i="16"/>
  <c r="B40" i="16"/>
  <c r="B41" i="16"/>
  <c r="B42" i="16"/>
  <c r="B43" i="16"/>
  <c r="B44" i="16"/>
  <c r="B45" i="16"/>
  <c r="B39" i="16"/>
  <c r="D38" i="16"/>
  <c r="E38" i="16"/>
  <c r="F38" i="16"/>
  <c r="G38" i="16"/>
  <c r="H38" i="16"/>
  <c r="I38" i="16"/>
  <c r="J38" i="16"/>
  <c r="K38" i="16"/>
  <c r="L38" i="16"/>
  <c r="C38" i="16"/>
  <c r="D32" i="16"/>
  <c r="E32" i="16"/>
  <c r="F32" i="16"/>
  <c r="G32" i="16"/>
  <c r="H32" i="16"/>
  <c r="I32" i="16"/>
  <c r="J32" i="16"/>
  <c r="K32" i="16"/>
  <c r="L32" i="16"/>
  <c r="C32" i="16"/>
  <c r="D30" i="16"/>
  <c r="E30" i="16"/>
  <c r="F30" i="16"/>
  <c r="G30" i="16"/>
  <c r="H30" i="16"/>
  <c r="I30" i="16"/>
  <c r="J30" i="16"/>
  <c r="K30" i="16"/>
  <c r="L30" i="16"/>
  <c r="C30" i="16"/>
  <c r="B28" i="16"/>
  <c r="B3" i="16"/>
  <c r="D5" i="16"/>
  <c r="E5" i="16"/>
  <c r="F5" i="16"/>
  <c r="G5" i="16"/>
  <c r="H5" i="16"/>
  <c r="I5" i="16"/>
  <c r="J5" i="16"/>
  <c r="K5" i="16"/>
  <c r="L5" i="16"/>
  <c r="C5" i="16"/>
  <c r="D7" i="16"/>
  <c r="E7" i="16"/>
  <c r="F7" i="16"/>
  <c r="G7" i="16"/>
  <c r="H7" i="16"/>
  <c r="I7" i="16"/>
  <c r="J7" i="16"/>
  <c r="K7" i="16"/>
  <c r="L7" i="16"/>
  <c r="C7" i="16"/>
  <c r="C34" i="16"/>
  <c r="D34" i="16"/>
  <c r="E34" i="16"/>
  <c r="F34" i="16"/>
  <c r="G34" i="16"/>
  <c r="H34" i="16"/>
  <c r="I34" i="16"/>
  <c r="J34" i="16"/>
  <c r="K34" i="16"/>
  <c r="L34" i="16"/>
  <c r="C35" i="16"/>
  <c r="D35" i="16"/>
  <c r="E35" i="16"/>
  <c r="F35" i="16"/>
  <c r="G35" i="16"/>
  <c r="H35" i="16"/>
  <c r="I35" i="16"/>
  <c r="J35" i="16"/>
  <c r="K35" i="16"/>
  <c r="L35" i="16"/>
  <c r="C36" i="16"/>
  <c r="D36" i="16"/>
  <c r="E36" i="16"/>
  <c r="F36" i="16"/>
  <c r="G36" i="16"/>
  <c r="H36" i="16"/>
  <c r="I36" i="16"/>
  <c r="J36" i="16"/>
  <c r="K36" i="16"/>
  <c r="L36" i="16"/>
  <c r="F33" i="16"/>
  <c r="G33" i="16"/>
  <c r="H33" i="16"/>
  <c r="I33" i="16"/>
  <c r="J33" i="16"/>
  <c r="K33" i="16"/>
  <c r="L33" i="16"/>
  <c r="D33" i="16"/>
  <c r="E33" i="16"/>
  <c r="C33" i="16"/>
  <c r="B34" i="16"/>
  <c r="B35" i="16"/>
  <c r="B36" i="16"/>
  <c r="B33" i="16"/>
  <c r="C33" i="6"/>
  <c r="D21" i="16" s="1"/>
  <c r="D33" i="6"/>
  <c r="E21" i="16" s="1"/>
  <c r="B33" i="6"/>
  <c r="C21" i="16" s="1"/>
  <c r="F33" i="6"/>
  <c r="G21" i="16" s="1"/>
  <c r="G33" i="6"/>
  <c r="H21" i="16" s="1"/>
  <c r="H33" i="6"/>
  <c r="I21" i="16" s="1"/>
  <c r="I33" i="6"/>
  <c r="J21" i="16" s="1"/>
  <c r="J33" i="6"/>
  <c r="K21" i="16" s="1"/>
  <c r="K33" i="6"/>
  <c r="L21" i="16" s="1"/>
  <c r="E33" i="6"/>
  <c r="F21" i="16" s="1"/>
  <c r="C9" i="16"/>
  <c r="D9" i="16"/>
  <c r="E9" i="16"/>
  <c r="F9" i="16"/>
  <c r="G9" i="16"/>
  <c r="H9" i="16"/>
  <c r="I9" i="16"/>
  <c r="J9" i="16"/>
  <c r="K9" i="16"/>
  <c r="L9" i="16"/>
  <c r="C10" i="16"/>
  <c r="D10" i="16"/>
  <c r="E10" i="16"/>
  <c r="F10" i="16"/>
  <c r="G10" i="16"/>
  <c r="H10" i="16"/>
  <c r="I10" i="16"/>
  <c r="J10" i="16"/>
  <c r="K10" i="16"/>
  <c r="L10" i="16"/>
  <c r="C11" i="16"/>
  <c r="D11" i="16"/>
  <c r="E11" i="16"/>
  <c r="F11" i="16"/>
  <c r="G11" i="16"/>
  <c r="H11" i="16"/>
  <c r="I11" i="16"/>
  <c r="J11" i="16"/>
  <c r="K11" i="16"/>
  <c r="L11" i="16"/>
  <c r="C12" i="16"/>
  <c r="D12" i="16"/>
  <c r="E12" i="16"/>
  <c r="F12" i="16"/>
  <c r="G12" i="16"/>
  <c r="H12" i="16"/>
  <c r="I12" i="16"/>
  <c r="J12" i="16"/>
  <c r="K12" i="16"/>
  <c r="L12" i="16"/>
  <c r="C13" i="16"/>
  <c r="D13" i="16"/>
  <c r="E13" i="16"/>
  <c r="F13" i="16"/>
  <c r="G13" i="16"/>
  <c r="H13" i="16"/>
  <c r="I13" i="16"/>
  <c r="J13" i="16"/>
  <c r="K13" i="16"/>
  <c r="L13" i="16"/>
  <c r="C14" i="16"/>
  <c r="D14" i="16"/>
  <c r="E14" i="16"/>
  <c r="F14" i="16"/>
  <c r="G14" i="16"/>
  <c r="H14" i="16"/>
  <c r="I14" i="16"/>
  <c r="J14" i="16"/>
  <c r="K14" i="16"/>
  <c r="L14" i="16"/>
  <c r="C15" i="16"/>
  <c r="D15" i="16"/>
  <c r="E15" i="16"/>
  <c r="F15" i="16"/>
  <c r="G15" i="16"/>
  <c r="H15" i="16"/>
  <c r="I15" i="16"/>
  <c r="J15" i="16"/>
  <c r="K15" i="16"/>
  <c r="L15" i="16"/>
  <c r="C16" i="16"/>
  <c r="D16" i="16"/>
  <c r="E16" i="16"/>
  <c r="F16" i="16"/>
  <c r="G16" i="16"/>
  <c r="H16" i="16"/>
  <c r="I16" i="16"/>
  <c r="J16" i="16"/>
  <c r="K16" i="16"/>
  <c r="L16" i="16"/>
  <c r="C17" i="16"/>
  <c r="D17" i="16"/>
  <c r="E17" i="16"/>
  <c r="F17" i="16"/>
  <c r="G17" i="16"/>
  <c r="H17" i="16"/>
  <c r="I17" i="16"/>
  <c r="J17" i="16"/>
  <c r="K17" i="16"/>
  <c r="L17" i="16"/>
  <c r="C18" i="16"/>
  <c r="D18" i="16"/>
  <c r="E18" i="16"/>
  <c r="F18" i="16"/>
  <c r="G18" i="16"/>
  <c r="H18" i="16"/>
  <c r="I18" i="16"/>
  <c r="J18" i="16"/>
  <c r="K18" i="16"/>
  <c r="L18" i="16"/>
  <c r="C19" i="16"/>
  <c r="D19" i="16"/>
  <c r="E19" i="16"/>
  <c r="F19" i="16"/>
  <c r="G19" i="16"/>
  <c r="H19" i="16"/>
  <c r="I19" i="16"/>
  <c r="J19" i="16"/>
  <c r="K19" i="16"/>
  <c r="L19" i="16"/>
  <c r="C20" i="16"/>
  <c r="D20" i="16"/>
  <c r="E20" i="16"/>
  <c r="F20" i="16"/>
  <c r="G20" i="16"/>
  <c r="H20" i="16"/>
  <c r="I20" i="16"/>
  <c r="J20" i="16"/>
  <c r="K20" i="16"/>
  <c r="L20" i="16"/>
  <c r="H8" i="16"/>
  <c r="I8" i="16"/>
  <c r="J8" i="16"/>
  <c r="K8" i="16"/>
  <c r="L8" i="16"/>
  <c r="D8" i="16"/>
  <c r="E8" i="16"/>
  <c r="F8" i="16"/>
  <c r="G8" i="16"/>
  <c r="C8" i="16"/>
  <c r="B12" i="16"/>
  <c r="B13" i="16"/>
  <c r="B14" i="16"/>
  <c r="B15" i="16"/>
  <c r="B16" i="16"/>
  <c r="B17" i="16"/>
  <c r="B18" i="16"/>
  <c r="B19" i="16"/>
  <c r="B20" i="16"/>
  <c r="B9" i="16"/>
  <c r="B10" i="16"/>
  <c r="B11" i="16"/>
  <c r="B8" i="16"/>
  <c r="B7" i="16"/>
  <c r="F42" i="16"/>
  <c r="E42" i="16"/>
  <c r="D42" i="16"/>
  <c r="L41" i="16"/>
  <c r="K41" i="16"/>
  <c r="J41" i="16"/>
  <c r="I41" i="16"/>
  <c r="H41" i="16"/>
  <c r="G41" i="16"/>
  <c r="F41" i="16"/>
  <c r="E41" i="16"/>
  <c r="D41" i="16"/>
  <c r="L40" i="16"/>
  <c r="K40" i="16"/>
  <c r="J40" i="16"/>
  <c r="I40" i="16"/>
  <c r="H40" i="16"/>
  <c r="G40" i="16"/>
  <c r="F40" i="16"/>
  <c r="E40" i="16"/>
  <c r="D40" i="16"/>
  <c r="L39" i="16"/>
  <c r="K39" i="16"/>
  <c r="J39" i="16"/>
  <c r="I39" i="16"/>
  <c r="H39" i="16"/>
  <c r="G39" i="16"/>
  <c r="F39" i="16"/>
  <c r="E39" i="16"/>
  <c r="D39" i="16"/>
  <c r="C12" i="12"/>
  <c r="D12" i="12"/>
  <c r="E12" i="12"/>
  <c r="F12" i="12"/>
  <c r="G12" i="12"/>
  <c r="H12" i="12"/>
  <c r="I12" i="12"/>
  <c r="J12" i="12"/>
  <c r="K12" i="12"/>
  <c r="L12" i="12"/>
  <c r="C11" i="12"/>
  <c r="D11" i="12"/>
  <c r="E11" i="12"/>
  <c r="F11" i="12"/>
  <c r="G11" i="12"/>
  <c r="H11" i="12"/>
  <c r="I11" i="12"/>
  <c r="J11" i="12"/>
  <c r="K11" i="12"/>
  <c r="L11" i="12"/>
  <c r="C10" i="12"/>
  <c r="D10" i="12"/>
  <c r="E10" i="12"/>
  <c r="F10" i="12"/>
  <c r="G10" i="12"/>
  <c r="H10" i="12"/>
  <c r="I10" i="12"/>
  <c r="J10" i="12"/>
  <c r="K10" i="12"/>
  <c r="L10" i="12"/>
  <c r="C9" i="12"/>
  <c r="D9" i="12"/>
  <c r="E9" i="12"/>
  <c r="F9" i="12"/>
  <c r="G9" i="12"/>
  <c r="H9" i="12"/>
  <c r="I9" i="12"/>
  <c r="J9" i="12"/>
  <c r="K9" i="12"/>
  <c r="L9" i="12"/>
  <c r="B12" i="12"/>
  <c r="B11" i="12"/>
  <c r="B10" i="12"/>
  <c r="B9" i="12"/>
  <c r="J29" i="14" a="1"/>
  <c r="J29" i="14" s="1"/>
  <c r="J27" i="14"/>
  <c r="J7" i="14" s="1"/>
  <c r="J13" i="14" s="1"/>
  <c r="I9" i="13" s="1"/>
  <c r="J25" i="14"/>
  <c r="D37" i="13"/>
  <c r="E35" i="13"/>
  <c r="C35" i="13"/>
  <c r="D34" i="13" s="1"/>
  <c r="J34" i="13"/>
  <c r="D24" i="13"/>
  <c r="I40" i="13" s="1"/>
  <c r="I17" i="13"/>
  <c r="F17" i="13"/>
  <c r="I16" i="13"/>
  <c r="F16" i="13"/>
  <c r="H14" i="13"/>
  <c r="G14" i="13"/>
  <c r="J14" i="13" s="1"/>
  <c r="H13" i="13"/>
  <c r="G13" i="13"/>
  <c r="J13" i="13" s="1"/>
  <c r="H12" i="13"/>
  <c r="G12" i="13"/>
  <c r="J12" i="13" s="1"/>
  <c r="H11" i="13"/>
  <c r="G11" i="13"/>
  <c r="J11" i="13" s="1"/>
  <c r="H10" i="13"/>
  <c r="G10" i="13"/>
  <c r="J10" i="13" s="1"/>
  <c r="H9" i="13"/>
  <c r="G9" i="13"/>
  <c r="J15" i="11" l="1"/>
  <c r="I16" i="11"/>
  <c r="J16" i="11" s="1"/>
  <c r="H17" i="13"/>
  <c r="J9" i="13"/>
  <c r="H16" i="13"/>
  <c r="E33" i="13" s="1"/>
  <c r="E34" i="13" s="1"/>
  <c r="J41" i="13" s="1"/>
  <c r="L11" i="23"/>
  <c r="L9" i="23"/>
  <c r="H10" i="24"/>
  <c r="I18" i="24"/>
  <c r="J18" i="24" s="1"/>
  <c r="K18" i="24" s="1"/>
  <c r="H11" i="24"/>
  <c r="I17" i="24"/>
  <c r="J17" i="24" s="1"/>
  <c r="K17" i="24" s="1"/>
  <c r="H8" i="24"/>
  <c r="I16" i="24"/>
  <c r="J16" i="24" s="1"/>
  <c r="K16" i="24" s="1"/>
  <c r="H9" i="24"/>
  <c r="L8" i="23"/>
  <c r="L10" i="23"/>
  <c r="D33" i="13"/>
  <c r="I32" i="18"/>
  <c r="F9" i="20"/>
  <c r="P9" i="20" s="1"/>
  <c r="F13" i="20"/>
  <c r="H13" i="20" s="1"/>
  <c r="O24" i="20"/>
  <c r="N26" i="20"/>
  <c r="P26" i="20"/>
  <c r="F11" i="20"/>
  <c r="F12" i="20"/>
  <c r="F10" i="20"/>
  <c r="H14" i="18"/>
  <c r="J19" i="12"/>
  <c r="L19" i="12"/>
  <c r="E34" i="12"/>
  <c r="E36" i="12" s="1"/>
  <c r="H13" i="12"/>
  <c r="D13" i="12"/>
  <c r="C13" i="12"/>
  <c r="K19" i="12"/>
  <c r="C34" i="12"/>
  <c r="C36" i="12" s="1"/>
  <c r="L34" i="12"/>
  <c r="L36" i="12" s="1"/>
  <c r="I19" i="12"/>
  <c r="K34" i="12"/>
  <c r="K36" i="12" s="1"/>
  <c r="J34" i="12"/>
  <c r="J36" i="12" s="1"/>
  <c r="I34" i="12"/>
  <c r="I36" i="12" s="1"/>
  <c r="H34" i="12"/>
  <c r="H36" i="12" s="1"/>
  <c r="D19" i="12"/>
  <c r="C19" i="12"/>
  <c r="G34" i="12"/>
  <c r="G36" i="12" s="1"/>
  <c r="F34" i="12"/>
  <c r="F36" i="12" s="1"/>
  <c r="D34" i="12"/>
  <c r="D36" i="12" s="1"/>
  <c r="G13" i="12"/>
  <c r="F13" i="12"/>
  <c r="E13" i="12"/>
  <c r="H19" i="12"/>
  <c r="G19" i="12"/>
  <c r="K13" i="12"/>
  <c r="J13" i="12"/>
  <c r="I13" i="12"/>
  <c r="F19" i="12"/>
  <c r="E19" i="12"/>
  <c r="L13" i="12"/>
  <c r="G16" i="13"/>
  <c r="E37" i="13" s="1"/>
  <c r="J33" i="13" s="1"/>
  <c r="G17" i="13"/>
  <c r="J16" i="13"/>
  <c r="J40" i="13" l="1"/>
  <c r="I17" i="11"/>
  <c r="G12" i="23"/>
  <c r="G24" i="23"/>
  <c r="G36" i="23"/>
  <c r="G48" i="23"/>
  <c r="G60" i="23"/>
  <c r="G72" i="23"/>
  <c r="G84" i="23"/>
  <c r="G96" i="23"/>
  <c r="G108" i="23"/>
  <c r="G120" i="23"/>
  <c r="G132" i="23"/>
  <c r="G144" i="23"/>
  <c r="G156" i="23"/>
  <c r="G168" i="23"/>
  <c r="G180" i="23"/>
  <c r="G192" i="23"/>
  <c r="G204" i="23"/>
  <c r="G216" i="23"/>
  <c r="G228" i="23"/>
  <c r="G240" i="23"/>
  <c r="G252" i="23"/>
  <c r="G264" i="23"/>
  <c r="G276" i="23"/>
  <c r="G288" i="23"/>
  <c r="G300" i="23"/>
  <c r="G312" i="23"/>
  <c r="G324" i="23"/>
  <c r="G336" i="23"/>
  <c r="G348" i="23"/>
  <c r="G360" i="23"/>
  <c r="G372" i="23"/>
  <c r="G384" i="23"/>
  <c r="G396" i="23"/>
  <c r="G408" i="23"/>
  <c r="G420" i="23"/>
  <c r="G432" i="23"/>
  <c r="G444" i="23"/>
  <c r="G456" i="23"/>
  <c r="G468" i="23"/>
  <c r="G480" i="23"/>
  <c r="G492" i="23"/>
  <c r="G504" i="23"/>
  <c r="G516" i="23"/>
  <c r="G528" i="23"/>
  <c r="G540" i="23"/>
  <c r="G552" i="23"/>
  <c r="G564" i="23"/>
  <c r="G576" i="23"/>
  <c r="G588" i="23"/>
  <c r="G600" i="23"/>
  <c r="G612" i="23"/>
  <c r="G624" i="23"/>
  <c r="G636" i="23"/>
  <c r="G648" i="23"/>
  <c r="G660" i="23"/>
  <c r="G672" i="23"/>
  <c r="G684" i="23"/>
  <c r="G696" i="23"/>
  <c r="G708" i="23"/>
  <c r="G720" i="23"/>
  <c r="G732" i="23"/>
  <c r="G744" i="23"/>
  <c r="G756" i="23"/>
  <c r="G768" i="23"/>
  <c r="G780" i="23"/>
  <c r="G792" i="23"/>
  <c r="G804" i="23"/>
  <c r="G816" i="23"/>
  <c r="G828" i="23"/>
  <c r="G840" i="23"/>
  <c r="G852" i="23"/>
  <c r="G864" i="23"/>
  <c r="G876" i="23"/>
  <c r="G888" i="23"/>
  <c r="G900" i="23"/>
  <c r="G912" i="23"/>
  <c r="G924" i="23"/>
  <c r="G936" i="23"/>
  <c r="G948" i="23"/>
  <c r="G960" i="23"/>
  <c r="G972" i="23"/>
  <c r="G984" i="23"/>
  <c r="G996" i="23"/>
  <c r="G1008" i="23"/>
  <c r="G13" i="23"/>
  <c r="G25" i="23"/>
  <c r="G37" i="23"/>
  <c r="G49" i="23"/>
  <c r="G61" i="23"/>
  <c r="G73" i="23"/>
  <c r="G85" i="23"/>
  <c r="G97" i="23"/>
  <c r="G109" i="23"/>
  <c r="G121" i="23"/>
  <c r="G133" i="23"/>
  <c r="G145" i="23"/>
  <c r="G157" i="23"/>
  <c r="G169" i="23"/>
  <c r="G181" i="23"/>
  <c r="G193" i="23"/>
  <c r="G205" i="23"/>
  <c r="G217" i="23"/>
  <c r="G229" i="23"/>
  <c r="G241" i="23"/>
  <c r="G253" i="23"/>
  <c r="G265" i="23"/>
  <c r="G277" i="23"/>
  <c r="G289" i="23"/>
  <c r="G301" i="23"/>
  <c r="G313" i="23"/>
  <c r="G325" i="23"/>
  <c r="G337" i="23"/>
  <c r="G349" i="23"/>
  <c r="G361" i="23"/>
  <c r="G373" i="23"/>
  <c r="G385" i="23"/>
  <c r="G397" i="23"/>
  <c r="G409" i="23"/>
  <c r="G421" i="23"/>
  <c r="G433" i="23"/>
  <c r="G445" i="23"/>
  <c r="G457" i="23"/>
  <c r="G469" i="23"/>
  <c r="G481" i="23"/>
  <c r="G493" i="23"/>
  <c r="G505" i="23"/>
  <c r="G517" i="23"/>
  <c r="G529" i="23"/>
  <c r="G541" i="23"/>
  <c r="G553" i="23"/>
  <c r="G565" i="23"/>
  <c r="G577" i="23"/>
  <c r="G589" i="23"/>
  <c r="G601" i="23"/>
  <c r="G613" i="23"/>
  <c r="G625" i="23"/>
  <c r="G637" i="23"/>
  <c r="G649" i="23"/>
  <c r="G661" i="23"/>
  <c r="G673" i="23"/>
  <c r="G685" i="23"/>
  <c r="G697" i="23"/>
  <c r="G709" i="23"/>
  <c r="G721" i="23"/>
  <c r="G733" i="23"/>
  <c r="G745" i="23"/>
  <c r="G757" i="23"/>
  <c r="G769" i="23"/>
  <c r="G781" i="23"/>
  <c r="G793" i="23"/>
  <c r="G805" i="23"/>
  <c r="G817" i="23"/>
  <c r="G829" i="23"/>
  <c r="G841" i="23"/>
  <c r="G853" i="23"/>
  <c r="G865" i="23"/>
  <c r="G877" i="23"/>
  <c r="G889" i="23"/>
  <c r="G901" i="23"/>
  <c r="G913" i="23"/>
  <c r="G925" i="23"/>
  <c r="G937" i="23"/>
  <c r="G949" i="23"/>
  <c r="G961" i="23"/>
  <c r="G973" i="23"/>
  <c r="G985" i="23"/>
  <c r="G997" i="23"/>
  <c r="G1009" i="23"/>
  <c r="G14" i="23"/>
  <c r="G26" i="23"/>
  <c r="G38" i="23"/>
  <c r="G50" i="23"/>
  <c r="G62" i="23"/>
  <c r="G74" i="23"/>
  <c r="G86" i="23"/>
  <c r="G98" i="23"/>
  <c r="G110" i="23"/>
  <c r="G122" i="23"/>
  <c r="G134" i="23"/>
  <c r="G146" i="23"/>
  <c r="G158" i="23"/>
  <c r="G170" i="23"/>
  <c r="G182" i="23"/>
  <c r="G194" i="23"/>
  <c r="G206" i="23"/>
  <c r="G218" i="23"/>
  <c r="G230" i="23"/>
  <c r="G242" i="23"/>
  <c r="G254" i="23"/>
  <c r="G266" i="23"/>
  <c r="G278" i="23"/>
  <c r="G290" i="23"/>
  <c r="G302" i="23"/>
  <c r="G314" i="23"/>
  <c r="G326" i="23"/>
  <c r="G338" i="23"/>
  <c r="G350" i="23"/>
  <c r="G362" i="23"/>
  <c r="G374" i="23"/>
  <c r="G386" i="23"/>
  <c r="G398" i="23"/>
  <c r="G410" i="23"/>
  <c r="G422" i="23"/>
  <c r="G434" i="23"/>
  <c r="G446" i="23"/>
  <c r="G458" i="23"/>
  <c r="G470" i="23"/>
  <c r="G482" i="23"/>
  <c r="G494" i="23"/>
  <c r="G506" i="23"/>
  <c r="G518" i="23"/>
  <c r="G530" i="23"/>
  <c r="G542" i="23"/>
  <c r="G554" i="23"/>
  <c r="G566" i="23"/>
  <c r="G578" i="23"/>
  <c r="G590" i="23"/>
  <c r="G602" i="23"/>
  <c r="G614" i="23"/>
  <c r="G626" i="23"/>
  <c r="G638" i="23"/>
  <c r="G650" i="23"/>
  <c r="G662" i="23"/>
  <c r="G674" i="23"/>
  <c r="G686" i="23"/>
  <c r="G698" i="23"/>
  <c r="G710" i="23"/>
  <c r="G722" i="23"/>
  <c r="G734" i="23"/>
  <c r="G746" i="23"/>
  <c r="G758" i="23"/>
  <c r="G770" i="23"/>
  <c r="G782" i="23"/>
  <c r="G794" i="23"/>
  <c r="G806" i="23"/>
  <c r="G818" i="23"/>
  <c r="G830" i="23"/>
  <c r="G842" i="23"/>
  <c r="G854" i="23"/>
  <c r="G866" i="23"/>
  <c r="G878" i="23"/>
  <c r="G890" i="23"/>
  <c r="G902" i="23"/>
  <c r="G914" i="23"/>
  <c r="G926" i="23"/>
  <c r="G938" i="23"/>
  <c r="G950" i="23"/>
  <c r="G962" i="23"/>
  <c r="G974" i="23"/>
  <c r="G986" i="23"/>
  <c r="G998" i="23"/>
  <c r="G1010" i="23"/>
  <c r="G1022" i="23"/>
  <c r="G15" i="23"/>
  <c r="G27" i="23"/>
  <c r="G39" i="23"/>
  <c r="G51" i="23"/>
  <c r="G63" i="23"/>
  <c r="G75" i="23"/>
  <c r="G87" i="23"/>
  <c r="G99" i="23"/>
  <c r="G111" i="23"/>
  <c r="G123" i="23"/>
  <c r="G135" i="23"/>
  <c r="G147" i="23"/>
  <c r="G159" i="23"/>
  <c r="G171" i="23"/>
  <c r="G183" i="23"/>
  <c r="G195" i="23"/>
  <c r="G207" i="23"/>
  <c r="G219" i="23"/>
  <c r="G231" i="23"/>
  <c r="G243" i="23"/>
  <c r="G255" i="23"/>
  <c r="G267" i="23"/>
  <c r="G279" i="23"/>
  <c r="G291" i="23"/>
  <c r="G303" i="23"/>
  <c r="G315" i="23"/>
  <c r="G327" i="23"/>
  <c r="G339" i="23"/>
  <c r="G351" i="23"/>
  <c r="G363" i="23"/>
  <c r="G375" i="23"/>
  <c r="G387" i="23"/>
  <c r="G399" i="23"/>
  <c r="G411" i="23"/>
  <c r="G423" i="23"/>
  <c r="G435" i="23"/>
  <c r="G447" i="23"/>
  <c r="G459" i="23"/>
  <c r="G471" i="23"/>
  <c r="G483" i="23"/>
  <c r="G495" i="23"/>
  <c r="G507" i="23"/>
  <c r="G519" i="23"/>
  <c r="G531" i="23"/>
  <c r="G543" i="23"/>
  <c r="G555" i="23"/>
  <c r="G567" i="23"/>
  <c r="G579" i="23"/>
  <c r="G591" i="23"/>
  <c r="G603" i="23"/>
  <c r="G615" i="23"/>
  <c r="G627" i="23"/>
  <c r="G639" i="23"/>
  <c r="G651" i="23"/>
  <c r="G663" i="23"/>
  <c r="G675" i="23"/>
  <c r="G687" i="23"/>
  <c r="G699" i="23"/>
  <c r="G711" i="23"/>
  <c r="G723" i="23"/>
  <c r="G735" i="23"/>
  <c r="G747" i="23"/>
  <c r="G759" i="23"/>
  <c r="G771" i="23"/>
  <c r="G783" i="23"/>
  <c r="G795" i="23"/>
  <c r="G807" i="23"/>
  <c r="G819" i="23"/>
  <c r="G831" i="23"/>
  <c r="G843" i="23"/>
  <c r="G855" i="23"/>
  <c r="G867" i="23"/>
  <c r="G879" i="23"/>
  <c r="G891" i="23"/>
  <c r="G903" i="23"/>
  <c r="G915" i="23"/>
  <c r="G927" i="23"/>
  <c r="G939" i="23"/>
  <c r="G951" i="23"/>
  <c r="G963" i="23"/>
  <c r="G975" i="23"/>
  <c r="G987" i="23"/>
  <c r="G999" i="23"/>
  <c r="G1011" i="23"/>
  <c r="G1023" i="23"/>
  <c r="G18" i="23"/>
  <c r="G30" i="23"/>
  <c r="G42" i="23"/>
  <c r="G54" i="23"/>
  <c r="G66" i="23"/>
  <c r="G78" i="23"/>
  <c r="G90" i="23"/>
  <c r="G102" i="23"/>
  <c r="G114" i="23"/>
  <c r="G126" i="23"/>
  <c r="G138" i="23"/>
  <c r="G150" i="23"/>
  <c r="G162" i="23"/>
  <c r="G174" i="23"/>
  <c r="G186" i="23"/>
  <c r="G198" i="23"/>
  <c r="G210" i="23"/>
  <c r="G222" i="23"/>
  <c r="G234" i="23"/>
  <c r="G246" i="23"/>
  <c r="G258" i="23"/>
  <c r="G270" i="23"/>
  <c r="G282" i="23"/>
  <c r="G294" i="23"/>
  <c r="G306" i="23"/>
  <c r="G318" i="23"/>
  <c r="G330" i="23"/>
  <c r="G342" i="23"/>
  <c r="G354" i="23"/>
  <c r="G366" i="23"/>
  <c r="G378" i="23"/>
  <c r="G390" i="23"/>
  <c r="G402" i="23"/>
  <c r="G414" i="23"/>
  <c r="G426" i="23"/>
  <c r="G438" i="23"/>
  <c r="G450" i="23"/>
  <c r="G462" i="23"/>
  <c r="G474" i="23"/>
  <c r="G486" i="23"/>
  <c r="G498" i="23"/>
  <c r="G510" i="23"/>
  <c r="G522" i="23"/>
  <c r="G534" i="23"/>
  <c r="G546" i="23"/>
  <c r="G558" i="23"/>
  <c r="G570" i="23"/>
  <c r="G582" i="23"/>
  <c r="G594" i="23"/>
  <c r="G606" i="23"/>
  <c r="G618" i="23"/>
  <c r="G630" i="23"/>
  <c r="G642" i="23"/>
  <c r="G654" i="23"/>
  <c r="G666" i="23"/>
  <c r="G678" i="23"/>
  <c r="G690" i="23"/>
  <c r="G702" i="23"/>
  <c r="G714" i="23"/>
  <c r="G726" i="23"/>
  <c r="G738" i="23"/>
  <c r="G750" i="23"/>
  <c r="G762" i="23"/>
  <c r="G774" i="23"/>
  <c r="G786" i="23"/>
  <c r="G798" i="23"/>
  <c r="G810" i="23"/>
  <c r="G822" i="23"/>
  <c r="G834" i="23"/>
  <c r="G846" i="23"/>
  <c r="G858" i="23"/>
  <c r="G870" i="23"/>
  <c r="G882" i="23"/>
  <c r="G894" i="23"/>
  <c r="G906" i="23"/>
  <c r="G918" i="23"/>
  <c r="G930" i="23"/>
  <c r="G20" i="23"/>
  <c r="G32" i="23"/>
  <c r="G44" i="23"/>
  <c r="G56" i="23"/>
  <c r="G68" i="23"/>
  <c r="G80" i="23"/>
  <c r="G92" i="23"/>
  <c r="G104" i="23"/>
  <c r="G116" i="23"/>
  <c r="G128" i="23"/>
  <c r="G140" i="23"/>
  <c r="G152" i="23"/>
  <c r="G164" i="23"/>
  <c r="G176" i="23"/>
  <c r="G188" i="23"/>
  <c r="G200" i="23"/>
  <c r="G212" i="23"/>
  <c r="G224" i="23"/>
  <c r="G236" i="23"/>
  <c r="G248" i="23"/>
  <c r="G260" i="23"/>
  <c r="G272" i="23"/>
  <c r="G284" i="23"/>
  <c r="G296" i="23"/>
  <c r="G308" i="23"/>
  <c r="G320" i="23"/>
  <c r="G332" i="23"/>
  <c r="G344" i="23"/>
  <c r="G356" i="23"/>
  <c r="G368" i="23"/>
  <c r="G380" i="23"/>
  <c r="G392" i="23"/>
  <c r="G404" i="23"/>
  <c r="G416" i="23"/>
  <c r="G428" i="23"/>
  <c r="G440" i="23"/>
  <c r="G452" i="23"/>
  <c r="G464" i="23"/>
  <c r="G476" i="23"/>
  <c r="G488" i="23"/>
  <c r="G500" i="23"/>
  <c r="G512" i="23"/>
  <c r="G524" i="23"/>
  <c r="G536" i="23"/>
  <c r="G548" i="23"/>
  <c r="G560" i="23"/>
  <c r="G572" i="23"/>
  <c r="G584" i="23"/>
  <c r="G596" i="23"/>
  <c r="G608" i="23"/>
  <c r="G620" i="23"/>
  <c r="G632" i="23"/>
  <c r="G644" i="23"/>
  <c r="G656" i="23"/>
  <c r="G668" i="23"/>
  <c r="G680" i="23"/>
  <c r="G692" i="23"/>
  <c r="G704" i="23"/>
  <c r="G716" i="23"/>
  <c r="G728" i="23"/>
  <c r="G740" i="23"/>
  <c r="G752" i="23"/>
  <c r="G764" i="23"/>
  <c r="G776" i="23"/>
  <c r="G788" i="23"/>
  <c r="G800" i="23"/>
  <c r="G812" i="23"/>
  <c r="G824" i="23"/>
  <c r="G836" i="23"/>
  <c r="G848" i="23"/>
  <c r="G860" i="23"/>
  <c r="G872" i="23"/>
  <c r="G884" i="23"/>
  <c r="G896" i="23"/>
  <c r="G908" i="23"/>
  <c r="G920" i="23"/>
  <c r="G932" i="23"/>
  <c r="G17" i="23"/>
  <c r="G41" i="23"/>
  <c r="G65" i="23"/>
  <c r="G89" i="23"/>
  <c r="G113" i="23"/>
  <c r="G137" i="23"/>
  <c r="G161" i="23"/>
  <c r="G185" i="23"/>
  <c r="G209" i="23"/>
  <c r="G233" i="23"/>
  <c r="G257" i="23"/>
  <c r="G281" i="23"/>
  <c r="G305" i="23"/>
  <c r="G329" i="23"/>
  <c r="G353" i="23"/>
  <c r="G377" i="23"/>
  <c r="G401" i="23"/>
  <c r="G425" i="23"/>
  <c r="G449" i="23"/>
  <c r="G473" i="23"/>
  <c r="G497" i="23"/>
  <c r="G521" i="23"/>
  <c r="G545" i="23"/>
  <c r="G569" i="23"/>
  <c r="G593" i="23"/>
  <c r="G617" i="23"/>
  <c r="G641" i="23"/>
  <c r="G665" i="23"/>
  <c r="G689" i="23"/>
  <c r="G713" i="23"/>
  <c r="G737" i="23"/>
  <c r="G761" i="23"/>
  <c r="G785" i="23"/>
  <c r="G809" i="23"/>
  <c r="G833" i="23"/>
  <c r="G857" i="23"/>
  <c r="G881" i="23"/>
  <c r="G905" i="23"/>
  <c r="G929" i="23"/>
  <c r="G947" i="23"/>
  <c r="G967" i="23"/>
  <c r="G983" i="23"/>
  <c r="G1003" i="23"/>
  <c r="G1019" i="23"/>
  <c r="G1033" i="23"/>
  <c r="G1045" i="23"/>
  <c r="G1057" i="23"/>
  <c r="G1069" i="23"/>
  <c r="G1081" i="23"/>
  <c r="G1093" i="23"/>
  <c r="G1105" i="23"/>
  <c r="G1117" i="23"/>
  <c r="G1129" i="23"/>
  <c r="G1141" i="23"/>
  <c r="G1153" i="23"/>
  <c r="G1165" i="23"/>
  <c r="G1177" i="23"/>
  <c r="G1189" i="23"/>
  <c r="G1201" i="23"/>
  <c r="G1213" i="23"/>
  <c r="G1225" i="23"/>
  <c r="G1237" i="23"/>
  <c r="G1249" i="23"/>
  <c r="G1261" i="23"/>
  <c r="G1273" i="23"/>
  <c r="G1285" i="23"/>
  <c r="G1297" i="23"/>
  <c r="G1309" i="23"/>
  <c r="G1321" i="23"/>
  <c r="G1333" i="23"/>
  <c r="G1345" i="23"/>
  <c r="G1357" i="23"/>
  <c r="G1369" i="23"/>
  <c r="G1381" i="23"/>
  <c r="G1393" i="23"/>
  <c r="G1405" i="23"/>
  <c r="G1417" i="23"/>
  <c r="G1429" i="23"/>
  <c r="G1441" i="23"/>
  <c r="G1453" i="23"/>
  <c r="G1465" i="23"/>
  <c r="G1477" i="23"/>
  <c r="G1489" i="23"/>
  <c r="G1501" i="23"/>
  <c r="G1513" i="23"/>
  <c r="G19" i="23"/>
  <c r="G43" i="23"/>
  <c r="G67" i="23"/>
  <c r="G91" i="23"/>
  <c r="G115" i="23"/>
  <c r="G139" i="23"/>
  <c r="G163" i="23"/>
  <c r="G187" i="23"/>
  <c r="G211" i="23"/>
  <c r="G235" i="23"/>
  <c r="G259" i="23"/>
  <c r="G283" i="23"/>
  <c r="G307" i="23"/>
  <c r="G331" i="23"/>
  <c r="G355" i="23"/>
  <c r="G379" i="23"/>
  <c r="G403" i="23"/>
  <c r="G427" i="23"/>
  <c r="G451" i="23"/>
  <c r="G475" i="23"/>
  <c r="G499" i="23"/>
  <c r="G523" i="23"/>
  <c r="G547" i="23"/>
  <c r="G571" i="23"/>
  <c r="G595" i="23"/>
  <c r="G619" i="23"/>
  <c r="G643" i="23"/>
  <c r="G667" i="23"/>
  <c r="G691" i="23"/>
  <c r="G715" i="23"/>
  <c r="G739" i="23"/>
  <c r="G763" i="23"/>
  <c r="G787" i="23"/>
  <c r="G811" i="23"/>
  <c r="G835" i="23"/>
  <c r="G859" i="23"/>
  <c r="G883" i="23"/>
  <c r="G907" i="23"/>
  <c r="G931" i="23"/>
  <c r="G952" i="23"/>
  <c r="G968" i="23"/>
  <c r="G988" i="23"/>
  <c r="G1004" i="23"/>
  <c r="G1020" i="23"/>
  <c r="G1034" i="23"/>
  <c r="G1046" i="23"/>
  <c r="G1058" i="23"/>
  <c r="G1070" i="23"/>
  <c r="G1082" i="23"/>
  <c r="G1094" i="23"/>
  <c r="G1106" i="23"/>
  <c r="G1118" i="23"/>
  <c r="G1130" i="23"/>
  <c r="G1142" i="23"/>
  <c r="G1154" i="23"/>
  <c r="G1166" i="23"/>
  <c r="G1178" i="23"/>
  <c r="G1190" i="23"/>
  <c r="G1202" i="23"/>
  <c r="G1214" i="23"/>
  <c r="G1226" i="23"/>
  <c r="G1238" i="23"/>
  <c r="G21" i="23"/>
  <c r="G45" i="23"/>
  <c r="G69" i="23"/>
  <c r="G93" i="23"/>
  <c r="G117" i="23"/>
  <c r="G141" i="23"/>
  <c r="G165" i="23"/>
  <c r="G189" i="23"/>
  <c r="G213" i="23"/>
  <c r="G237" i="23"/>
  <c r="G261" i="23"/>
  <c r="G285" i="23"/>
  <c r="G309" i="23"/>
  <c r="G333" i="23"/>
  <c r="G357" i="23"/>
  <c r="G381" i="23"/>
  <c r="G405" i="23"/>
  <c r="G429" i="23"/>
  <c r="G453" i="23"/>
  <c r="G477" i="23"/>
  <c r="G501" i="23"/>
  <c r="G525" i="23"/>
  <c r="G549" i="23"/>
  <c r="G573" i="23"/>
  <c r="G597" i="23"/>
  <c r="G621" i="23"/>
  <c r="G645" i="23"/>
  <c r="G669" i="23"/>
  <c r="G693" i="23"/>
  <c r="G717" i="23"/>
  <c r="G741" i="23"/>
  <c r="G765" i="23"/>
  <c r="G789" i="23"/>
  <c r="G813" i="23"/>
  <c r="G837" i="23"/>
  <c r="G861" i="23"/>
  <c r="G885" i="23"/>
  <c r="G909" i="23"/>
  <c r="G933" i="23"/>
  <c r="G953" i="23"/>
  <c r="G969" i="23"/>
  <c r="G989" i="23"/>
  <c r="G1005" i="23"/>
  <c r="G1021" i="23"/>
  <c r="G1035" i="23"/>
  <c r="G1047" i="23"/>
  <c r="G1059" i="23"/>
  <c r="G1071" i="23"/>
  <c r="G1083" i="23"/>
  <c r="G1095" i="23"/>
  <c r="G1107" i="23"/>
  <c r="G1119" i="23"/>
  <c r="G1131" i="23"/>
  <c r="G1143" i="23"/>
  <c r="G1155" i="23"/>
  <c r="G1167" i="23"/>
  <c r="G1179" i="23"/>
  <c r="G1191" i="23"/>
  <c r="G1203" i="23"/>
  <c r="G1215" i="23"/>
  <c r="G1227" i="23"/>
  <c r="G1239" i="23"/>
  <c r="G1251" i="23"/>
  <c r="G1263" i="23"/>
  <c r="G1275" i="23"/>
  <c r="G1287" i="23"/>
  <c r="G1299" i="23"/>
  <c r="G1311" i="23"/>
  <c r="G1323" i="23"/>
  <c r="G1335" i="23"/>
  <c r="G1347" i="23"/>
  <c r="G1359" i="23"/>
  <c r="G1371" i="23"/>
  <c r="G1383" i="23"/>
  <c r="G1395" i="23"/>
  <c r="G1407" i="23"/>
  <c r="G1419" i="23"/>
  <c r="G1431" i="23"/>
  <c r="G1443" i="23"/>
  <c r="G1455" i="23"/>
  <c r="G1467" i="23"/>
  <c r="G1479" i="23"/>
  <c r="G1491" i="23"/>
  <c r="G1503" i="23"/>
  <c r="G1515" i="23"/>
  <c r="G1527" i="23"/>
  <c r="G1539" i="23"/>
  <c r="G1551" i="23"/>
  <c r="G1563" i="23"/>
  <c r="G1575" i="23"/>
  <c r="G1587" i="23"/>
  <c r="G1599" i="23"/>
  <c r="G1611" i="23"/>
  <c r="G1623" i="23"/>
  <c r="G1635" i="23"/>
  <c r="G1647" i="23"/>
  <c r="G1659" i="23"/>
  <c r="G1671" i="23"/>
  <c r="G1683" i="23"/>
  <c r="G1695" i="23"/>
  <c r="G1707" i="23"/>
  <c r="G1719" i="23"/>
  <c r="G1731" i="23"/>
  <c r="G1743" i="23"/>
  <c r="G1755" i="23"/>
  <c r="G1767" i="23"/>
  <c r="G1779" i="23"/>
  <c r="G1791" i="23"/>
  <c r="G1803" i="23"/>
  <c r="G1815" i="23"/>
  <c r="G1827" i="23"/>
  <c r="G1839" i="23"/>
  <c r="G1851" i="23"/>
  <c r="G1863" i="23"/>
  <c r="G1875" i="23"/>
  <c r="G1887" i="23"/>
  <c r="G1899" i="23"/>
  <c r="G1911" i="23"/>
  <c r="G1923" i="23"/>
  <c r="G1935" i="23"/>
  <c r="G1947" i="23"/>
  <c r="G1959" i="23"/>
  <c r="G1971" i="23"/>
  <c r="G1983" i="23"/>
  <c r="G28" i="23"/>
  <c r="G52" i="23"/>
  <c r="G76" i="23"/>
  <c r="G100" i="23"/>
  <c r="G124" i="23"/>
  <c r="G148" i="23"/>
  <c r="G172" i="23"/>
  <c r="G196" i="23"/>
  <c r="G220" i="23"/>
  <c r="G244" i="23"/>
  <c r="G268" i="23"/>
  <c r="G292" i="23"/>
  <c r="G316" i="23"/>
  <c r="G340" i="23"/>
  <c r="G364" i="23"/>
  <c r="G388" i="23"/>
  <c r="G412" i="23"/>
  <c r="G436" i="23"/>
  <c r="G460" i="23"/>
  <c r="G484" i="23"/>
  <c r="G508" i="23"/>
  <c r="G532" i="23"/>
  <c r="G556" i="23"/>
  <c r="G580" i="23"/>
  <c r="G604" i="23"/>
  <c r="G628" i="23"/>
  <c r="G652" i="23"/>
  <c r="G676" i="23"/>
  <c r="G700" i="23"/>
  <c r="G724" i="23"/>
  <c r="G748" i="23"/>
  <c r="G772" i="23"/>
  <c r="G796" i="23"/>
  <c r="G820" i="23"/>
  <c r="G844" i="23"/>
  <c r="G868" i="23"/>
  <c r="G892" i="23"/>
  <c r="G916" i="23"/>
  <c r="G940" i="23"/>
  <c r="G956" i="23"/>
  <c r="G976" i="23"/>
  <c r="G992" i="23"/>
  <c r="G1012" i="23"/>
  <c r="G1026" i="23"/>
  <c r="G1038" i="23"/>
  <c r="G29" i="23"/>
  <c r="G16" i="23"/>
  <c r="G23" i="23"/>
  <c r="G59" i="23"/>
  <c r="G101" i="23"/>
  <c r="G131" i="23"/>
  <c r="G173" i="23"/>
  <c r="G203" i="23"/>
  <c r="G245" i="23"/>
  <c r="G275" i="23"/>
  <c r="G317" i="23"/>
  <c r="G347" i="23"/>
  <c r="G389" i="23"/>
  <c r="G419" i="23"/>
  <c r="G461" i="23"/>
  <c r="G491" i="23"/>
  <c r="G533" i="23"/>
  <c r="G563" i="23"/>
  <c r="G605" i="23"/>
  <c r="G635" i="23"/>
  <c r="G677" i="23"/>
  <c r="G707" i="23"/>
  <c r="G749" i="23"/>
  <c r="G779" i="23"/>
  <c r="G821" i="23"/>
  <c r="G851" i="23"/>
  <c r="G893" i="23"/>
  <c r="G923" i="23"/>
  <c r="G957" i="23"/>
  <c r="G981" i="23"/>
  <c r="G1013" i="23"/>
  <c r="G1031" i="23"/>
  <c r="G1050" i="23"/>
  <c r="G1065" i="23"/>
  <c r="G1080" i="23"/>
  <c r="G1098" i="23"/>
  <c r="G1113" i="23"/>
  <c r="G1128" i="23"/>
  <c r="G1146" i="23"/>
  <c r="G1161" i="23"/>
  <c r="G1176" i="23"/>
  <c r="G1194" i="23"/>
  <c r="G1209" i="23"/>
  <c r="G1224" i="23"/>
  <c r="G1242" i="23"/>
  <c r="G1256" i="23"/>
  <c r="G1270" i="23"/>
  <c r="G1284" i="23"/>
  <c r="G1300" i="23"/>
  <c r="G1314" i="23"/>
  <c r="G1328" i="23"/>
  <c r="G1342" i="23"/>
  <c r="G1356" i="23"/>
  <c r="G1372" i="23"/>
  <c r="G1386" i="23"/>
  <c r="G1400" i="23"/>
  <c r="G1414" i="23"/>
  <c r="G1428" i="23"/>
  <c r="G1444" i="23"/>
  <c r="G1458" i="23"/>
  <c r="G1472" i="23"/>
  <c r="G1486" i="23"/>
  <c r="G1500" i="23"/>
  <c r="G1516" i="23"/>
  <c r="G1529" i="23"/>
  <c r="G1542" i="23"/>
  <c r="G1555" i="23"/>
  <c r="G1568" i="23"/>
  <c r="G1581" i="23"/>
  <c r="G1594" i="23"/>
  <c r="G1607" i="23"/>
  <c r="G1620" i="23"/>
  <c r="G1633" i="23"/>
  <c r="G1646" i="23"/>
  <c r="G1660" i="23"/>
  <c r="G1673" i="23"/>
  <c r="G1686" i="23"/>
  <c r="G1699" i="23"/>
  <c r="G1712" i="23"/>
  <c r="G1725" i="23"/>
  <c r="G1738" i="23"/>
  <c r="G1751" i="23"/>
  <c r="G1764" i="23"/>
  <c r="G1777" i="23"/>
  <c r="G1790" i="23"/>
  <c r="G1804" i="23"/>
  <c r="G1817" i="23"/>
  <c r="G1830" i="23"/>
  <c r="G1843" i="23"/>
  <c r="G1856" i="23"/>
  <c r="G1869" i="23"/>
  <c r="G1882" i="23"/>
  <c r="G1895" i="23"/>
  <c r="G1908" i="23"/>
  <c r="G1921" i="23"/>
  <c r="G1934" i="23"/>
  <c r="G1948" i="23"/>
  <c r="G1961" i="23"/>
  <c r="G1974" i="23"/>
  <c r="G1987" i="23"/>
  <c r="G1999" i="23"/>
  <c r="G2011" i="23"/>
  <c r="G2023" i="23"/>
  <c r="G2035" i="23"/>
  <c r="G2047" i="23"/>
  <c r="G2059" i="23"/>
  <c r="G2071" i="23"/>
  <c r="G2083" i="23"/>
  <c r="G2095" i="23"/>
  <c r="G2107" i="23"/>
  <c r="G2119" i="23"/>
  <c r="G2131" i="23"/>
  <c r="G2143" i="23"/>
  <c r="G2155" i="23"/>
  <c r="G2167" i="23"/>
  <c r="G2179" i="23"/>
  <c r="G2191" i="23"/>
  <c r="G2203" i="23"/>
  <c r="G2215" i="23"/>
  <c r="G2227" i="23"/>
  <c r="G2239" i="23"/>
  <c r="G2251" i="23"/>
  <c r="G2263" i="23"/>
  <c r="G31" i="23"/>
  <c r="G64" i="23"/>
  <c r="G103" i="23"/>
  <c r="G136" i="23"/>
  <c r="G175" i="23"/>
  <c r="G208" i="23"/>
  <c r="G247" i="23"/>
  <c r="G280" i="23"/>
  <c r="G319" i="23"/>
  <c r="G352" i="23"/>
  <c r="G391" i="23"/>
  <c r="G424" i="23"/>
  <c r="G463" i="23"/>
  <c r="G496" i="23"/>
  <c r="G535" i="23"/>
  <c r="G568" i="23"/>
  <c r="G607" i="23"/>
  <c r="G640" i="23"/>
  <c r="G679" i="23"/>
  <c r="G712" i="23"/>
  <c r="G751" i="23"/>
  <c r="G784" i="23"/>
  <c r="G823" i="23"/>
  <c r="G856" i="23"/>
  <c r="G895" i="23"/>
  <c r="G928" i="23"/>
  <c r="G958" i="23"/>
  <c r="G982" i="23"/>
  <c r="G1014" i="23"/>
  <c r="G1032" i="23"/>
  <c r="G1051" i="23"/>
  <c r="G1066" i="23"/>
  <c r="G1084" i="23"/>
  <c r="G1099" i="23"/>
  <c r="G1114" i="23"/>
  <c r="G1132" i="23"/>
  <c r="G1147" i="23"/>
  <c r="G1162" i="23"/>
  <c r="G1180" i="23"/>
  <c r="G1195" i="23"/>
  <c r="G1210" i="23"/>
  <c r="G1228" i="23"/>
  <c r="G1243" i="23"/>
  <c r="G1257" i="23"/>
  <c r="G1271" i="23"/>
  <c r="G1286" i="23"/>
  <c r="G1301" i="23"/>
  <c r="G1315" i="23"/>
  <c r="G1329" i="23"/>
  <c r="G1343" i="23"/>
  <c r="G1358" i="23"/>
  <c r="G1373" i="23"/>
  <c r="G1387" i="23"/>
  <c r="G1401" i="23"/>
  <c r="G1415" i="23"/>
  <c r="G1430" i="23"/>
  <c r="G1445" i="23"/>
  <c r="G1459" i="23"/>
  <c r="G1473" i="23"/>
  <c r="G1487" i="23"/>
  <c r="G1502" i="23"/>
  <c r="G1517" i="23"/>
  <c r="G1530" i="23"/>
  <c r="G1543" i="23"/>
  <c r="G1556" i="23"/>
  <c r="G1569" i="23"/>
  <c r="G1582" i="23"/>
  <c r="G1595" i="23"/>
  <c r="G1608" i="23"/>
  <c r="G1621" i="23"/>
  <c r="G1634" i="23"/>
  <c r="G1648" i="23"/>
  <c r="G1661" i="23"/>
  <c r="G1674" i="23"/>
  <c r="G1687" i="23"/>
  <c r="G1700" i="23"/>
  <c r="G1713" i="23"/>
  <c r="G1726" i="23"/>
  <c r="G1739" i="23"/>
  <c r="G1752" i="23"/>
  <c r="G1765" i="23"/>
  <c r="G1778" i="23"/>
  <c r="G1792" i="23"/>
  <c r="G1805" i="23"/>
  <c r="G1818" i="23"/>
  <c r="G1831" i="23"/>
  <c r="G1844" i="23"/>
  <c r="G1857" i="23"/>
  <c r="G1870" i="23"/>
  <c r="G1883" i="23"/>
  <c r="G1896" i="23"/>
  <c r="G1909" i="23"/>
  <c r="G1922" i="23"/>
  <c r="G1936" i="23"/>
  <c r="G1949" i="23"/>
  <c r="G1962" i="23"/>
  <c r="G1975" i="23"/>
  <c r="G1988" i="23"/>
  <c r="G2000" i="23"/>
  <c r="G2012" i="23"/>
  <c r="G2024" i="23"/>
  <c r="G2036" i="23"/>
  <c r="G2048" i="23"/>
  <c r="G2060" i="23"/>
  <c r="G2072" i="23"/>
  <c r="G2084" i="23"/>
  <c r="G2096" i="23"/>
  <c r="G2108" i="23"/>
  <c r="G2120" i="23"/>
  <c r="G2132" i="23"/>
  <c r="G2144" i="23"/>
  <c r="G2156" i="23"/>
  <c r="G2168" i="23"/>
  <c r="G2180" i="23"/>
  <c r="G2192" i="23"/>
  <c r="G2204" i="23"/>
  <c r="G2216" i="23"/>
  <c r="G2228" i="23"/>
  <c r="G2240" i="23"/>
  <c r="G2252" i="23"/>
  <c r="G2264" i="23"/>
  <c r="G35" i="23"/>
  <c r="G77" i="23"/>
  <c r="G107" i="23"/>
  <c r="G149" i="23"/>
  <c r="G179" i="23"/>
  <c r="G221" i="23"/>
  <c r="G251" i="23"/>
  <c r="G293" i="23"/>
  <c r="G323" i="23"/>
  <c r="G365" i="23"/>
  <c r="G395" i="23"/>
  <c r="G437" i="23"/>
  <c r="G467" i="23"/>
  <c r="G509" i="23"/>
  <c r="G539" i="23"/>
  <c r="G581" i="23"/>
  <c r="G611" i="23"/>
  <c r="G653" i="23"/>
  <c r="G683" i="23"/>
  <c r="G725" i="23"/>
  <c r="G755" i="23"/>
  <c r="G797" i="23"/>
  <c r="G827" i="23"/>
  <c r="G869" i="23"/>
  <c r="G899" i="23"/>
  <c r="G941" i="23"/>
  <c r="G965" i="23"/>
  <c r="G993" i="23"/>
  <c r="G1017" i="23"/>
  <c r="G1039" i="23"/>
  <c r="G1054" i="23"/>
  <c r="G1072" i="23"/>
  <c r="G1087" i="23"/>
  <c r="G1102" i="23"/>
  <c r="G1120" i="23"/>
  <c r="G1135" i="23"/>
  <c r="G1150" i="23"/>
  <c r="G1168" i="23"/>
  <c r="G1183" i="23"/>
  <c r="G1198" i="23"/>
  <c r="G1216" i="23"/>
  <c r="G1231" i="23"/>
  <c r="G1246" i="23"/>
  <c r="G1260" i="23"/>
  <c r="G1276" i="23"/>
  <c r="G1290" i="23"/>
  <c r="G1304" i="23"/>
  <c r="G1318" i="23"/>
  <c r="G1332" i="23"/>
  <c r="G1348" i="23"/>
  <c r="G1362" i="23"/>
  <c r="G1376" i="23"/>
  <c r="G1390" i="23"/>
  <c r="G1404" i="23"/>
  <c r="G1420" i="23"/>
  <c r="G1434" i="23"/>
  <c r="G1448" i="23"/>
  <c r="G1462" i="23"/>
  <c r="G1476" i="23"/>
  <c r="G1492" i="23"/>
  <c r="G1506" i="23"/>
  <c r="G1520" i="23"/>
  <c r="G1533" i="23"/>
  <c r="G1546" i="23"/>
  <c r="G1559" i="23"/>
  <c r="G1572" i="23"/>
  <c r="G1585" i="23"/>
  <c r="G1598" i="23"/>
  <c r="G1612" i="23"/>
  <c r="G1625" i="23"/>
  <c r="G1638" i="23"/>
  <c r="G1651" i="23"/>
  <c r="G1664" i="23"/>
  <c r="G1677" i="23"/>
  <c r="G1690" i="23"/>
  <c r="G1703" i="23"/>
  <c r="G1716" i="23"/>
  <c r="G1729" i="23"/>
  <c r="G1742" i="23"/>
  <c r="G1756" i="23"/>
  <c r="G1769" i="23"/>
  <c r="G1782" i="23"/>
  <c r="G1795" i="23"/>
  <c r="G1808" i="23"/>
  <c r="G1821" i="23"/>
  <c r="G40" i="23"/>
  <c r="G79" i="23"/>
  <c r="G112" i="23"/>
  <c r="G151" i="23"/>
  <c r="G184" i="23"/>
  <c r="G223" i="23"/>
  <c r="G256" i="23"/>
  <c r="G295" i="23"/>
  <c r="G328" i="23"/>
  <c r="G367" i="23"/>
  <c r="G400" i="23"/>
  <c r="G439" i="23"/>
  <c r="G472" i="23"/>
  <c r="G511" i="23"/>
  <c r="G544" i="23"/>
  <c r="G583" i="23"/>
  <c r="G616" i="23"/>
  <c r="G655" i="23"/>
  <c r="G688" i="23"/>
  <c r="G727" i="23"/>
  <c r="G760" i="23"/>
  <c r="G799" i="23"/>
  <c r="G832" i="23"/>
  <c r="G871" i="23"/>
  <c r="G904" i="23"/>
  <c r="G942" i="23"/>
  <c r="G966" i="23"/>
  <c r="G994" i="23"/>
  <c r="G1018" i="23"/>
  <c r="G1040" i="23"/>
  <c r="G1055" i="23"/>
  <c r="G1073" i="23"/>
  <c r="G1088" i="23"/>
  <c r="G1103" i="23"/>
  <c r="G1121" i="23"/>
  <c r="G1136" i="23"/>
  <c r="G1151" i="23"/>
  <c r="G1169" i="23"/>
  <c r="G1184" i="23"/>
  <c r="G1199" i="23"/>
  <c r="G1217" i="23"/>
  <c r="G1232" i="23"/>
  <c r="G1247" i="23"/>
  <c r="G1262" i="23"/>
  <c r="G1277" i="23"/>
  <c r="G1291" i="23"/>
  <c r="G1305" i="23"/>
  <c r="G1319" i="23"/>
  <c r="G1334" i="23"/>
  <c r="G1349" i="23"/>
  <c r="G1363" i="23"/>
  <c r="G1377" i="23"/>
  <c r="G1391" i="23"/>
  <c r="G1406" i="23"/>
  <c r="G1421" i="23"/>
  <c r="G1435" i="23"/>
  <c r="G1449" i="23"/>
  <c r="G1463" i="23"/>
  <c r="G1478" i="23"/>
  <c r="G1493" i="23"/>
  <c r="G1507" i="23"/>
  <c r="G1521" i="23"/>
  <c r="G1534" i="23"/>
  <c r="G1547" i="23"/>
  <c r="G1560" i="23"/>
  <c r="G1573" i="23"/>
  <c r="G1586" i="23"/>
  <c r="G1600" i="23"/>
  <c r="G1613" i="23"/>
  <c r="G1626" i="23"/>
  <c r="G1639" i="23"/>
  <c r="G1652" i="23"/>
  <c r="G1665" i="23"/>
  <c r="G1678" i="23"/>
  <c r="G1691" i="23"/>
  <c r="G1704" i="23"/>
  <c r="G1717" i="23"/>
  <c r="G1730" i="23"/>
  <c r="G1744" i="23"/>
  <c r="G1757" i="23"/>
  <c r="G1770" i="23"/>
  <c r="G1783" i="23"/>
  <c r="G1796" i="23"/>
  <c r="G1809" i="23"/>
  <c r="G1822" i="23"/>
  <c r="G22" i="23"/>
  <c r="G82" i="23"/>
  <c r="G130" i="23"/>
  <c r="G191" i="23"/>
  <c r="G239" i="23"/>
  <c r="G298" i="23"/>
  <c r="G346" i="23"/>
  <c r="G407" i="23"/>
  <c r="G455" i="23"/>
  <c r="G514" i="23"/>
  <c r="G562" i="23"/>
  <c r="G623" i="23"/>
  <c r="G671" i="23"/>
  <c r="G730" i="23"/>
  <c r="G778" i="23"/>
  <c r="G839" i="23"/>
  <c r="G887" i="23"/>
  <c r="G944" i="23"/>
  <c r="G980" i="23"/>
  <c r="G1025" i="23"/>
  <c r="G1049" i="23"/>
  <c r="G1075" i="23"/>
  <c r="G1097" i="23"/>
  <c r="G1123" i="23"/>
  <c r="G1145" i="23"/>
  <c r="G1171" i="23"/>
  <c r="G1193" i="23"/>
  <c r="G1219" i="23"/>
  <c r="G1241" i="23"/>
  <c r="G1265" i="23"/>
  <c r="G1283" i="23"/>
  <c r="G1307" i="23"/>
  <c r="G1327" i="23"/>
  <c r="G1351" i="23"/>
  <c r="G1370" i="23"/>
  <c r="G1394" i="23"/>
  <c r="G1413" i="23"/>
  <c r="G1437" i="23"/>
  <c r="G1457" i="23"/>
  <c r="G1481" i="23"/>
  <c r="G1499" i="23"/>
  <c r="G1523" i="23"/>
  <c r="G1541" i="23"/>
  <c r="G1562" i="23"/>
  <c r="G1580" i="23"/>
  <c r="G1602" i="23"/>
  <c r="G1619" i="23"/>
  <c r="G1641" i="23"/>
  <c r="G1658" i="23"/>
  <c r="G1680" i="23"/>
  <c r="G1698" i="23"/>
  <c r="G1720" i="23"/>
  <c r="G1737" i="23"/>
  <c r="G1759" i="23"/>
  <c r="G1776" i="23"/>
  <c r="G1798" i="23"/>
  <c r="G1816" i="23"/>
  <c r="G1835" i="23"/>
  <c r="G1850" i="23"/>
  <c r="G1866" i="23"/>
  <c r="G1881" i="23"/>
  <c r="G1898" i="23"/>
  <c r="G1914" i="23"/>
  <c r="G1929" i="23"/>
  <c r="G1944" i="23"/>
  <c r="G1960" i="23"/>
  <c r="G1977" i="23"/>
  <c r="G1992" i="23"/>
  <c r="G2006" i="23"/>
  <c r="G2020" i="23"/>
  <c r="G2034" i="23"/>
  <c r="G2050" i="23"/>
  <c r="G2064" i="23"/>
  <c r="G2078" i="23"/>
  <c r="G2092" i="23"/>
  <c r="G2106" i="23"/>
  <c r="G2122" i="23"/>
  <c r="G2136" i="23"/>
  <c r="G2150" i="23"/>
  <c r="G2164" i="23"/>
  <c r="G2178" i="23"/>
  <c r="G2194" i="23"/>
  <c r="G2208" i="23"/>
  <c r="G2222" i="23"/>
  <c r="G2236" i="23"/>
  <c r="G33" i="23"/>
  <c r="G83" i="23"/>
  <c r="G142" i="23"/>
  <c r="G197" i="23"/>
  <c r="G249" i="23"/>
  <c r="G299" i="23"/>
  <c r="G358" i="23"/>
  <c r="G413" i="23"/>
  <c r="G465" i="23"/>
  <c r="G515" i="23"/>
  <c r="G574" i="23"/>
  <c r="G629" i="23"/>
  <c r="G681" i="23"/>
  <c r="G731" i="23"/>
  <c r="G790" i="23"/>
  <c r="G845" i="23"/>
  <c r="G897" i="23"/>
  <c r="G945" i="23"/>
  <c r="G990" i="23"/>
  <c r="G1027" i="23"/>
  <c r="G1052" i="23"/>
  <c r="G1076" i="23"/>
  <c r="G1100" i="23"/>
  <c r="G1124" i="23"/>
  <c r="G1148" i="23"/>
  <c r="G1172" i="23"/>
  <c r="G1196" i="23"/>
  <c r="G1220" i="23"/>
  <c r="G1244" i="23"/>
  <c r="G1266" i="23"/>
  <c r="G1288" i="23"/>
  <c r="G1308" i="23"/>
  <c r="G1330" i="23"/>
  <c r="G1352" i="23"/>
  <c r="G1374" i="23"/>
  <c r="G1396" i="23"/>
  <c r="G1416" i="23"/>
  <c r="G1438" i="23"/>
  <c r="G1460" i="23"/>
  <c r="G1482" i="23"/>
  <c r="G1504" i="23"/>
  <c r="G1524" i="23"/>
  <c r="G1544" i="23"/>
  <c r="G1564" i="23"/>
  <c r="G1583" i="23"/>
  <c r="G1603" i="23"/>
  <c r="G1622" i="23"/>
  <c r="G1642" i="23"/>
  <c r="G1662" i="23"/>
  <c r="G1681" i="23"/>
  <c r="G1701" i="23"/>
  <c r="G1721" i="23"/>
  <c r="G1740" i="23"/>
  <c r="G1760" i="23"/>
  <c r="G1780" i="23"/>
  <c r="G1799" i="23"/>
  <c r="G1819" i="23"/>
  <c r="G1836" i="23"/>
  <c r="G1852" i="23"/>
  <c r="G1867" i="23"/>
  <c r="G1884" i="23"/>
  <c r="G1900" i="23"/>
  <c r="G1915" i="23"/>
  <c r="G1930" i="23"/>
  <c r="G1945" i="23"/>
  <c r="G1963" i="23"/>
  <c r="G1978" i="23"/>
  <c r="G1993" i="23"/>
  <c r="G2007" i="23"/>
  <c r="G2021" i="23"/>
  <c r="G2037" i="23"/>
  <c r="G2051" i="23"/>
  <c r="G2065" i="23"/>
  <c r="G2079" i="23"/>
  <c r="G2093" i="23"/>
  <c r="G2109" i="23"/>
  <c r="G2123" i="23"/>
  <c r="G2137" i="23"/>
  <c r="G2151" i="23"/>
  <c r="G2165" i="23"/>
  <c r="G2181" i="23"/>
  <c r="G2195" i="23"/>
  <c r="G2209" i="23"/>
  <c r="G2223" i="23"/>
  <c r="G2237" i="23"/>
  <c r="G2253" i="23"/>
  <c r="G2267" i="23"/>
  <c r="G2279" i="23"/>
  <c r="G2291" i="23"/>
  <c r="G2303" i="23"/>
  <c r="G2315" i="23"/>
  <c r="G2327" i="23"/>
  <c r="G2339" i="23"/>
  <c r="G2351" i="23"/>
  <c r="G2363" i="23"/>
  <c r="G2375" i="23"/>
  <c r="G2387" i="23"/>
  <c r="G2399" i="23"/>
  <c r="G2411" i="23"/>
  <c r="G2423" i="23"/>
  <c r="G2435" i="23"/>
  <c r="G2447" i="23"/>
  <c r="G2459" i="23"/>
  <c r="G2471" i="23"/>
  <c r="G2483" i="23"/>
  <c r="G2495" i="23"/>
  <c r="G2507" i="23"/>
  <c r="G2519" i="23"/>
  <c r="G2531" i="23"/>
  <c r="G2543" i="23"/>
  <c r="G2555" i="23"/>
  <c r="G2567" i="23"/>
  <c r="G2579" i="23"/>
  <c r="G2591" i="23"/>
  <c r="G2603" i="23"/>
  <c r="G2615" i="23"/>
  <c r="G2627" i="23"/>
  <c r="G2639" i="23"/>
  <c r="G2651" i="23"/>
  <c r="G2663" i="23"/>
  <c r="G2675" i="23"/>
  <c r="G2687" i="23"/>
  <c r="G2699" i="23"/>
  <c r="G2711" i="23"/>
  <c r="G2723" i="23"/>
  <c r="G2735" i="23"/>
  <c r="G2747" i="23"/>
  <c r="G2759" i="23"/>
  <c r="G2771" i="23"/>
  <c r="G2783" i="23"/>
  <c r="G2795" i="23"/>
  <c r="G2807" i="23"/>
  <c r="G2819" i="23"/>
  <c r="G2831" i="23"/>
  <c r="G2843" i="23"/>
  <c r="G2855" i="23"/>
  <c r="G2867" i="23"/>
  <c r="G2879" i="23"/>
  <c r="G34" i="23"/>
  <c r="G88" i="23"/>
  <c r="G143" i="23"/>
  <c r="G199" i="23"/>
  <c r="G250" i="23"/>
  <c r="G304" i="23"/>
  <c r="G359" i="23"/>
  <c r="G415" i="23"/>
  <c r="G466" i="23"/>
  <c r="G520" i="23"/>
  <c r="G575" i="23"/>
  <c r="G631" i="23"/>
  <c r="G682" i="23"/>
  <c r="G736" i="23"/>
  <c r="G791" i="23"/>
  <c r="G847" i="23"/>
  <c r="G898" i="23"/>
  <c r="G946" i="23"/>
  <c r="G991" i="23"/>
  <c r="G1028" i="23"/>
  <c r="G1053" i="23"/>
  <c r="G1077" i="23"/>
  <c r="G1101" i="23"/>
  <c r="G1125" i="23"/>
  <c r="G1149" i="23"/>
  <c r="G1173" i="23"/>
  <c r="G1197" i="23"/>
  <c r="G1221" i="23"/>
  <c r="G1245" i="23"/>
  <c r="G1267" i="23"/>
  <c r="G1289" i="23"/>
  <c r="G1310" i="23"/>
  <c r="G1331" i="23"/>
  <c r="G1353" i="23"/>
  <c r="G1375" i="23"/>
  <c r="G1397" i="23"/>
  <c r="G1418" i="23"/>
  <c r="G1439" i="23"/>
  <c r="G1461" i="23"/>
  <c r="G1483" i="23"/>
  <c r="G1505" i="23"/>
  <c r="G1525" i="23"/>
  <c r="G1545" i="23"/>
  <c r="G1565" i="23"/>
  <c r="G1584" i="23"/>
  <c r="G1604" i="23"/>
  <c r="G1624" i="23"/>
  <c r="G1643" i="23"/>
  <c r="G1663" i="23"/>
  <c r="G1682" i="23"/>
  <c r="G1702" i="23"/>
  <c r="G1722" i="23"/>
  <c r="G1741" i="23"/>
  <c r="G1761" i="23"/>
  <c r="G1781" i="23"/>
  <c r="G1800" i="23"/>
  <c r="G1820" i="23"/>
  <c r="G1837" i="23"/>
  <c r="G1853" i="23"/>
  <c r="G1868" i="23"/>
  <c r="G1885" i="23"/>
  <c r="G1901" i="23"/>
  <c r="G1916" i="23"/>
  <c r="G1931" i="23"/>
  <c r="G1946" i="23"/>
  <c r="G1964" i="23"/>
  <c r="G1979" i="23"/>
  <c r="G1994" i="23"/>
  <c r="G2008" i="23"/>
  <c r="G2022" i="23"/>
  <c r="G2038" i="23"/>
  <c r="G2052" i="23"/>
  <c r="G2066" i="23"/>
  <c r="G2080" i="23"/>
  <c r="G2094" i="23"/>
  <c r="G2110" i="23"/>
  <c r="G2124" i="23"/>
  <c r="G2138" i="23"/>
  <c r="G2152" i="23"/>
  <c r="G2166" i="23"/>
  <c r="G2182" i="23"/>
  <c r="G2196" i="23"/>
  <c r="G2210" i="23"/>
  <c r="G2224" i="23"/>
  <c r="G2238" i="23"/>
  <c r="G2254" i="23"/>
  <c r="G2268" i="23"/>
  <c r="G2280" i="23"/>
  <c r="G2292" i="23"/>
  <c r="G2304" i="23"/>
  <c r="G2316" i="23"/>
  <c r="G2328" i="23"/>
  <c r="G2340" i="23"/>
  <c r="G2352" i="23"/>
  <c r="G2364" i="23"/>
  <c r="G2376" i="23"/>
  <c r="G2388" i="23"/>
  <c r="G2400" i="23"/>
  <c r="G2412" i="23"/>
  <c r="G2424" i="23"/>
  <c r="G2436" i="23"/>
  <c r="G2448" i="23"/>
  <c r="G2460" i="23"/>
  <c r="G2472" i="23"/>
  <c r="G2484" i="23"/>
  <c r="G2496" i="23"/>
  <c r="G2508" i="23"/>
  <c r="G2520" i="23"/>
  <c r="G2532" i="23"/>
  <c r="G2544" i="23"/>
  <c r="G2556" i="23"/>
  <c r="G2568" i="23"/>
  <c r="G2580" i="23"/>
  <c r="G2592" i="23"/>
  <c r="G2604" i="23"/>
  <c r="G2616" i="23"/>
  <c r="G2628" i="23"/>
  <c r="G2640" i="23"/>
  <c r="G2652" i="23"/>
  <c r="G2664" i="23"/>
  <c r="G2676" i="23"/>
  <c r="G2688" i="23"/>
  <c r="G2700" i="23"/>
  <c r="G2712" i="23"/>
  <c r="G2724" i="23"/>
  <c r="G2736" i="23"/>
  <c r="G2748" i="23"/>
  <c r="G2760" i="23"/>
  <c r="G2772" i="23"/>
  <c r="G2784" i="23"/>
  <c r="G2796" i="23"/>
  <c r="G2808" i="23"/>
  <c r="G2820" i="23"/>
  <c r="G2832" i="23"/>
  <c r="G2844" i="23"/>
  <c r="G2856" i="23"/>
  <c r="G2868" i="23"/>
  <c r="G2880" i="23"/>
  <c r="G55" i="23"/>
  <c r="G106" i="23"/>
  <c r="G160" i="23"/>
  <c r="G215" i="23"/>
  <c r="G271" i="23"/>
  <c r="G322" i="23"/>
  <c r="G376" i="23"/>
  <c r="G431" i="23"/>
  <c r="G487" i="23"/>
  <c r="G538" i="23"/>
  <c r="G592" i="23"/>
  <c r="G647" i="23"/>
  <c r="G703" i="23"/>
  <c r="G754" i="23"/>
  <c r="G808" i="23"/>
  <c r="G863" i="23"/>
  <c r="G919" i="23"/>
  <c r="G964" i="23"/>
  <c r="G1002" i="23"/>
  <c r="G1037" i="23"/>
  <c r="G1062" i="23"/>
  <c r="G1086" i="23"/>
  <c r="G1110" i="23"/>
  <c r="G1134" i="23"/>
  <c r="G1158" i="23"/>
  <c r="G1182" i="23"/>
  <c r="G1206" i="23"/>
  <c r="G1230" i="23"/>
  <c r="G1253" i="23"/>
  <c r="G1274" i="23"/>
  <c r="G1295" i="23"/>
  <c r="G1317" i="23"/>
  <c r="G1339" i="23"/>
  <c r="G1361" i="23"/>
  <c r="G1382" i="23"/>
  <c r="G1403" i="23"/>
  <c r="G1425" i="23"/>
  <c r="G1447" i="23"/>
  <c r="G1469" i="23"/>
  <c r="G1490" i="23"/>
  <c r="G1511" i="23"/>
  <c r="G1532" i="23"/>
  <c r="G1552" i="23"/>
  <c r="G1571" i="23"/>
  <c r="G1591" i="23"/>
  <c r="G1610" i="23"/>
  <c r="G1630" i="23"/>
  <c r="G1650" i="23"/>
  <c r="G1669" i="23"/>
  <c r="G1689" i="23"/>
  <c r="G1709" i="23"/>
  <c r="G1728" i="23"/>
  <c r="G1748" i="23"/>
  <c r="G1768" i="23"/>
  <c r="G1787" i="23"/>
  <c r="G1807" i="23"/>
  <c r="G1826" i="23"/>
  <c r="G1842" i="23"/>
  <c r="G1859" i="23"/>
  <c r="G1874" i="23"/>
  <c r="G1890" i="23"/>
  <c r="G1905" i="23"/>
  <c r="G1920" i="23"/>
  <c r="G1938" i="23"/>
  <c r="G1953" i="23"/>
  <c r="G1968" i="23"/>
  <c r="G1984" i="23"/>
  <c r="G1998" i="23"/>
  <c r="G2014" i="23"/>
  <c r="G2028" i="23"/>
  <c r="G2042" i="23"/>
  <c r="G2056" i="23"/>
  <c r="G2070" i="23"/>
  <c r="G2086" i="23"/>
  <c r="G2100" i="23"/>
  <c r="G2114" i="23"/>
  <c r="G2128" i="23"/>
  <c r="G2142" i="23"/>
  <c r="G2158" i="23"/>
  <c r="G2172" i="23"/>
  <c r="G2186" i="23"/>
  <c r="G2200" i="23"/>
  <c r="G2214" i="23"/>
  <c r="G2230" i="23"/>
  <c r="G2244" i="23"/>
  <c r="G2258" i="23"/>
  <c r="G2272" i="23"/>
  <c r="G2284" i="23"/>
  <c r="G2296" i="23"/>
  <c r="G2308" i="23"/>
  <c r="G2320" i="23"/>
  <c r="G57" i="23"/>
  <c r="G118" i="23"/>
  <c r="G166" i="23"/>
  <c r="G225" i="23"/>
  <c r="G273" i="23"/>
  <c r="G334" i="23"/>
  <c r="G382" i="23"/>
  <c r="G441" i="23"/>
  <c r="G489" i="23"/>
  <c r="G550" i="23"/>
  <c r="G598" i="23"/>
  <c r="G657" i="23"/>
  <c r="G705" i="23"/>
  <c r="G766" i="23"/>
  <c r="G814" i="23"/>
  <c r="G873" i="23"/>
  <c r="G921" i="23"/>
  <c r="G970" i="23"/>
  <c r="G1006" i="23"/>
  <c r="G1041" i="23"/>
  <c r="G1063" i="23"/>
  <c r="G1089" i="23"/>
  <c r="G1111" i="23"/>
  <c r="G1137" i="23"/>
  <c r="G1159" i="23"/>
  <c r="G1185" i="23"/>
  <c r="G1207" i="23"/>
  <c r="G1233" i="23"/>
  <c r="G1254" i="23"/>
  <c r="G1278" i="23"/>
  <c r="G1296" i="23"/>
  <c r="G1320" i="23"/>
  <c r="G1340" i="23"/>
  <c r="G1364" i="23"/>
  <c r="G1384" i="23"/>
  <c r="G1408" i="23"/>
  <c r="G1426" i="23"/>
  <c r="G1450" i="23"/>
  <c r="G1470" i="23"/>
  <c r="G1494" i="23"/>
  <c r="G1512" i="23"/>
  <c r="G1535" i="23"/>
  <c r="G1553" i="23"/>
  <c r="G1574" i="23"/>
  <c r="G1592" i="23"/>
  <c r="G1614" i="23"/>
  <c r="G1631" i="23"/>
  <c r="G1653" i="23"/>
  <c r="G1670" i="23"/>
  <c r="G1692" i="23"/>
  <c r="G1710" i="23"/>
  <c r="G1732" i="23"/>
  <c r="G1749" i="23"/>
  <c r="G1771" i="23"/>
  <c r="G1788" i="23"/>
  <c r="G1810" i="23"/>
  <c r="G1828" i="23"/>
  <c r="G1845" i="23"/>
  <c r="G1860" i="23"/>
  <c r="G1876" i="23"/>
  <c r="G1891" i="23"/>
  <c r="G1906" i="23"/>
  <c r="G1924" i="23"/>
  <c r="G1939" i="23"/>
  <c r="G1954" i="23"/>
  <c r="G1969" i="23"/>
  <c r="G1985" i="23"/>
  <c r="G2001" i="23"/>
  <c r="G2015" i="23"/>
  <c r="G2029" i="23"/>
  <c r="G2043" i="23"/>
  <c r="G2057" i="23"/>
  <c r="G2073" i="23"/>
  <c r="G2087" i="23"/>
  <c r="G2101" i="23"/>
  <c r="G2115" i="23"/>
  <c r="G2129" i="23"/>
  <c r="G2145" i="23"/>
  <c r="G2159" i="23"/>
  <c r="G2173" i="23"/>
  <c r="G2187" i="23"/>
  <c r="G2201" i="23"/>
  <c r="G2217" i="23"/>
  <c r="G2231" i="23"/>
  <c r="G2245" i="23"/>
  <c r="G2259" i="23"/>
  <c r="G2273" i="23"/>
  <c r="G2285" i="23"/>
  <c r="G58" i="23"/>
  <c r="G119" i="23"/>
  <c r="G167" i="23"/>
  <c r="G226" i="23"/>
  <c r="G274" i="23"/>
  <c r="G335" i="23"/>
  <c r="G383" i="23"/>
  <c r="G442" i="23"/>
  <c r="G490" i="23"/>
  <c r="G551" i="23"/>
  <c r="G599" i="23"/>
  <c r="G658" i="23"/>
  <c r="G706" i="23"/>
  <c r="G767" i="23"/>
  <c r="G815" i="23"/>
  <c r="G874" i="23"/>
  <c r="G922" i="23"/>
  <c r="G971" i="23"/>
  <c r="G1007" i="23"/>
  <c r="G1042" i="23"/>
  <c r="G1064" i="23"/>
  <c r="G1090" i="23"/>
  <c r="G1112" i="23"/>
  <c r="G1138" i="23"/>
  <c r="G1160" i="23"/>
  <c r="G1186" i="23"/>
  <c r="G1208" i="23"/>
  <c r="G1234" i="23"/>
  <c r="G1255" i="23"/>
  <c r="G1279" i="23"/>
  <c r="G1298" i="23"/>
  <c r="G1322" i="23"/>
  <c r="G1341" i="23"/>
  <c r="G1365" i="23"/>
  <c r="G1385" i="23"/>
  <c r="G1409" i="23"/>
  <c r="G1427" i="23"/>
  <c r="G1451" i="23"/>
  <c r="G1471" i="23"/>
  <c r="G1495" i="23"/>
  <c r="G1514" i="23"/>
  <c r="G1536" i="23"/>
  <c r="G1554" i="23"/>
  <c r="G1576" i="23"/>
  <c r="G1593" i="23"/>
  <c r="G1615" i="23"/>
  <c r="G1632" i="23"/>
  <c r="G1654" i="23"/>
  <c r="G1672" i="23"/>
  <c r="G1693" i="23"/>
  <c r="G1711" i="23"/>
  <c r="G1733" i="23"/>
  <c r="G1750" i="23"/>
  <c r="G1772" i="23"/>
  <c r="G1789" i="23"/>
  <c r="G1811" i="23"/>
  <c r="G1829" i="23"/>
  <c r="G1846" i="23"/>
  <c r="G1861" i="23"/>
  <c r="G1877" i="23"/>
  <c r="G1892" i="23"/>
  <c r="G1907" i="23"/>
  <c r="G1925" i="23"/>
  <c r="G1940" i="23"/>
  <c r="G1955" i="23"/>
  <c r="G1970" i="23"/>
  <c r="G1986" i="23"/>
  <c r="G2002" i="23"/>
  <c r="G2016" i="23"/>
  <c r="G2030" i="23"/>
  <c r="G2044" i="23"/>
  <c r="G2058" i="23"/>
  <c r="G2074" i="23"/>
  <c r="G2088" i="23"/>
  <c r="G2102" i="23"/>
  <c r="G2116" i="23"/>
  <c r="G2130" i="23"/>
  <c r="G2146" i="23"/>
  <c r="G2160" i="23"/>
  <c r="G2174" i="23"/>
  <c r="G2188" i="23"/>
  <c r="G2202" i="23"/>
  <c r="G2218" i="23"/>
  <c r="G2232" i="23"/>
  <c r="G46" i="23"/>
  <c r="G153" i="23"/>
  <c r="G262" i="23"/>
  <c r="G369" i="23"/>
  <c r="G478" i="23"/>
  <c r="G585" i="23"/>
  <c r="G694" i="23"/>
  <c r="G801" i="23"/>
  <c r="G910" i="23"/>
  <c r="G995" i="23"/>
  <c r="G1056" i="23"/>
  <c r="G1104" i="23"/>
  <c r="G1152" i="23"/>
  <c r="G1200" i="23"/>
  <c r="G1248" i="23"/>
  <c r="G1292" i="23"/>
  <c r="G1336" i="23"/>
  <c r="G1378" i="23"/>
  <c r="G1422" i="23"/>
  <c r="G1464" i="23"/>
  <c r="G1508" i="23"/>
  <c r="G1548" i="23"/>
  <c r="G1588" i="23"/>
  <c r="G1627" i="23"/>
  <c r="G1666" i="23"/>
  <c r="G1705" i="23"/>
  <c r="G1745" i="23"/>
  <c r="G1784" i="23"/>
  <c r="G1823" i="23"/>
  <c r="G1854" i="23"/>
  <c r="G1886" i="23"/>
  <c r="G1917" i="23"/>
  <c r="G1950" i="23"/>
  <c r="G1980" i="23"/>
  <c r="G2009" i="23"/>
  <c r="G2039" i="23"/>
  <c r="G2067" i="23"/>
  <c r="G2097" i="23"/>
  <c r="G2125" i="23"/>
  <c r="G2153" i="23"/>
  <c r="G2183" i="23"/>
  <c r="G2211" i="23"/>
  <c r="G2241" i="23"/>
  <c r="G2261" i="23"/>
  <c r="G2281" i="23"/>
  <c r="G2298" i="23"/>
  <c r="G2313" i="23"/>
  <c r="G2330" i="23"/>
  <c r="G2344" i="23"/>
  <c r="G2358" i="23"/>
  <c r="G2372" i="23"/>
  <c r="G2386" i="23"/>
  <c r="G2402" i="23"/>
  <c r="G2416" i="23"/>
  <c r="G2430" i="23"/>
  <c r="G2444" i="23"/>
  <c r="G2458" i="23"/>
  <c r="G2474" i="23"/>
  <c r="G2488" i="23"/>
  <c r="G2502" i="23"/>
  <c r="G2516" i="23"/>
  <c r="G2530" i="23"/>
  <c r="G2546" i="23"/>
  <c r="G2560" i="23"/>
  <c r="G2574" i="23"/>
  <c r="G2588" i="23"/>
  <c r="G2602" i="23"/>
  <c r="G2618" i="23"/>
  <c r="G2632" i="23"/>
  <c r="G2646" i="23"/>
  <c r="G2660" i="23"/>
  <c r="G2674" i="23"/>
  <c r="G2690" i="23"/>
  <c r="G2704" i="23"/>
  <c r="G2718" i="23"/>
  <c r="G2732" i="23"/>
  <c r="G2746" i="23"/>
  <c r="G2762" i="23"/>
  <c r="G2776" i="23"/>
  <c r="G2790" i="23"/>
  <c r="G2804" i="23"/>
  <c r="G2818" i="23"/>
  <c r="G2834" i="23"/>
  <c r="G2848" i="23"/>
  <c r="G2862" i="23"/>
  <c r="G2876" i="23"/>
  <c r="G2890" i="23"/>
  <c r="G2902" i="23"/>
  <c r="G2914" i="23"/>
  <c r="G2926" i="23"/>
  <c r="G2938" i="23"/>
  <c r="G2950" i="23"/>
  <c r="G2962" i="23"/>
  <c r="G2974" i="23"/>
  <c r="G2986" i="23"/>
  <c r="G2998" i="23"/>
  <c r="G3010" i="23"/>
  <c r="G3022" i="23"/>
  <c r="G3034" i="23"/>
  <c r="G3046" i="23"/>
  <c r="G3058" i="23"/>
  <c r="G3070" i="23"/>
  <c r="G3082" i="23"/>
  <c r="G3094" i="23"/>
  <c r="G3106" i="23"/>
  <c r="G3118" i="23"/>
  <c r="G3130" i="23"/>
  <c r="G3142" i="23"/>
  <c r="G3154" i="23"/>
  <c r="G3166" i="23"/>
  <c r="G3178" i="23"/>
  <c r="G3190" i="23"/>
  <c r="G3202" i="23"/>
  <c r="G3214" i="23"/>
  <c r="G3226" i="23"/>
  <c r="G3238" i="23"/>
  <c r="G3250" i="23"/>
  <c r="G3262" i="23"/>
  <c r="G3274" i="23"/>
  <c r="G3286" i="23"/>
  <c r="G3298" i="23"/>
  <c r="G3310" i="23"/>
  <c r="G3322" i="23"/>
  <c r="G3334" i="23"/>
  <c r="G3346" i="23"/>
  <c r="G3358" i="23"/>
  <c r="G3370" i="23"/>
  <c r="G3382" i="23"/>
  <c r="G3394" i="23"/>
  <c r="G3406" i="23"/>
  <c r="G3418" i="23"/>
  <c r="G3430" i="23"/>
  <c r="G3442" i="23"/>
  <c r="G3454" i="23"/>
  <c r="G3466" i="23"/>
  <c r="G3478" i="23"/>
  <c r="G3490" i="23"/>
  <c r="G3502" i="23"/>
  <c r="G3514" i="23"/>
  <c r="G3526" i="23"/>
  <c r="G3538" i="23"/>
  <c r="G3550" i="23"/>
  <c r="G3562" i="23"/>
  <c r="G3574" i="23"/>
  <c r="G3586" i="23"/>
  <c r="G3598" i="23"/>
  <c r="G47" i="23"/>
  <c r="G154" i="23"/>
  <c r="G263" i="23"/>
  <c r="G370" i="23"/>
  <c r="G479" i="23"/>
  <c r="G586" i="23"/>
  <c r="G695" i="23"/>
  <c r="G802" i="23"/>
  <c r="G911" i="23"/>
  <c r="G1000" i="23"/>
  <c r="G1060" i="23"/>
  <c r="G1108" i="23"/>
  <c r="G1156" i="23"/>
  <c r="G1204" i="23"/>
  <c r="G1250" i="23"/>
  <c r="G1293" i="23"/>
  <c r="G1337" i="23"/>
  <c r="G1379" i="23"/>
  <c r="G1423" i="23"/>
  <c r="G1466" i="23"/>
  <c r="G1509" i="23"/>
  <c r="G1549" i="23"/>
  <c r="G1589" i="23"/>
  <c r="G1628" i="23"/>
  <c r="G1667" i="23"/>
  <c r="G1706" i="23"/>
  <c r="G1746" i="23"/>
  <c r="G1785" i="23"/>
  <c r="G1824" i="23"/>
  <c r="G1855" i="23"/>
  <c r="G1888" i="23"/>
  <c r="G1918" i="23"/>
  <c r="G1951" i="23"/>
  <c r="G1981" i="23"/>
  <c r="G2010" i="23"/>
  <c r="G2040" i="23"/>
  <c r="G2068" i="23"/>
  <c r="G2098" i="23"/>
  <c r="G2126" i="23"/>
  <c r="G2154" i="23"/>
  <c r="G2184" i="23"/>
  <c r="G2212" i="23"/>
  <c r="G2242" i="23"/>
  <c r="G2262" i="23"/>
  <c r="G2282" i="23"/>
  <c r="G2299" i="23"/>
  <c r="G2314" i="23"/>
  <c r="G2331" i="23"/>
  <c r="G2345" i="23"/>
  <c r="G2359" i="23"/>
  <c r="G2373" i="23"/>
  <c r="G2389" i="23"/>
  <c r="G2403" i="23"/>
  <c r="G2417" i="23"/>
  <c r="G2431" i="23"/>
  <c r="G2445" i="23"/>
  <c r="G2461" i="23"/>
  <c r="G2475" i="23"/>
  <c r="G2489" i="23"/>
  <c r="G2503" i="23"/>
  <c r="G2517" i="23"/>
  <c r="G2533" i="23"/>
  <c r="G2547" i="23"/>
  <c r="G2561" i="23"/>
  <c r="G2575" i="23"/>
  <c r="G2589" i="23"/>
  <c r="G2605" i="23"/>
  <c r="G2619" i="23"/>
  <c r="G2633" i="23"/>
  <c r="G2647" i="23"/>
  <c r="G2661" i="23"/>
  <c r="G2677" i="23"/>
  <c r="G2691" i="23"/>
  <c r="G2705" i="23"/>
  <c r="G2719" i="23"/>
  <c r="G2733" i="23"/>
  <c r="G2749" i="23"/>
  <c r="G2763" i="23"/>
  <c r="G2777" i="23"/>
  <c r="G2791" i="23"/>
  <c r="G2805" i="23"/>
  <c r="G2821" i="23"/>
  <c r="G2835" i="23"/>
  <c r="G2849" i="23"/>
  <c r="G2863" i="23"/>
  <c r="G2877" i="23"/>
  <c r="G2891" i="23"/>
  <c r="G2903" i="23"/>
  <c r="G2915" i="23"/>
  <c r="G2927" i="23"/>
  <c r="G2939" i="23"/>
  <c r="G2951" i="23"/>
  <c r="G2963" i="23"/>
  <c r="G2975" i="23"/>
  <c r="G2987" i="23"/>
  <c r="G2999" i="23"/>
  <c r="G3011" i="23"/>
  <c r="G3023" i="23"/>
  <c r="G3035" i="23"/>
  <c r="G3047" i="23"/>
  <c r="G3059" i="23"/>
  <c r="G3071" i="23"/>
  <c r="G3083" i="23"/>
  <c r="G3095" i="23"/>
  <c r="G3107" i="23"/>
  <c r="G3119" i="23"/>
  <c r="G3131" i="23"/>
  <c r="G3143" i="23"/>
  <c r="G3155" i="23"/>
  <c r="G3167" i="23"/>
  <c r="G3179" i="23"/>
  <c r="G3191" i="23"/>
  <c r="G3203" i="23"/>
  <c r="G3215" i="23"/>
  <c r="G3227" i="23"/>
  <c r="G3239" i="23"/>
  <c r="G3251" i="23"/>
  <c r="G3263" i="23"/>
  <c r="G3275" i="23"/>
  <c r="G3287" i="23"/>
  <c r="G3299" i="23"/>
  <c r="G3311" i="23"/>
  <c r="G3323" i="23"/>
  <c r="G3335" i="23"/>
  <c r="G3347" i="23"/>
  <c r="G3359" i="23"/>
  <c r="G3371" i="23"/>
  <c r="G3383" i="23"/>
  <c r="G3395" i="23"/>
  <c r="G3407" i="23"/>
  <c r="G3419" i="23"/>
  <c r="G3431" i="23"/>
  <c r="G3443" i="23"/>
  <c r="G3455" i="23"/>
  <c r="G3467" i="23"/>
  <c r="G3479" i="23"/>
  <c r="G3491" i="23"/>
  <c r="G3503" i="23"/>
  <c r="G3515" i="23"/>
  <c r="G3527" i="23"/>
  <c r="G3539" i="23"/>
  <c r="G3551" i="23"/>
  <c r="G3563" i="23"/>
  <c r="G3575" i="23"/>
  <c r="G3587" i="23"/>
  <c r="G3599" i="23"/>
  <c r="G3611" i="23"/>
  <c r="G3623" i="23"/>
  <c r="G3635" i="23"/>
  <c r="G3647" i="23"/>
  <c r="G3659" i="23"/>
  <c r="G3671" i="23"/>
  <c r="G3683" i="23"/>
  <c r="G3695" i="23"/>
  <c r="G3707" i="23"/>
  <c r="G3719" i="23"/>
  <c r="G3731" i="23"/>
  <c r="G3743" i="23"/>
  <c r="G3755" i="23"/>
  <c r="G3767" i="23"/>
  <c r="G3779" i="23"/>
  <c r="G3791" i="23"/>
  <c r="G3803" i="23"/>
  <c r="G3815" i="23"/>
  <c r="G3827" i="23"/>
  <c r="G3839" i="23"/>
  <c r="G3851" i="23"/>
  <c r="G3863" i="23"/>
  <c r="G3875" i="23"/>
  <c r="G3887" i="23"/>
  <c r="G53" i="23"/>
  <c r="G155" i="23"/>
  <c r="G269" i="23"/>
  <c r="G371" i="23"/>
  <c r="G485" i="23"/>
  <c r="G587" i="23"/>
  <c r="G701" i="23"/>
  <c r="G803" i="23"/>
  <c r="G917" i="23"/>
  <c r="G1001" i="23"/>
  <c r="G1061" i="23"/>
  <c r="G1109" i="23"/>
  <c r="G1157" i="23"/>
  <c r="G1205" i="23"/>
  <c r="G1252" i="23"/>
  <c r="G1294" i="23"/>
  <c r="G1338" i="23"/>
  <c r="G1380" i="23"/>
  <c r="G1424" i="23"/>
  <c r="G1468" i="23"/>
  <c r="G1510" i="23"/>
  <c r="G1550" i="23"/>
  <c r="G1590" i="23"/>
  <c r="G1629" i="23"/>
  <c r="G1668" i="23"/>
  <c r="G1708" i="23"/>
  <c r="G1747" i="23"/>
  <c r="G1786" i="23"/>
  <c r="G1825" i="23"/>
  <c r="G1858" i="23"/>
  <c r="G1889" i="23"/>
  <c r="G1919" i="23"/>
  <c r="G1952" i="23"/>
  <c r="G1982" i="23"/>
  <c r="G2013" i="23"/>
  <c r="G2041" i="23"/>
  <c r="G2069" i="23"/>
  <c r="G2099" i="23"/>
  <c r="G2127" i="23"/>
  <c r="G2157" i="23"/>
  <c r="G2185" i="23"/>
  <c r="G2213" i="23"/>
  <c r="G2243" i="23"/>
  <c r="G2265" i="23"/>
  <c r="G2283" i="23"/>
  <c r="G2300" i="23"/>
  <c r="G2317" i="23"/>
  <c r="G2332" i="23"/>
  <c r="G2346" i="23"/>
  <c r="G2360" i="23"/>
  <c r="G2374" i="23"/>
  <c r="G2390" i="23"/>
  <c r="G2404" i="23"/>
  <c r="G2418" i="23"/>
  <c r="G2432" i="23"/>
  <c r="G2446" i="23"/>
  <c r="G2462" i="23"/>
  <c r="G2476" i="23"/>
  <c r="G2490" i="23"/>
  <c r="G94" i="23"/>
  <c r="G201" i="23"/>
  <c r="G310" i="23"/>
  <c r="G417" i="23"/>
  <c r="G526" i="23"/>
  <c r="G633" i="23"/>
  <c r="G742" i="23"/>
  <c r="G849" i="23"/>
  <c r="G954" i="23"/>
  <c r="G1029" i="23"/>
  <c r="G1078" i="23"/>
  <c r="G1126" i="23"/>
  <c r="G1174" i="23"/>
  <c r="G1222" i="23"/>
  <c r="G1268" i="23"/>
  <c r="G1312" i="23"/>
  <c r="G1354" i="23"/>
  <c r="G1398" i="23"/>
  <c r="G1440" i="23"/>
  <c r="G1484" i="23"/>
  <c r="G1526" i="23"/>
  <c r="G1566" i="23"/>
  <c r="G1605" i="23"/>
  <c r="G1644" i="23"/>
  <c r="G1684" i="23"/>
  <c r="G1723" i="23"/>
  <c r="G1762" i="23"/>
  <c r="G1801" i="23"/>
  <c r="G1838" i="23"/>
  <c r="G1871" i="23"/>
  <c r="G1902" i="23"/>
  <c r="G1932" i="23"/>
  <c r="G1965" i="23"/>
  <c r="G1995" i="23"/>
  <c r="G2025" i="23"/>
  <c r="G2053" i="23"/>
  <c r="G2081" i="23"/>
  <c r="G2111" i="23"/>
  <c r="G2139" i="23"/>
  <c r="G2169" i="23"/>
  <c r="G2197" i="23"/>
  <c r="G2225" i="23"/>
  <c r="G2249" i="23"/>
  <c r="G2271" i="23"/>
  <c r="G2289" i="23"/>
  <c r="G2306" i="23"/>
  <c r="G2322" i="23"/>
  <c r="G2336" i="23"/>
  <c r="G2350" i="23"/>
  <c r="G2366" i="23"/>
  <c r="G2380" i="23"/>
  <c r="G2394" i="23"/>
  <c r="G2408" i="23"/>
  <c r="G2422" i="23"/>
  <c r="G2438" i="23"/>
  <c r="G2452" i="23"/>
  <c r="G2466" i="23"/>
  <c r="G2480" i="23"/>
  <c r="G2494" i="23"/>
  <c r="G2510" i="23"/>
  <c r="G2524" i="23"/>
  <c r="G2538" i="23"/>
  <c r="G2552" i="23"/>
  <c r="G2566" i="23"/>
  <c r="G2582" i="23"/>
  <c r="G2596" i="23"/>
  <c r="G2610" i="23"/>
  <c r="G2624" i="23"/>
  <c r="G2638" i="23"/>
  <c r="G2654" i="23"/>
  <c r="G2668" i="23"/>
  <c r="G2682" i="23"/>
  <c r="G2696" i="23"/>
  <c r="G2710" i="23"/>
  <c r="G2726" i="23"/>
  <c r="G2740" i="23"/>
  <c r="G2754" i="23"/>
  <c r="G2768" i="23"/>
  <c r="G2782" i="23"/>
  <c r="G2798" i="23"/>
  <c r="G2812" i="23"/>
  <c r="G2826" i="23"/>
  <c r="G2840" i="23"/>
  <c r="G2854" i="23"/>
  <c r="G2870" i="23"/>
  <c r="G2884" i="23"/>
  <c r="G2896" i="23"/>
  <c r="G2908" i="23"/>
  <c r="G2920" i="23"/>
  <c r="G2932" i="23"/>
  <c r="G2944" i="23"/>
  <c r="G2956" i="23"/>
  <c r="G2968" i="23"/>
  <c r="G2980" i="23"/>
  <c r="G2992" i="23"/>
  <c r="G3004" i="23"/>
  <c r="G3016" i="23"/>
  <c r="G3028" i="23"/>
  <c r="G3040" i="23"/>
  <c r="G3052" i="23"/>
  <c r="G3064" i="23"/>
  <c r="G3076" i="23"/>
  <c r="G3088" i="23"/>
  <c r="G3100" i="23"/>
  <c r="G3112" i="23"/>
  <c r="G3124" i="23"/>
  <c r="G3136" i="23"/>
  <c r="G3148" i="23"/>
  <c r="G3160" i="23"/>
  <c r="G3172" i="23"/>
  <c r="G3184" i="23"/>
  <c r="G3196" i="23"/>
  <c r="G3208" i="23"/>
  <c r="G3220" i="23"/>
  <c r="G3232" i="23"/>
  <c r="G3244" i="23"/>
  <c r="G3256" i="23"/>
  <c r="G3268" i="23"/>
  <c r="G3280" i="23"/>
  <c r="G3292" i="23"/>
  <c r="G3304" i="23"/>
  <c r="G3316" i="23"/>
  <c r="G3328" i="23"/>
  <c r="G3340" i="23"/>
  <c r="G3352" i="23"/>
  <c r="G3364" i="23"/>
  <c r="G3376" i="23"/>
  <c r="G3388" i="23"/>
  <c r="G3400" i="23"/>
  <c r="G3412" i="23"/>
  <c r="G3424" i="23"/>
  <c r="G3436" i="23"/>
  <c r="G3448" i="23"/>
  <c r="G3460" i="23"/>
  <c r="G3472" i="23"/>
  <c r="G3484" i="23"/>
  <c r="G3496" i="23"/>
  <c r="G3508" i="23"/>
  <c r="G3520" i="23"/>
  <c r="G3532" i="23"/>
  <c r="G3544" i="23"/>
  <c r="G3556" i="23"/>
  <c r="G3568" i="23"/>
  <c r="G3580" i="23"/>
  <c r="G3592" i="23"/>
  <c r="G3604" i="23"/>
  <c r="G3616" i="23"/>
  <c r="G3628" i="23"/>
  <c r="G3640" i="23"/>
  <c r="G3652" i="23"/>
  <c r="G3664" i="23"/>
  <c r="G95" i="23"/>
  <c r="G202" i="23"/>
  <c r="G311" i="23"/>
  <c r="G418" i="23"/>
  <c r="G527" i="23"/>
  <c r="G634" i="23"/>
  <c r="G743" i="23"/>
  <c r="G850" i="23"/>
  <c r="G955" i="23"/>
  <c r="G1030" i="23"/>
  <c r="G1079" i="23"/>
  <c r="G1127" i="23"/>
  <c r="G1175" i="23"/>
  <c r="G1223" i="23"/>
  <c r="G1269" i="23"/>
  <c r="G1313" i="23"/>
  <c r="G1355" i="23"/>
  <c r="G1399" i="23"/>
  <c r="G1442" i="23"/>
  <c r="G1485" i="23"/>
  <c r="G1528" i="23"/>
  <c r="G1567" i="23"/>
  <c r="G1606" i="23"/>
  <c r="G1645" i="23"/>
  <c r="G1685" i="23"/>
  <c r="G1724" i="23"/>
  <c r="G1763" i="23"/>
  <c r="G1802" i="23"/>
  <c r="G1840" i="23"/>
  <c r="G1872" i="23"/>
  <c r="G1903" i="23"/>
  <c r="G1933" i="23"/>
  <c r="G1966" i="23"/>
  <c r="G1996" i="23"/>
  <c r="G2026" i="23"/>
  <c r="G2054" i="23"/>
  <c r="G2082" i="23"/>
  <c r="G2112" i="23"/>
  <c r="G2140" i="23"/>
  <c r="G2170" i="23"/>
  <c r="G2198" i="23"/>
  <c r="G2226" i="23"/>
  <c r="G2250" i="23"/>
  <c r="G2274" i="23"/>
  <c r="G2290" i="23"/>
  <c r="G2307" i="23"/>
  <c r="G2323" i="23"/>
  <c r="G2337" i="23"/>
  <c r="G2353" i="23"/>
  <c r="G2367" i="23"/>
  <c r="G2381" i="23"/>
  <c r="G2395" i="23"/>
  <c r="G2409" i="23"/>
  <c r="G2425" i="23"/>
  <c r="G2439" i="23"/>
  <c r="G2453" i="23"/>
  <c r="G2467" i="23"/>
  <c r="G2481" i="23"/>
  <c r="G2497" i="23"/>
  <c r="G2511" i="23"/>
  <c r="G2525" i="23"/>
  <c r="G2539" i="23"/>
  <c r="G2553" i="23"/>
  <c r="G2569" i="23"/>
  <c r="G2583" i="23"/>
  <c r="G2597" i="23"/>
  <c r="G2611" i="23"/>
  <c r="G2625" i="23"/>
  <c r="G2641" i="23"/>
  <c r="G2655" i="23"/>
  <c r="G2669" i="23"/>
  <c r="G2683" i="23"/>
  <c r="G2697" i="23"/>
  <c r="G2713" i="23"/>
  <c r="G2727" i="23"/>
  <c r="G2741" i="23"/>
  <c r="G2755" i="23"/>
  <c r="G2769" i="23"/>
  <c r="G2785" i="23"/>
  <c r="G2799" i="23"/>
  <c r="G2813" i="23"/>
  <c r="G2827" i="23"/>
  <c r="G2841" i="23"/>
  <c r="G2857" i="23"/>
  <c r="G2871" i="23"/>
  <c r="G2885" i="23"/>
  <c r="G2897" i="23"/>
  <c r="G2909" i="23"/>
  <c r="G2921" i="23"/>
  <c r="G2933" i="23"/>
  <c r="G2945" i="23"/>
  <c r="G2957" i="23"/>
  <c r="G2969" i="23"/>
  <c r="G2981" i="23"/>
  <c r="G2993" i="23"/>
  <c r="G3005" i="23"/>
  <c r="G3017" i="23"/>
  <c r="G3029" i="23"/>
  <c r="G3041" i="23"/>
  <c r="G3053" i="23"/>
  <c r="G3065" i="23"/>
  <c r="G3077" i="23"/>
  <c r="G3089" i="23"/>
  <c r="G3101" i="23"/>
  <c r="G3113" i="23"/>
  <c r="G3125" i="23"/>
  <c r="G3137" i="23"/>
  <c r="G3149" i="23"/>
  <c r="G3161" i="23"/>
  <c r="G3173" i="23"/>
  <c r="G3185" i="23"/>
  <c r="G3197" i="23"/>
  <c r="G3209" i="23"/>
  <c r="G3221" i="23"/>
  <c r="G3233" i="23"/>
  <c r="G3245" i="23"/>
  <c r="G3257" i="23"/>
  <c r="G3269" i="23"/>
  <c r="G3281" i="23"/>
  <c r="G3293" i="23"/>
  <c r="G3305" i="23"/>
  <c r="G3317" i="23"/>
  <c r="G3329" i="23"/>
  <c r="G3341" i="23"/>
  <c r="G3353" i="23"/>
  <c r="G3365" i="23"/>
  <c r="G3377" i="23"/>
  <c r="G3389" i="23"/>
  <c r="G3401" i="23"/>
  <c r="G3413" i="23"/>
  <c r="G3425" i="23"/>
  <c r="G3437" i="23"/>
  <c r="G3449" i="23"/>
  <c r="G3461" i="23"/>
  <c r="G3473" i="23"/>
  <c r="G3485" i="23"/>
  <c r="G3497" i="23"/>
  <c r="G3509" i="23"/>
  <c r="G3521" i="23"/>
  <c r="G3533" i="23"/>
  <c r="G3545" i="23"/>
  <c r="G3557" i="23"/>
  <c r="G70" i="23"/>
  <c r="G232" i="23"/>
  <c r="G430" i="23"/>
  <c r="G610" i="23"/>
  <c r="G777" i="23"/>
  <c r="G977" i="23"/>
  <c r="G1074" i="23"/>
  <c r="G1163" i="23"/>
  <c r="G1236" i="23"/>
  <c r="G1316" i="23"/>
  <c r="G1389" i="23"/>
  <c r="G1456" i="23"/>
  <c r="G1537" i="23"/>
  <c r="G1601" i="23"/>
  <c r="G1675" i="23"/>
  <c r="G1735" i="23"/>
  <c r="G1806" i="23"/>
  <c r="G1864" i="23"/>
  <c r="G1913" i="23"/>
  <c r="G1972" i="23"/>
  <c r="G2019" i="23"/>
  <c r="G2075" i="23"/>
  <c r="G2118" i="23"/>
  <c r="G2171" i="23"/>
  <c r="G2220" i="23"/>
  <c r="G2260" i="23"/>
  <c r="G2294" i="23"/>
  <c r="G2321" i="23"/>
  <c r="G2347" i="23"/>
  <c r="G2370" i="23"/>
  <c r="G2396" i="23"/>
  <c r="G2420" i="23"/>
  <c r="G2443" i="23"/>
  <c r="G2469" i="23"/>
  <c r="G2493" i="23"/>
  <c r="G2515" i="23"/>
  <c r="G2537" i="23"/>
  <c r="G2559" i="23"/>
  <c r="G2581" i="23"/>
  <c r="G2601" i="23"/>
  <c r="G2623" i="23"/>
  <c r="G2645" i="23"/>
  <c r="G2667" i="23"/>
  <c r="G2689" i="23"/>
  <c r="G2709" i="23"/>
  <c r="G2731" i="23"/>
  <c r="G2753" i="23"/>
  <c r="G2775" i="23"/>
  <c r="G2797" i="23"/>
  <c r="G2817" i="23"/>
  <c r="G2839" i="23"/>
  <c r="G2861" i="23"/>
  <c r="G2883" i="23"/>
  <c r="G2901" i="23"/>
  <c r="G2919" i="23"/>
  <c r="G2937" i="23"/>
  <c r="G2955" i="23"/>
  <c r="G2973" i="23"/>
  <c r="G2991" i="23"/>
  <c r="G3009" i="23"/>
  <c r="G3027" i="23"/>
  <c r="G3045" i="23"/>
  <c r="G3063" i="23"/>
  <c r="G3081" i="23"/>
  <c r="G3099" i="23"/>
  <c r="G3117" i="23"/>
  <c r="G3135" i="23"/>
  <c r="G3153" i="23"/>
  <c r="G3171" i="23"/>
  <c r="G3189" i="23"/>
  <c r="G3207" i="23"/>
  <c r="G3225" i="23"/>
  <c r="G3243" i="23"/>
  <c r="G3261" i="23"/>
  <c r="G3279" i="23"/>
  <c r="G3297" i="23"/>
  <c r="G3315" i="23"/>
  <c r="G3333" i="23"/>
  <c r="G3351" i="23"/>
  <c r="G3369" i="23"/>
  <c r="G3387" i="23"/>
  <c r="G3405" i="23"/>
  <c r="G3423" i="23"/>
  <c r="G3441" i="23"/>
  <c r="G3459" i="23"/>
  <c r="G3477" i="23"/>
  <c r="G3495" i="23"/>
  <c r="G3513" i="23"/>
  <c r="G3531" i="23"/>
  <c r="G3549" i="23"/>
  <c r="G3567" i="23"/>
  <c r="G3583" i="23"/>
  <c r="G3600" i="23"/>
  <c r="G3614" i="23"/>
  <c r="G3629" i="23"/>
  <c r="G3643" i="23"/>
  <c r="G3657" i="23"/>
  <c r="G3672" i="23"/>
  <c r="G3685" i="23"/>
  <c r="G3698" i="23"/>
  <c r="G3711" i="23"/>
  <c r="G3724" i="23"/>
  <c r="G3737" i="23"/>
  <c r="G3750" i="23"/>
  <c r="G3763" i="23"/>
  <c r="G3776" i="23"/>
  <c r="G3789" i="23"/>
  <c r="G3802" i="23"/>
  <c r="G3816" i="23"/>
  <c r="G3829" i="23"/>
  <c r="G3842" i="23"/>
  <c r="G3855" i="23"/>
  <c r="G3868" i="23"/>
  <c r="G3881" i="23"/>
  <c r="G3894" i="23"/>
  <c r="G3906" i="23"/>
  <c r="G3918" i="23"/>
  <c r="G3930" i="23"/>
  <c r="G3942" i="23"/>
  <c r="G3954" i="23"/>
  <c r="G3966" i="23"/>
  <c r="G3978" i="23"/>
  <c r="G3990" i="23"/>
  <c r="G4002" i="23"/>
  <c r="G4014" i="23"/>
  <c r="G4026" i="23"/>
  <c r="G4038" i="23"/>
  <c r="G71" i="23"/>
  <c r="G238" i="23"/>
  <c r="G443" i="23"/>
  <c r="G622" i="23"/>
  <c r="G825" i="23"/>
  <c r="G978" i="23"/>
  <c r="G1085" i="23"/>
  <c r="G1164" i="23"/>
  <c r="G1240" i="23"/>
  <c r="G1324" i="23"/>
  <c r="G1392" i="23"/>
  <c r="G1474" i="23"/>
  <c r="G1538" i="23"/>
  <c r="G1609" i="23"/>
  <c r="G1676" i="23"/>
  <c r="G1736" i="23"/>
  <c r="G1812" i="23"/>
  <c r="G1865" i="23"/>
  <c r="G1926" i="23"/>
  <c r="G1973" i="23"/>
  <c r="G2027" i="23"/>
  <c r="G2076" i="23"/>
  <c r="G2121" i="23"/>
  <c r="G2175" i="23"/>
  <c r="G2221" i="23"/>
  <c r="G2266" i="23"/>
  <c r="G2295" i="23"/>
  <c r="G2324" i="23"/>
  <c r="G2348" i="23"/>
  <c r="G2371" i="23"/>
  <c r="G2397" i="23"/>
  <c r="G2421" i="23"/>
  <c r="G2449" i="23"/>
  <c r="G2470" i="23"/>
  <c r="G2498" i="23"/>
  <c r="G2518" i="23"/>
  <c r="G2540" i="23"/>
  <c r="G2562" i="23"/>
  <c r="G2584" i="23"/>
  <c r="G2606" i="23"/>
  <c r="G2626" i="23"/>
  <c r="G2648" i="23"/>
  <c r="G2670" i="23"/>
  <c r="G2692" i="23"/>
  <c r="G2714" i="23"/>
  <c r="G2734" i="23"/>
  <c r="G2756" i="23"/>
  <c r="G2778" i="23"/>
  <c r="G2800" i="23"/>
  <c r="G2822" i="23"/>
  <c r="G2842" i="23"/>
  <c r="G2864" i="23"/>
  <c r="G2886" i="23"/>
  <c r="G2904" i="23"/>
  <c r="G2922" i="23"/>
  <c r="G2940" i="23"/>
  <c r="G2958" i="23"/>
  <c r="G2976" i="23"/>
  <c r="G2994" i="23"/>
  <c r="G3012" i="23"/>
  <c r="G3030" i="23"/>
  <c r="G3048" i="23"/>
  <c r="G3066" i="23"/>
  <c r="G3084" i="23"/>
  <c r="G3102" i="23"/>
  <c r="G3120" i="23"/>
  <c r="G3138" i="23"/>
  <c r="G3156" i="23"/>
  <c r="G3174" i="23"/>
  <c r="G3192" i="23"/>
  <c r="G3210" i="23"/>
  <c r="G3228" i="23"/>
  <c r="G3246" i="23"/>
  <c r="G3264" i="23"/>
  <c r="G3282" i="23"/>
  <c r="G3300" i="23"/>
  <c r="G3318" i="23"/>
  <c r="G3336" i="23"/>
  <c r="G3354" i="23"/>
  <c r="G3372" i="23"/>
  <c r="G3390" i="23"/>
  <c r="G3408" i="23"/>
  <c r="G3426" i="23"/>
  <c r="G3444" i="23"/>
  <c r="G3462" i="23"/>
  <c r="G3480" i="23"/>
  <c r="G81" i="23"/>
  <c r="G286" i="23"/>
  <c r="G448" i="23"/>
  <c r="G646" i="23"/>
  <c r="G826" i="23"/>
  <c r="G979" i="23"/>
  <c r="G1091" i="23"/>
  <c r="G1170" i="23"/>
  <c r="G1258" i="23"/>
  <c r="G1325" i="23"/>
  <c r="G1402" i="23"/>
  <c r="G1475" i="23"/>
  <c r="G1540" i="23"/>
  <c r="G1616" i="23"/>
  <c r="G1679" i="23"/>
  <c r="G1753" i="23"/>
  <c r="G1813" i="23"/>
  <c r="G1873" i="23"/>
  <c r="G1927" i="23"/>
  <c r="G1976" i="23"/>
  <c r="G2031" i="23"/>
  <c r="G2077" i="23"/>
  <c r="G2133" i="23"/>
  <c r="G2176" i="23"/>
  <c r="G2229" i="23"/>
  <c r="G2269" i="23"/>
  <c r="G2297" i="23"/>
  <c r="G2325" i="23"/>
  <c r="G2349" i="23"/>
  <c r="G2377" i="23"/>
  <c r="G2398" i="23"/>
  <c r="G2426" i="23"/>
  <c r="G2450" i="23"/>
  <c r="G2473" i="23"/>
  <c r="G2499" i="23"/>
  <c r="G2521" i="23"/>
  <c r="G2541" i="23"/>
  <c r="G2563" i="23"/>
  <c r="G2585" i="23"/>
  <c r="G2607" i="23"/>
  <c r="G2629" i="23"/>
  <c r="G2649" i="23"/>
  <c r="G2671" i="23"/>
  <c r="G2693" i="23"/>
  <c r="G2715" i="23"/>
  <c r="G2737" i="23"/>
  <c r="G2757" i="23"/>
  <c r="G2779" i="23"/>
  <c r="G2801" i="23"/>
  <c r="G2823" i="23"/>
  <c r="G2845" i="23"/>
  <c r="G2865" i="23"/>
  <c r="G2887" i="23"/>
  <c r="G2905" i="23"/>
  <c r="G2923" i="23"/>
  <c r="G2941" i="23"/>
  <c r="G2959" i="23"/>
  <c r="G2977" i="23"/>
  <c r="G2995" i="23"/>
  <c r="G3013" i="23"/>
  <c r="G3031" i="23"/>
  <c r="G3049" i="23"/>
  <c r="G3067" i="23"/>
  <c r="G3085" i="23"/>
  <c r="G3103" i="23"/>
  <c r="G3121" i="23"/>
  <c r="G3139" i="23"/>
  <c r="G3157" i="23"/>
  <c r="G3175" i="23"/>
  <c r="G3193" i="23"/>
  <c r="G3211" i="23"/>
  <c r="G3229" i="23"/>
  <c r="G3247" i="23"/>
  <c r="G3265" i="23"/>
  <c r="G3283" i="23"/>
  <c r="G3301" i="23"/>
  <c r="G3319" i="23"/>
  <c r="G3337" i="23"/>
  <c r="G3355" i="23"/>
  <c r="G3373" i="23"/>
  <c r="G3391" i="23"/>
  <c r="G3409" i="23"/>
  <c r="G3427" i="23"/>
  <c r="G3445" i="23"/>
  <c r="G3463" i="23"/>
  <c r="G3481" i="23"/>
  <c r="G3499" i="23"/>
  <c r="G3517" i="23"/>
  <c r="G3535" i="23"/>
  <c r="G3553" i="23"/>
  <c r="G3570" i="23"/>
  <c r="G3585" i="23"/>
  <c r="G3602" i="23"/>
  <c r="G3617" i="23"/>
  <c r="G3631" i="23"/>
  <c r="G3645" i="23"/>
  <c r="G3660" i="23"/>
  <c r="G3674" i="23"/>
  <c r="G3687" i="23"/>
  <c r="G3700" i="23"/>
  <c r="G3713" i="23"/>
  <c r="G3726" i="23"/>
  <c r="G3739" i="23"/>
  <c r="G3752" i="23"/>
  <c r="G3765" i="23"/>
  <c r="G3778" i="23"/>
  <c r="G3792" i="23"/>
  <c r="G3805" i="23"/>
  <c r="G3818" i="23"/>
  <c r="G3831" i="23"/>
  <c r="G3844" i="23"/>
  <c r="G3857" i="23"/>
  <c r="G3870" i="23"/>
  <c r="G3883" i="23"/>
  <c r="G3896" i="23"/>
  <c r="G3908" i="23"/>
  <c r="G3920" i="23"/>
  <c r="G3932" i="23"/>
  <c r="G3944" i="23"/>
  <c r="G3956" i="23"/>
  <c r="G3968" i="23"/>
  <c r="G3980" i="23"/>
  <c r="G3992" i="23"/>
  <c r="G4004" i="23"/>
  <c r="G4016" i="23"/>
  <c r="G4028" i="23"/>
  <c r="G4040" i="23"/>
  <c r="G4052" i="23"/>
  <c r="G4064" i="23"/>
  <c r="G4076" i="23"/>
  <c r="G4088" i="23"/>
  <c r="G4100" i="23"/>
  <c r="G4112" i="23"/>
  <c r="G4124" i="23"/>
  <c r="G4136" i="23"/>
  <c r="G4148" i="23"/>
  <c r="G4160" i="23"/>
  <c r="G4172" i="23"/>
  <c r="G4184" i="23"/>
  <c r="G4196" i="23"/>
  <c r="G4208" i="23"/>
  <c r="G4220" i="23"/>
  <c r="G4232" i="23"/>
  <c r="G4244" i="23"/>
  <c r="G4256" i="23"/>
  <c r="G4268" i="23"/>
  <c r="G4280" i="23"/>
  <c r="G4292" i="23"/>
  <c r="G4304" i="23"/>
  <c r="G4316" i="23"/>
  <c r="G4328" i="23"/>
  <c r="G4340" i="23"/>
  <c r="G4352" i="23"/>
  <c r="G4364" i="23"/>
  <c r="G4376" i="23"/>
  <c r="G4388" i="23"/>
  <c r="G4400" i="23"/>
  <c r="G4412" i="23"/>
  <c r="G4424" i="23"/>
  <c r="G4436" i="23"/>
  <c r="G4448" i="23"/>
  <c r="G4460" i="23"/>
  <c r="G4472" i="23"/>
  <c r="G4484" i="23"/>
  <c r="G4496" i="23"/>
  <c r="G4508" i="23"/>
  <c r="G4520" i="23"/>
  <c r="G4532" i="23"/>
  <c r="G4544" i="23"/>
  <c r="G4556" i="23"/>
  <c r="G129" i="23"/>
  <c r="G341" i="23"/>
  <c r="G513" i="23"/>
  <c r="G718" i="23"/>
  <c r="G880" i="23"/>
  <c r="G1036" i="23"/>
  <c r="G1116" i="23"/>
  <c r="G1192" i="23"/>
  <c r="G1280" i="23"/>
  <c r="G1350" i="23"/>
  <c r="G1432" i="23"/>
  <c r="G1497" i="23"/>
  <c r="G1570" i="23"/>
  <c r="G1637" i="23"/>
  <c r="G1697" i="23"/>
  <c r="G1773" i="23"/>
  <c r="G1834" i="23"/>
  <c r="G1893" i="23"/>
  <c r="G1942" i="23"/>
  <c r="G1997" i="23"/>
  <c r="G2046" i="23"/>
  <c r="G2091" i="23"/>
  <c r="G2147" i="23"/>
  <c r="G2193" i="23"/>
  <c r="G2246" i="23"/>
  <c r="G2277" i="23"/>
  <c r="G2309" i="23"/>
  <c r="G2334" i="23"/>
  <c r="G2357" i="23"/>
  <c r="G2383" i="23"/>
  <c r="G2407" i="23"/>
  <c r="G2433" i="23"/>
  <c r="G2456" i="23"/>
  <c r="G2482" i="23"/>
  <c r="G2505" i="23"/>
  <c r="G2527" i="23"/>
  <c r="G2549" i="23"/>
  <c r="G2571" i="23"/>
  <c r="G2593" i="23"/>
  <c r="G2613" i="23"/>
  <c r="G2635" i="23"/>
  <c r="G2657" i="23"/>
  <c r="G2679" i="23"/>
  <c r="G2701" i="23"/>
  <c r="G2721" i="23"/>
  <c r="G2743" i="23"/>
  <c r="G2765" i="23"/>
  <c r="G2787" i="23"/>
  <c r="G2809" i="23"/>
  <c r="G2829" i="23"/>
  <c r="G2851" i="23"/>
  <c r="G2873" i="23"/>
  <c r="G2893" i="23"/>
  <c r="G2911" i="23"/>
  <c r="G2929" i="23"/>
  <c r="G2947" i="23"/>
  <c r="G2965" i="23"/>
  <c r="G2983" i="23"/>
  <c r="G3001" i="23"/>
  <c r="G3019" i="23"/>
  <c r="G3037" i="23"/>
  <c r="G3055" i="23"/>
  <c r="G3073" i="23"/>
  <c r="G3091" i="23"/>
  <c r="G3109" i="23"/>
  <c r="G3127" i="23"/>
  <c r="G3145" i="23"/>
  <c r="G3163" i="23"/>
  <c r="G3181" i="23"/>
  <c r="G3199" i="23"/>
  <c r="G3217" i="23"/>
  <c r="G3235" i="23"/>
  <c r="G3253" i="23"/>
  <c r="G3271" i="23"/>
  <c r="G3289" i="23"/>
  <c r="G3307" i="23"/>
  <c r="G3325" i="23"/>
  <c r="G3343" i="23"/>
  <c r="G3361" i="23"/>
  <c r="G3379" i="23"/>
  <c r="G3397" i="23"/>
  <c r="G3415" i="23"/>
  <c r="G3433" i="23"/>
  <c r="G3451" i="23"/>
  <c r="G3469" i="23"/>
  <c r="G3487" i="23"/>
  <c r="G3505" i="23"/>
  <c r="G3523" i="23"/>
  <c r="G3541" i="23"/>
  <c r="G3559" i="23"/>
  <c r="G3576" i="23"/>
  <c r="G3591" i="23"/>
  <c r="G3607" i="23"/>
  <c r="G3621" i="23"/>
  <c r="G3636" i="23"/>
  <c r="G3650" i="23"/>
  <c r="G3665" i="23"/>
  <c r="G3678" i="23"/>
  <c r="G3691" i="23"/>
  <c r="G3704" i="23"/>
  <c r="G3717" i="23"/>
  <c r="G3730" i="23"/>
  <c r="G3744" i="23"/>
  <c r="G3757" i="23"/>
  <c r="G3770" i="23"/>
  <c r="G3783" i="23"/>
  <c r="G3796" i="23"/>
  <c r="G3809" i="23"/>
  <c r="G3822" i="23"/>
  <c r="G3835" i="23"/>
  <c r="G3848" i="23"/>
  <c r="G3861" i="23"/>
  <c r="G3874" i="23"/>
  <c r="G3888" i="23"/>
  <c r="G3900" i="23"/>
  <c r="G3912" i="23"/>
  <c r="G3924" i="23"/>
  <c r="G3936" i="23"/>
  <c r="G3948" i="23"/>
  <c r="G3960" i="23"/>
  <c r="G3972" i="23"/>
  <c r="G3984" i="23"/>
  <c r="G3996" i="23"/>
  <c r="G4008" i="23"/>
  <c r="G4020" i="23"/>
  <c r="G4032" i="23"/>
  <c r="G4044" i="23"/>
  <c r="G177" i="23"/>
  <c r="G343" i="23"/>
  <c r="G537" i="23"/>
  <c r="G719" i="23"/>
  <c r="G886" i="23"/>
  <c r="G1043" i="23"/>
  <c r="G1122" i="23"/>
  <c r="G1211" i="23"/>
  <c r="G1281" i="23"/>
  <c r="G1360" i="23"/>
  <c r="G1433" i="23"/>
  <c r="G1498" i="23"/>
  <c r="G1577" i="23"/>
  <c r="G1640" i="23"/>
  <c r="G1714" i="23"/>
  <c r="G1774" i="23"/>
  <c r="G1841" i="23"/>
  <c r="G1894" i="23"/>
  <c r="G1943" i="23"/>
  <c r="G2003" i="23"/>
  <c r="G2049" i="23"/>
  <c r="G2103" i="23"/>
  <c r="G2148" i="23"/>
  <c r="G2199" i="23"/>
  <c r="G2247" i="23"/>
  <c r="G2278" i="23"/>
  <c r="G2310" i="23"/>
  <c r="G2335" i="23"/>
  <c r="G2361" i="23"/>
  <c r="G2384" i="23"/>
  <c r="G2410" i="23"/>
  <c r="G2434" i="23"/>
  <c r="G2457" i="23"/>
  <c r="G2485" i="23"/>
  <c r="G2506" i="23"/>
  <c r="G2528" i="23"/>
  <c r="G2550" i="23"/>
  <c r="G2572" i="23"/>
  <c r="G2594" i="23"/>
  <c r="G2614" i="23"/>
  <c r="G2636" i="23"/>
  <c r="G2658" i="23"/>
  <c r="G2680" i="23"/>
  <c r="G2702" i="23"/>
  <c r="G2722" i="23"/>
  <c r="G2744" i="23"/>
  <c r="G2766" i="23"/>
  <c r="G2788" i="23"/>
  <c r="G2810" i="23"/>
  <c r="G2830" i="23"/>
  <c r="G2852" i="23"/>
  <c r="G2874" i="23"/>
  <c r="G2894" i="23"/>
  <c r="G2912" i="23"/>
  <c r="G2930" i="23"/>
  <c r="G2948" i="23"/>
  <c r="G2966" i="23"/>
  <c r="G2984" i="23"/>
  <c r="G3002" i="23"/>
  <c r="G3020" i="23"/>
  <c r="G3038" i="23"/>
  <c r="G3056" i="23"/>
  <c r="G3074" i="23"/>
  <c r="G3092" i="23"/>
  <c r="G3110" i="23"/>
  <c r="G3128" i="23"/>
  <c r="G3146" i="23"/>
  <c r="G3164" i="23"/>
  <c r="G3182" i="23"/>
  <c r="G3200" i="23"/>
  <c r="G3218" i="23"/>
  <c r="G3236" i="23"/>
  <c r="G3254" i="23"/>
  <c r="G3272" i="23"/>
  <c r="G3290" i="23"/>
  <c r="G3308" i="23"/>
  <c r="G3326" i="23"/>
  <c r="G3344" i="23"/>
  <c r="G3362" i="23"/>
  <c r="G3380" i="23"/>
  <c r="G3398" i="23"/>
  <c r="G3416" i="23"/>
  <c r="G3434" i="23"/>
  <c r="G3452" i="23"/>
  <c r="G3470" i="23"/>
  <c r="G3488" i="23"/>
  <c r="G3506" i="23"/>
  <c r="G3524" i="23"/>
  <c r="G3542" i="23"/>
  <c r="G3560" i="23"/>
  <c r="G3577" i="23"/>
  <c r="G3593" i="23"/>
  <c r="G3608" i="23"/>
  <c r="G3622" i="23"/>
  <c r="G105" i="23"/>
  <c r="G394" i="23"/>
  <c r="G729" i="23"/>
  <c r="G1016" i="23"/>
  <c r="G1144" i="23"/>
  <c r="G1302" i="23"/>
  <c r="G1412" i="23"/>
  <c r="G1557" i="23"/>
  <c r="G1656" i="23"/>
  <c r="G1775" i="23"/>
  <c r="G1879" i="23"/>
  <c r="G1967" i="23"/>
  <c r="G2061" i="23"/>
  <c r="G2141" i="23"/>
  <c r="G2233" i="23"/>
  <c r="G2288" i="23"/>
  <c r="G2338" i="23"/>
  <c r="G2379" i="23"/>
  <c r="G2419" i="23"/>
  <c r="G2464" i="23"/>
  <c r="G2504" i="23"/>
  <c r="G2542" i="23"/>
  <c r="G2577" i="23"/>
  <c r="G2617" i="23"/>
  <c r="G2653" i="23"/>
  <c r="G2686" i="23"/>
  <c r="G2728" i="23"/>
  <c r="G2764" i="23"/>
  <c r="G2802" i="23"/>
  <c r="G2837" i="23"/>
  <c r="G2875" i="23"/>
  <c r="G2907" i="23"/>
  <c r="G2936" i="23"/>
  <c r="G2970" i="23"/>
  <c r="G3000" i="23"/>
  <c r="G3032" i="23"/>
  <c r="G3061" i="23"/>
  <c r="G3093" i="23"/>
  <c r="G3123" i="23"/>
  <c r="G3152" i="23"/>
  <c r="G3186" i="23"/>
  <c r="G3216" i="23"/>
  <c r="G3248" i="23"/>
  <c r="G3277" i="23"/>
  <c r="G3309" i="23"/>
  <c r="G3339" i="23"/>
  <c r="G3368" i="23"/>
  <c r="G3402" i="23"/>
  <c r="G3432" i="23"/>
  <c r="G3464" i="23"/>
  <c r="G3493" i="23"/>
  <c r="G3519" i="23"/>
  <c r="G3547" i="23"/>
  <c r="G3572" i="23"/>
  <c r="G3596" i="23"/>
  <c r="G3619" i="23"/>
  <c r="G3639" i="23"/>
  <c r="G3658" i="23"/>
  <c r="G3677" i="23"/>
  <c r="G3694" i="23"/>
  <c r="G3712" i="23"/>
  <c r="G3729" i="23"/>
  <c r="G3747" i="23"/>
  <c r="G3764" i="23"/>
  <c r="G3782" i="23"/>
  <c r="G3799" i="23"/>
  <c r="G3817" i="23"/>
  <c r="G3834" i="23"/>
  <c r="G3852" i="23"/>
  <c r="G3869" i="23"/>
  <c r="G3886" i="23"/>
  <c r="G3903" i="23"/>
  <c r="G3919" i="23"/>
  <c r="G3935" i="23"/>
  <c r="G3951" i="23"/>
  <c r="G3967" i="23"/>
  <c r="G3983" i="23"/>
  <c r="G3999" i="23"/>
  <c r="G4015" i="23"/>
  <c r="G4031" i="23"/>
  <c r="G4047" i="23"/>
  <c r="G4060" i="23"/>
  <c r="G4073" i="23"/>
  <c r="G4086" i="23"/>
  <c r="G4099" i="23"/>
  <c r="G4113" i="23"/>
  <c r="G4126" i="23"/>
  <c r="G4139" i="23"/>
  <c r="G4152" i="23"/>
  <c r="G4165" i="23"/>
  <c r="G4178" i="23"/>
  <c r="G4191" i="23"/>
  <c r="G4204" i="23"/>
  <c r="G4217" i="23"/>
  <c r="G4230" i="23"/>
  <c r="G4243" i="23"/>
  <c r="G4257" i="23"/>
  <c r="G4270" i="23"/>
  <c r="G4283" i="23"/>
  <c r="G4296" i="23"/>
  <c r="G4309" i="23"/>
  <c r="G4322" i="23"/>
  <c r="G4335" i="23"/>
  <c r="G4348" i="23"/>
  <c r="G4361" i="23"/>
  <c r="G4374" i="23"/>
  <c r="G4387" i="23"/>
  <c r="G4401" i="23"/>
  <c r="G4414" i="23"/>
  <c r="G4427" i="23"/>
  <c r="G4440" i="23"/>
  <c r="G4453" i="23"/>
  <c r="G4466" i="23"/>
  <c r="G4479" i="23"/>
  <c r="G4492" i="23"/>
  <c r="G4505" i="23"/>
  <c r="G4518" i="23"/>
  <c r="G4531" i="23"/>
  <c r="G4545" i="23"/>
  <c r="G4558" i="23"/>
  <c r="G4570" i="23"/>
  <c r="G4582" i="23"/>
  <c r="G4594" i="23"/>
  <c r="G4606" i="23"/>
  <c r="G4618" i="23"/>
  <c r="G4630" i="23"/>
  <c r="G4642" i="23"/>
  <c r="G4654" i="23"/>
  <c r="G4666" i="23"/>
  <c r="G4678" i="23"/>
  <c r="G4690" i="23"/>
  <c r="G4702" i="23"/>
  <c r="G4714" i="23"/>
  <c r="G4726" i="23"/>
  <c r="G4738" i="23"/>
  <c r="G4750" i="23"/>
  <c r="G4762" i="23"/>
  <c r="G4774" i="23"/>
  <c r="G4786" i="23"/>
  <c r="G4798" i="23"/>
  <c r="G4810" i="23"/>
  <c r="G4822" i="23"/>
  <c r="G4834" i="23"/>
  <c r="G4846" i="23"/>
  <c r="G4858" i="23"/>
  <c r="G4870" i="23"/>
  <c r="G4882" i="23"/>
  <c r="G4894" i="23"/>
  <c r="G4906" i="23"/>
  <c r="G4918" i="23"/>
  <c r="G4930" i="23"/>
  <c r="G4942" i="23"/>
  <c r="G4954" i="23"/>
  <c r="G4966" i="23"/>
  <c r="G178" i="23"/>
  <c r="G3039" i="23"/>
  <c r="G3603" i="23"/>
  <c r="G3856" i="23"/>
  <c r="G4035" i="23"/>
  <c r="G4181" i="23"/>
  <c r="G4273" i="23"/>
  <c r="G4338" i="23"/>
  <c r="G4391" i="23"/>
  <c r="G4443" i="23"/>
  <c r="G4495" i="23"/>
  <c r="G4548" i="23"/>
  <c r="G4609" i="23"/>
  <c r="G4657" i="23"/>
  <c r="G4693" i="23"/>
  <c r="G4717" i="23"/>
  <c r="G125" i="23"/>
  <c r="G406" i="23"/>
  <c r="G753" i="23"/>
  <c r="G1024" i="23"/>
  <c r="G1181" i="23"/>
  <c r="G1303" i="23"/>
  <c r="G1436" i="23"/>
  <c r="G1558" i="23"/>
  <c r="G1657" i="23"/>
  <c r="G1793" i="23"/>
  <c r="G1880" i="23"/>
  <c r="G1989" i="23"/>
  <c r="G2062" i="23"/>
  <c r="G2149" i="23"/>
  <c r="G2234" i="23"/>
  <c r="G2293" i="23"/>
  <c r="G2341" i="23"/>
  <c r="G2382" i="23"/>
  <c r="G2427" i="23"/>
  <c r="G2465" i="23"/>
  <c r="G2509" i="23"/>
  <c r="G2545" i="23"/>
  <c r="G2578" i="23"/>
  <c r="G2620" i="23"/>
  <c r="G2656" i="23"/>
  <c r="G2694" i="23"/>
  <c r="G2729" i="23"/>
  <c r="G2767" i="23"/>
  <c r="G2803" i="23"/>
  <c r="G2838" i="23"/>
  <c r="G2878" i="23"/>
  <c r="G2910" i="23"/>
  <c r="G2942" i="23"/>
  <c r="G2971" i="23"/>
  <c r="G3003" i="23"/>
  <c r="G3033" i="23"/>
  <c r="G3062" i="23"/>
  <c r="G3096" i="23"/>
  <c r="G3126" i="23"/>
  <c r="G3158" i="23"/>
  <c r="G3187" i="23"/>
  <c r="G3219" i="23"/>
  <c r="G3249" i="23"/>
  <c r="G3278" i="23"/>
  <c r="G3312" i="23"/>
  <c r="G3342" i="23"/>
  <c r="G3374" i="23"/>
  <c r="G3403" i="23"/>
  <c r="G3435" i="23"/>
  <c r="G3465" i="23"/>
  <c r="G3494" i="23"/>
  <c r="G3522" i="23"/>
  <c r="G3548" i="23"/>
  <c r="G3573" i="23"/>
  <c r="G3597" i="23"/>
  <c r="G3620" i="23"/>
  <c r="G3641" i="23"/>
  <c r="G3661" i="23"/>
  <c r="G3679" i="23"/>
  <c r="G3696" i="23"/>
  <c r="G3714" i="23"/>
  <c r="G3732" i="23"/>
  <c r="G3748" i="23"/>
  <c r="G3766" i="23"/>
  <c r="G3784" i="23"/>
  <c r="G3800" i="23"/>
  <c r="G3819" i="23"/>
  <c r="G3836" i="23"/>
  <c r="G3853" i="23"/>
  <c r="G3871" i="23"/>
  <c r="G3889" i="23"/>
  <c r="G3904" i="23"/>
  <c r="G3921" i="23"/>
  <c r="G3937" i="23"/>
  <c r="G3952" i="23"/>
  <c r="G3969" i="23"/>
  <c r="G3985" i="23"/>
  <c r="G4000" i="23"/>
  <c r="G4017" i="23"/>
  <c r="G4033" i="23"/>
  <c r="G4048" i="23"/>
  <c r="G4061" i="23"/>
  <c r="G4074" i="23"/>
  <c r="G4087" i="23"/>
  <c r="G4101" i="23"/>
  <c r="G4114" i="23"/>
  <c r="G4127" i="23"/>
  <c r="G4140" i="23"/>
  <c r="G4153" i="23"/>
  <c r="G4166" i="23"/>
  <c r="G4179" i="23"/>
  <c r="G4192" i="23"/>
  <c r="G4205" i="23"/>
  <c r="G4218" i="23"/>
  <c r="G4231" i="23"/>
  <c r="G4245" i="23"/>
  <c r="G4258" i="23"/>
  <c r="G4271" i="23"/>
  <c r="G4284" i="23"/>
  <c r="G4297" i="23"/>
  <c r="G4310" i="23"/>
  <c r="G4323" i="23"/>
  <c r="G4336" i="23"/>
  <c r="G4349" i="23"/>
  <c r="G4362" i="23"/>
  <c r="G4375" i="23"/>
  <c r="G4389" i="23"/>
  <c r="G4402" i="23"/>
  <c r="G4415" i="23"/>
  <c r="G4428" i="23"/>
  <c r="G4441" i="23"/>
  <c r="G4454" i="23"/>
  <c r="G4467" i="23"/>
  <c r="G4480" i="23"/>
  <c r="G4493" i="23"/>
  <c r="G4506" i="23"/>
  <c r="G4519" i="23"/>
  <c r="G4533" i="23"/>
  <c r="G4546" i="23"/>
  <c r="G4559" i="23"/>
  <c r="G4571" i="23"/>
  <c r="G4583" i="23"/>
  <c r="G4595" i="23"/>
  <c r="G4607" i="23"/>
  <c r="G4619" i="23"/>
  <c r="G4631" i="23"/>
  <c r="G4643" i="23"/>
  <c r="G4655" i="23"/>
  <c r="G4667" i="23"/>
  <c r="G4679" i="23"/>
  <c r="G4691" i="23"/>
  <c r="G4703" i="23"/>
  <c r="G4715" i="23"/>
  <c r="G4727" i="23"/>
  <c r="G4739" i="23"/>
  <c r="G4751" i="23"/>
  <c r="G4763" i="23"/>
  <c r="G4775" i="23"/>
  <c r="G4787" i="23"/>
  <c r="G4799" i="23"/>
  <c r="G4811" i="23"/>
  <c r="G4823" i="23"/>
  <c r="G4835" i="23"/>
  <c r="G4847" i="23"/>
  <c r="G4859" i="23"/>
  <c r="G4871" i="23"/>
  <c r="G4883" i="23"/>
  <c r="G4895" i="23"/>
  <c r="G4907" i="23"/>
  <c r="G4919" i="23"/>
  <c r="G4931" i="23"/>
  <c r="G4943" i="23"/>
  <c r="G4955" i="23"/>
  <c r="G11" i="23"/>
  <c r="G127" i="23"/>
  <c r="G454" i="23"/>
  <c r="G773" i="23"/>
  <c r="G1044" i="23"/>
  <c r="G1187" i="23"/>
  <c r="G1306" i="23"/>
  <c r="G1446" i="23"/>
  <c r="G1561" i="23"/>
  <c r="G1688" i="23"/>
  <c r="G1794" i="23"/>
  <c r="G1897" i="23"/>
  <c r="G1990" i="23"/>
  <c r="G2063" i="23"/>
  <c r="G2161" i="23"/>
  <c r="G2235" i="23"/>
  <c r="G2301" i="23"/>
  <c r="G2342" i="23"/>
  <c r="G2385" i="23"/>
  <c r="G2428" i="23"/>
  <c r="G2468" i="23"/>
  <c r="G2512" i="23"/>
  <c r="G2548" i="23"/>
  <c r="G2586" i="23"/>
  <c r="G2621" i="23"/>
  <c r="G2659" i="23"/>
  <c r="G2695" i="23"/>
  <c r="G2730" i="23"/>
  <c r="G2770" i="23"/>
  <c r="G2806" i="23"/>
  <c r="G2846" i="23"/>
  <c r="G2881" i="23"/>
  <c r="G2913" i="23"/>
  <c r="G2943" i="23"/>
  <c r="G2972" i="23"/>
  <c r="G3006" i="23"/>
  <c r="G3036" i="23"/>
  <c r="G3068" i="23"/>
  <c r="G3097" i="23"/>
  <c r="G3129" i="23"/>
  <c r="G3159" i="23"/>
  <c r="G3188" i="23"/>
  <c r="G3222" i="23"/>
  <c r="G3252" i="23"/>
  <c r="G3284" i="23"/>
  <c r="G3313" i="23"/>
  <c r="G3345" i="23"/>
  <c r="G3375" i="23"/>
  <c r="G3404" i="23"/>
  <c r="G3438" i="23"/>
  <c r="G3468" i="23"/>
  <c r="G3498" i="23"/>
  <c r="G3525" i="23"/>
  <c r="G3552" i="23"/>
  <c r="G3578" i="23"/>
  <c r="G3601" i="23"/>
  <c r="G3624" i="23"/>
  <c r="G3642" i="23"/>
  <c r="G3662" i="23"/>
  <c r="G3680" i="23"/>
  <c r="G3697" i="23"/>
  <c r="G3715" i="23"/>
  <c r="G3733" i="23"/>
  <c r="G3749" i="23"/>
  <c r="G3768" i="23"/>
  <c r="G3785" i="23"/>
  <c r="G3801" i="23"/>
  <c r="G3820" i="23"/>
  <c r="G3837" i="23"/>
  <c r="G3854" i="23"/>
  <c r="G3872" i="23"/>
  <c r="G3890" i="23"/>
  <c r="G3905" i="23"/>
  <c r="G3922" i="23"/>
  <c r="G3938" i="23"/>
  <c r="G3953" i="23"/>
  <c r="G3970" i="23"/>
  <c r="G3986" i="23"/>
  <c r="G4001" i="23"/>
  <c r="G4018" i="23"/>
  <c r="G4034" i="23"/>
  <c r="G4049" i="23"/>
  <c r="G4062" i="23"/>
  <c r="G4075" i="23"/>
  <c r="G4089" i="23"/>
  <c r="G4102" i="23"/>
  <c r="G4115" i="23"/>
  <c r="G4128" i="23"/>
  <c r="G4141" i="23"/>
  <c r="G4154" i="23"/>
  <c r="G4167" i="23"/>
  <c r="G4180" i="23"/>
  <c r="G4193" i="23"/>
  <c r="G4206" i="23"/>
  <c r="G4219" i="23"/>
  <c r="G4233" i="23"/>
  <c r="G4246" i="23"/>
  <c r="G4259" i="23"/>
  <c r="G4272" i="23"/>
  <c r="G4285" i="23"/>
  <c r="G4298" i="23"/>
  <c r="G4311" i="23"/>
  <c r="G4324" i="23"/>
  <c r="G4337" i="23"/>
  <c r="G4350" i="23"/>
  <c r="G4363" i="23"/>
  <c r="G4377" i="23"/>
  <c r="G4390" i="23"/>
  <c r="G4403" i="23"/>
  <c r="G4416" i="23"/>
  <c r="G4429" i="23"/>
  <c r="G4442" i="23"/>
  <c r="G4455" i="23"/>
  <c r="G4468" i="23"/>
  <c r="G4481" i="23"/>
  <c r="G4494" i="23"/>
  <c r="G4507" i="23"/>
  <c r="G4521" i="23"/>
  <c r="G4534" i="23"/>
  <c r="G4547" i="23"/>
  <c r="G4560" i="23"/>
  <c r="G4572" i="23"/>
  <c r="G4584" i="23"/>
  <c r="G4596" i="23"/>
  <c r="G4608" i="23"/>
  <c r="G4620" i="23"/>
  <c r="G4632" i="23"/>
  <c r="G4644" i="23"/>
  <c r="G4656" i="23"/>
  <c r="G4668" i="23"/>
  <c r="G4680" i="23"/>
  <c r="G4692" i="23"/>
  <c r="G4704" i="23"/>
  <c r="G4716" i="23"/>
  <c r="G4728" i="23"/>
  <c r="G4740" i="23"/>
  <c r="G4752" i="23"/>
  <c r="G4764" i="23"/>
  <c r="G4776" i="23"/>
  <c r="G4788" i="23"/>
  <c r="G4800" i="23"/>
  <c r="G4812" i="23"/>
  <c r="G4824" i="23"/>
  <c r="G4836" i="23"/>
  <c r="G4848" i="23"/>
  <c r="G4860" i="23"/>
  <c r="G4872" i="23"/>
  <c r="G4884" i="23"/>
  <c r="G4896" i="23"/>
  <c r="G4908" i="23"/>
  <c r="G4920" i="23"/>
  <c r="G4932" i="23"/>
  <c r="G4944" i="23"/>
  <c r="G4956" i="23"/>
  <c r="G10" i="23"/>
  <c r="G502" i="23"/>
  <c r="G775" i="23"/>
  <c r="G1048" i="23"/>
  <c r="G1188" i="23"/>
  <c r="G1326" i="23"/>
  <c r="G1452" i="23"/>
  <c r="G1578" i="23"/>
  <c r="G1694" i="23"/>
  <c r="G1797" i="23"/>
  <c r="G1904" i="23"/>
  <c r="G1991" i="23"/>
  <c r="G2085" i="23"/>
  <c r="G2162" i="23"/>
  <c r="G2248" i="23"/>
  <c r="G2302" i="23"/>
  <c r="G2343" i="23"/>
  <c r="G2391" i="23"/>
  <c r="G2429" i="23"/>
  <c r="G2477" i="23"/>
  <c r="G2513" i="23"/>
  <c r="G2551" i="23"/>
  <c r="G2587" i="23"/>
  <c r="G2622" i="23"/>
  <c r="G2662" i="23"/>
  <c r="G2698" i="23"/>
  <c r="G2738" i="23"/>
  <c r="G2773" i="23"/>
  <c r="G2811" i="23"/>
  <c r="G2847" i="23"/>
  <c r="G2882" i="23"/>
  <c r="G2916" i="23"/>
  <c r="G2946" i="23"/>
  <c r="G2978" i="23"/>
  <c r="G3007" i="23"/>
  <c r="G3069" i="23"/>
  <c r="G3098" i="23"/>
  <c r="G3132" i="23"/>
  <c r="G3162" i="23"/>
  <c r="G3194" i="23"/>
  <c r="G3223" i="23"/>
  <c r="G3255" i="23"/>
  <c r="G3285" i="23"/>
  <c r="G3314" i="23"/>
  <c r="G3348" i="23"/>
  <c r="G3378" i="23"/>
  <c r="G3410" i="23"/>
  <c r="G3439" i="23"/>
  <c r="G3471" i="23"/>
  <c r="G3500" i="23"/>
  <c r="G3528" i="23"/>
  <c r="G3554" i="23"/>
  <c r="G3579" i="23"/>
  <c r="G3625" i="23"/>
  <c r="G3644" i="23"/>
  <c r="G3663" i="23"/>
  <c r="G3681" i="23"/>
  <c r="G3699" i="23"/>
  <c r="G3716" i="23"/>
  <c r="G3734" i="23"/>
  <c r="G3751" i="23"/>
  <c r="G3769" i="23"/>
  <c r="G3786" i="23"/>
  <c r="G3804" i="23"/>
  <c r="G3821" i="23"/>
  <c r="G3838" i="23"/>
  <c r="G3873" i="23"/>
  <c r="G3891" i="23"/>
  <c r="G3907" i="23"/>
  <c r="G3923" i="23"/>
  <c r="G3939" i="23"/>
  <c r="G3955" i="23"/>
  <c r="G3971" i="23"/>
  <c r="G3987" i="23"/>
  <c r="G4003" i="23"/>
  <c r="G4019" i="23"/>
  <c r="G4050" i="23"/>
  <c r="G4063" i="23"/>
  <c r="G4077" i="23"/>
  <c r="G4090" i="23"/>
  <c r="G4103" i="23"/>
  <c r="G4116" i="23"/>
  <c r="G4129" i="23"/>
  <c r="G4142" i="23"/>
  <c r="G4155" i="23"/>
  <c r="G4168" i="23"/>
  <c r="G4194" i="23"/>
  <c r="G4207" i="23"/>
  <c r="G4221" i="23"/>
  <c r="G4234" i="23"/>
  <c r="G4247" i="23"/>
  <c r="G4260" i="23"/>
  <c r="G4286" i="23"/>
  <c r="G4299" i="23"/>
  <c r="G4312" i="23"/>
  <c r="G4325" i="23"/>
  <c r="G4351" i="23"/>
  <c r="G4365" i="23"/>
  <c r="G4378" i="23"/>
  <c r="G4404" i="23"/>
  <c r="G4417" i="23"/>
  <c r="G4430" i="23"/>
  <c r="G4456" i="23"/>
  <c r="G4469" i="23"/>
  <c r="G4482" i="23"/>
  <c r="G4509" i="23"/>
  <c r="G4522" i="23"/>
  <c r="G4535" i="23"/>
  <c r="G4561" i="23"/>
  <c r="G4573" i="23"/>
  <c r="G4585" i="23"/>
  <c r="G4597" i="23"/>
  <c r="G4621" i="23"/>
  <c r="G4633" i="23"/>
  <c r="G4645" i="23"/>
  <c r="G4669" i="23"/>
  <c r="G4681" i="23"/>
  <c r="G4705" i="23"/>
  <c r="G4729" i="23"/>
  <c r="G4753" i="23"/>
  <c r="G227" i="23"/>
  <c r="G559" i="23"/>
  <c r="G875" i="23"/>
  <c r="G1092" i="23"/>
  <c r="G1229" i="23"/>
  <c r="G1366" i="23"/>
  <c r="G1488" i="23"/>
  <c r="G1597" i="23"/>
  <c r="G1718" i="23"/>
  <c r="G1833" i="23"/>
  <c r="G1928" i="23"/>
  <c r="G2017" i="23"/>
  <c r="G2104" i="23"/>
  <c r="G2189" i="23"/>
  <c r="G2257" i="23"/>
  <c r="G2312" i="23"/>
  <c r="G2356" i="23"/>
  <c r="G2401" i="23"/>
  <c r="G2441" i="23"/>
  <c r="G2486" i="23"/>
  <c r="G2523" i="23"/>
  <c r="G2558" i="23"/>
  <c r="G2598" i="23"/>
  <c r="G2634" i="23"/>
  <c r="G2672" i="23"/>
  <c r="G2707" i="23"/>
  <c r="G2745" i="23"/>
  <c r="G2781" i="23"/>
  <c r="G2816" i="23"/>
  <c r="G2858" i="23"/>
  <c r="G2892" i="23"/>
  <c r="G2924" i="23"/>
  <c r="G2953" i="23"/>
  <c r="G2985" i="23"/>
  <c r="G3015" i="23"/>
  <c r="G3044" i="23"/>
  <c r="G3078" i="23"/>
  <c r="G3108" i="23"/>
  <c r="G3140" i="23"/>
  <c r="G3169" i="23"/>
  <c r="G3201" i="23"/>
  <c r="G3231" i="23"/>
  <c r="G3260" i="23"/>
  <c r="G3294" i="23"/>
  <c r="G3324" i="23"/>
  <c r="G3356" i="23"/>
  <c r="G3385" i="23"/>
  <c r="G3417" i="23"/>
  <c r="G3447" i="23"/>
  <c r="G3476" i="23"/>
  <c r="G3507" i="23"/>
  <c r="G3534" i="23"/>
  <c r="G3561" i="23"/>
  <c r="G3584" i="23"/>
  <c r="G3609" i="23"/>
  <c r="G3630" i="23"/>
  <c r="G3649" i="23"/>
  <c r="G3668" i="23"/>
  <c r="G3686" i="23"/>
  <c r="G3703" i="23"/>
  <c r="G3721" i="23"/>
  <c r="G3738" i="23"/>
  <c r="G3756" i="23"/>
  <c r="G3773" i="23"/>
  <c r="G3790" i="23"/>
  <c r="G3808" i="23"/>
  <c r="G3825" i="23"/>
  <c r="G3843" i="23"/>
  <c r="G3860" i="23"/>
  <c r="G3878" i="23"/>
  <c r="G3895" i="23"/>
  <c r="G3911" i="23"/>
  <c r="G3927" i="23"/>
  <c r="G3943" i="23"/>
  <c r="G3959" i="23"/>
  <c r="G3975" i="23"/>
  <c r="G3991" i="23"/>
  <c r="G4007" i="23"/>
  <c r="G4023" i="23"/>
  <c r="G4039" i="23"/>
  <c r="G4054" i="23"/>
  <c r="G4067" i="23"/>
  <c r="G4080" i="23"/>
  <c r="G4093" i="23"/>
  <c r="G4106" i="23"/>
  <c r="G4119" i="23"/>
  <c r="G4132" i="23"/>
  <c r="G4145" i="23"/>
  <c r="G4158" i="23"/>
  <c r="G4171" i="23"/>
  <c r="G4185" i="23"/>
  <c r="G4198" i="23"/>
  <c r="G4211" i="23"/>
  <c r="G4224" i="23"/>
  <c r="G4237" i="23"/>
  <c r="G4250" i="23"/>
  <c r="G4263" i="23"/>
  <c r="G4276" i="23"/>
  <c r="G4289" i="23"/>
  <c r="G4302" i="23"/>
  <c r="G4315" i="23"/>
  <c r="G4329" i="23"/>
  <c r="G4342" i="23"/>
  <c r="G4355" i="23"/>
  <c r="G4368" i="23"/>
  <c r="G4381" i="23"/>
  <c r="G4394" i="23"/>
  <c r="G4407" i="23"/>
  <c r="G4420" i="23"/>
  <c r="G4433" i="23"/>
  <c r="G4446" i="23"/>
  <c r="G4459" i="23"/>
  <c r="G4473" i="23"/>
  <c r="G4486" i="23"/>
  <c r="G4499" i="23"/>
  <c r="G4512" i="23"/>
  <c r="G4525" i="23"/>
  <c r="G4538" i="23"/>
  <c r="G4551" i="23"/>
  <c r="G4564" i="23"/>
  <c r="G4576" i="23"/>
  <c r="G4588" i="23"/>
  <c r="G4600" i="23"/>
  <c r="G4612" i="23"/>
  <c r="G4624" i="23"/>
  <c r="G4636" i="23"/>
  <c r="G4648" i="23"/>
  <c r="G4660" i="23"/>
  <c r="G4672" i="23"/>
  <c r="G4684" i="23"/>
  <c r="G4696" i="23"/>
  <c r="G4708" i="23"/>
  <c r="G4720" i="23"/>
  <c r="G4732" i="23"/>
  <c r="G4744" i="23"/>
  <c r="G4756" i="23"/>
  <c r="G4768" i="23"/>
  <c r="G4780" i="23"/>
  <c r="G4792" i="23"/>
  <c r="G4804" i="23"/>
  <c r="G4816" i="23"/>
  <c r="G4828" i="23"/>
  <c r="G4840" i="23"/>
  <c r="G4852" i="23"/>
  <c r="G4864" i="23"/>
  <c r="G4876" i="23"/>
  <c r="G4888" i="23"/>
  <c r="G4900" i="23"/>
  <c r="G4912" i="23"/>
  <c r="G4924" i="23"/>
  <c r="G4936" i="23"/>
  <c r="G4948" i="23"/>
  <c r="G4960" i="23"/>
  <c r="G287" i="23"/>
  <c r="G561" i="23"/>
  <c r="G934" i="23"/>
  <c r="G1096" i="23"/>
  <c r="G1235" i="23"/>
  <c r="G1367" i="23"/>
  <c r="G1496" i="23"/>
  <c r="G1617" i="23"/>
  <c r="G1727" i="23"/>
  <c r="G1847" i="23"/>
  <c r="G1937" i="23"/>
  <c r="G2018" i="23"/>
  <c r="G2105" i="23"/>
  <c r="G2190" i="23"/>
  <c r="G2270" i="23"/>
  <c r="G2318" i="23"/>
  <c r="G2362" i="23"/>
  <c r="G2405" i="23"/>
  <c r="G2442" i="23"/>
  <c r="G2487" i="23"/>
  <c r="G2526" i="23"/>
  <c r="G2564" i="23"/>
  <c r="G2599" i="23"/>
  <c r="G2637" i="23"/>
  <c r="G2673" i="23"/>
  <c r="G2708" i="23"/>
  <c r="G2750" i="23"/>
  <c r="G2786" i="23"/>
  <c r="G2824" i="23"/>
  <c r="G2859" i="23"/>
  <c r="G2895" i="23"/>
  <c r="G2925" i="23"/>
  <c r="G2954" i="23"/>
  <c r="G2988" i="23"/>
  <c r="G3018" i="23"/>
  <c r="G3050" i="23"/>
  <c r="G3079" i="23"/>
  <c r="G3111" i="23"/>
  <c r="G3141" i="23"/>
  <c r="G3170" i="23"/>
  <c r="G3204" i="23"/>
  <c r="G3234" i="23"/>
  <c r="G3266" i="23"/>
  <c r="G3295" i="23"/>
  <c r="G3327" i="23"/>
  <c r="G3357" i="23"/>
  <c r="G3386" i="23"/>
  <c r="G3420" i="23"/>
  <c r="G3450" i="23"/>
  <c r="G3482" i="23"/>
  <c r="G3510" i="23"/>
  <c r="G3536" i="23"/>
  <c r="G3564" i="23"/>
  <c r="G3588" i="23"/>
  <c r="G3610" i="23"/>
  <c r="G3632" i="23"/>
  <c r="G3651" i="23"/>
  <c r="G3669" i="23"/>
  <c r="G3688" i="23"/>
  <c r="G3705" i="23"/>
  <c r="G3722" i="23"/>
  <c r="G3740" i="23"/>
  <c r="G3758" i="23"/>
  <c r="G3774" i="23"/>
  <c r="G3793" i="23"/>
  <c r="G3810" i="23"/>
  <c r="G3826" i="23"/>
  <c r="G3845" i="23"/>
  <c r="G3862" i="23"/>
  <c r="G3879" i="23"/>
  <c r="G3897" i="23"/>
  <c r="G3913" i="23"/>
  <c r="G3928" i="23"/>
  <c r="G3945" i="23"/>
  <c r="G3961" i="23"/>
  <c r="G3976" i="23"/>
  <c r="G3993" i="23"/>
  <c r="G4009" i="23"/>
  <c r="G4024" i="23"/>
  <c r="G4041" i="23"/>
  <c r="G4055" i="23"/>
  <c r="G4068" i="23"/>
  <c r="G4081" i="23"/>
  <c r="G4094" i="23"/>
  <c r="G4107" i="23"/>
  <c r="G4120" i="23"/>
  <c r="G4133" i="23"/>
  <c r="G4146" i="23"/>
  <c r="G4159" i="23"/>
  <c r="G4173" i="23"/>
  <c r="G4186" i="23"/>
  <c r="G4199" i="23"/>
  <c r="G4212" i="23"/>
  <c r="G4225" i="23"/>
  <c r="G4238" i="23"/>
  <c r="G4251" i="23"/>
  <c r="G4264" i="23"/>
  <c r="G4277" i="23"/>
  <c r="G4290" i="23"/>
  <c r="G4303" i="23"/>
  <c r="G4317" i="23"/>
  <c r="G4330" i="23"/>
  <c r="G4343" i="23"/>
  <c r="G4356" i="23"/>
  <c r="G4369" i="23"/>
  <c r="G4382" i="23"/>
  <c r="G4395" i="23"/>
  <c r="G4408" i="23"/>
  <c r="G4421" i="23"/>
  <c r="G4434" i="23"/>
  <c r="G4447" i="23"/>
  <c r="G4461" i="23"/>
  <c r="G4474" i="23"/>
  <c r="G4487" i="23"/>
  <c r="G4500" i="23"/>
  <c r="G4513" i="23"/>
  <c r="G4526" i="23"/>
  <c r="G4539" i="23"/>
  <c r="G4552" i="23"/>
  <c r="G4565" i="23"/>
  <c r="G4577" i="23"/>
  <c r="G4589" i="23"/>
  <c r="G4601" i="23"/>
  <c r="G4613" i="23"/>
  <c r="G4625" i="23"/>
  <c r="G4637" i="23"/>
  <c r="G4649" i="23"/>
  <c r="G4661" i="23"/>
  <c r="G4673" i="23"/>
  <c r="G4685" i="23"/>
  <c r="G4697" i="23"/>
  <c r="G4709" i="23"/>
  <c r="G4721" i="23"/>
  <c r="G4733" i="23"/>
  <c r="G4745" i="23"/>
  <c r="G4757" i="23"/>
  <c r="G4769" i="23"/>
  <c r="G4781" i="23"/>
  <c r="G4793" i="23"/>
  <c r="G4805" i="23"/>
  <c r="G4817" i="23"/>
  <c r="G4829" i="23"/>
  <c r="G4841" i="23"/>
  <c r="G4853" i="23"/>
  <c r="G4865" i="23"/>
  <c r="G4877" i="23"/>
  <c r="G4889" i="23"/>
  <c r="G4901" i="23"/>
  <c r="G4913" i="23"/>
  <c r="G4925" i="23"/>
  <c r="G4937" i="23"/>
  <c r="G4949" i="23"/>
  <c r="G4961" i="23"/>
  <c r="G190" i="23"/>
  <c r="G838" i="23"/>
  <c r="G1212" i="23"/>
  <c r="G1454" i="23"/>
  <c r="G1696" i="23"/>
  <c r="G1910" i="23"/>
  <c r="G2089" i="23"/>
  <c r="G2255" i="23"/>
  <c r="G2354" i="23"/>
  <c r="G2437" i="23"/>
  <c r="G2514" i="23"/>
  <c r="G2590" i="23"/>
  <c r="G2665" i="23"/>
  <c r="G2739" i="23"/>
  <c r="G2814" i="23"/>
  <c r="G2888" i="23"/>
  <c r="G2949" i="23"/>
  <c r="G3008" i="23"/>
  <c r="G3072" i="23"/>
  <c r="G3133" i="23"/>
  <c r="G3195" i="23"/>
  <c r="G3258" i="23"/>
  <c r="G3320" i="23"/>
  <c r="G3381" i="23"/>
  <c r="G3440" i="23"/>
  <c r="G3501" i="23"/>
  <c r="G3555" i="23"/>
  <c r="G3605" i="23"/>
  <c r="G3646" i="23"/>
  <c r="G3682" i="23"/>
  <c r="G3718" i="23"/>
  <c r="G3753" i="23"/>
  <c r="G3787" i="23"/>
  <c r="G3823" i="23"/>
  <c r="G3858" i="23"/>
  <c r="G3892" i="23"/>
  <c r="G3925" i="23"/>
  <c r="G3957" i="23"/>
  <c r="G3988" i="23"/>
  <c r="G4021" i="23"/>
  <c r="G4051" i="23"/>
  <c r="G4078" i="23"/>
  <c r="G4104" i="23"/>
  <c r="G4130" i="23"/>
  <c r="G4156" i="23"/>
  <c r="G4182" i="23"/>
  <c r="G4209" i="23"/>
  <c r="G4235" i="23"/>
  <c r="G4261" i="23"/>
  <c r="G4287" i="23"/>
  <c r="G4313" i="23"/>
  <c r="G4339" i="23"/>
  <c r="G4366" i="23"/>
  <c r="G4392" i="23"/>
  <c r="G4418" i="23"/>
  <c r="G4444" i="23"/>
  <c r="G4470" i="23"/>
  <c r="G4497" i="23"/>
  <c r="G4523" i="23"/>
  <c r="G4549" i="23"/>
  <c r="G4574" i="23"/>
  <c r="G4598" i="23"/>
  <c r="G4622" i="23"/>
  <c r="G4646" i="23"/>
  <c r="G4670" i="23"/>
  <c r="G4694" i="23"/>
  <c r="G4718" i="23"/>
  <c r="G4741" i="23"/>
  <c r="G4761" i="23"/>
  <c r="G4783" i="23"/>
  <c r="G4803" i="23"/>
  <c r="G4825" i="23"/>
  <c r="G4844" i="23"/>
  <c r="G4866" i="23"/>
  <c r="G4886" i="23"/>
  <c r="G4905" i="23"/>
  <c r="G4927" i="23"/>
  <c r="G4947" i="23"/>
  <c r="G9" i="23"/>
  <c r="G214" i="23"/>
  <c r="G862" i="23"/>
  <c r="G1218" i="23"/>
  <c r="G1480" i="23"/>
  <c r="G1715" i="23"/>
  <c r="G1912" i="23"/>
  <c r="G2090" i="23"/>
  <c r="G2256" i="23"/>
  <c r="G2355" i="23"/>
  <c r="G2440" i="23"/>
  <c r="G2522" i="23"/>
  <c r="G2595" i="23"/>
  <c r="G2666" i="23"/>
  <c r="G2742" i="23"/>
  <c r="G2815" i="23"/>
  <c r="G2889" i="23"/>
  <c r="G2952" i="23"/>
  <c r="G3014" i="23"/>
  <c r="G3075" i="23"/>
  <c r="G3134" i="23"/>
  <c r="G3198" i="23"/>
  <c r="G3259" i="23"/>
  <c r="G3321" i="23"/>
  <c r="G3384" i="23"/>
  <c r="G3446" i="23"/>
  <c r="G3504" i="23"/>
  <c r="G3558" i="23"/>
  <c r="G3606" i="23"/>
  <c r="G3648" i="23"/>
  <c r="G3684" i="23"/>
  <c r="G3720" i="23"/>
  <c r="G3754" i="23"/>
  <c r="G3788" i="23"/>
  <c r="G3824" i="23"/>
  <c r="G3859" i="23"/>
  <c r="G3893" i="23"/>
  <c r="G3926" i="23"/>
  <c r="G3958" i="23"/>
  <c r="G3989" i="23"/>
  <c r="G4022" i="23"/>
  <c r="G4053" i="23"/>
  <c r="G4079" i="23"/>
  <c r="G4105" i="23"/>
  <c r="G4131" i="23"/>
  <c r="G4157" i="23"/>
  <c r="G4183" i="23"/>
  <c r="G4210" i="23"/>
  <c r="G4236" i="23"/>
  <c r="G4262" i="23"/>
  <c r="G4288" i="23"/>
  <c r="G4314" i="23"/>
  <c r="G4341" i="23"/>
  <c r="G4367" i="23"/>
  <c r="G4393" i="23"/>
  <c r="G4419" i="23"/>
  <c r="G4445" i="23"/>
  <c r="G4471" i="23"/>
  <c r="G4498" i="23"/>
  <c r="G4524" i="23"/>
  <c r="G4550" i="23"/>
  <c r="G4575" i="23"/>
  <c r="G4599" i="23"/>
  <c r="G4623" i="23"/>
  <c r="G4647" i="23"/>
  <c r="G4671" i="23"/>
  <c r="G4695" i="23"/>
  <c r="G4719" i="23"/>
  <c r="G4742" i="23"/>
  <c r="G4765" i="23"/>
  <c r="G4784" i="23"/>
  <c r="G4806" i="23"/>
  <c r="G4826" i="23"/>
  <c r="G4845" i="23"/>
  <c r="G4867" i="23"/>
  <c r="G4887" i="23"/>
  <c r="G4909" i="23"/>
  <c r="G4928" i="23"/>
  <c r="G4950" i="23"/>
  <c r="G8" i="23"/>
  <c r="G297" i="23"/>
  <c r="G935" i="23"/>
  <c r="G1259" i="23"/>
  <c r="G1518" i="23"/>
  <c r="G1734" i="23"/>
  <c r="G1941" i="23"/>
  <c r="G2113" i="23"/>
  <c r="G2275" i="23"/>
  <c r="G2365" i="23"/>
  <c r="G2451" i="23"/>
  <c r="G2529" i="23"/>
  <c r="G2600" i="23"/>
  <c r="G2678" i="23"/>
  <c r="G2751" i="23"/>
  <c r="G2825" i="23"/>
  <c r="G2898" i="23"/>
  <c r="G2960" i="23"/>
  <c r="G3021" i="23"/>
  <c r="G3080" i="23"/>
  <c r="G3144" i="23"/>
  <c r="G3205" i="23"/>
  <c r="G3267" i="23"/>
  <c r="G3330" i="23"/>
  <c r="G3392" i="23"/>
  <c r="G3453" i="23"/>
  <c r="G3511" i="23"/>
  <c r="G3565" i="23"/>
  <c r="G3612" i="23"/>
  <c r="G3653" i="23"/>
  <c r="G3689" i="23"/>
  <c r="G3723" i="23"/>
  <c r="G3759" i="23"/>
  <c r="G3794" i="23"/>
  <c r="G3828" i="23"/>
  <c r="G3864" i="23"/>
  <c r="G3898" i="23"/>
  <c r="G3929" i="23"/>
  <c r="G3962" i="23"/>
  <c r="G3994" i="23"/>
  <c r="G4025" i="23"/>
  <c r="G4056" i="23"/>
  <c r="G4082" i="23"/>
  <c r="G4108" i="23"/>
  <c r="G4134" i="23"/>
  <c r="G4161" i="23"/>
  <c r="G4187" i="23"/>
  <c r="G4213" i="23"/>
  <c r="G4239" i="23"/>
  <c r="G4265" i="23"/>
  <c r="G4291" i="23"/>
  <c r="G4318" i="23"/>
  <c r="G4344" i="23"/>
  <c r="G4370" i="23"/>
  <c r="G4396" i="23"/>
  <c r="G4422" i="23"/>
  <c r="G4449" i="23"/>
  <c r="G4475" i="23"/>
  <c r="G4501" i="23"/>
  <c r="G4527" i="23"/>
  <c r="G4553" i="23"/>
  <c r="G4578" i="23"/>
  <c r="G4602" i="23"/>
  <c r="G4626" i="23"/>
  <c r="G4650" i="23"/>
  <c r="G4674" i="23"/>
  <c r="G4698" i="23"/>
  <c r="G4722" i="23"/>
  <c r="G4743" i="23"/>
  <c r="G4766" i="23"/>
  <c r="G4785" i="23"/>
  <c r="G4807" i="23"/>
  <c r="G4827" i="23"/>
  <c r="G4849" i="23"/>
  <c r="G4868" i="23"/>
  <c r="G4890" i="23"/>
  <c r="G4910" i="23"/>
  <c r="G4929" i="23"/>
  <c r="G4951" i="23"/>
  <c r="G7" i="23"/>
  <c r="G321" i="23"/>
  <c r="G943" i="23"/>
  <c r="G1264" i="23"/>
  <c r="G1519" i="23"/>
  <c r="G1754" i="23"/>
  <c r="G1956" i="23"/>
  <c r="G2117" i="23"/>
  <c r="G2276" i="23"/>
  <c r="G2368" i="23"/>
  <c r="G2454" i="23"/>
  <c r="G2534" i="23"/>
  <c r="G2608" i="23"/>
  <c r="G2681" i="23"/>
  <c r="G2752" i="23"/>
  <c r="G2828" i="23"/>
  <c r="G2899" i="23"/>
  <c r="G2961" i="23"/>
  <c r="G3024" i="23"/>
  <c r="G3086" i="23"/>
  <c r="G3147" i="23"/>
  <c r="G3206" i="23"/>
  <c r="G3270" i="23"/>
  <c r="G3331" i="23"/>
  <c r="G3393" i="23"/>
  <c r="G3456" i="23"/>
  <c r="G3512" i="23"/>
  <c r="G3566" i="23"/>
  <c r="G3613" i="23"/>
  <c r="G3654" i="23"/>
  <c r="G3690" i="23"/>
  <c r="G3725" i="23"/>
  <c r="G3760" i="23"/>
  <c r="G3795" i="23"/>
  <c r="G3830" i="23"/>
  <c r="G3865" i="23"/>
  <c r="G3899" i="23"/>
  <c r="G3931" i="23"/>
  <c r="G3963" i="23"/>
  <c r="G3995" i="23"/>
  <c r="G4027" i="23"/>
  <c r="G4057" i="23"/>
  <c r="G4083" i="23"/>
  <c r="G4109" i="23"/>
  <c r="G4135" i="23"/>
  <c r="G4162" i="23"/>
  <c r="G4188" i="23"/>
  <c r="G4214" i="23"/>
  <c r="G4240" i="23"/>
  <c r="G4266" i="23"/>
  <c r="G4293" i="23"/>
  <c r="G4319" i="23"/>
  <c r="G4345" i="23"/>
  <c r="G4371" i="23"/>
  <c r="G4397" i="23"/>
  <c r="G4423" i="23"/>
  <c r="G4450" i="23"/>
  <c r="G4476" i="23"/>
  <c r="G4502" i="23"/>
  <c r="G4528" i="23"/>
  <c r="G4554" i="23"/>
  <c r="G4579" i="23"/>
  <c r="G4603" i="23"/>
  <c r="G4627" i="23"/>
  <c r="G4651" i="23"/>
  <c r="G4675" i="23"/>
  <c r="G4699" i="23"/>
  <c r="G4723" i="23"/>
  <c r="G4746" i="23"/>
  <c r="G4767" i="23"/>
  <c r="G4789" i="23"/>
  <c r="G4808" i="23"/>
  <c r="G4830" i="23"/>
  <c r="G4850" i="23"/>
  <c r="G4869" i="23"/>
  <c r="G4891" i="23"/>
  <c r="G4911" i="23"/>
  <c r="G4933" i="23"/>
  <c r="G4952" i="23"/>
  <c r="G345" i="23"/>
  <c r="G959" i="23"/>
  <c r="G1272" i="23"/>
  <c r="G1522" i="23"/>
  <c r="G1758" i="23"/>
  <c r="G1957" i="23"/>
  <c r="G2134" i="23"/>
  <c r="G2286" i="23"/>
  <c r="G2369" i="23"/>
  <c r="G2455" i="23"/>
  <c r="G2535" i="23"/>
  <c r="G2609" i="23"/>
  <c r="G2684" i="23"/>
  <c r="G2758" i="23"/>
  <c r="G2833" i="23"/>
  <c r="G2900" i="23"/>
  <c r="G2964" i="23"/>
  <c r="G3025" i="23"/>
  <c r="G3087" i="23"/>
  <c r="G3150" i="23"/>
  <c r="G3212" i="23"/>
  <c r="G3273" i="23"/>
  <c r="G3332" i="23"/>
  <c r="G3396" i="23"/>
  <c r="G3457" i="23"/>
  <c r="G3516" i="23"/>
  <c r="G3569" i="23"/>
  <c r="G3615" i="23"/>
  <c r="G3655" i="23"/>
  <c r="G3692" i="23"/>
  <c r="G3727" i="23"/>
  <c r="G3761" i="23"/>
  <c r="G3797" i="23"/>
  <c r="G3832" i="23"/>
  <c r="G3866" i="23"/>
  <c r="G3901" i="23"/>
  <c r="G3933" i="23"/>
  <c r="G3964" i="23"/>
  <c r="G3997" i="23"/>
  <c r="G4029" i="23"/>
  <c r="G4058" i="23"/>
  <c r="G4084" i="23"/>
  <c r="G4110" i="23"/>
  <c r="G4137" i="23"/>
  <c r="G4163" i="23"/>
  <c r="G4189" i="23"/>
  <c r="G4215" i="23"/>
  <c r="G4241" i="23"/>
  <c r="G4267" i="23"/>
  <c r="G4294" i="23"/>
  <c r="G4320" i="23"/>
  <c r="G4346" i="23"/>
  <c r="G4372" i="23"/>
  <c r="G4398" i="23"/>
  <c r="G4425" i="23"/>
  <c r="G4451" i="23"/>
  <c r="G4477" i="23"/>
  <c r="G4503" i="23"/>
  <c r="G4529" i="23"/>
  <c r="G4555" i="23"/>
  <c r="G4580" i="23"/>
  <c r="G4604" i="23"/>
  <c r="G4628" i="23"/>
  <c r="G4652" i="23"/>
  <c r="G4676" i="23"/>
  <c r="G4700" i="23"/>
  <c r="G4724" i="23"/>
  <c r="G4747" i="23"/>
  <c r="G4770" i="23"/>
  <c r="G4790" i="23"/>
  <c r="G4809" i="23"/>
  <c r="G4831" i="23"/>
  <c r="G4851" i="23"/>
  <c r="G4873" i="23"/>
  <c r="G4892" i="23"/>
  <c r="G4914" i="23"/>
  <c r="G4934" i="23"/>
  <c r="G4953" i="23"/>
  <c r="G393" i="23"/>
  <c r="G1015" i="23"/>
  <c r="G1282" i="23"/>
  <c r="G1531" i="23"/>
  <c r="G1766" i="23"/>
  <c r="G1958" i="23"/>
  <c r="G2135" i="23"/>
  <c r="G2287" i="23"/>
  <c r="G2378" i="23"/>
  <c r="G2463" i="23"/>
  <c r="G2536" i="23"/>
  <c r="G2612" i="23"/>
  <c r="G2685" i="23"/>
  <c r="G2761" i="23"/>
  <c r="G503" i="23"/>
  <c r="G1067" i="23"/>
  <c r="G1344" i="23"/>
  <c r="G1579" i="23"/>
  <c r="G1814" i="23"/>
  <c r="G2004" i="23"/>
  <c r="G2163" i="23"/>
  <c r="G2305" i="23"/>
  <c r="G2392" i="23"/>
  <c r="G2478" i="23"/>
  <c r="G2554" i="23"/>
  <c r="G2630" i="23"/>
  <c r="G2703" i="23"/>
  <c r="G2774" i="23"/>
  <c r="G2850" i="23"/>
  <c r="G2917" i="23"/>
  <c r="G2979" i="23"/>
  <c r="G3042" i="23"/>
  <c r="G3104" i="23"/>
  <c r="G3165" i="23"/>
  <c r="G3224" i="23"/>
  <c r="G3288" i="23"/>
  <c r="G3349" i="23"/>
  <c r="G3411" i="23"/>
  <c r="G3474" i="23"/>
  <c r="G3529" i="23"/>
  <c r="G3581" i="23"/>
  <c r="G3626" i="23"/>
  <c r="G3666" i="23"/>
  <c r="G3701" i="23"/>
  <c r="G3735" i="23"/>
  <c r="G3771" i="23"/>
  <c r="G3806" i="23"/>
  <c r="G3840" i="23"/>
  <c r="G3876" i="23"/>
  <c r="G3909" i="23"/>
  <c r="G3940" i="23"/>
  <c r="G3973" i="23"/>
  <c r="G4005" i="23"/>
  <c r="G4036" i="23"/>
  <c r="G4065" i="23"/>
  <c r="G4091" i="23"/>
  <c r="G4117" i="23"/>
  <c r="G4143" i="23"/>
  <c r="G4169" i="23"/>
  <c r="G4195" i="23"/>
  <c r="G4222" i="23"/>
  <c r="G4248" i="23"/>
  <c r="G4274" i="23"/>
  <c r="G4300" i="23"/>
  <c r="G4326" i="23"/>
  <c r="G4353" i="23"/>
  <c r="G4379" i="23"/>
  <c r="G4405" i="23"/>
  <c r="G4431" i="23"/>
  <c r="G4457" i="23"/>
  <c r="G4483" i="23"/>
  <c r="G4510" i="23"/>
  <c r="G4536" i="23"/>
  <c r="G4562" i="23"/>
  <c r="G4586" i="23"/>
  <c r="G4610" i="23"/>
  <c r="G4634" i="23"/>
  <c r="G4658" i="23"/>
  <c r="G4682" i="23"/>
  <c r="G4706" i="23"/>
  <c r="G4730" i="23"/>
  <c r="G4749" i="23"/>
  <c r="G4772" i="23"/>
  <c r="G4794" i="23"/>
  <c r="G4814" i="23"/>
  <c r="G4833" i="23"/>
  <c r="G4855" i="23"/>
  <c r="G4875" i="23"/>
  <c r="G4897" i="23"/>
  <c r="G4916" i="23"/>
  <c r="G4938" i="23"/>
  <c r="G4958" i="23"/>
  <c r="G557" i="23"/>
  <c r="G1068" i="23"/>
  <c r="G1346" i="23"/>
  <c r="G1596" i="23"/>
  <c r="G1832" i="23"/>
  <c r="G2005" i="23"/>
  <c r="G2177" i="23"/>
  <c r="G2311" i="23"/>
  <c r="G2393" i="23"/>
  <c r="G2479" i="23"/>
  <c r="G2557" i="23"/>
  <c r="G2631" i="23"/>
  <c r="G2706" i="23"/>
  <c r="G2780" i="23"/>
  <c r="G2853" i="23"/>
  <c r="G2918" i="23"/>
  <c r="G2982" i="23"/>
  <c r="G3043" i="23"/>
  <c r="G3105" i="23"/>
  <c r="G3168" i="23"/>
  <c r="G3230" i="23"/>
  <c r="G3291" i="23"/>
  <c r="G3350" i="23"/>
  <c r="G3414" i="23"/>
  <c r="G3475" i="23"/>
  <c r="G3530" i="23"/>
  <c r="G3582" i="23"/>
  <c r="G3627" i="23"/>
  <c r="G3667" i="23"/>
  <c r="G3702" i="23"/>
  <c r="G3736" i="23"/>
  <c r="G3772" i="23"/>
  <c r="G3807" i="23"/>
  <c r="G3841" i="23"/>
  <c r="G3877" i="23"/>
  <c r="G3910" i="23"/>
  <c r="G3941" i="23"/>
  <c r="G3974" i="23"/>
  <c r="G4006" i="23"/>
  <c r="G4037" i="23"/>
  <c r="G4066" i="23"/>
  <c r="G4092" i="23"/>
  <c r="G4118" i="23"/>
  <c r="G4144" i="23"/>
  <c r="G4170" i="23"/>
  <c r="G4197" i="23"/>
  <c r="G4223" i="23"/>
  <c r="G4249" i="23"/>
  <c r="G4275" i="23"/>
  <c r="G4301" i="23"/>
  <c r="G4327" i="23"/>
  <c r="G4354" i="23"/>
  <c r="G4380" i="23"/>
  <c r="G4406" i="23"/>
  <c r="G4432" i="23"/>
  <c r="G4458" i="23"/>
  <c r="G4485" i="23"/>
  <c r="G4511" i="23"/>
  <c r="G4537" i="23"/>
  <c r="G4563" i="23"/>
  <c r="G4587" i="23"/>
  <c r="G4611" i="23"/>
  <c r="G4635" i="23"/>
  <c r="G4659" i="23"/>
  <c r="G4683" i="23"/>
  <c r="G4707" i="23"/>
  <c r="G4731" i="23"/>
  <c r="G4754" i="23"/>
  <c r="G4773" i="23"/>
  <c r="G4795" i="23"/>
  <c r="G4815" i="23"/>
  <c r="G4837" i="23"/>
  <c r="G4856" i="23"/>
  <c r="G4878" i="23"/>
  <c r="G4898" i="23"/>
  <c r="G4917" i="23"/>
  <c r="G4939" i="23"/>
  <c r="G4959" i="23"/>
  <c r="G609" i="23"/>
  <c r="G1618" i="23"/>
  <c r="G2205" i="23"/>
  <c r="G2491" i="23"/>
  <c r="G2716" i="23"/>
  <c r="G2872" i="23"/>
  <c r="G3051" i="23"/>
  <c r="G3180" i="23"/>
  <c r="G3338" i="23"/>
  <c r="G3486" i="23"/>
  <c r="G3595" i="23"/>
  <c r="G3706" i="23"/>
  <c r="G3780" i="23"/>
  <c r="G3867" i="23"/>
  <c r="G3947" i="23"/>
  <c r="G4013" i="23"/>
  <c r="G4095" i="23"/>
  <c r="G4150" i="23"/>
  <c r="G4216" i="23"/>
  <c r="G4279" i="23"/>
  <c r="G4334" i="23"/>
  <c r="G4409" i="23"/>
  <c r="G4464" i="23"/>
  <c r="G4530" i="23"/>
  <c r="G4591" i="23"/>
  <c r="G4641" i="23"/>
  <c r="G4710" i="23"/>
  <c r="G4759" i="23"/>
  <c r="G4813" i="23"/>
  <c r="G4861" i="23"/>
  <c r="G4904" i="23"/>
  <c r="G4962" i="23"/>
  <c r="G1115" i="23"/>
  <c r="G3537" i="23"/>
  <c r="G4175" i="23"/>
  <c r="G4543" i="23"/>
  <c r="G4923" i="23"/>
  <c r="G1133" i="23"/>
  <c r="G2642" i="23"/>
  <c r="G3296" i="23"/>
  <c r="G3746" i="23"/>
  <c r="G4070" i="23"/>
  <c r="G4321" i="23"/>
  <c r="G4568" i="23"/>
  <c r="G4796" i="23"/>
  <c r="G2413" i="23"/>
  <c r="G2045" i="23"/>
  <c r="G4755" i="23"/>
  <c r="G2869" i="23"/>
  <c r="G659" i="23"/>
  <c r="G1636" i="23"/>
  <c r="G2206" i="23"/>
  <c r="G2492" i="23"/>
  <c r="G2717" i="23"/>
  <c r="G2906" i="23"/>
  <c r="G3054" i="23"/>
  <c r="G3183" i="23"/>
  <c r="G3360" i="23"/>
  <c r="G3489" i="23"/>
  <c r="G3618" i="23"/>
  <c r="G3708" i="23"/>
  <c r="G3781" i="23"/>
  <c r="G3880" i="23"/>
  <c r="G3949" i="23"/>
  <c r="G4030" i="23"/>
  <c r="G4096" i="23"/>
  <c r="G4151" i="23"/>
  <c r="G4226" i="23"/>
  <c r="G4281" i="23"/>
  <c r="G4347" i="23"/>
  <c r="G4410" i="23"/>
  <c r="G4465" i="23"/>
  <c r="G4540" i="23"/>
  <c r="G4592" i="23"/>
  <c r="G4653" i="23"/>
  <c r="G4711" i="23"/>
  <c r="G4760" i="23"/>
  <c r="G4818" i="23"/>
  <c r="G4862" i="23"/>
  <c r="G4915" i="23"/>
  <c r="G4963" i="23"/>
  <c r="G1848" i="23"/>
  <c r="G2789" i="23"/>
  <c r="G2934" i="23"/>
  <c r="G3240" i="23"/>
  <c r="G3367" i="23"/>
  <c r="G3637" i="23"/>
  <c r="G3812" i="23"/>
  <c r="G4045" i="23"/>
  <c r="G4229" i="23"/>
  <c r="G4359" i="23"/>
  <c r="G4614" i="23"/>
  <c r="G4778" i="23"/>
  <c r="G1849" i="23"/>
  <c r="G2032" i="23"/>
  <c r="G3122" i="23"/>
  <c r="G3673" i="23"/>
  <c r="G3846" i="23"/>
  <c r="G4125" i="23"/>
  <c r="G4384" i="23"/>
  <c r="G4687" i="23"/>
  <c r="G4893" i="23"/>
  <c r="G2033" i="23"/>
  <c r="G2997" i="23"/>
  <c r="G4902" i="23"/>
  <c r="G2650" i="23"/>
  <c r="G664" i="23"/>
  <c r="G1649" i="23"/>
  <c r="G2207" i="23"/>
  <c r="G2500" i="23"/>
  <c r="G2720" i="23"/>
  <c r="G2928" i="23"/>
  <c r="G3057" i="23"/>
  <c r="G3213" i="23"/>
  <c r="G3363" i="23"/>
  <c r="G3492" i="23"/>
  <c r="G3633" i="23"/>
  <c r="G3709" i="23"/>
  <c r="G3798" i="23"/>
  <c r="G3882" i="23"/>
  <c r="G3950" i="23"/>
  <c r="G4042" i="23"/>
  <c r="G4097" i="23"/>
  <c r="G4164" i="23"/>
  <c r="G4227" i="23"/>
  <c r="G4282" i="23"/>
  <c r="G4357" i="23"/>
  <c r="G4411" i="23"/>
  <c r="G4478" i="23"/>
  <c r="G4541" i="23"/>
  <c r="G4593" i="23"/>
  <c r="G4662" i="23"/>
  <c r="G4712" i="23"/>
  <c r="G4771" i="23"/>
  <c r="G4819" i="23"/>
  <c r="G4863" i="23"/>
  <c r="G4921" i="23"/>
  <c r="G4964" i="23"/>
  <c r="G2319" i="23"/>
  <c r="G3090" i="23"/>
  <c r="G3728" i="23"/>
  <c r="G3977" i="23"/>
  <c r="G4111" i="23"/>
  <c r="G4305" i="23"/>
  <c r="G4426" i="23"/>
  <c r="G4664" i="23"/>
  <c r="G4725" i="23"/>
  <c r="G4879" i="23"/>
  <c r="G2326" i="23"/>
  <c r="G2792" i="23"/>
  <c r="G3114" i="23"/>
  <c r="G3399" i="23"/>
  <c r="G3638" i="23"/>
  <c r="G3813" i="23"/>
  <c r="G3979" i="23"/>
  <c r="G4121" i="23"/>
  <c r="G4242" i="23"/>
  <c r="G4360" i="23"/>
  <c r="G4490" i="23"/>
  <c r="G4615" i="23"/>
  <c r="G4734" i="23"/>
  <c r="G4832" i="23"/>
  <c r="G4926" i="23"/>
  <c r="G1368" i="23"/>
  <c r="G2990" i="23"/>
  <c r="G3571" i="23"/>
  <c r="G3916" i="23"/>
  <c r="G4200" i="23"/>
  <c r="G4514" i="23"/>
  <c r="G4737" i="23"/>
  <c r="G4941" i="23"/>
  <c r="G2643" i="23"/>
  <c r="G4138" i="23"/>
  <c r="G4638" i="23"/>
  <c r="G2644" i="23"/>
  <c r="G3176" i="23"/>
  <c r="G3303" i="23"/>
  <c r="G3458" i="23"/>
  <c r="G3590" i="23"/>
  <c r="G3676" i="23"/>
  <c r="G3849" i="23"/>
  <c r="G3934" i="23"/>
  <c r="G4011" i="23"/>
  <c r="G4147" i="23"/>
  <c r="G4202" i="23"/>
  <c r="G4269" i="23"/>
  <c r="G4386" i="23"/>
  <c r="G4516" i="23"/>
  <c r="G4689" i="23"/>
  <c r="G4946" i="23"/>
  <c r="G3026" i="23"/>
  <c r="G4012" i="23"/>
  <c r="G4463" i="23"/>
  <c r="G4802" i="23"/>
  <c r="G670" i="23"/>
  <c r="G1655" i="23"/>
  <c r="G2219" i="23"/>
  <c r="G2501" i="23"/>
  <c r="G2725" i="23"/>
  <c r="G2931" i="23"/>
  <c r="G3060" i="23"/>
  <c r="G3237" i="23"/>
  <c r="G3366" i="23"/>
  <c r="G3518" i="23"/>
  <c r="G3634" i="23"/>
  <c r="G3710" i="23"/>
  <c r="G3811" i="23"/>
  <c r="G3884" i="23"/>
  <c r="G3965" i="23"/>
  <c r="G4043" i="23"/>
  <c r="G4098" i="23"/>
  <c r="G4174" i="23"/>
  <c r="G4228" i="23"/>
  <c r="G4295" i="23"/>
  <c r="G4358" i="23"/>
  <c r="G4413" i="23"/>
  <c r="G4488" i="23"/>
  <c r="G4542" i="23"/>
  <c r="G4605" i="23"/>
  <c r="G4663" i="23"/>
  <c r="G4713" i="23"/>
  <c r="G4777" i="23"/>
  <c r="G4820" i="23"/>
  <c r="G4874" i="23"/>
  <c r="G4922" i="23"/>
  <c r="G4965" i="23"/>
  <c r="G2565" i="23"/>
  <c r="G3885" i="23"/>
  <c r="G4489" i="23"/>
  <c r="G4821" i="23"/>
  <c r="G2570" i="23"/>
  <c r="G2935" i="23"/>
  <c r="G3241" i="23"/>
  <c r="G3540" i="23"/>
  <c r="G3741" i="23"/>
  <c r="G3902" i="23"/>
  <c r="G4046" i="23"/>
  <c r="G4176" i="23"/>
  <c r="G4306" i="23"/>
  <c r="G4435" i="23"/>
  <c r="G4557" i="23"/>
  <c r="G4665" i="23"/>
  <c r="G4779" i="23"/>
  <c r="G4880" i="23"/>
  <c r="G2836" i="23"/>
  <c r="G4439" i="23"/>
  <c r="G2860" i="23"/>
  <c r="G3151" i="23"/>
  <c r="G3302" i="23"/>
  <c r="G3429" i="23"/>
  <c r="G3589" i="23"/>
  <c r="G3675" i="23"/>
  <c r="G3762" i="23"/>
  <c r="G3847" i="23"/>
  <c r="G3917" i="23"/>
  <c r="G4010" i="23"/>
  <c r="G4071" i="23"/>
  <c r="G4201" i="23"/>
  <c r="G4255" i="23"/>
  <c r="G4331" i="23"/>
  <c r="G4385" i="23"/>
  <c r="G4452" i="23"/>
  <c r="G4515" i="23"/>
  <c r="G4569" i="23"/>
  <c r="G4688" i="23"/>
  <c r="G4748" i="23"/>
  <c r="G4797" i="23"/>
  <c r="G4843" i="23"/>
  <c r="G4899" i="23"/>
  <c r="G4945" i="23"/>
  <c r="G2866" i="23"/>
  <c r="G3775" i="23"/>
  <c r="G4072" i="23"/>
  <c r="G4332" i="23"/>
  <c r="G4462" i="23"/>
  <c r="G4639" i="23"/>
  <c r="G4854" i="23"/>
  <c r="G2415" i="23"/>
  <c r="G3177" i="23"/>
  <c r="G3306" i="23"/>
  <c r="G3483" i="23"/>
  <c r="G3594" i="23"/>
  <c r="G3693" i="23"/>
  <c r="G3777" i="23"/>
  <c r="G3850" i="23"/>
  <c r="G3946" i="23"/>
  <c r="G4085" i="23"/>
  <c r="G4149" i="23"/>
  <c r="G4203" i="23"/>
  <c r="G4278" i="23"/>
  <c r="G4333" i="23"/>
  <c r="G4399" i="23"/>
  <c r="G4517" i="23"/>
  <c r="G4590" i="23"/>
  <c r="G4640" i="23"/>
  <c r="G4701" i="23"/>
  <c r="G4758" i="23"/>
  <c r="G4857" i="23"/>
  <c r="G4903" i="23"/>
  <c r="G4957" i="23"/>
  <c r="G1139" i="23"/>
  <c r="G1862" i="23"/>
  <c r="G2329" i="23"/>
  <c r="G2573" i="23"/>
  <c r="G2793" i="23"/>
  <c r="G2967" i="23"/>
  <c r="G3115" i="23"/>
  <c r="G3242" i="23"/>
  <c r="G3421" i="23"/>
  <c r="G3543" i="23"/>
  <c r="G3656" i="23"/>
  <c r="G3742" i="23"/>
  <c r="G3814" i="23"/>
  <c r="G3914" i="23"/>
  <c r="G3981" i="23"/>
  <c r="G4059" i="23"/>
  <c r="G4122" i="23"/>
  <c r="G4177" i="23"/>
  <c r="G4252" i="23"/>
  <c r="G4307" i="23"/>
  <c r="G4373" i="23"/>
  <c r="G4437" i="23"/>
  <c r="G4491" i="23"/>
  <c r="G4566" i="23"/>
  <c r="G4616" i="23"/>
  <c r="G4677" i="23"/>
  <c r="G4735" i="23"/>
  <c r="G4782" i="23"/>
  <c r="G4838" i="23"/>
  <c r="G4881" i="23"/>
  <c r="G4935" i="23"/>
  <c r="G2406" i="23"/>
  <c r="G3428" i="23"/>
  <c r="G3998" i="23"/>
  <c r="G4254" i="23"/>
  <c r="G4629" i="23"/>
  <c r="G4842" i="23"/>
  <c r="G2996" i="23"/>
  <c r="G2414" i="23"/>
  <c r="G4581" i="23"/>
  <c r="G2055" i="23"/>
  <c r="G1140" i="23"/>
  <c r="G1878" i="23"/>
  <c r="G2333" i="23"/>
  <c r="G2576" i="23"/>
  <c r="G2794" i="23"/>
  <c r="G2989" i="23"/>
  <c r="G3116" i="23"/>
  <c r="G3276" i="23"/>
  <c r="G3422" i="23"/>
  <c r="G3546" i="23"/>
  <c r="G3670" i="23"/>
  <c r="G3745" i="23"/>
  <c r="G3833" i="23"/>
  <c r="G3915" i="23"/>
  <c r="G3982" i="23"/>
  <c r="G4069" i="23"/>
  <c r="G4123" i="23"/>
  <c r="G4190" i="23"/>
  <c r="G4253" i="23"/>
  <c r="G4308" i="23"/>
  <c r="G4383" i="23"/>
  <c r="G4438" i="23"/>
  <c r="G4504" i="23"/>
  <c r="G4567" i="23"/>
  <c r="G4617" i="23"/>
  <c r="G4686" i="23"/>
  <c r="G4736" i="23"/>
  <c r="G4791" i="23"/>
  <c r="G4839" i="23"/>
  <c r="G4885" i="23"/>
  <c r="G4940" i="23"/>
  <c r="G1388" i="23"/>
  <c r="G1410" i="23"/>
  <c r="G4801" i="23"/>
  <c r="G1411" i="23"/>
  <c r="J20" i="12"/>
  <c r="J40" i="12" s="1"/>
  <c r="H9" i="20"/>
  <c r="N9" i="20" s="1"/>
  <c r="P13" i="20"/>
  <c r="P24" i="20"/>
  <c r="H10" i="20"/>
  <c r="P10" i="20"/>
  <c r="H12" i="20"/>
  <c r="P12" i="20"/>
  <c r="H11" i="20"/>
  <c r="P11" i="20"/>
  <c r="N13" i="20"/>
  <c r="O13" i="20"/>
  <c r="I14" i="18"/>
  <c r="L20" i="12"/>
  <c r="L40" i="12" s="1"/>
  <c r="C20" i="12"/>
  <c r="C40" i="12" s="1"/>
  <c r="D20" i="12"/>
  <c r="E20" i="12"/>
  <c r="F20" i="12"/>
  <c r="K20" i="12"/>
  <c r="G20" i="12"/>
  <c r="G40" i="12" s="1"/>
  <c r="I20" i="12"/>
  <c r="H20" i="12"/>
  <c r="J17" i="13"/>
  <c r="J32" i="13" s="1"/>
  <c r="J35" i="13" s="1"/>
  <c r="J24" i="13" s="1"/>
  <c r="J25" i="13" s="1"/>
  <c r="I41" i="13" s="1"/>
  <c r="J42" i="13" s="1"/>
  <c r="F15" i="18" s="1"/>
  <c r="J17" i="11" l="1"/>
  <c r="I18" i="11"/>
  <c r="J18" i="11" s="1"/>
  <c r="K19" i="23"/>
  <c r="L19" i="23" s="1"/>
  <c r="M19" i="23" s="1"/>
  <c r="K17" i="23"/>
  <c r="L17" i="23" s="1"/>
  <c r="M17" i="23" s="1"/>
  <c r="K18" i="23"/>
  <c r="L18" i="23" s="1"/>
  <c r="M18" i="23" s="1"/>
  <c r="K16" i="23"/>
  <c r="L16" i="23" s="1"/>
  <c r="M16" i="23" s="1"/>
  <c r="O9" i="20"/>
  <c r="P19" i="20"/>
  <c r="P16" i="20"/>
  <c r="P20" i="20"/>
  <c r="P18" i="20"/>
  <c r="P25" i="20" s="1"/>
  <c r="P15" i="20"/>
  <c r="P17" i="20"/>
  <c r="N11" i="20"/>
  <c r="O11" i="20"/>
  <c r="N12" i="20"/>
  <c r="O12" i="20"/>
  <c r="N10" i="20"/>
  <c r="O10" i="20"/>
  <c r="E23" i="18"/>
  <c r="G15" i="18"/>
  <c r="H15" i="18"/>
  <c r="I15" i="18"/>
  <c r="J14" i="18"/>
  <c r="D54" i="12"/>
  <c r="D60" i="12" s="1"/>
  <c r="L54" i="12"/>
  <c r="L60" i="12" s="1"/>
  <c r="D40" i="12"/>
  <c r="H40" i="12"/>
  <c r="H54" i="12"/>
  <c r="H60" i="12" s="1"/>
  <c r="G54" i="12"/>
  <c r="G60" i="12" s="1"/>
  <c r="I40" i="12"/>
  <c r="I54" i="12"/>
  <c r="I60" i="12" s="1"/>
  <c r="K40" i="12"/>
  <c r="K54" i="12"/>
  <c r="K60" i="12" s="1"/>
  <c r="F40" i="12"/>
  <c r="F54" i="12"/>
  <c r="F60" i="12" s="1"/>
  <c r="E40" i="12"/>
  <c r="E54" i="12"/>
  <c r="E60" i="12" s="1"/>
  <c r="J54" i="12"/>
  <c r="J60" i="12" s="1"/>
  <c r="E8" i="11"/>
  <c r="E9" i="11"/>
  <c r="E10" i="11"/>
  <c r="E11" i="11"/>
  <c r="E12" i="11"/>
  <c r="E13" i="11"/>
  <c r="E14" i="11"/>
  <c r="B3" i="11"/>
  <c r="D27" i="9"/>
  <c r="D33" i="9" s="1"/>
  <c r="E27" i="9"/>
  <c r="E33" i="9" s="1"/>
  <c r="F27" i="9"/>
  <c r="F33" i="9" s="1"/>
  <c r="G27" i="9"/>
  <c r="G33" i="9" s="1"/>
  <c r="H27" i="9"/>
  <c r="H33" i="9" s="1"/>
  <c r="I27" i="9"/>
  <c r="I33" i="9" s="1"/>
  <c r="J27" i="9"/>
  <c r="J33" i="9" s="1"/>
  <c r="K27" i="9"/>
  <c r="K33" i="9" s="1"/>
  <c r="L27" i="9"/>
  <c r="L33" i="9" s="1"/>
  <c r="C27" i="9"/>
  <c r="C33" i="9" s="1"/>
  <c r="F6" i="9"/>
  <c r="E6" i="9"/>
  <c r="D6" i="9"/>
  <c r="C6" i="9"/>
  <c r="E107" i="7"/>
  <c r="D107" i="7"/>
  <c r="C107" i="7"/>
  <c r="E106" i="7"/>
  <c r="D106" i="7"/>
  <c r="C106" i="7"/>
  <c r="E105" i="7"/>
  <c r="D105" i="7"/>
  <c r="C105" i="7"/>
  <c r="E104" i="7"/>
  <c r="D104" i="7"/>
  <c r="C104" i="7"/>
  <c r="E103" i="7"/>
  <c r="D103" i="7"/>
  <c r="C103" i="7"/>
  <c r="E102" i="7"/>
  <c r="D102" i="7"/>
  <c r="C102" i="7"/>
  <c r="E101" i="7"/>
  <c r="D101" i="7"/>
  <c r="C101" i="7"/>
  <c r="E97" i="7"/>
  <c r="D97" i="7"/>
  <c r="C97" i="7"/>
  <c r="E96" i="7"/>
  <c r="D96" i="7"/>
  <c r="C96" i="7"/>
  <c r="E95" i="7"/>
  <c r="D95" i="7"/>
  <c r="C95" i="7"/>
  <c r="E94" i="7"/>
  <c r="D94" i="7"/>
  <c r="C94" i="7"/>
  <c r="E93" i="7"/>
  <c r="D93" i="7"/>
  <c r="C93" i="7"/>
  <c r="E92" i="7"/>
  <c r="D92" i="7"/>
  <c r="C92" i="7"/>
  <c r="E91" i="7"/>
  <c r="D91" i="7"/>
  <c r="C91" i="7"/>
  <c r="E90" i="7"/>
  <c r="D90" i="7"/>
  <c r="C90" i="7"/>
  <c r="E89" i="7"/>
  <c r="D89" i="7"/>
  <c r="C89" i="7"/>
  <c r="E88" i="7"/>
  <c r="D88" i="7"/>
  <c r="C88" i="7"/>
  <c r="E84" i="7"/>
  <c r="D84" i="7"/>
  <c r="C84" i="7"/>
  <c r="E83" i="7"/>
  <c r="D83" i="7"/>
  <c r="C83" i="7"/>
  <c r="E82" i="7"/>
  <c r="D82" i="7"/>
  <c r="C82" i="7"/>
  <c r="E81" i="7"/>
  <c r="D81" i="7"/>
  <c r="C81" i="7"/>
  <c r="E80" i="7"/>
  <c r="D80" i="7"/>
  <c r="C80" i="7"/>
  <c r="E79" i="7"/>
  <c r="D79" i="7"/>
  <c r="C79" i="7"/>
  <c r="E68" i="7"/>
  <c r="E62" i="7" s="1"/>
  <c r="D68" i="7"/>
  <c r="D62" i="7" s="1"/>
  <c r="C68" i="7"/>
  <c r="C62" i="7" s="1"/>
  <c r="E44" i="7"/>
  <c r="D44" i="7"/>
  <c r="C44" i="7"/>
  <c r="C10" i="9" s="1"/>
  <c r="E40" i="7"/>
  <c r="D40" i="7"/>
  <c r="C40" i="7"/>
  <c r="F40" i="7"/>
  <c r="E34" i="7"/>
  <c r="D34" i="7"/>
  <c r="C34" i="7"/>
  <c r="E28" i="7"/>
  <c r="D28" i="7"/>
  <c r="C28" i="7"/>
  <c r="E25" i="7"/>
  <c r="D25" i="7"/>
  <c r="C25" i="7"/>
  <c r="E22" i="7"/>
  <c r="D22" i="7"/>
  <c r="C22" i="7"/>
  <c r="E16" i="7"/>
  <c r="D16" i="7"/>
  <c r="C16" i="7"/>
  <c r="E10" i="7"/>
  <c r="D10" i="7"/>
  <c r="C10" i="7"/>
  <c r="E7" i="7"/>
  <c r="D7" i="7"/>
  <c r="C7" i="7"/>
  <c r="G6" i="9"/>
  <c r="H6" i="9"/>
  <c r="I6" i="9"/>
  <c r="J6" i="9"/>
  <c r="K6" i="9"/>
  <c r="L6" i="9"/>
  <c r="F85" i="7"/>
  <c r="F40" i="9" s="1"/>
  <c r="G108" i="7"/>
  <c r="H108" i="7"/>
  <c r="I108" i="7"/>
  <c r="J108" i="7"/>
  <c r="K108" i="7"/>
  <c r="L108" i="7"/>
  <c r="F108" i="7"/>
  <c r="G98" i="7"/>
  <c r="H98" i="7"/>
  <c r="I98" i="7"/>
  <c r="J98" i="7"/>
  <c r="K98" i="7"/>
  <c r="L98" i="7"/>
  <c r="F98" i="7"/>
  <c r="G85" i="7"/>
  <c r="H85" i="7"/>
  <c r="H40" i="9" s="1"/>
  <c r="I85" i="7"/>
  <c r="I40" i="9" s="1"/>
  <c r="J85" i="7"/>
  <c r="J40" i="9" s="1"/>
  <c r="K85" i="7"/>
  <c r="K40" i="9" s="1"/>
  <c r="L85" i="7"/>
  <c r="L40" i="9" s="1"/>
  <c r="G68" i="7"/>
  <c r="G62" i="7" s="1"/>
  <c r="G63" i="7" s="1"/>
  <c r="G70" i="7" s="1"/>
  <c r="G72" i="7" s="1"/>
  <c r="H68" i="7"/>
  <c r="H62" i="7" s="1"/>
  <c r="H63" i="7" s="1"/>
  <c r="H70" i="7" s="1"/>
  <c r="H72" i="7" s="1"/>
  <c r="I68" i="7"/>
  <c r="I62" i="7" s="1"/>
  <c r="I63" i="7" s="1"/>
  <c r="I70" i="7" s="1"/>
  <c r="I72" i="7" s="1"/>
  <c r="J68" i="7"/>
  <c r="J62" i="7" s="1"/>
  <c r="J63" i="7" s="1"/>
  <c r="J70" i="7" s="1"/>
  <c r="J72" i="7" s="1"/>
  <c r="K68" i="7"/>
  <c r="K62" i="7" s="1"/>
  <c r="K63" i="7" s="1"/>
  <c r="K70" i="7" s="1"/>
  <c r="K72" i="7" s="1"/>
  <c r="L68" i="7"/>
  <c r="F68" i="7"/>
  <c r="F62" i="7" s="1"/>
  <c r="F63" i="7" s="1"/>
  <c r="F70" i="7" s="1"/>
  <c r="F72" i="7" s="1"/>
  <c r="G44" i="7"/>
  <c r="H44" i="7"/>
  <c r="I44" i="7"/>
  <c r="J44" i="7"/>
  <c r="K44" i="7"/>
  <c r="L44" i="7"/>
  <c r="F44" i="7"/>
  <c r="G40" i="7"/>
  <c r="H40" i="7"/>
  <c r="I40" i="7"/>
  <c r="J40" i="7"/>
  <c r="K40" i="7"/>
  <c r="L40" i="7"/>
  <c r="M40" i="7" s="1"/>
  <c r="G34" i="7"/>
  <c r="H34" i="7"/>
  <c r="I34" i="7"/>
  <c r="J34" i="7"/>
  <c r="K34" i="7"/>
  <c r="L34" i="7"/>
  <c r="F34" i="7"/>
  <c r="G28" i="7"/>
  <c r="H28" i="7"/>
  <c r="I28" i="7"/>
  <c r="J28" i="7"/>
  <c r="K28" i="7"/>
  <c r="L28" i="7"/>
  <c r="F28" i="7"/>
  <c r="G25" i="7"/>
  <c r="H25" i="7"/>
  <c r="I25" i="7"/>
  <c r="J25" i="7"/>
  <c r="K25" i="7"/>
  <c r="L25" i="7"/>
  <c r="F25" i="7"/>
  <c r="F22" i="7"/>
  <c r="G22" i="7"/>
  <c r="H22" i="7"/>
  <c r="I22" i="7"/>
  <c r="J22" i="7"/>
  <c r="K22" i="7"/>
  <c r="L22" i="7"/>
  <c r="G16" i="7"/>
  <c r="H16" i="7"/>
  <c r="I16" i="7"/>
  <c r="J16" i="7"/>
  <c r="K16" i="7"/>
  <c r="L16" i="7"/>
  <c r="M16" i="7"/>
  <c r="F16" i="7"/>
  <c r="G10" i="7"/>
  <c r="H10" i="7"/>
  <c r="I10" i="7"/>
  <c r="J10" i="7"/>
  <c r="K10" i="7"/>
  <c r="F10" i="7"/>
  <c r="G7" i="7"/>
  <c r="G28" i="9" s="1"/>
  <c r="G34" i="9" s="1"/>
  <c r="H7" i="7"/>
  <c r="H28" i="9" s="1"/>
  <c r="H34" i="9" s="1"/>
  <c r="I7" i="7"/>
  <c r="I30" i="9" s="1"/>
  <c r="I36" i="9" s="1"/>
  <c r="J7" i="7"/>
  <c r="J30" i="9" s="1"/>
  <c r="J36" i="9" s="1"/>
  <c r="K7" i="7"/>
  <c r="K31" i="9" s="1"/>
  <c r="L7" i="7"/>
  <c r="L31" i="9" s="1"/>
  <c r="F7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E46" i="18" s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53" i="7" s="1"/>
  <c r="D4" i="2"/>
  <c r="E4" i="2"/>
  <c r="E5" i="2"/>
  <c r="F4" i="2"/>
  <c r="G4" i="2"/>
  <c r="H4" i="2"/>
  <c r="I4" i="2"/>
  <c r="I5" i="2"/>
  <c r="J4" i="2"/>
  <c r="J5" i="2"/>
  <c r="K4" i="2"/>
  <c r="C5" i="2"/>
  <c r="D54" i="7" s="1"/>
  <c r="D5" i="2"/>
  <c r="E54" i="7" s="1"/>
  <c r="F5" i="2"/>
  <c r="G5" i="2"/>
  <c r="H5" i="2"/>
  <c r="K5" i="2"/>
  <c r="C6" i="2"/>
  <c r="D55" i="7" s="1"/>
  <c r="D6" i="2"/>
  <c r="E55" i="7" s="1"/>
  <c r="E6" i="2"/>
  <c r="F6" i="2"/>
  <c r="G6" i="2"/>
  <c r="H6" i="2"/>
  <c r="I6" i="2"/>
  <c r="J6" i="2"/>
  <c r="K6" i="2"/>
  <c r="C7" i="2"/>
  <c r="D56" i="7" s="1"/>
  <c r="D7" i="2"/>
  <c r="E56" i="7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59" i="7" s="1"/>
  <c r="D10" i="2"/>
  <c r="E59" i="7" s="1"/>
  <c r="E10" i="2"/>
  <c r="F10" i="2"/>
  <c r="G10" i="2"/>
  <c r="H10" i="2"/>
  <c r="I10" i="2"/>
  <c r="J10" i="2"/>
  <c r="K10" i="2"/>
  <c r="C11" i="2"/>
  <c r="D60" i="7" s="1"/>
  <c r="D11" i="2"/>
  <c r="E60" i="7" s="1"/>
  <c r="E11" i="2"/>
  <c r="F11" i="2"/>
  <c r="G11" i="2"/>
  <c r="H11" i="2"/>
  <c r="I11" i="2"/>
  <c r="J11" i="2"/>
  <c r="K11" i="2"/>
  <c r="C12" i="2"/>
  <c r="D61" i="7" s="1"/>
  <c r="D12" i="2"/>
  <c r="E61" i="7" s="1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C54" i="7" s="1"/>
  <c r="B4" i="2"/>
  <c r="C53" i="7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F14" i="3" s="1"/>
  <c r="G4" i="3"/>
  <c r="H4" i="3"/>
  <c r="I4" i="3"/>
  <c r="J4" i="3"/>
  <c r="K4" i="3"/>
  <c r="C5" i="3"/>
  <c r="D5" i="3"/>
  <c r="M10" i="7" s="1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M28" i="7" s="1"/>
  <c r="K7" i="3"/>
  <c r="C8" i="3"/>
  <c r="D8" i="3"/>
  <c r="E8" i="3"/>
  <c r="F8" i="3"/>
  <c r="G8" i="3"/>
  <c r="H8" i="3"/>
  <c r="I8" i="3"/>
  <c r="J8" i="3"/>
  <c r="M25" i="7" s="1"/>
  <c r="K8" i="3"/>
  <c r="C9" i="3"/>
  <c r="D9" i="3"/>
  <c r="E9" i="3"/>
  <c r="F9" i="3"/>
  <c r="G9" i="3"/>
  <c r="H9" i="3"/>
  <c r="I9" i="3"/>
  <c r="J9" i="3"/>
  <c r="M22" i="7" s="1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M34" i="7" s="1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C3" i="4"/>
  <c r="D3" i="4"/>
  <c r="E3" i="4"/>
  <c r="F3" i="4"/>
  <c r="G3" i="4"/>
  <c r="H3" i="4"/>
  <c r="I3" i="4"/>
  <c r="J3" i="4"/>
  <c r="K3" i="4"/>
  <c r="C3" i="2"/>
  <c r="D4" i="7" s="1"/>
  <c r="D4" i="9" s="1"/>
  <c r="D3" i="2"/>
  <c r="E4" i="7" s="1"/>
  <c r="E4" i="9" s="1"/>
  <c r="E3" i="2"/>
  <c r="F4" i="7" s="1"/>
  <c r="F4" i="9" s="1"/>
  <c r="F3" i="2"/>
  <c r="G4" i="9" s="1"/>
  <c r="G3" i="2"/>
  <c r="H4" i="7" s="1"/>
  <c r="H3" i="2"/>
  <c r="I4" i="7" s="1"/>
  <c r="I3" i="2"/>
  <c r="J4" i="7" s="1"/>
  <c r="J3" i="2"/>
  <c r="K4" i="9" s="1"/>
  <c r="K3" i="2"/>
  <c r="L4" i="9" s="1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C61" i="7" s="1"/>
  <c r="B11" i="2"/>
  <c r="C60" i="7" s="1"/>
  <c r="B10" i="2"/>
  <c r="C59" i="7" s="1"/>
  <c r="B8" i="2"/>
  <c r="B7" i="2"/>
  <c r="C56" i="7" s="1"/>
  <c r="B6" i="2"/>
  <c r="C55" i="7" s="1"/>
  <c r="B3" i="2"/>
  <c r="C4" i="7" s="1"/>
  <c r="C4" i="9" s="1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G20" i="2" l="1"/>
  <c r="I19" i="11"/>
  <c r="J19" i="11" s="1"/>
  <c r="E6" i="1"/>
  <c r="E19" i="1" s="1"/>
  <c r="D23" i="7"/>
  <c r="C16" i="2"/>
  <c r="E15" i="11"/>
  <c r="E85" i="7"/>
  <c r="E38" i="9" s="1"/>
  <c r="E108" i="7"/>
  <c r="F38" i="9"/>
  <c r="G21" i="2"/>
  <c r="H10" i="9"/>
  <c r="D16" i="11"/>
  <c r="E16" i="11" s="1"/>
  <c r="K20" i="2"/>
  <c r="J14" i="3"/>
  <c r="G39" i="9"/>
  <c r="E17" i="7"/>
  <c r="E17" i="9" s="1"/>
  <c r="D23" i="2"/>
  <c r="I14" i="3"/>
  <c r="D21" i="2"/>
  <c r="H14" i="3"/>
  <c r="F16" i="2"/>
  <c r="C85" i="7"/>
  <c r="C40" i="9" s="1"/>
  <c r="C98" i="7"/>
  <c r="D11" i="7"/>
  <c r="E10" i="9"/>
  <c r="D98" i="7"/>
  <c r="E98" i="7"/>
  <c r="D17" i="7"/>
  <c r="D17" i="9" s="1"/>
  <c r="E11" i="7"/>
  <c r="C30" i="9"/>
  <c r="C36" i="9" s="1"/>
  <c r="B6" i="1"/>
  <c r="B19" i="1" s="1"/>
  <c r="G6" i="1"/>
  <c r="G19" i="1" s="1"/>
  <c r="F10" i="9"/>
  <c r="J21" i="2"/>
  <c r="L10" i="9"/>
  <c r="K16" i="2"/>
  <c r="I21" i="2"/>
  <c r="C108" i="7"/>
  <c r="C21" i="2"/>
  <c r="G16" i="2"/>
  <c r="H21" i="2"/>
  <c r="L4" i="7"/>
  <c r="F110" i="7"/>
  <c r="C23" i="7"/>
  <c r="D85" i="7"/>
  <c r="D40" i="9" s="1"/>
  <c r="D108" i="7"/>
  <c r="D10" i="9"/>
  <c r="C17" i="7"/>
  <c r="C17" i="9" s="1"/>
  <c r="G40" i="9"/>
  <c r="P27" i="20"/>
  <c r="F7" i="21" s="1"/>
  <c r="E7" i="21" s="1"/>
  <c r="P23" i="20"/>
  <c r="H23" i="1"/>
  <c r="H23" i="2"/>
  <c r="G4" i="7"/>
  <c r="E40" i="9"/>
  <c r="G23" i="2"/>
  <c r="F14" i="1"/>
  <c r="L12" i="1"/>
  <c r="L13" i="1" s="1"/>
  <c r="L14" i="1" s="1"/>
  <c r="M7" i="7"/>
  <c r="M17" i="7" s="1"/>
  <c r="H16" i="2"/>
  <c r="E30" i="18"/>
  <c r="O18" i="20"/>
  <c r="O23" i="20" s="1"/>
  <c r="O25" i="20" s="1"/>
  <c r="O27" i="20" s="1"/>
  <c r="B21" i="2"/>
  <c r="C31" i="9"/>
  <c r="E1" i="3"/>
  <c r="E23" i="2"/>
  <c r="L6" i="1"/>
  <c r="E1" i="2"/>
  <c r="G14" i="3"/>
  <c r="D16" i="2"/>
  <c r="D57" i="7"/>
  <c r="E23" i="7"/>
  <c r="E21" i="2"/>
  <c r="C11" i="7"/>
  <c r="O15" i="20"/>
  <c r="N19" i="20"/>
  <c r="O19" i="20"/>
  <c r="N17" i="20"/>
  <c r="N20" i="20"/>
  <c r="O17" i="20"/>
  <c r="O16" i="20"/>
  <c r="N15" i="20"/>
  <c r="N16" i="20"/>
  <c r="N18" i="20"/>
  <c r="N23" i="20" s="1"/>
  <c r="N25" i="20" s="1"/>
  <c r="N27" i="20" s="1"/>
  <c r="D7" i="21" s="1"/>
  <c r="C7" i="21" s="1"/>
  <c r="O20" i="20"/>
  <c r="J15" i="18"/>
  <c r="K14" i="18"/>
  <c r="C57" i="7"/>
  <c r="J31" i="9"/>
  <c r="H30" i="9"/>
  <c r="H36" i="9" s="1"/>
  <c r="F29" i="9"/>
  <c r="F35" i="9" s="1"/>
  <c r="F28" i="9"/>
  <c r="F34" i="9" s="1"/>
  <c r="C13" i="7"/>
  <c r="I31" i="9"/>
  <c r="G30" i="9"/>
  <c r="G36" i="9" s="1"/>
  <c r="E29" i="9"/>
  <c r="E35" i="9" s="1"/>
  <c r="C28" i="9"/>
  <c r="C34" i="9" s="1"/>
  <c r="L38" i="9"/>
  <c r="K39" i="9"/>
  <c r="E28" i="9"/>
  <c r="E34" i="9" s="1"/>
  <c r="H4" i="9"/>
  <c r="D13" i="7"/>
  <c r="H31" i="9"/>
  <c r="F30" i="9"/>
  <c r="F36" i="9" s="1"/>
  <c r="D29" i="9"/>
  <c r="D35" i="9" s="1"/>
  <c r="K38" i="9"/>
  <c r="J39" i="9"/>
  <c r="D28" i="9"/>
  <c r="D34" i="9" s="1"/>
  <c r="K10" i="9"/>
  <c r="I4" i="9"/>
  <c r="E13" i="7"/>
  <c r="G31" i="9"/>
  <c r="E30" i="9"/>
  <c r="E36" i="9" s="1"/>
  <c r="C29" i="9"/>
  <c r="C35" i="9" s="1"/>
  <c r="J38" i="9"/>
  <c r="I39" i="9"/>
  <c r="G13" i="1"/>
  <c r="G14" i="1" s="1"/>
  <c r="J10" i="9"/>
  <c r="J4" i="9"/>
  <c r="C26" i="7"/>
  <c r="C18" i="9" s="1"/>
  <c r="F31" i="9"/>
  <c r="D30" i="9"/>
  <c r="D36" i="9" s="1"/>
  <c r="I38" i="9"/>
  <c r="H39" i="9"/>
  <c r="E24" i="2"/>
  <c r="K4" i="7"/>
  <c r="E26" i="7"/>
  <c r="E18" i="9" s="1"/>
  <c r="D63" i="7"/>
  <c r="D70" i="7" s="1"/>
  <c r="D31" i="9"/>
  <c r="L29" i="9"/>
  <c r="L35" i="9" s="1"/>
  <c r="G38" i="9"/>
  <c r="F39" i="9"/>
  <c r="L28" i="9"/>
  <c r="L34" i="9" s="1"/>
  <c r="C14" i="1"/>
  <c r="F20" i="2"/>
  <c r="L10" i="1"/>
  <c r="L5" i="1"/>
  <c r="E14" i="3"/>
  <c r="K23" i="2"/>
  <c r="J20" i="2"/>
  <c r="D13" i="1"/>
  <c r="E13" i="1" s="1"/>
  <c r="E14" i="1" s="1"/>
  <c r="I25" i="1" s="1"/>
  <c r="E63" i="7"/>
  <c r="E70" i="7" s="1"/>
  <c r="K29" i="9"/>
  <c r="K35" i="9" s="1"/>
  <c r="K28" i="9"/>
  <c r="K34" i="9" s="1"/>
  <c r="L30" i="9"/>
  <c r="L36" i="9" s="1"/>
  <c r="J29" i="9"/>
  <c r="J35" i="9" s="1"/>
  <c r="J28" i="9"/>
  <c r="J34" i="9" s="1"/>
  <c r="D26" i="7"/>
  <c r="D18" i="9" s="1"/>
  <c r="C63" i="7"/>
  <c r="C70" i="7" s="1"/>
  <c r="H38" i="9"/>
  <c r="L11" i="1"/>
  <c r="D14" i="3"/>
  <c r="J14" i="1"/>
  <c r="D20" i="2"/>
  <c r="C14" i="3"/>
  <c r="I16" i="2"/>
  <c r="K21" i="2"/>
  <c r="J6" i="1"/>
  <c r="J19" i="1" s="1"/>
  <c r="K30" i="9"/>
  <c r="K36" i="9" s="1"/>
  <c r="I29" i="9"/>
  <c r="I35" i="9" s="1"/>
  <c r="I28" i="9"/>
  <c r="I34" i="9" s="1"/>
  <c r="E53" i="7"/>
  <c r="H29" i="9"/>
  <c r="H35" i="9" s="1"/>
  <c r="G29" i="9"/>
  <c r="G35" i="9" s="1"/>
  <c r="H110" i="7"/>
  <c r="I110" i="7"/>
  <c r="L110" i="7"/>
  <c r="G110" i="7"/>
  <c r="K110" i="7"/>
  <c r="L8" i="7"/>
  <c r="J110" i="7"/>
  <c r="F23" i="7"/>
  <c r="I10" i="9"/>
  <c r="G10" i="9"/>
  <c r="H17" i="7"/>
  <c r="H17" i="9" s="1"/>
  <c r="H23" i="7"/>
  <c r="G17" i="7"/>
  <c r="G17" i="9" s="1"/>
  <c r="G11" i="7"/>
  <c r="I8" i="7"/>
  <c r="G23" i="7"/>
  <c r="L62" i="7"/>
  <c r="L63" i="7" s="1"/>
  <c r="L70" i="7" s="1"/>
  <c r="H8" i="7"/>
  <c r="F23" i="2"/>
  <c r="J23" i="2"/>
  <c r="K26" i="7"/>
  <c r="K18" i="9" s="1"/>
  <c r="J26" i="7"/>
  <c r="J18" i="9" s="1"/>
  <c r="L23" i="7"/>
  <c r="K23" i="7"/>
  <c r="J17" i="7"/>
  <c r="J17" i="9" s="1"/>
  <c r="F26" i="7"/>
  <c r="F18" i="9" s="1"/>
  <c r="L26" i="7"/>
  <c r="L18" i="9" s="1"/>
  <c r="J23" i="7"/>
  <c r="I23" i="7"/>
  <c r="I17" i="7"/>
  <c r="I17" i="9" s="1"/>
  <c r="G26" i="7"/>
  <c r="G18" i="9" s="1"/>
  <c r="J11" i="7"/>
  <c r="H11" i="7"/>
  <c r="K13" i="7"/>
  <c r="K19" i="7" s="1"/>
  <c r="K41" i="12" s="1"/>
  <c r="K45" i="12" s="1"/>
  <c r="K74" i="12" s="1"/>
  <c r="I11" i="7"/>
  <c r="J8" i="7"/>
  <c r="L17" i="7"/>
  <c r="L17" i="9" s="1"/>
  <c r="H26" i="7"/>
  <c r="H18" i="9" s="1"/>
  <c r="K11" i="7"/>
  <c r="K17" i="7"/>
  <c r="K17" i="9" s="1"/>
  <c r="F17" i="7"/>
  <c r="F17" i="9" s="1"/>
  <c r="L11" i="7"/>
  <c r="G8" i="7"/>
  <c r="F13" i="7"/>
  <c r="I26" i="7"/>
  <c r="I18" i="9" s="1"/>
  <c r="F11" i="7"/>
  <c r="J13" i="7"/>
  <c r="I13" i="7"/>
  <c r="H13" i="7"/>
  <c r="K8" i="7"/>
  <c r="G13" i="7"/>
  <c r="L13" i="7"/>
  <c r="K14" i="1"/>
  <c r="L7" i="1"/>
  <c r="K24" i="2"/>
  <c r="D6" i="1"/>
  <c r="D19" i="1" s="1"/>
  <c r="I14" i="1"/>
  <c r="C24" i="2"/>
  <c r="I23" i="2"/>
  <c r="J23" i="1"/>
  <c r="E20" i="2"/>
  <c r="B23" i="2"/>
  <c r="H14" i="1"/>
  <c r="I23" i="1"/>
  <c r="C6" i="1"/>
  <c r="C19" i="1" s="1"/>
  <c r="L8" i="1"/>
  <c r="M8" i="1" s="1"/>
  <c r="J24" i="2"/>
  <c r="B20" i="2"/>
  <c r="K14" i="3"/>
  <c r="I24" i="2"/>
  <c r="H24" i="2"/>
  <c r="B16" i="2"/>
  <c r="K6" i="1"/>
  <c r="K19" i="1" s="1"/>
  <c r="G24" i="2"/>
  <c r="F21" i="2"/>
  <c r="J16" i="2"/>
  <c r="C20" i="2"/>
  <c r="A1" i="2"/>
  <c r="B3" i="9" s="1"/>
  <c r="D24" i="2"/>
  <c r="B14" i="3"/>
  <c r="C23" i="2"/>
  <c r="L9" i="1"/>
  <c r="M9" i="1" s="1"/>
  <c r="E16" i="2"/>
  <c r="B14" i="1"/>
  <c r="L4" i="1"/>
  <c r="L23" i="1" s="1"/>
  <c r="I6" i="1"/>
  <c r="I19" i="1" s="1"/>
  <c r="F24" i="2"/>
  <c r="I20" i="2"/>
  <c r="H20" i="2"/>
  <c r="K23" i="1"/>
  <c r="H6" i="1"/>
  <c r="H19" i="1" s="1"/>
  <c r="F6" i="1"/>
  <c r="F19" i="1" s="1"/>
  <c r="E1" i="4"/>
  <c r="C110" i="7" l="1"/>
  <c r="C38" i="9"/>
  <c r="D38" i="9"/>
  <c r="M23" i="7"/>
  <c r="M13" i="7"/>
  <c r="M19" i="7" s="1"/>
  <c r="E110" i="7"/>
  <c r="D110" i="7"/>
  <c r="N8" i="1"/>
  <c r="M8" i="7"/>
  <c r="M26" i="7"/>
  <c r="M11" i="7"/>
  <c r="D17" i="11"/>
  <c r="L25" i="1"/>
  <c r="J25" i="1"/>
  <c r="K25" i="1"/>
  <c r="N23" i="1"/>
  <c r="N4" i="1" s="1"/>
  <c r="L41" i="18"/>
  <c r="L29" i="18"/>
  <c r="I24" i="1"/>
  <c r="J24" i="1"/>
  <c r="N11" i="1"/>
  <c r="H24" i="1"/>
  <c r="K56" i="12"/>
  <c r="K58" i="12" s="1"/>
  <c r="K61" i="12" s="1"/>
  <c r="K73" i="12" s="1"/>
  <c r="K76" i="12" s="1"/>
  <c r="M8" i="18"/>
  <c r="M10" i="18" s="1"/>
  <c r="M12" i="18" s="1"/>
  <c r="K15" i="18"/>
  <c r="L14" i="18"/>
  <c r="E39" i="9"/>
  <c r="M11" i="1"/>
  <c r="D14" i="1"/>
  <c r="H25" i="1" s="1"/>
  <c r="D39" i="9"/>
  <c r="D72" i="7"/>
  <c r="M23" i="1"/>
  <c r="M4" i="1" s="1"/>
  <c r="E31" i="9"/>
  <c r="E57" i="7"/>
  <c r="E72" i="7" s="1"/>
  <c r="C14" i="7"/>
  <c r="C12" i="9" s="1"/>
  <c r="C19" i="7"/>
  <c r="E14" i="7"/>
  <c r="E12" i="9" s="1"/>
  <c r="E19" i="7"/>
  <c r="E41" i="12" s="1"/>
  <c r="C39" i="9"/>
  <c r="C72" i="7"/>
  <c r="L72" i="7"/>
  <c r="L39" i="9"/>
  <c r="D14" i="7"/>
  <c r="D12" i="9" s="1"/>
  <c r="D19" i="7"/>
  <c r="D41" i="12" s="1"/>
  <c r="L19" i="1"/>
  <c r="L24" i="1" s="1"/>
  <c r="A1" i="4"/>
  <c r="B3" i="7"/>
  <c r="K21" i="9"/>
  <c r="K14" i="9"/>
  <c r="K19" i="9" s="1"/>
  <c r="K25" i="9"/>
  <c r="K20" i="7"/>
  <c r="K13" i="9" s="1"/>
  <c r="K30" i="7"/>
  <c r="K37" i="7" s="1"/>
  <c r="K23" i="9" s="1"/>
  <c r="K14" i="7"/>
  <c r="K12" i="9" s="1"/>
  <c r="L19" i="7"/>
  <c r="L41" i="12" s="1"/>
  <c r="L14" i="7"/>
  <c r="L12" i="9" s="1"/>
  <c r="F19" i="7"/>
  <c r="F41" i="12" s="1"/>
  <c r="F14" i="7"/>
  <c r="F12" i="9" s="1"/>
  <c r="I19" i="7"/>
  <c r="I41" i="12" s="1"/>
  <c r="I14" i="7"/>
  <c r="I12" i="9" s="1"/>
  <c r="G19" i="7"/>
  <c r="G41" i="12" s="1"/>
  <c r="G14" i="7"/>
  <c r="G12" i="9" s="1"/>
  <c r="H19" i="7"/>
  <c r="H41" i="12" s="1"/>
  <c r="H14" i="7"/>
  <c r="H12" i="9" s="1"/>
  <c r="J19" i="7"/>
  <c r="J41" i="12" s="1"/>
  <c r="J14" i="7"/>
  <c r="J12" i="9" s="1"/>
  <c r="N9" i="1"/>
  <c r="K24" i="1"/>
  <c r="M14" i="7" l="1"/>
  <c r="D18" i="11"/>
  <c r="E18" i="11" s="1"/>
  <c r="E17" i="11"/>
  <c r="M25" i="1"/>
  <c r="M14" i="1" s="1"/>
  <c r="N25" i="1"/>
  <c r="N14" i="1" s="1"/>
  <c r="C41" i="12"/>
  <c r="C45" i="12" s="1"/>
  <c r="C30" i="7"/>
  <c r="I56" i="12"/>
  <c r="I58" i="12" s="1"/>
  <c r="I61" i="12" s="1"/>
  <c r="I73" i="12" s="1"/>
  <c r="K8" i="18"/>
  <c r="K10" i="18" s="1"/>
  <c r="K12" i="18" s="1"/>
  <c r="K17" i="18" s="1"/>
  <c r="I45" i="12"/>
  <c r="I74" i="12" s="1"/>
  <c r="F56" i="12"/>
  <c r="F58" i="12" s="1"/>
  <c r="F61" i="12" s="1"/>
  <c r="F73" i="12" s="1"/>
  <c r="H8" i="18"/>
  <c r="H10" i="18" s="1"/>
  <c r="H12" i="18" s="1"/>
  <c r="H17" i="18" s="1"/>
  <c r="F45" i="12"/>
  <c r="F74" i="12" s="1"/>
  <c r="D56" i="12"/>
  <c r="D58" i="12" s="1"/>
  <c r="D61" i="12" s="1"/>
  <c r="D73" i="12" s="1"/>
  <c r="F8" i="18"/>
  <c r="F10" i="18" s="1"/>
  <c r="F12" i="18" s="1"/>
  <c r="D45" i="12"/>
  <c r="D74" i="12" s="1"/>
  <c r="J56" i="12"/>
  <c r="J58" i="12" s="1"/>
  <c r="J61" i="12" s="1"/>
  <c r="J73" i="12" s="1"/>
  <c r="L8" i="18"/>
  <c r="L10" i="18" s="1"/>
  <c r="L12" i="18" s="1"/>
  <c r="J45" i="12"/>
  <c r="J74" i="12" s="1"/>
  <c r="H56" i="12"/>
  <c r="H58" i="12" s="1"/>
  <c r="H61" i="12" s="1"/>
  <c r="H73" i="12" s="1"/>
  <c r="J8" i="18"/>
  <c r="J10" i="18" s="1"/>
  <c r="J12" i="18" s="1"/>
  <c r="J17" i="18" s="1"/>
  <c r="H45" i="12"/>
  <c r="H74" i="12" s="1"/>
  <c r="L56" i="12"/>
  <c r="L58" i="12" s="1"/>
  <c r="L61" i="12" s="1"/>
  <c r="L73" i="12" s="1"/>
  <c r="N8" i="18"/>
  <c r="N10" i="18" s="1"/>
  <c r="N12" i="18" s="1"/>
  <c r="L45" i="12"/>
  <c r="L74" i="12" s="1"/>
  <c r="G56" i="12"/>
  <c r="G58" i="12" s="1"/>
  <c r="G61" i="12" s="1"/>
  <c r="G73" i="12" s="1"/>
  <c r="I8" i="18"/>
  <c r="I10" i="18" s="1"/>
  <c r="I12" i="18" s="1"/>
  <c r="I17" i="18" s="1"/>
  <c r="G45" i="12"/>
  <c r="G74" i="12" s="1"/>
  <c r="E56" i="12"/>
  <c r="E58" i="12" s="1"/>
  <c r="E61" i="12" s="1"/>
  <c r="G8" i="18"/>
  <c r="G10" i="18" s="1"/>
  <c r="G12" i="18" s="1"/>
  <c r="G17" i="18" s="1"/>
  <c r="E45" i="12"/>
  <c r="E74" i="12" s="1"/>
  <c r="M14" i="18"/>
  <c r="L15" i="18"/>
  <c r="J21" i="9"/>
  <c r="J14" i="9"/>
  <c r="J19" i="9" s="1"/>
  <c r="J25" i="9"/>
  <c r="I21" i="9"/>
  <c r="I14" i="9"/>
  <c r="I19" i="9" s="1"/>
  <c r="I25" i="9"/>
  <c r="C14" i="9"/>
  <c r="C19" i="9" s="1"/>
  <c r="C25" i="9"/>
  <c r="C21" i="9"/>
  <c r="C7" i="9"/>
  <c r="C20" i="7"/>
  <c r="C13" i="9" s="1"/>
  <c r="C8" i="9"/>
  <c r="M24" i="1"/>
  <c r="M6" i="1" s="1"/>
  <c r="F14" i="9"/>
  <c r="F19" i="9" s="1"/>
  <c r="F25" i="9"/>
  <c r="F8" i="9"/>
  <c r="F21" i="9"/>
  <c r="F7" i="9"/>
  <c r="K35" i="7"/>
  <c r="L21" i="9"/>
  <c r="L14" i="9"/>
  <c r="L19" i="9" s="1"/>
  <c r="L25" i="9"/>
  <c r="D30" i="7"/>
  <c r="D14" i="9"/>
  <c r="D19" i="9" s="1"/>
  <c r="D7" i="9"/>
  <c r="D25" i="9"/>
  <c r="D20" i="7"/>
  <c r="D13" i="9" s="1"/>
  <c r="D21" i="9"/>
  <c r="D8" i="9"/>
  <c r="G14" i="9"/>
  <c r="G19" i="9" s="1"/>
  <c r="G25" i="9"/>
  <c r="G21" i="9"/>
  <c r="H25" i="9"/>
  <c r="H14" i="9"/>
  <c r="H19" i="9" s="1"/>
  <c r="H21" i="9"/>
  <c r="E7" i="9"/>
  <c r="E14" i="9"/>
  <c r="E19" i="9" s="1"/>
  <c r="E25" i="9"/>
  <c r="E20" i="7"/>
  <c r="E13" i="9" s="1"/>
  <c r="E21" i="9"/>
  <c r="E8" i="9"/>
  <c r="E30" i="7"/>
  <c r="I8" i="9"/>
  <c r="I7" i="9"/>
  <c r="J8" i="9"/>
  <c r="J7" i="9"/>
  <c r="H8" i="9"/>
  <c r="H7" i="9"/>
  <c r="G7" i="9"/>
  <c r="G8" i="9"/>
  <c r="K31" i="7"/>
  <c r="K7" i="9"/>
  <c r="K8" i="9"/>
  <c r="L7" i="9"/>
  <c r="L8" i="9"/>
  <c r="H20" i="7"/>
  <c r="H13" i="9" s="1"/>
  <c r="H30" i="7"/>
  <c r="G20" i="7"/>
  <c r="G13" i="9" s="1"/>
  <c r="G30" i="7"/>
  <c r="L20" i="7"/>
  <c r="L13" i="9" s="1"/>
  <c r="L30" i="7"/>
  <c r="K42" i="7"/>
  <c r="K38" i="7"/>
  <c r="K15" i="9" s="1"/>
  <c r="M20" i="7"/>
  <c r="M30" i="7"/>
  <c r="I20" i="7"/>
  <c r="I13" i="9" s="1"/>
  <c r="I30" i="7"/>
  <c r="J20" i="7"/>
  <c r="J13" i="9" s="1"/>
  <c r="J30" i="7"/>
  <c r="F20" i="7"/>
  <c r="F13" i="9" s="1"/>
  <c r="F30" i="7"/>
  <c r="N24" i="1"/>
  <c r="N6" i="1" s="1"/>
  <c r="L17" i="18" l="1"/>
  <c r="E8" i="18"/>
  <c r="E10" i="18" s="1"/>
  <c r="E12" i="18" s="1"/>
  <c r="C56" i="12"/>
  <c r="C58" i="12" s="1"/>
  <c r="H76" i="12"/>
  <c r="L76" i="12"/>
  <c r="D76" i="12"/>
  <c r="D19" i="11"/>
  <c r="E19" i="11" s="1"/>
  <c r="I76" i="12"/>
  <c r="G76" i="12"/>
  <c r="E29" i="18"/>
  <c r="E32" i="18" s="1"/>
  <c r="F17" i="18"/>
  <c r="F76" i="12"/>
  <c r="L64" i="12"/>
  <c r="L63" i="12"/>
  <c r="E73" i="12"/>
  <c r="E76" i="12" s="1"/>
  <c r="J76" i="12"/>
  <c r="M15" i="18"/>
  <c r="M17" i="18" s="1"/>
  <c r="N14" i="18"/>
  <c r="N15" i="18" s="1"/>
  <c r="M10" i="1"/>
  <c r="M12" i="1" s="1"/>
  <c r="M13" i="1" s="1"/>
  <c r="M15" i="1" s="1"/>
  <c r="M5" i="1"/>
  <c r="C37" i="7"/>
  <c r="C35" i="7"/>
  <c r="C31" i="7"/>
  <c r="E31" i="7"/>
  <c r="E37" i="7"/>
  <c r="E35" i="7"/>
  <c r="D37" i="7"/>
  <c r="D31" i="7"/>
  <c r="D35" i="7"/>
  <c r="K45" i="7"/>
  <c r="K47" i="7"/>
  <c r="K22" i="9" s="1"/>
  <c r="K24" i="9" s="1"/>
  <c r="I37" i="7"/>
  <c r="I23" i="9" s="1"/>
  <c r="I31" i="7"/>
  <c r="I35" i="7"/>
  <c r="M37" i="7"/>
  <c r="M31" i="7"/>
  <c r="M35" i="7"/>
  <c r="L35" i="7"/>
  <c r="L31" i="7"/>
  <c r="L37" i="7"/>
  <c r="F35" i="7"/>
  <c r="F37" i="7"/>
  <c r="F31" i="7"/>
  <c r="G37" i="7"/>
  <c r="G23" i="9" s="1"/>
  <c r="G31" i="7"/>
  <c r="G35" i="7"/>
  <c r="J37" i="7"/>
  <c r="J23" i="9" s="1"/>
  <c r="J31" i="7"/>
  <c r="J35" i="7"/>
  <c r="H37" i="7"/>
  <c r="H31" i="7"/>
  <c r="H35" i="7"/>
  <c r="N10" i="1"/>
  <c r="N12" i="1" s="1"/>
  <c r="N13" i="1" s="1"/>
  <c r="N15" i="1" s="1"/>
  <c r="N5" i="1"/>
  <c r="L79" i="12" l="1"/>
  <c r="L80" i="12"/>
  <c r="E39" i="18"/>
  <c r="N17" i="18"/>
  <c r="E38" i="18" s="1"/>
  <c r="D42" i="7"/>
  <c r="D23" i="9"/>
  <c r="D9" i="9"/>
  <c r="D38" i="7"/>
  <c r="D15" i="9" s="1"/>
  <c r="F9" i="9"/>
  <c r="F23" i="9"/>
  <c r="L9" i="9"/>
  <c r="L23" i="9"/>
  <c r="H9" i="9"/>
  <c r="H23" i="9"/>
  <c r="E42" i="7"/>
  <c r="E23" i="9"/>
  <c r="E9" i="9"/>
  <c r="E38" i="7"/>
  <c r="E15" i="9" s="1"/>
  <c r="C23" i="9"/>
  <c r="C9" i="9"/>
  <c r="C42" i="7"/>
  <c r="C38" i="7"/>
  <c r="C15" i="9" s="1"/>
  <c r="G9" i="9"/>
  <c r="J9" i="9"/>
  <c r="K9" i="9"/>
  <c r="I9" i="9"/>
  <c r="G38" i="7"/>
  <c r="G15" i="9" s="1"/>
  <c r="G42" i="7"/>
  <c r="I42" i="7"/>
  <c r="I38" i="7"/>
  <c r="I15" i="9" s="1"/>
  <c r="F38" i="7"/>
  <c r="F15" i="9" s="1"/>
  <c r="F42" i="7"/>
  <c r="L42" i="7"/>
  <c r="L38" i="7"/>
  <c r="L15" i="9" s="1"/>
  <c r="H42" i="7"/>
  <c r="H38" i="7"/>
  <c r="H15" i="9" s="1"/>
  <c r="J42" i="7"/>
  <c r="J38" i="7"/>
  <c r="J15" i="9" s="1"/>
  <c r="M38" i="7"/>
  <c r="M42" i="7"/>
  <c r="M47" i="7" s="1"/>
  <c r="E40" i="18" l="1"/>
  <c r="I29" i="18" s="1"/>
  <c r="E45" i="7"/>
  <c r="E47" i="7" s="1"/>
  <c r="E22" i="9" s="1"/>
  <c r="E24" i="9" s="1"/>
  <c r="C45" i="7"/>
  <c r="C47" i="7" s="1"/>
  <c r="C22" i="9" s="1"/>
  <c r="C24" i="9" s="1"/>
  <c r="D45" i="7"/>
  <c r="D47" i="7" s="1"/>
  <c r="D22" i="9" s="1"/>
  <c r="D24" i="9" s="1"/>
  <c r="G45" i="7"/>
  <c r="G47" i="7"/>
  <c r="G22" i="9" s="1"/>
  <c r="G24" i="9" s="1"/>
  <c r="J45" i="7"/>
  <c r="J47" i="7"/>
  <c r="J22" i="9" s="1"/>
  <c r="J24" i="9" s="1"/>
  <c r="H45" i="7"/>
  <c r="H47" i="7"/>
  <c r="H22" i="9" s="1"/>
  <c r="H24" i="9" s="1"/>
  <c r="L45" i="7"/>
  <c r="L47" i="7"/>
  <c r="L22" i="9" s="1"/>
  <c r="L24" i="9" s="1"/>
  <c r="F45" i="7"/>
  <c r="F47" i="7" s="1"/>
  <c r="F22" i="9" s="1"/>
  <c r="F24" i="9" s="1"/>
  <c r="I45" i="7"/>
  <c r="I47" i="7"/>
  <c r="I22" i="9" s="1"/>
  <c r="I24" i="9" s="1"/>
  <c r="E45" i="18" l="1"/>
  <c r="E48" i="18" s="1"/>
  <c r="I41" i="18" s="1"/>
  <c r="K29" i="1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<sst xmlns="http://schemas.openxmlformats.org/spreadsheetml/2006/main" count="1113" uniqueCount="802">
  <si>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</si>
  <si>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</si>
  <si>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</si>
  <si>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</si>
  <si>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</si>
  <si>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</si>
  <si>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</si>
  <si>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</si>
  <si>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</si>
  <si>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</si>
  <si>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</si>
  <si>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</si>
  <si>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</si>
  <si>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</si>
  <si>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</si>
  <si>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</si>
  <si>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</si>
  <si>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</si>
  <si>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</si>
  <si>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</si>
  <si>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</si>
  <si>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</si>
  <si>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</si>
  <si>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</si>
  <si>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</si>
  <si>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</si>
  <si>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</si>
  <si>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</si>
  <si>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</si>
  <si>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</si>
  <si>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</si>
  <si>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</si>
  <si>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</si>
  <si>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</si>
  <si>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</si>
  <si>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</si>
  <si>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</si>
  <si>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</si>
  <si>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</si>
  <si>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</si>
  <si>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</si>
  <si>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</si>
  <si>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</si>
  <si>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</si>
  <si>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</si>
  <si>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</si>
  <si>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</si>
  <si>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</si>
  <si>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</si>
  <si>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</si>
  <si>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</si>
  <si>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</si>
  <si>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</si>
  <si>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</si>
  <si>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</si>
  <si>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</si>
  <si>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</si>
  <si>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</si>
  <si>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</si>
  <si>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</si>
  <si>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</si>
  <si>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</si>
  <si>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</si>
  <si>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</si>
  <si>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</si>
  <si>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</si>
  <si>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</si>
  <si>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</si>
  <si>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</si>
  <si>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</si>
  <si>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</si>
  <si>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</si>
  <si>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</si>
  <si>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</si>
  <si>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</si>
  <si>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</si>
  <si>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</si>
  <si>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</si>
  <si>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</si>
  <si>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</si>
  <si>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</si>
  <si>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</si>
  <si>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</si>
  <si>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</si>
  <si>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</si>
  <si>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</si>
  <si>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</si>
  <si>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</si>
  <si>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</si>
  <si>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</si>
  <si>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</si>
  <si>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</si>
  <si>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</si>
  <si>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</si>
  <si>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</si>
  <si>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Income Statement</t>
  </si>
  <si>
    <t>-</t>
  </si>
  <si>
    <t>COGS</t>
  </si>
  <si>
    <t>COGS % Sales</t>
  </si>
  <si>
    <t>Gross Profit</t>
  </si>
  <si>
    <t>Sales &amp;General Expenses</t>
  </si>
  <si>
    <t>S&amp;G Exp % Sales</t>
  </si>
  <si>
    <t>EBITDA</t>
  </si>
  <si>
    <t>EBITDA Margins</t>
  </si>
  <si>
    <t>Int. % Sales</t>
  </si>
  <si>
    <t>Dep. % Sales</t>
  </si>
  <si>
    <t>Earning Before Tax</t>
  </si>
  <si>
    <t>EBT % Sales</t>
  </si>
  <si>
    <t>Effective Tax Rate</t>
  </si>
  <si>
    <t>Net Profit</t>
  </si>
  <si>
    <t>Proift Margin</t>
  </si>
  <si>
    <t>Earning Per Share</t>
  </si>
  <si>
    <t>Dividend Per Sharing</t>
  </si>
  <si>
    <t>Dividend Payout Ratio</t>
  </si>
  <si>
    <t xml:space="preserve">Retained Earning </t>
  </si>
  <si>
    <t>Balance Sheet</t>
  </si>
  <si>
    <t>Total Non-Current Assets</t>
  </si>
  <si>
    <t>Total Current Assets</t>
  </si>
  <si>
    <t>Total Assets</t>
  </si>
  <si>
    <t>Check</t>
  </si>
  <si>
    <t>Cash Flow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</si>
  <si>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</si>
  <si>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</si>
  <si>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</si>
  <si>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</si>
  <si>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</si>
  <si>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</si>
  <si>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</si>
  <si>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</si>
  <si>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</si>
  <si>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</si>
  <si>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</si>
  <si>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</si>
  <si>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</si>
  <si>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</si>
  <si>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</si>
  <si>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</si>
  <si>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</si>
  <si>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</si>
  <si>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</si>
  <si>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</si>
  <si>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</si>
  <si>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</si>
  <si>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</si>
  <si>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Operating Activity </t>
  </si>
  <si>
    <t>Investing Activity</t>
  </si>
  <si>
    <t>Financing Activity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</si>
  <si>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</si>
  <si>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</si>
  <si>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</si>
  <si>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</si>
  <si>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</si>
  <si>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</si>
  <si>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</si>
  <si>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Net Profit Margin</t>
  </si>
  <si>
    <t>Sales Expenses % Sales</t>
  </si>
  <si>
    <t>Depreciation % Sales</t>
  </si>
  <si>
    <t>Operating Income % Sales</t>
  </si>
  <si>
    <t>Return on Capital Employed</t>
  </si>
  <si>
    <t>Retained Earning %</t>
  </si>
  <si>
    <t>Return on Equity %</t>
  </si>
  <si>
    <t>Self Substained Growth Rate</t>
  </si>
  <si>
    <t>Interest Coverage Ratio</t>
  </si>
  <si>
    <t>Debtor Turnover Ratio</t>
  </si>
  <si>
    <t>Creditor Turnover Ratio</t>
  </si>
  <si>
    <t>Fixed Asset Turnover</t>
  </si>
  <si>
    <t>Capital Turnover Ratio</t>
  </si>
  <si>
    <t>Gross Profit % Sales</t>
  </si>
  <si>
    <t>Payable Days</t>
  </si>
  <si>
    <t>Inventory Days</t>
  </si>
  <si>
    <t>Cash Conversion Cycle</t>
  </si>
  <si>
    <t>CFO/Sales</t>
  </si>
  <si>
    <t>CFO/Total Assets</t>
  </si>
  <si>
    <t>CFO/Total Debt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</si>
  <si>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</si>
  <si>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</si>
  <si>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</si>
  <si>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Year Weightage</t>
  </si>
  <si>
    <t>Year</t>
  </si>
  <si>
    <t>YoY Growth</t>
  </si>
  <si>
    <t>Debt /</t>
  </si>
  <si>
    <t>Levered</t>
  </si>
  <si>
    <t>Unlevered</t>
  </si>
  <si>
    <t>Name of the Company</t>
  </si>
  <si>
    <t>Country</t>
  </si>
  <si>
    <t>Total Debt</t>
  </si>
  <si>
    <t>Total Equity</t>
  </si>
  <si>
    <t>Equity</t>
  </si>
  <si>
    <t>Capital</t>
  </si>
  <si>
    <t>ITC</t>
  </si>
  <si>
    <t>India</t>
  </si>
  <si>
    <t>Hind. Unilever</t>
  </si>
  <si>
    <t>Nestle India</t>
  </si>
  <si>
    <t>Britannia Inds.</t>
  </si>
  <si>
    <t>Godrej Consumer</t>
  </si>
  <si>
    <t>Dabur India</t>
  </si>
  <si>
    <t xml:space="preserve">Average </t>
  </si>
  <si>
    <t>Median</t>
  </si>
  <si>
    <t>Cost Of Debt</t>
  </si>
  <si>
    <t>Cost of Equity</t>
  </si>
  <si>
    <t>Pre Tax Cost of Debt</t>
  </si>
  <si>
    <t>Risk Free Rate</t>
  </si>
  <si>
    <t>Cost of Debt</t>
  </si>
  <si>
    <t>Equity Risk Premium</t>
  </si>
  <si>
    <t>Post Tax Cost of Debt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</si>
  <si>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</si>
  <si>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</si>
  <si>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</si>
  <si>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>Current</t>
  </si>
  <si>
    <t>Target</t>
  </si>
  <si>
    <t>Comps Median Unlevered Beta</t>
  </si>
  <si>
    <t>Target Debt/Equity</t>
  </si>
  <si>
    <t>Tax Rate</t>
  </si>
  <si>
    <t>Total Capital</t>
  </si>
  <si>
    <t>Debt/Equity</t>
  </si>
  <si>
    <t>Weightage Cost of Capital</t>
  </si>
  <si>
    <t>Noted</t>
  </si>
  <si>
    <t>Total Cost</t>
  </si>
  <si>
    <t>Total Weight</t>
  </si>
  <si>
    <t>1. Tax Rate considered as Marginal Tax Rate for the country</t>
  </si>
  <si>
    <t>Debt</t>
  </si>
  <si>
    <t>2. Levered Beta is based on 5 year monthly data</t>
  </si>
  <si>
    <t>3. Unlevered Beta = Levered Beta/(1+(1-Tax Rate) x Debt/Equity)</t>
  </si>
  <si>
    <t>WeightedAverage Cost of Capital</t>
  </si>
  <si>
    <t>4. Levered Beta = Unlevered Beta*(1+(1-Tax Rate) x Debt/Equity)</t>
  </si>
  <si>
    <t>Regression Beta for 2 years</t>
  </si>
  <si>
    <t>Nifty</t>
  </si>
  <si>
    <t>Beta Drifting</t>
  </si>
  <si>
    <t>Date</t>
  </si>
  <si>
    <t>Change %</t>
  </si>
  <si>
    <t>Beta 1:</t>
  </si>
  <si>
    <t>Levered Beta :</t>
  </si>
  <si>
    <t>Weightage :</t>
  </si>
  <si>
    <t>Beta 2:</t>
  </si>
  <si>
    <t>Market Beta :</t>
  </si>
  <si>
    <t>Beta 3:</t>
  </si>
  <si>
    <t>Adjusted Beta:</t>
  </si>
  <si>
    <t>Particular</t>
  </si>
  <si>
    <t>Equity Capital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</si>
  <si>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</si>
  <si>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</si>
  <si>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</si>
  <si>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</si>
  <si>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</si>
  <si>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</si>
  <si>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</si>
  <si>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</si>
  <si>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</si>
  <si>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</si>
  <si>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</si>
  <si>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</si>
  <si>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</si>
  <si>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</si>
  <si>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</si>
  <si>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</si>
  <si>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</si>
  <si>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</si>
  <si>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</si>
  <si>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</si>
  <si>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</si>
  <si>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</si>
  <si>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</si>
  <si>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</si>
  <si>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</si>
  <si>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</si>
  <si>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t>Trade receivables</t>
  </si>
  <si>
    <t>Cash Equivalents</t>
  </si>
  <si>
    <t>Loans n Advances</t>
  </si>
  <si>
    <t>Other asset items</t>
  </si>
  <si>
    <t>Calculation of RIOC</t>
  </si>
  <si>
    <t>Current Assets</t>
  </si>
  <si>
    <t>EBiTDA</t>
  </si>
  <si>
    <t>Other Asset</t>
  </si>
  <si>
    <t>Total Non Current Asset</t>
  </si>
  <si>
    <t>Current Liabilities</t>
  </si>
  <si>
    <t>Total Current Liabilities</t>
  </si>
  <si>
    <t>Total Working Capital</t>
  </si>
  <si>
    <t>Non Current Assets</t>
  </si>
  <si>
    <t>Total Non Current Assets</t>
  </si>
  <si>
    <t>Capital Invested</t>
  </si>
  <si>
    <t>EBIT</t>
  </si>
  <si>
    <t>ROIC</t>
  </si>
  <si>
    <t>Calculation of Reinvestment Rate</t>
  </si>
  <si>
    <t>Net Capex</t>
  </si>
  <si>
    <t>ar 2014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</si>
  <si>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</si>
  <si>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</si>
  <si>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</si>
  <si>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Change in working</t>
  </si>
  <si>
    <t>Marginal Tax Rate</t>
  </si>
  <si>
    <t>EBIT(1-T)</t>
  </si>
  <si>
    <t>Reinvestment Rate</t>
  </si>
  <si>
    <t>10 Years Average</t>
  </si>
  <si>
    <t>10 Years Median</t>
  </si>
  <si>
    <t>Calculation of Growth Rate</t>
  </si>
  <si>
    <t xml:space="preserve">Reinvestment </t>
  </si>
  <si>
    <t>Growth Rate</t>
  </si>
  <si>
    <t>India - Sector Data</t>
  </si>
  <si>
    <t>Figures in $mn</t>
  </si>
  <si>
    <t>Industry Name</t>
  </si>
  <si>
    <t>Number of Firms</t>
  </si>
  <si>
    <t>Capital Expenditures</t>
  </si>
  <si>
    <t>Depreciation &amp; Amort</t>
  </si>
  <si>
    <t>CapEx/Deprecn</t>
  </si>
  <si>
    <t>Acquisitions</t>
  </si>
  <si>
    <t>Net R&amp;D</t>
  </si>
  <si>
    <t>Net Cap Ex/Sales</t>
  </si>
  <si>
    <t>Net Cap Ex/ EBIT (1-t)</t>
  </si>
  <si>
    <t>Sales/ Invested Capital</t>
  </si>
  <si>
    <t>Expected EBIT Growth</t>
  </si>
  <si>
    <t>Advertising</t>
  </si>
  <si>
    <t>$12.26</t>
  </si>
  <si>
    <t>$6.17</t>
  </si>
  <si>
    <t>$15.70</t>
  </si>
  <si>
    <t>$1.95</t>
  </si>
  <si>
    <t>Aerospace/Defense</t>
  </si>
  <si>
    <t>$179.86</t>
  </si>
  <si>
    <t>$230.04</t>
  </si>
  <si>
    <t>$0.00</t>
  </si>
  <si>
    <t>$130.91</t>
  </si>
  <si>
    <t>Air Transport</t>
  </si>
  <si>
    <t>$522.14</t>
  </si>
  <si>
    <t>$907.27</t>
  </si>
  <si>
    <t>Apparel</t>
  </si>
  <si>
    <t>$1,319.16</t>
  </si>
  <si>
    <t>$1,037.40</t>
  </si>
  <si>
    <t>$18.02</t>
  </si>
  <si>
    <t>$19.95</t>
  </si>
  <si>
    <t>Auto &amp; Truck</t>
  </si>
  <si>
    <t>$2,055.74</t>
  </si>
  <si>
    <t>$4,078.64</t>
  </si>
  <si>
    <t>$103.40</t>
  </si>
  <si>
    <t>$106.73</t>
  </si>
  <si>
    <t>Auto Parts</t>
  </si>
  <si>
    <t>$1,610.95</t>
  </si>
  <si>
    <t>$1,354.44</t>
  </si>
  <si>
    <t>$188.83</t>
  </si>
  <si>
    <t>$14.64</t>
  </si>
  <si>
    <t>Bank (Money Center)</t>
  </si>
  <si>
    <t>$2,515.32</t>
  </si>
  <si>
    <t>$9.25</t>
  </si>
  <si>
    <t>NA</t>
  </si>
  <si>
    <t>$283.76</t>
  </si>
  <si>
    <t>Banks (Regional)</t>
  </si>
  <si>
    <t>$90.31</t>
  </si>
  <si>
    <t>Beverage (Alcoholic)</t>
  </si>
  <si>
    <t>$132.86</t>
  </si>
  <si>
    <t>$94.07</t>
  </si>
  <si>
    <t>$31.03</t>
  </si>
  <si>
    <t>$1.32</t>
  </si>
  <si>
    <t>Beverage (Soft)</t>
  </si>
  <si>
    <t>$1.59</t>
  </si>
  <si>
    <t>$70.09</t>
  </si>
  <si>
    <t>Broadcasting</t>
  </si>
  <si>
    <t>$182.51</t>
  </si>
  <si>
    <t>$165.61</t>
  </si>
  <si>
    <t>$4.95</t>
  </si>
  <si>
    <t>$0.04</t>
  </si>
  <si>
    <t>Brokerage &amp; Investment Banking</t>
  </si>
  <si>
    <t>$98.35</t>
  </si>
  <si>
    <t>$60.77</t>
  </si>
  <si>
    <t>$1.61</t>
  </si>
  <si>
    <t>$0.98</t>
  </si>
  <si>
    <t>Building Materials</t>
  </si>
  <si>
    <t>$294.06</t>
  </si>
  <si>
    <t>$132.09</t>
  </si>
  <si>
    <t>-$0.03</t>
  </si>
  <si>
    <t>$0.48</t>
  </si>
  <si>
    <t>Business &amp; Consumer Services</t>
  </si>
  <si>
    <t>$141.80</t>
  </si>
  <si>
    <t>$125.52</t>
  </si>
  <si>
    <t>-$26.31</t>
  </si>
  <si>
    <t>$0.08</t>
  </si>
  <si>
    <t>Cable TV</t>
  </si>
  <si>
    <t>$207.31</t>
  </si>
  <si>
    <t>$272.43</t>
  </si>
  <si>
    <t>-$0.43</t>
  </si>
  <si>
    <t>Chemical (Basic)</t>
  </si>
  <si>
    <t>$1,638.43</t>
  </si>
  <si>
    <t>$741.09</t>
  </si>
  <si>
    <t>$29.03</t>
  </si>
  <si>
    <t>$4.49</t>
  </si>
  <si>
    <t>Chemical (Diversified)</t>
  </si>
  <si>
    <t>$678.43</t>
  </si>
  <si>
    <t>$188.10</t>
  </si>
  <si>
    <t>$33.42</t>
  </si>
  <si>
    <t>$1.67</t>
  </si>
  <si>
    <t>Chemical (Specialty)</t>
  </si>
  <si>
    <t>$2,136.23</t>
  </si>
  <si>
    <t>$1,159.72</t>
  </si>
  <si>
    <t>$149.75</t>
  </si>
  <si>
    <t>-$8.03</t>
  </si>
  <si>
    <t>Coal &amp; Related Energy</t>
  </si>
  <si>
    <t>$1,808.80</t>
  </si>
  <si>
    <t>$550.30</t>
  </si>
  <si>
    <t>$0.79</t>
  </si>
  <si>
    <t>Computer Services</t>
  </si>
  <si>
    <t>$1,553.52</t>
  </si>
  <si>
    <t>$2,311.91</t>
  </si>
  <si>
    <t>$1,856.96</t>
  </si>
  <si>
    <t>-$15.58</t>
  </si>
  <si>
    <t>Computers/Peripherals</t>
  </si>
  <si>
    <t>$1.42</t>
  </si>
  <si>
    <t>$1.15</t>
  </si>
  <si>
    <t>Construction Supplies</t>
  </si>
  <si>
    <t>$4,110.00</t>
  </si>
  <si>
    <t>$2,184.75</t>
  </si>
  <si>
    <t>$89.39</t>
  </si>
  <si>
    <t>$18.40</t>
  </si>
  <si>
    <t>Diversified</t>
  </si>
  <si>
    <t>$164.44</t>
  </si>
  <si>
    <t>$222.02</t>
  </si>
  <si>
    <t>$9.23</t>
  </si>
  <si>
    <t>-$2.25</t>
  </si>
  <si>
    <t>Drugs (Biotechnology)</t>
  </si>
  <si>
    <t>$228.46</t>
  </si>
  <si>
    <t>$115.92</t>
  </si>
  <si>
    <t>$0.01</t>
  </si>
  <si>
    <t>-$106.19</t>
  </si>
  <si>
    <t>Drugs (Pharmaceutical)</t>
  </si>
  <si>
    <t>$2,186.78</t>
  </si>
  <si>
    <t>$1,565.34</t>
  </si>
  <si>
    <t>$407.01</t>
  </si>
  <si>
    <t>$93.17</t>
  </si>
  <si>
    <t>Education</t>
  </si>
  <si>
    <t>$9.19</t>
  </si>
  <si>
    <t>$17.79</t>
  </si>
  <si>
    <t>$4.21</t>
  </si>
  <si>
    <t>$0.30</t>
  </si>
  <si>
    <t>Electrical Equipment</t>
  </si>
  <si>
    <t>$563.66</t>
  </si>
  <si>
    <t>$356.55</t>
  </si>
  <si>
    <t>$32.25</t>
  </si>
  <si>
    <t>Electronics (Consumer &amp; Office)</t>
  </si>
  <si>
    <t>$57.40</t>
  </si>
  <si>
    <t>$14.18</t>
  </si>
  <si>
    <t>$0.42</t>
  </si>
  <si>
    <t>Electronics (General)</t>
  </si>
  <si>
    <t>$56.80</t>
  </si>
  <si>
    <t>$29.40</t>
  </si>
  <si>
    <t>$38.20</t>
  </si>
  <si>
    <t>$1.46</t>
  </si>
  <si>
    <t>Engineering/Construction</t>
  </si>
  <si>
    <t>$1,658.84</t>
  </si>
  <si>
    <t>$1,125.75</t>
  </si>
  <si>
    <t>$31.05</t>
  </si>
  <si>
    <t>$41.38</t>
  </si>
  <si>
    <t>Entertainment</t>
  </si>
  <si>
    <t>$108.20</t>
  </si>
  <si>
    <t>$238.99</t>
  </si>
  <si>
    <t>$14.46</t>
  </si>
  <si>
    <t>$0.23</t>
  </si>
  <si>
    <t>Environmental &amp; Waste Services</t>
  </si>
  <si>
    <t>$37.59</t>
  </si>
  <si>
    <t>$8.30</t>
  </si>
  <si>
    <t>$0.12</t>
  </si>
  <si>
    <t>Farming/Agriculture</t>
  </si>
  <si>
    <t>$161.96</t>
  </si>
  <si>
    <t>$119.34</t>
  </si>
  <si>
    <t>-$3.79</t>
  </si>
  <si>
    <t>$2.44</t>
  </si>
  <si>
    <t>Financial Svcs. (Non-bank &amp; Insurance)</t>
  </si>
  <si>
    <t>$906.48</t>
  </si>
  <si>
    <t>$620.98</t>
  </si>
  <si>
    <t>$287.92</t>
  </si>
  <si>
    <t>$0.36</t>
  </si>
  <si>
    <t>Food Processing</t>
  </si>
  <si>
    <t>$1,139.24</t>
  </si>
  <si>
    <t>$609.47</t>
  </si>
  <si>
    <t>$99.59</t>
  </si>
  <si>
    <t>$3.10</t>
  </si>
  <si>
    <t>Food Wholesalers</t>
  </si>
  <si>
    <t>$6.99</t>
  </si>
  <si>
    <t>$5.03</t>
  </si>
  <si>
    <t>Furn/Home Furnishings</t>
  </si>
  <si>
    <t>$205.16</t>
  </si>
  <si>
    <t>$125.41</t>
  </si>
  <si>
    <t>$258.56</t>
  </si>
  <si>
    <t>$0.72</t>
  </si>
  <si>
    <t>Green &amp; Renewable Energy</t>
  </si>
  <si>
    <t>$2,209.95</t>
  </si>
  <si>
    <t>$407.42</t>
  </si>
  <si>
    <t>$155.48</t>
  </si>
  <si>
    <t>$0.02</t>
  </si>
  <si>
    <t>Healthcare Products</t>
  </si>
  <si>
    <t>$28.86</t>
  </si>
  <si>
    <t>$8.56</t>
  </si>
  <si>
    <t>-$0.06</t>
  </si>
  <si>
    <t>Healthcare Support Services</t>
  </si>
  <si>
    <t>$58.57</t>
  </si>
  <si>
    <t>$48.62</t>
  </si>
  <si>
    <t>$139.30</t>
  </si>
  <si>
    <t>Heathcare Information and Technology</t>
  </si>
  <si>
    <t>$245.56</t>
  </si>
  <si>
    <t>$130.38</t>
  </si>
  <si>
    <t>-$5.96</t>
  </si>
  <si>
    <t>Homebuilding</t>
  </si>
  <si>
    <t>Hospitals/Healthcare Facilities</t>
  </si>
  <si>
    <t>$359.26</t>
  </si>
  <si>
    <t>$253.77</t>
  </si>
  <si>
    <t>$37.39</t>
  </si>
  <si>
    <t>-$0.23</t>
  </si>
  <si>
    <t>Hotel/Gaming</t>
  </si>
  <si>
    <t>$148.64</t>
  </si>
  <si>
    <t>$218.18</t>
  </si>
  <si>
    <t>$2.83</t>
  </si>
  <si>
    <t>-$0.29</t>
  </si>
  <si>
    <t>Household Products</t>
  </si>
  <si>
    <t>$349.27</t>
  </si>
  <si>
    <t>$289.44</t>
  </si>
  <si>
    <t>$7.23</t>
  </si>
  <si>
    <t>Information Services</t>
  </si>
  <si>
    <t>$242.61</t>
  </si>
  <si>
    <t>$190.99</t>
  </si>
  <si>
    <t>$152.81</t>
  </si>
  <si>
    <t>$0.80</t>
  </si>
  <si>
    <t>Insurance (General)</t>
  </si>
  <si>
    <t>$22.01</t>
  </si>
  <si>
    <t>$20.84</t>
  </si>
  <si>
    <t>Insurance (Life)</t>
  </si>
  <si>
    <t>$159.36</t>
  </si>
  <si>
    <t>-$1,789.21</t>
  </si>
  <si>
    <t>Insurance (Prop/Cas.)</t>
  </si>
  <si>
    <t>$20.02</t>
  </si>
  <si>
    <t>$7.80</t>
  </si>
  <si>
    <t>Investments &amp; Asset Management</t>
  </si>
  <si>
    <t>$123.97</t>
  </si>
  <si>
    <t>$152.52</t>
  </si>
  <si>
    <t>Machinery</t>
  </si>
  <si>
    <t>$364.85</t>
  </si>
  <si>
    <t>$282.71</t>
  </si>
  <si>
    <t>$47.93</t>
  </si>
  <si>
    <t>-$203.97</t>
  </si>
  <si>
    <t>Metals &amp; Mining</t>
  </si>
  <si>
    <t>$3,290.71</t>
  </si>
  <si>
    <t>$2,544.55</t>
  </si>
  <si>
    <t>$50.60</t>
  </si>
  <si>
    <t>$2.43</t>
  </si>
  <si>
    <t>Office Equipment &amp; Services</t>
  </si>
  <si>
    <t>$11.14</t>
  </si>
  <si>
    <t>$8.62</t>
  </si>
  <si>
    <t>Oil/Gas (Integrated)</t>
  </si>
  <si>
    <t>$5,441.30</t>
  </si>
  <si>
    <t>$3,108.80</t>
  </si>
  <si>
    <t>$6.76</t>
  </si>
  <si>
    <t>Oil/Gas (Production and Exploration)</t>
  </si>
  <si>
    <t>$984.04</t>
  </si>
  <si>
    <t>$356.79</t>
  </si>
  <si>
    <t>$3.40</t>
  </si>
  <si>
    <t>Oil/Gas Distribution</t>
  </si>
  <si>
    <t>$175.25</t>
  </si>
  <si>
    <t>$308.00</t>
  </si>
  <si>
    <t>$24.60</t>
  </si>
  <si>
    <t>Oilfield Svcs/Equip.</t>
  </si>
  <si>
    <t>$20,972.77</t>
  </si>
  <si>
    <t>$7,314.32</t>
  </si>
  <si>
    <t>$303.30</t>
  </si>
  <si>
    <t>$20.55</t>
  </si>
  <si>
    <t>Packaging &amp; Container</t>
  </si>
  <si>
    <t>$496.73</t>
  </si>
  <si>
    <t>$241.20</t>
  </si>
  <si>
    <t>-$0.02</t>
  </si>
  <si>
    <t>$0.71</t>
  </si>
  <si>
    <t>Paper/Forest Products</t>
  </si>
  <si>
    <t>$383.41</t>
  </si>
  <si>
    <t>$200.15</t>
  </si>
  <si>
    <t>$6.63</t>
  </si>
  <si>
    <t>$0.81</t>
  </si>
  <si>
    <t>Power</t>
  </si>
  <si>
    <t>$9,577.58</t>
  </si>
  <si>
    <t>$6,046.04</t>
  </si>
  <si>
    <t>$136.30</t>
  </si>
  <si>
    <t>$11.25</t>
  </si>
  <si>
    <t>Precious Metals</t>
  </si>
  <si>
    <t>Publishing &amp; Newspapers</t>
  </si>
  <si>
    <t>$22.61</t>
  </si>
  <si>
    <t>$66.91</t>
  </si>
  <si>
    <t>$5.00</t>
  </si>
  <si>
    <t>$0.10</t>
  </si>
  <si>
    <t>R.E.I.T.</t>
  </si>
  <si>
    <t>$221.10</t>
  </si>
  <si>
    <t>$167.40</t>
  </si>
  <si>
    <t>Real Estate (Development)</t>
  </si>
  <si>
    <t>$458.40</t>
  </si>
  <si>
    <t>$132.47</t>
  </si>
  <si>
    <t>-$1.07</t>
  </si>
  <si>
    <t>$0.22</t>
  </si>
  <si>
    <t>Real Estate (General/Diversified)</t>
  </si>
  <si>
    <t>$43.76</t>
  </si>
  <si>
    <t>$91.66</t>
  </si>
  <si>
    <t>$114.00</t>
  </si>
  <si>
    <t>$0.07</t>
  </si>
  <si>
    <t>Real Estate (Operations &amp; Services)</t>
  </si>
  <si>
    <t>$2.45</t>
  </si>
  <si>
    <t>$24.22</t>
  </si>
  <si>
    <t>Recreation</t>
  </si>
  <si>
    <t>$3.55</t>
  </si>
  <si>
    <t>$18.69</t>
  </si>
  <si>
    <t>Reinsurance</t>
  </si>
  <si>
    <t>$2.48</t>
  </si>
  <si>
    <t>Restaurant/Dining</t>
  </si>
  <si>
    <t>$238.22</t>
  </si>
  <si>
    <t>$197.71</t>
  </si>
  <si>
    <t>$96.36</t>
  </si>
  <si>
    <t>Retail (Automotive)</t>
  </si>
  <si>
    <t>$2.09</t>
  </si>
  <si>
    <t>$2.96</t>
  </si>
  <si>
    <t>Retail (Building Supply)</t>
  </si>
  <si>
    <t>$5.16</t>
  </si>
  <si>
    <t>$6.35</t>
  </si>
  <si>
    <t>Retail (Distributors)</t>
  </si>
  <si>
    <t>$1,877.35</t>
  </si>
  <si>
    <t>$270.20</t>
  </si>
  <si>
    <t>$66.36</t>
  </si>
  <si>
    <t>$0.03</t>
  </si>
  <si>
    <t>Retail (General)</t>
  </si>
  <si>
    <t>$37.17</t>
  </si>
  <si>
    <t>$304.18</t>
  </si>
  <si>
    <t>Retail (Grocery and Food)</t>
  </si>
  <si>
    <t>$290.52</t>
  </si>
  <si>
    <t>$72.55</t>
  </si>
  <si>
    <t>Retail (Online)</t>
  </si>
  <si>
    <t>$35.31</t>
  </si>
  <si>
    <t>$47.83</t>
  </si>
  <si>
    <t>$26.27</t>
  </si>
  <si>
    <t>$0.43</t>
  </si>
  <si>
    <t>Retail (Special Lines)</t>
  </si>
  <si>
    <t>$130.68</t>
  </si>
  <si>
    <t>$208.64</t>
  </si>
  <si>
    <t>-$0.12</t>
  </si>
  <si>
    <t>$0.14</t>
  </si>
  <si>
    <t>Rubber&amp; Tires</t>
  </si>
  <si>
    <t>$867.08</t>
  </si>
  <si>
    <t>$510.81</t>
  </si>
  <si>
    <t>$2.46</t>
  </si>
  <si>
    <t>Semiconductor</t>
  </si>
  <si>
    <t>$11.17</t>
  </si>
  <si>
    <t>$3.60</t>
  </si>
  <si>
    <t>$0.05</t>
  </si>
  <si>
    <t>Semiconductor Equip</t>
  </si>
  <si>
    <t>$59.90</t>
  </si>
  <si>
    <t>$5.22</t>
  </si>
  <si>
    <t>Shipbuilding &amp; Marine</t>
  </si>
  <si>
    <t>$931.37</t>
  </si>
  <si>
    <t>$501.20</t>
  </si>
  <si>
    <t>$186.80</t>
  </si>
  <si>
    <t>Shoe</t>
  </si>
  <si>
    <t>$59.26</t>
  </si>
  <si>
    <t>$69.01</t>
  </si>
  <si>
    <t>$0.39</t>
  </si>
  <si>
    <t>Software (Entertainment)</t>
  </si>
  <si>
    <t>$10.95</t>
  </si>
  <si>
    <t>$48.87</t>
  </si>
  <si>
    <t>$12.31</t>
  </si>
  <si>
    <t>$1.24</t>
  </si>
  <si>
    <t>Software (Internet)</t>
  </si>
  <si>
    <t>$2.84</t>
  </si>
  <si>
    <t>$2.61</t>
  </si>
  <si>
    <t>Software (System &amp; Application)</t>
  </si>
  <si>
    <t>$144.43</t>
  </si>
  <si>
    <t>$159.71</t>
  </si>
  <si>
    <t>$196.19</t>
  </si>
  <si>
    <t>$32.92</t>
  </si>
  <si>
    <t>Steel</t>
  </si>
  <si>
    <t>$6,002.26</t>
  </si>
  <si>
    <t>$3,615.02</t>
  </si>
  <si>
    <t>$1,294.38</t>
  </si>
  <si>
    <t>$53.60</t>
  </si>
  <si>
    <t>Telecom (Wireless)</t>
  </si>
  <si>
    <t>$3,793.33</t>
  </si>
  <si>
    <t>$7,141.80</t>
  </si>
  <si>
    <t>Telecom. Equipment</t>
  </si>
  <si>
    <t>$99.48</t>
  </si>
  <si>
    <t>$74.33</t>
  </si>
  <si>
    <t>$29.49</t>
  </si>
  <si>
    <t>$12.54</t>
  </si>
  <si>
    <t>Telecom. Services</t>
  </si>
  <si>
    <t>$631.69</t>
  </si>
  <si>
    <t>$1,110.92</t>
  </si>
  <si>
    <t>$2.18</t>
  </si>
  <si>
    <t>$1.54</t>
  </si>
  <si>
    <t>Tobacco</t>
  </si>
  <si>
    <t>$394.27</t>
  </si>
  <si>
    <t>$243.62</t>
  </si>
  <si>
    <t>$8.76</t>
  </si>
  <si>
    <t>Transportation</t>
  </si>
  <si>
    <t>$412.61</t>
  </si>
  <si>
    <t>$335.01</t>
  </si>
  <si>
    <t>$4.78</t>
  </si>
  <si>
    <t>-$0.05</t>
  </si>
  <si>
    <t>Transportation (Railroads)</t>
  </si>
  <si>
    <t>$69.80</t>
  </si>
  <si>
    <t>$68.20</t>
  </si>
  <si>
    <t>Trucking</t>
  </si>
  <si>
    <t>$39.14</t>
  </si>
  <si>
    <t>$24.74</t>
  </si>
  <si>
    <t>Utility (General)</t>
  </si>
  <si>
    <t>Utility (Water)</t>
  </si>
  <si>
    <t>$0.33</t>
  </si>
  <si>
    <t>$1.26</t>
  </si>
  <si>
    <t>Total Market</t>
  </si>
  <si>
    <t>$91,128.20</t>
  </si>
  <si>
    <t>$56,787.85</t>
  </si>
  <si>
    <t>$7,200.64</t>
  </si>
  <si>
    <t>$290.69</t>
  </si>
  <si>
    <t>Total Market (without financials)</t>
  </si>
  <si>
    <t>$87,192.38</t>
  </si>
  <si>
    <t>$57,704.90</t>
  </si>
  <si>
    <t>$6,627.34</t>
  </si>
  <si>
    <t>$288.55</t>
  </si>
  <si>
    <t>Calculation Of PV of FCFF</t>
  </si>
  <si>
    <t>Free Cash Flow to Firm</t>
  </si>
  <si>
    <t>Mid Year Convention</t>
  </si>
  <si>
    <t>Discouning Factor</t>
  </si>
  <si>
    <t>PV of FCFF</t>
  </si>
  <si>
    <t>Expected Growth Rate</t>
  </si>
  <si>
    <t>Terminal Growth Rate</t>
  </si>
  <si>
    <t>WACC</t>
  </si>
  <si>
    <t>FCFF(n + 1)</t>
  </si>
  <si>
    <t>Calculation of Terminal Value</t>
  </si>
  <si>
    <t>Terminal Value</t>
  </si>
  <si>
    <t>Calculation of Equity Value per Share</t>
  </si>
  <si>
    <t>PV of Terminal Value</t>
  </si>
  <si>
    <t>Value of Operating Assets</t>
  </si>
  <si>
    <t>Cash</t>
  </si>
  <si>
    <t>Value of Equity</t>
  </si>
  <si>
    <t>No. of Shares</t>
  </si>
  <si>
    <t>Equity Value</t>
  </si>
  <si>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</si>
  <si>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</si>
  <si>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</si>
  <si>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r>
      <t>No. Eq. Shares </t>
    </r>
    <r>
      <rPr>
        <sz val="11"/>
        <color rgb="FF737373"/>
        <rFont val="Arial"/>
        <family val="2"/>
      </rPr>
      <t>Cr.</t>
    </r>
  </si>
  <si>
    <r>
      <t>Debt </t>
    </r>
    <r>
      <rPr>
        <sz val="11"/>
        <color rgb="FF737373"/>
        <rFont val="Arial"/>
        <family val="2"/>
      </rPr>
      <t>Rs.Cr.</t>
    </r>
  </si>
  <si>
    <r>
      <t>Cash End </t>
    </r>
    <r>
      <rPr>
        <sz val="11"/>
        <color rgb="FF737373"/>
        <rFont val="Arial"/>
        <family val="2"/>
      </rPr>
      <t>Rs.Cr.</t>
    </r>
  </si>
  <si>
    <r>
      <t>EV </t>
    </r>
    <r>
      <rPr>
        <sz val="11"/>
        <color rgb="FF737373"/>
        <rFont val="Arial"/>
        <family val="2"/>
      </rPr>
      <t>Rs.Cr.</t>
    </r>
  </si>
  <si>
    <r>
      <t>Sales </t>
    </r>
    <r>
      <rPr>
        <sz val="11"/>
        <color rgb="FF737373"/>
        <rFont val="Arial"/>
        <family val="2"/>
      </rPr>
      <t>Rs.Cr.</t>
    </r>
  </si>
  <si>
    <t>EV / EBITDA</t>
  </si>
  <si>
    <r>
      <t>Mar Cap </t>
    </r>
    <r>
      <rPr>
        <sz val="11"/>
        <color rgb="FF737373"/>
        <rFont val="Arial"/>
        <family val="2"/>
      </rPr>
      <t>Rs.Cr.</t>
    </r>
  </si>
  <si>
    <t>Hindustan Foods</t>
  </si>
  <si>
    <t>Godavari Bioref.</t>
  </si>
  <si>
    <t>Davangere Sugar</t>
  </si>
  <si>
    <t>Median: 5 Co.</t>
  </si>
  <si>
    <t>Company</t>
  </si>
  <si>
    <t>Ticker</t>
  </si>
  <si>
    <t>Share Price</t>
  </si>
  <si>
    <t>Share Outstanding</t>
  </si>
  <si>
    <t>Net Debt</t>
  </si>
  <si>
    <t>Enterprise Value</t>
  </si>
  <si>
    <t>Revenue</t>
  </si>
  <si>
    <t>Net Income</t>
  </si>
  <si>
    <t>EV/Revenue</t>
  </si>
  <si>
    <t>EV/EBITDA</t>
  </si>
  <si>
    <t>P/E</t>
  </si>
  <si>
    <t>Market Data</t>
  </si>
  <si>
    <t>Financials</t>
  </si>
  <si>
    <t>Valuation</t>
  </si>
  <si>
    <r>
      <t>NP 12M </t>
    </r>
    <r>
      <rPr>
        <sz val="11"/>
        <color rgb="FF737373"/>
        <rFont val="Arial"/>
        <family val="2"/>
      </rPr>
      <t>Rs.Cr.</t>
    </r>
  </si>
  <si>
    <t>Comparable Company Valuation</t>
  </si>
  <si>
    <t>High</t>
  </si>
  <si>
    <t>75th Percentile</t>
  </si>
  <si>
    <t>Average</t>
  </si>
  <si>
    <t>25th Percentile</t>
  </si>
  <si>
    <t>Low</t>
  </si>
  <si>
    <t>ITC Comparable Valuation</t>
  </si>
  <si>
    <t>Implied Enterprise Value</t>
  </si>
  <si>
    <t>Implied Market Value</t>
  </si>
  <si>
    <t>Shares Outstanding</t>
  </si>
  <si>
    <t>Implied Value Per Share</t>
  </si>
  <si>
    <t xml:space="preserve"> </t>
  </si>
  <si>
    <t>Sensitivity Analysis for Enterprise Value</t>
  </si>
  <si>
    <t>Sensitivity Analysis for Equity Value</t>
  </si>
  <si>
    <t>Football Field Analysis</t>
  </si>
  <si>
    <t>OpenLow</t>
  </si>
  <si>
    <t>OpenHigh</t>
  </si>
  <si>
    <t>Comps</t>
  </si>
  <si>
    <t>DCF Bear</t>
  </si>
  <si>
    <t>DCF Base</t>
  </si>
  <si>
    <t>DCF Bull</t>
  </si>
  <si>
    <t>52W H/L</t>
  </si>
  <si>
    <t>Returns</t>
  </si>
  <si>
    <t>Sorted Return</t>
  </si>
  <si>
    <t>Calculation of Value At Risk - ITC</t>
  </si>
  <si>
    <t>Mean</t>
  </si>
  <si>
    <t>Std. Dev.</t>
  </si>
  <si>
    <t>Min</t>
  </si>
  <si>
    <t>Max</t>
  </si>
  <si>
    <t>CMP</t>
  </si>
  <si>
    <t>Percentile</t>
  </si>
  <si>
    <t>Confidence</t>
  </si>
  <si>
    <t>VAR%</t>
  </si>
  <si>
    <t>Stock Price</t>
  </si>
  <si>
    <t>VAR(INR)</t>
  </si>
  <si>
    <t>Replication</t>
  </si>
  <si>
    <t>Simulated Returns</t>
  </si>
  <si>
    <t>Forecasting - ITC LTD</t>
  </si>
  <si>
    <r>
      <t>Tax Rate</t>
    </r>
    <r>
      <rPr>
        <b/>
        <vertAlign val="superscript"/>
        <sz val="11"/>
        <color theme="1"/>
        <rFont val="Calibri"/>
        <family val="2"/>
      </rPr>
      <t xml:space="preserve"> 1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</si>
  <si>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</si>
  <si>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3</t>
    </r>
  </si>
  <si>
    <t>Weighted Average Cost of Capital</t>
  </si>
  <si>
    <t>SVAR</t>
  </si>
  <si>
    <t>VAR</t>
  </si>
  <si>
    <t>Intrinsic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</si>
</sst>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mmmm\ yyyy"/>
    <numFmt numFmtId="167" formatCode="&quot;₹&quot;\ #,##0.0"/>
    <numFmt numFmtId="168" formatCode="&quot;₹&quot;\ #,##0.00"/>
    <numFmt numFmtId="169" formatCode="&quot;₹&quot;\ #,##0.0;\(&quot;₹&quot;\ #,##0.0\)"/>
    <numFmt numFmtId="170" formatCode="0.00&quot;x&quot;"/>
    <numFmt numFmtId="171" formatCode="0&quot; days&quot;"/>
    <numFmt numFmtId="172" formatCode="0.00\ &quot;x&quot;"/>
    <numFmt numFmtId="173" formatCode="yyyy&quot;A&quot;"/>
    <numFmt numFmtId="174" formatCode="yyyy&quot;E&quot;"/>
    <numFmt numFmtId="175" formatCode="0.000%"/>
    <numFmt numFmtId="176" formatCode="[$-409]mmm/yy;@"/>
    <numFmt numFmtId="177" formatCode="mmm/yy;@"/>
    <numFmt numFmtId="178" formatCode="0.0\x"/>
    <numFmt numFmtId="179" formatCode="mmm\ yyyy"/>
    <numFmt numFmtId="180" formatCode="mmm/yyyy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4" tint="-0.249977111117893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606F7B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8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</font>
    <font>
      <b/>
      <sz val="22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0"/>
      <name val="Calibri"/>
      <family val="2"/>
    </font>
    <font>
      <b/>
      <sz val="16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dotted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65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2" fillId="6" borderId="0" xfId="0" applyFont="1" applyFill="1"/>
    <xf numFmtId="10" fontId="0" fillId="0" borderId="0" xfId="6" applyNumberFormat="1" applyFont="1"/>
    <xf numFmtId="0" fontId="0" fillId="7" borderId="0" xfId="0" applyFill="1"/>
    <xf numFmtId="0" fontId="0" fillId="10" borderId="0" xfId="0" applyFill="1"/>
    <xf numFmtId="17" fontId="10" fillId="10" borderId="1" xfId="0" applyNumberFormat="1" applyFont="1" applyFill="1" applyBorder="1" applyAlignment="1">
      <alignment horizontal="right" vertical="center" wrapText="1"/>
    </xf>
    <xf numFmtId="0" fontId="11" fillId="11" borderId="2" xfId="0" applyFont="1" applyFill="1" applyBorder="1" applyAlignment="1">
      <alignment horizontal="left" vertical="center" indent="2"/>
    </xf>
    <xf numFmtId="3" fontId="11" fillId="11" borderId="2" xfId="0" applyNumberFormat="1" applyFont="1" applyFill="1" applyBorder="1" applyAlignment="1">
      <alignment horizontal="right" vertical="center" wrapText="1"/>
    </xf>
    <xf numFmtId="0" fontId="11" fillId="11" borderId="2" xfId="0" applyFont="1" applyFill="1" applyBorder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3" fontId="13" fillId="11" borderId="0" xfId="0" applyNumberFormat="1" applyFont="1" applyFill="1" applyAlignment="1">
      <alignment horizontal="right" vertical="center" wrapText="1"/>
    </xf>
    <xf numFmtId="0" fontId="13" fillId="11" borderId="0" xfId="0" applyFont="1" applyFill="1" applyAlignment="1">
      <alignment horizontal="right" vertical="center" wrapText="1"/>
    </xf>
    <xf numFmtId="0" fontId="11" fillId="11" borderId="2" xfId="0" applyFont="1" applyFill="1" applyBorder="1" applyAlignment="1">
      <alignment horizontal="right" vertical="center" wrapText="1"/>
    </xf>
    <xf numFmtId="0" fontId="11" fillId="10" borderId="2" xfId="0" applyFont="1" applyFill="1" applyBorder="1" applyAlignment="1">
      <alignment horizontal="left" vertical="center" indent="2"/>
    </xf>
    <xf numFmtId="3" fontId="11" fillId="10" borderId="2" xfId="0" applyNumberFormat="1" applyFont="1" applyFill="1" applyBorder="1" applyAlignment="1">
      <alignment horizontal="right" vertical="center" wrapText="1"/>
    </xf>
    <xf numFmtId="0" fontId="11" fillId="10" borderId="2" xfId="0" applyFont="1" applyFill="1" applyBorder="1" applyAlignment="1">
      <alignment horizontal="right" vertical="center" wrapText="1"/>
    </xf>
    <xf numFmtId="0" fontId="13" fillId="10" borderId="0" xfId="0" applyFont="1" applyFill="1" applyAlignment="1">
      <alignment horizontal="left" vertical="center"/>
    </xf>
    <xf numFmtId="3" fontId="13" fillId="10" borderId="0" xfId="0" applyNumberFormat="1" applyFont="1" applyFill="1" applyAlignment="1">
      <alignment horizontal="right" vertical="center" wrapText="1"/>
    </xf>
    <xf numFmtId="0" fontId="13" fillId="10" borderId="0" xfId="0" applyFont="1" applyFill="1" applyAlignment="1">
      <alignment horizontal="right" vertical="center" wrapText="1"/>
    </xf>
    <xf numFmtId="0" fontId="0" fillId="0" borderId="3" xfId="0" applyBorder="1"/>
    <xf numFmtId="10" fontId="0" fillId="0" borderId="3" xfId="0" applyNumberFormat="1" applyBorder="1"/>
    <xf numFmtId="173" fontId="0" fillId="7" borderId="0" xfId="0" applyNumberFormat="1" applyFill="1" applyAlignment="1">
      <alignment horizontal="center"/>
    </xf>
    <xf numFmtId="174" fontId="0" fillId="7" borderId="0" xfId="0" applyNumberFormat="1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16" fillId="0" borderId="0" xfId="0" applyFont="1"/>
    <xf numFmtId="10" fontId="16" fillId="0" borderId="0" xfId="0" applyNumberFormat="1" applyFont="1"/>
    <xf numFmtId="2" fontId="0" fillId="0" borderId="0" xfId="0" applyNumberFormat="1"/>
    <xf numFmtId="10" fontId="0" fillId="0" borderId="5" xfId="0" applyNumberFormat="1" applyBorder="1"/>
    <xf numFmtId="10" fontId="0" fillId="0" borderId="5" xfId="6" applyNumberFormat="1" applyFont="1" applyBorder="1"/>
    <xf numFmtId="2" fontId="0" fillId="0" borderId="5" xfId="0" applyNumberFormat="1" applyBorder="1"/>
    <xf numFmtId="10" fontId="0" fillId="0" borderId="6" xfId="0" applyNumberFormat="1" applyBorder="1"/>
    <xf numFmtId="10" fontId="0" fillId="0" borderId="6" xfId="6" applyNumberFormat="1" applyFont="1" applyBorder="1"/>
    <xf numFmtId="2" fontId="0" fillId="0" borderId="6" xfId="0" applyNumberFormat="1" applyBorder="1"/>
    <xf numFmtId="0" fontId="17" fillId="0" borderId="6" xfId="0" applyFont="1" applyBorder="1"/>
    <xf numFmtId="9" fontId="16" fillId="0" borderId="0" xfId="0" applyNumberFormat="1" applyFont="1"/>
    <xf numFmtId="0" fontId="18" fillId="0" borderId="6" xfId="0" applyFont="1" applyBorder="1" applyAlignment="1">
      <alignment horizontal="right"/>
    </xf>
    <xf numFmtId="10" fontId="16" fillId="0" borderId="0" xfId="6" applyNumberFormat="1" applyFont="1"/>
    <xf numFmtId="175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4" fillId="0" borderId="0" xfId="0" applyFont="1"/>
    <xf numFmtId="14" fontId="0" fillId="0" borderId="0" xfId="0" applyNumberFormat="1"/>
    <xf numFmtId="4" fontId="0" fillId="0" borderId="0" xfId="0" applyNumberFormat="1"/>
    <xf numFmtId="17" fontId="10" fillId="10" borderId="0" xfId="0" applyNumberFormat="1" applyFont="1" applyFill="1" applyAlignment="1">
      <alignment horizontal="right" vertical="center" wrapText="1"/>
    </xf>
    <xf numFmtId="17" fontId="22" fillId="10" borderId="6" xfId="0" applyNumberFormat="1" applyFont="1" applyFill="1" applyBorder="1" applyAlignment="1">
      <alignment horizontal="left" vertical="top" wrapText="1"/>
    </xf>
    <xf numFmtId="17" fontId="10" fillId="10" borderId="6" xfId="0" applyNumberFormat="1" applyFont="1" applyFill="1" applyBorder="1" applyAlignment="1">
      <alignment horizontal="left" vertical="top" wrapText="1"/>
    </xf>
    <xf numFmtId="0" fontId="0" fillId="10" borderId="6" xfId="0" applyFill="1" applyBorder="1" applyAlignment="1">
      <alignment horizontal="left" vertical="top"/>
    </xf>
    <xf numFmtId="0" fontId="11" fillId="11" borderId="0" xfId="0" applyFont="1" applyFill="1" applyAlignment="1">
      <alignment horizontal="left" vertical="center" indent="2"/>
    </xf>
    <xf numFmtId="0" fontId="11" fillId="11" borderId="0" xfId="0" applyFont="1" applyFill="1" applyAlignment="1">
      <alignment horizontal="right" vertical="center" wrapText="1"/>
    </xf>
    <xf numFmtId="3" fontId="11" fillId="11" borderId="0" xfId="0" applyNumberFormat="1" applyFont="1" applyFill="1" applyAlignment="1">
      <alignment horizontal="right" vertical="center" wrapText="1"/>
    </xf>
    <xf numFmtId="0" fontId="11" fillId="10" borderId="0" xfId="0" applyFont="1" applyFill="1" applyAlignment="1">
      <alignment horizontal="left" vertical="center" indent="2"/>
    </xf>
    <xf numFmtId="3" fontId="11" fillId="10" borderId="0" xfId="0" applyNumberFormat="1" applyFont="1" applyFill="1" applyAlignment="1">
      <alignment horizontal="right" vertical="center" wrapText="1"/>
    </xf>
    <xf numFmtId="0" fontId="11" fillId="11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right" vertical="center" wrapText="1"/>
    </xf>
    <xf numFmtId="0" fontId="11" fillId="10" borderId="2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right" vertical="center" wrapText="1"/>
    </xf>
    <xf numFmtId="17" fontId="23" fillId="10" borderId="1" xfId="0" applyNumberFormat="1" applyFont="1" applyFill="1" applyBorder="1" applyAlignment="1">
      <alignment horizontal="right" vertical="center" wrapText="1"/>
    </xf>
    <xf numFmtId="0" fontId="24" fillId="11" borderId="2" xfId="0" applyFont="1" applyFill="1" applyBorder="1" applyAlignment="1">
      <alignment horizontal="left" vertical="center" indent="2"/>
    </xf>
    <xf numFmtId="3" fontId="24" fillId="11" borderId="2" xfId="0" applyNumberFormat="1" applyFont="1" applyFill="1" applyBorder="1" applyAlignment="1">
      <alignment horizontal="right" vertical="center" wrapText="1"/>
    </xf>
    <xf numFmtId="0" fontId="24" fillId="11" borderId="2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right" vertical="center" wrapText="1"/>
    </xf>
    <xf numFmtId="0" fontId="24" fillId="10" borderId="2" xfId="0" applyFont="1" applyFill="1" applyBorder="1" applyAlignment="1">
      <alignment horizontal="left" vertical="center" indent="2"/>
    </xf>
    <xf numFmtId="3" fontId="24" fillId="10" borderId="2" xfId="0" applyNumberFormat="1" applyFont="1" applyFill="1" applyBorder="1" applyAlignment="1">
      <alignment horizontal="right" vertical="center" wrapText="1"/>
    </xf>
    <xf numFmtId="0" fontId="24" fillId="10" borderId="2" xfId="0" applyFont="1" applyFill="1" applyBorder="1" applyAlignment="1">
      <alignment horizontal="right" vertical="center" wrapText="1"/>
    </xf>
    <xf numFmtId="0" fontId="1" fillId="0" borderId="5" xfId="0" applyFont="1" applyBorder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25" fillId="12" borderId="0" xfId="0" applyFont="1" applyFill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10" fontId="0" fillId="0" borderId="10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wrapText="1"/>
    </xf>
    <xf numFmtId="10" fontId="0" fillId="0" borderId="11" xfId="0" applyNumberForma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10" fontId="1" fillId="0" borderId="10" xfId="0" applyNumberFormat="1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center" wrapText="1"/>
    </xf>
    <xf numFmtId="10" fontId="1" fillId="0" borderId="11" xfId="0" applyNumberFormat="1" applyFont="1" applyBorder="1" applyAlignment="1">
      <alignment wrapText="1"/>
    </xf>
    <xf numFmtId="0" fontId="1" fillId="0" borderId="3" xfId="0" applyFont="1" applyBorder="1"/>
    <xf numFmtId="10" fontId="1" fillId="0" borderId="5" xfId="6" applyNumberFormat="1" applyFont="1" applyBorder="1"/>
    <xf numFmtId="10" fontId="1" fillId="0" borderId="3" xfId="6" applyNumberFormat="1" applyFont="1" applyBorder="1"/>
    <xf numFmtId="9" fontId="1" fillId="0" borderId="3" xfId="0" applyNumberFormat="1" applyFont="1" applyBorder="1"/>
    <xf numFmtId="2" fontId="1" fillId="0" borderId="3" xfId="0" applyNumberFormat="1" applyFont="1" applyBorder="1"/>
    <xf numFmtId="0" fontId="1" fillId="13" borderId="0" xfId="0" applyFont="1" applyFill="1"/>
    <xf numFmtId="0" fontId="26" fillId="10" borderId="1" xfId="0" applyFont="1" applyFill="1" applyBorder="1" applyAlignment="1">
      <alignment horizontal="left" vertical="center" indent="2"/>
    </xf>
    <xf numFmtId="0" fontId="26" fillId="10" borderId="1" xfId="0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right" vertical="center" wrapText="1"/>
    </xf>
    <xf numFmtId="0" fontId="4" fillId="11" borderId="0" xfId="2" applyFill="1" applyAlignment="1" applyProtection="1">
      <alignment horizontal="left" vertical="center"/>
    </xf>
    <xf numFmtId="0" fontId="28" fillId="10" borderId="0" xfId="0" applyFont="1" applyFill="1" applyAlignment="1">
      <alignment horizontal="left" vertical="center" indent="2"/>
    </xf>
    <xf numFmtId="0" fontId="28" fillId="10" borderId="0" xfId="0" applyFont="1" applyFill="1" applyAlignment="1">
      <alignment horizontal="left" vertical="center"/>
    </xf>
    <xf numFmtId="0" fontId="4" fillId="10" borderId="0" xfId="2" applyFill="1" applyAlignment="1" applyProtection="1">
      <alignment horizontal="left" vertical="center"/>
    </xf>
    <xf numFmtId="0" fontId="28" fillId="10" borderId="0" xfId="0" applyFont="1" applyFill="1" applyAlignment="1">
      <alignment horizontal="right" vertical="center" wrapText="1"/>
    </xf>
    <xf numFmtId="0" fontId="28" fillId="10" borderId="0" xfId="0" applyFont="1" applyFill="1" applyAlignment="1">
      <alignment horizontal="right" vertical="center" wrapText="1" indent="2"/>
    </xf>
    <xf numFmtId="0" fontId="26" fillId="10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29" fillId="0" borderId="0" xfId="0" applyFont="1"/>
    <xf numFmtId="169" fontId="29" fillId="0" borderId="0" xfId="0" applyNumberFormat="1" applyFont="1"/>
    <xf numFmtId="167" fontId="29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right"/>
    </xf>
    <xf numFmtId="10" fontId="30" fillId="0" borderId="0" xfId="6" applyNumberFormat="1" applyFont="1"/>
    <xf numFmtId="168" fontId="29" fillId="0" borderId="0" xfId="0" applyNumberFormat="1" applyFont="1"/>
    <xf numFmtId="167" fontId="29" fillId="0" borderId="0" xfId="0" applyNumberFormat="1" applyFont="1" applyAlignment="1">
      <alignment horizontal="right"/>
    </xf>
    <xf numFmtId="10" fontId="29" fillId="0" borderId="0" xfId="6" applyNumberFormat="1" applyFont="1"/>
    <xf numFmtId="43" fontId="29" fillId="0" borderId="0" xfId="1" applyFont="1" applyBorder="1"/>
    <xf numFmtId="43" fontId="31" fillId="0" borderId="0" xfId="1" applyFont="1" applyBorder="1"/>
    <xf numFmtId="167" fontId="31" fillId="0" borderId="0" xfId="0" applyNumberFormat="1" applyFont="1"/>
    <xf numFmtId="43" fontId="31" fillId="0" borderId="0" xfId="1" applyFont="1" applyFill="1" applyBorder="1"/>
    <xf numFmtId="0" fontId="31" fillId="0" borderId="0" xfId="0" applyFont="1"/>
    <xf numFmtId="169" fontId="31" fillId="0" borderId="0" xfId="0" applyNumberFormat="1" applyFont="1"/>
    <xf numFmtId="0" fontId="32" fillId="6" borderId="0" xfId="0" applyFont="1" applyFill="1"/>
    <xf numFmtId="179" fontId="32" fillId="6" borderId="0" xfId="0" applyNumberFormat="1" applyFont="1" applyFill="1"/>
    <xf numFmtId="166" fontId="32" fillId="6" borderId="0" xfId="0" applyNumberFormat="1" applyFont="1" applyFill="1" applyAlignment="1">
      <alignment horizontal="right"/>
    </xf>
    <xf numFmtId="0" fontId="32" fillId="7" borderId="0" xfId="0" applyFont="1" applyFill="1"/>
    <xf numFmtId="166" fontId="32" fillId="7" borderId="0" xfId="0" applyNumberFormat="1" applyFont="1" applyFill="1"/>
    <xf numFmtId="0" fontId="29" fillId="7" borderId="0" xfId="0" applyFont="1" applyFill="1"/>
    <xf numFmtId="0" fontId="31" fillId="8" borderId="0" xfId="0" applyFont="1" applyFill="1"/>
    <xf numFmtId="0" fontId="29" fillId="8" borderId="0" xfId="0" applyFont="1" applyFill="1"/>
    <xf numFmtId="0" fontId="31" fillId="9" borderId="0" xfId="0" applyFont="1" applyFill="1"/>
    <xf numFmtId="0" fontId="29" fillId="0" borderId="0" xfId="0" applyFont="1" applyAlignment="1">
      <alignment horizontal="right"/>
    </xf>
    <xf numFmtId="17" fontId="32" fillId="6" borderId="0" xfId="0" applyNumberFormat="1" applyFont="1" applyFill="1"/>
    <xf numFmtId="0" fontId="29" fillId="0" borderId="3" xfId="0" applyFont="1" applyBorder="1"/>
    <xf numFmtId="10" fontId="29" fillId="0" borderId="3" xfId="6" applyNumberFormat="1" applyFont="1" applyBorder="1"/>
    <xf numFmtId="10" fontId="29" fillId="0" borderId="0" xfId="6" applyNumberFormat="1" applyFont="1" applyBorder="1"/>
    <xf numFmtId="0" fontId="29" fillId="0" borderId="4" xfId="0" applyFont="1" applyBorder="1"/>
    <xf numFmtId="10" fontId="29" fillId="0" borderId="4" xfId="6" applyNumberFormat="1" applyFont="1" applyBorder="1"/>
    <xf numFmtId="10" fontId="29" fillId="0" borderId="3" xfId="0" applyNumberFormat="1" applyFont="1" applyBorder="1"/>
    <xf numFmtId="10" fontId="29" fillId="0" borderId="0" xfId="0" applyNumberFormat="1" applyFont="1"/>
    <xf numFmtId="10" fontId="29" fillId="0" borderId="4" xfId="0" applyNumberFormat="1" applyFont="1" applyBorder="1"/>
    <xf numFmtId="170" fontId="29" fillId="0" borderId="3" xfId="0" applyNumberFormat="1" applyFont="1" applyBorder="1"/>
    <xf numFmtId="172" fontId="29" fillId="0" borderId="0" xfId="0" applyNumberFormat="1" applyFont="1"/>
    <xf numFmtId="172" fontId="29" fillId="0" borderId="4" xfId="0" applyNumberFormat="1" applyFont="1" applyBorder="1"/>
    <xf numFmtId="171" fontId="29" fillId="0" borderId="3" xfId="0" applyNumberFormat="1" applyFont="1" applyBorder="1"/>
    <xf numFmtId="171" fontId="29" fillId="0" borderId="0" xfId="0" applyNumberFormat="1" applyFont="1"/>
    <xf numFmtId="171" fontId="29" fillId="0" borderId="4" xfId="0" applyNumberFormat="1" applyFont="1" applyBorder="1"/>
    <xf numFmtId="180" fontId="32" fillId="6" borderId="0" xfId="0" applyNumberFormat="1" applyFont="1" applyFill="1"/>
    <xf numFmtId="0" fontId="2" fillId="6" borderId="0" xfId="0" applyFont="1" applyFill="1" applyAlignment="1">
      <alignment wrapText="1"/>
    </xf>
    <xf numFmtId="0" fontId="0" fillId="0" borderId="6" xfId="0" applyBorder="1" applyAlignment="1">
      <alignment horizontal="right" wrapText="1"/>
    </xf>
    <xf numFmtId="0" fontId="1" fillId="9" borderId="5" xfId="0" applyFont="1" applyFill="1" applyBorder="1"/>
    <xf numFmtId="0" fontId="1" fillId="9" borderId="5" xfId="0" applyFont="1" applyFill="1" applyBorder="1" applyAlignment="1">
      <alignment horizontal="left"/>
    </xf>
    <xf numFmtId="0" fontId="1" fillId="9" borderId="6" xfId="0" applyFont="1" applyFill="1" applyBorder="1" applyAlignment="1">
      <alignment wrapText="1"/>
    </xf>
    <xf numFmtId="0" fontId="1" fillId="9" borderId="6" xfId="0" applyFont="1" applyFill="1" applyBorder="1"/>
    <xf numFmtId="0" fontId="1" fillId="9" borderId="6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15" borderId="0" xfId="0" applyFill="1"/>
    <xf numFmtId="0" fontId="21" fillId="0" borderId="0" xfId="0" applyFont="1" applyAlignment="1">
      <alignment horizontal="center"/>
    </xf>
    <xf numFmtId="3" fontId="29" fillId="0" borderId="4" xfId="0" applyNumberFormat="1" applyFont="1" applyBorder="1"/>
    <xf numFmtId="0" fontId="29" fillId="0" borderId="8" xfId="0" applyFont="1" applyBorder="1"/>
    <xf numFmtId="3" fontId="29" fillId="0" borderId="8" xfId="0" applyNumberFormat="1" applyFont="1" applyBorder="1"/>
    <xf numFmtId="0" fontId="31" fillId="0" borderId="5" xfId="0" applyFont="1" applyBorder="1" applyAlignment="1">
      <alignment wrapText="1"/>
    </xf>
    <xf numFmtId="3" fontId="31" fillId="0" borderId="5" xfId="0" applyNumberFormat="1" applyFont="1" applyBorder="1"/>
    <xf numFmtId="17" fontId="31" fillId="9" borderId="0" xfId="0" applyNumberFormat="1" applyFont="1" applyFill="1"/>
    <xf numFmtId="0" fontId="31" fillId="0" borderId="6" xfId="0" applyFont="1" applyBorder="1"/>
    <xf numFmtId="3" fontId="29" fillId="0" borderId="0" xfId="0" applyNumberFormat="1" applyFont="1"/>
    <xf numFmtId="0" fontId="31" fillId="0" borderId="5" xfId="0" applyFont="1" applyBorder="1"/>
    <xf numFmtId="3" fontId="31" fillId="0" borderId="0" xfId="0" applyNumberFormat="1" applyFont="1"/>
    <xf numFmtId="0" fontId="29" fillId="0" borderId="9" xfId="0" applyFont="1" applyBorder="1"/>
    <xf numFmtId="3" fontId="29" fillId="0" borderId="9" xfId="0" applyNumberFormat="1" applyFont="1" applyBorder="1"/>
    <xf numFmtId="3" fontId="29" fillId="0" borderId="3" xfId="0" applyNumberFormat="1" applyFont="1" applyBorder="1"/>
    <xf numFmtId="0" fontId="31" fillId="0" borderId="7" xfId="0" applyFont="1" applyBorder="1"/>
    <xf numFmtId="10" fontId="31" fillId="0" borderId="7" xfId="6" applyNumberFormat="1" applyFont="1" applyBorder="1"/>
    <xf numFmtId="17" fontId="29" fillId="0" borderId="0" xfId="0" applyNumberFormat="1" applyFont="1"/>
    <xf numFmtId="3" fontId="29" fillId="0" borderId="4" xfId="0" applyNumberFormat="1" applyFont="1" applyBorder="1" applyAlignment="1">
      <alignment wrapText="1"/>
    </xf>
    <xf numFmtId="10" fontId="29" fillId="0" borderId="8" xfId="0" applyNumberFormat="1" applyFont="1" applyBorder="1"/>
    <xf numFmtId="10" fontId="31" fillId="0" borderId="0" xfId="6" applyNumberFormat="1" applyFont="1"/>
    <xf numFmtId="10" fontId="31" fillId="0" borderId="5" xfId="0" applyNumberFormat="1" applyFont="1" applyBorder="1"/>
    <xf numFmtId="10" fontId="31" fillId="0" borderId="6" xfId="0" applyNumberFormat="1" applyFont="1" applyBorder="1"/>
    <xf numFmtId="10" fontId="31" fillId="0" borderId="0" xfId="0" applyNumberFormat="1" applyFont="1"/>
    <xf numFmtId="176" fontId="31" fillId="0" borderId="6" xfId="0" applyNumberFormat="1" applyFont="1" applyBorder="1"/>
    <xf numFmtId="176" fontId="31" fillId="0" borderId="0" xfId="0" applyNumberFormat="1" applyFont="1"/>
    <xf numFmtId="43" fontId="31" fillId="0" borderId="0" xfId="0" applyNumberFormat="1" applyFont="1"/>
    <xf numFmtId="43" fontId="29" fillId="0" borderId="0" xfId="0" applyNumberFormat="1" applyFont="1"/>
    <xf numFmtId="177" fontId="35" fillId="6" borderId="0" xfId="0" applyNumberFormat="1" applyFont="1" applyFill="1"/>
    <xf numFmtId="177" fontId="29" fillId="0" borderId="0" xfId="0" applyNumberFormat="1" applyFont="1"/>
    <xf numFmtId="0" fontId="36" fillId="0" borderId="4" xfId="0" applyFont="1" applyBorder="1"/>
    <xf numFmtId="10" fontId="31" fillId="0" borderId="4" xfId="6" applyNumberFormat="1" applyFont="1" applyBorder="1"/>
    <xf numFmtId="0" fontId="36" fillId="0" borderId="0" xfId="0" applyFont="1"/>
    <xf numFmtId="10" fontId="31" fillId="0" borderId="4" xfId="0" applyNumberFormat="1" applyFont="1" applyBorder="1"/>
    <xf numFmtId="10" fontId="31" fillId="0" borderId="8" xfId="0" applyNumberFormat="1" applyFont="1" applyBorder="1"/>
    <xf numFmtId="10" fontId="31" fillId="0" borderId="3" xfId="0" applyNumberFormat="1" applyFont="1" applyBorder="1"/>
    <xf numFmtId="0" fontId="31" fillId="0" borderId="3" xfId="0" applyFont="1" applyBorder="1"/>
    <xf numFmtId="43" fontId="36" fillId="0" borderId="4" xfId="0" applyNumberFormat="1" applyFont="1" applyBorder="1"/>
    <xf numFmtId="43" fontId="29" fillId="0" borderId="3" xfId="0" applyNumberFormat="1" applyFont="1" applyBorder="1"/>
    <xf numFmtId="43" fontId="31" fillId="0" borderId="7" xfId="0" applyNumberFormat="1" applyFont="1" applyBorder="1"/>
    <xf numFmtId="0" fontId="31" fillId="0" borderId="0" xfId="0" applyFont="1" applyAlignment="1">
      <alignment horizontal="center" wrapText="1"/>
    </xf>
    <xf numFmtId="0" fontId="31" fillId="9" borderId="0" xfId="0" applyFont="1" applyFill="1" applyAlignment="1">
      <alignment wrapText="1"/>
    </xf>
    <xf numFmtId="0" fontId="29" fillId="0" borderId="0" xfId="0" applyFont="1" applyAlignment="1">
      <alignment wrapText="1"/>
    </xf>
    <xf numFmtId="178" fontId="29" fillId="0" borderId="4" xfId="0" applyNumberFormat="1" applyFont="1" applyBorder="1"/>
    <xf numFmtId="0" fontId="31" fillId="0" borderId="8" xfId="0" applyFont="1" applyBorder="1"/>
    <xf numFmtId="178" fontId="31" fillId="0" borderId="8" xfId="0" applyNumberFormat="1" applyFont="1" applyBorder="1"/>
    <xf numFmtId="178" fontId="29" fillId="0" borderId="8" xfId="0" applyNumberFormat="1" applyFont="1" applyBorder="1"/>
    <xf numFmtId="178" fontId="29" fillId="0" borderId="3" xfId="0" applyNumberFormat="1" applyFont="1" applyBorder="1"/>
    <xf numFmtId="0" fontId="29" fillId="14" borderId="4" xfId="0" applyFont="1" applyFill="1" applyBorder="1"/>
    <xf numFmtId="178" fontId="29" fillId="14" borderId="4" xfId="0" applyNumberFormat="1" applyFont="1" applyFill="1" applyBorder="1"/>
    <xf numFmtId="0" fontId="29" fillId="14" borderId="8" xfId="0" applyFont="1" applyFill="1" applyBorder="1"/>
    <xf numFmtId="178" fontId="29" fillId="14" borderId="8" xfId="0" applyNumberFormat="1" applyFont="1" applyFill="1" applyBorder="1"/>
    <xf numFmtId="0" fontId="31" fillId="14" borderId="8" xfId="0" applyFont="1" applyFill="1" applyBorder="1"/>
    <xf numFmtId="178" fontId="31" fillId="14" borderId="8" xfId="0" applyNumberFormat="1" applyFont="1" applyFill="1" applyBorder="1"/>
    <xf numFmtId="0" fontId="29" fillId="14" borderId="3" xfId="0" applyFont="1" applyFill="1" applyBorder="1"/>
    <xf numFmtId="178" fontId="29" fillId="14" borderId="3" xfId="0" applyNumberFormat="1" applyFont="1" applyFill="1" applyBorder="1"/>
    <xf numFmtId="0" fontId="29" fillId="0" borderId="7" xfId="0" applyFont="1" applyBorder="1"/>
    <xf numFmtId="14" fontId="29" fillId="0" borderId="0" xfId="0" applyNumberFormat="1" applyFont="1"/>
    <xf numFmtId="10" fontId="31" fillId="0" borderId="7" xfId="0" applyNumberFormat="1" applyFont="1" applyBorder="1"/>
    <xf numFmtId="0" fontId="31" fillId="0" borderId="7" xfId="0" applyFont="1" applyBorder="1" applyAlignment="1">
      <alignment horizontal="right"/>
    </xf>
    <xf numFmtId="2" fontId="29" fillId="0" borderId="4" xfId="0" applyNumberFormat="1" applyFont="1" applyBorder="1"/>
    <xf numFmtId="2" fontId="29" fillId="0" borderId="8" xfId="0" applyNumberFormat="1" applyFont="1" applyBorder="1"/>
    <xf numFmtId="2" fontId="29" fillId="0" borderId="3" xfId="0" applyNumberFormat="1" applyFont="1" applyBorder="1"/>
    <xf numFmtId="0" fontId="29" fillId="6" borderId="0" xfId="0" applyFont="1" applyFill="1"/>
    <xf numFmtId="2" fontId="31" fillId="9" borderId="0" xfId="0" applyNumberFormat="1" applyFont="1" applyFill="1" applyAlignment="1">
      <alignment horizontal="center" wrapText="1"/>
    </xf>
    <xf numFmtId="2" fontId="29" fillId="0" borderId="0" xfId="0" applyNumberFormat="1" applyFont="1"/>
    <xf numFmtId="0" fontId="0" fillId="6" borderId="0" xfId="0" applyFill="1"/>
    <xf numFmtId="0" fontId="40" fillId="7" borderId="0" xfId="0" applyFont="1" applyFill="1" applyAlignment="1">
      <alignment horizontal="center"/>
    </xf>
    <xf numFmtId="14" fontId="0" fillId="6" borderId="0" xfId="0" applyNumberFormat="1" applyFill="1"/>
    <xf numFmtId="4" fontId="0" fillId="6" borderId="0" xfId="0" applyNumberFormat="1" applyFill="1"/>
    <xf numFmtId="14" fontId="29" fillId="6" borderId="0" xfId="0" applyNumberFormat="1" applyFont="1" applyFill="1"/>
    <xf numFmtId="10" fontId="29" fillId="6" borderId="0" xfId="0" applyNumberFormat="1" applyFont="1" applyFill="1"/>
    <xf numFmtId="2" fontId="29" fillId="6" borderId="0" xfId="0" applyNumberFormat="1" applyFont="1" applyFill="1"/>
    <xf numFmtId="0" fontId="3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34" fillId="6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21" fillId="9" borderId="0" xfId="0" applyFont="1" applyFill="1" applyAlignment="1">
      <alignment horizontal="center" wrapText="1"/>
    </xf>
    <xf numFmtId="0" fontId="39" fillId="6" borderId="0" xfId="0" applyFont="1" applyFill="1" applyAlignment="1">
      <alignment horizontal="center"/>
    </xf>
    <xf numFmtId="0" fontId="40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1" fillId="9" borderId="0" xfId="0" applyFont="1" applyFill="1" applyAlignment="1">
      <alignment horizontal="center"/>
    </xf>
    <xf numFmtId="0" fontId="31" fillId="9" borderId="6" xfId="0" applyFont="1" applyFill="1" applyBorder="1" applyAlignment="1">
      <alignment horizontal="center"/>
    </xf>
    <xf numFmtId="0" fontId="40" fillId="6" borderId="0" xfId="0" applyFont="1" applyFill="1" applyAlignment="1">
      <alignment horizontal="center" wrapText="1"/>
    </xf>
    <xf numFmtId="0" fontId="32" fillId="6" borderId="0" xfId="0" applyFont="1" applyFill="1" applyAlignment="1">
      <alignment horizontal="center" wrapText="1"/>
    </xf>
    <xf numFmtId="10" fontId="31" fillId="9" borderId="0" xfId="0" applyNumberFormat="1" applyFont="1" applyFill="1" applyAlignment="1">
      <alignment horizontal="center" wrapText="1"/>
    </xf>
    <xf numFmtId="0" fontId="38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10" fontId="31" fillId="9" borderId="0" xfId="0" applyNumberFormat="1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Expected Sales Growth</a:t>
            </a:r>
          </a:p>
        </c:rich>
      </c:tx>
      <c:layout>
        <c:manualLayout>
          <c:xMode val="edge"/>
          <c:yMode val="edge"/>
          <c:x val="0.272749999999999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65968173856565"/>
          <c:y val="0.20245310245310244"/>
          <c:w val="0.835533692162719"/>
          <c:h val="0.71001314229660684"/>
        </c:manualLayout>
      </c:layout>
      <c:lineChart>
        <c:grouping val="standard"/>
        <c:varyColors val="0"/>
        <c:ser>
          <c:idx val="0"/>
          <c:order val="0"/>
          <c:tx>
            <c:strRef>
              <c:f>Forecasting!$B$4:$D$4</c:f>
              <c:strCache>
                <c:ptCount val="1"/>
                <c:pt idx="0">
                  <c:v>Year Weightage Year 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Forecasting!$B$5:$B$14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Forecasting!$D$5:$D$14</c:f>
              <c:numCache>
                <c:formatCode>General</c:formatCode>
                <c:ptCount val="10"/>
                <c:pt idx="0">
                  <c:v>39192.1</c:v>
                </c:pt>
                <c:pt idx="1">
                  <c:v>42767.6</c:v>
                </c:pt>
                <c:pt idx="2">
                  <c:v>43448.94</c:v>
                </c:pt>
                <c:pt idx="3">
                  <c:v>48339.58</c:v>
                </c:pt>
                <c:pt idx="4">
                  <c:v>49387.7</c:v>
                </c:pt>
                <c:pt idx="5">
                  <c:v>49257.45</c:v>
                </c:pt>
                <c:pt idx="6">
                  <c:v>60644.54</c:v>
                </c:pt>
                <c:pt idx="7">
                  <c:v>70919.03</c:v>
                </c:pt>
                <c:pt idx="8">
                  <c:v>67931.94</c:v>
                </c:pt>
                <c:pt idx="9">
                  <c:v>75323.34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5-4576-87B0-0ED8930A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873968"/>
        <c:axId val="2099862448"/>
      </c:lineChart>
      <c:catAx>
        <c:axId val="209987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62448"/>
        <c:crosses val="autoZero"/>
        <c:auto val="1"/>
        <c:lblAlgn val="ctr"/>
        <c:lblOffset val="100"/>
        <c:noMultiLvlLbl val="0"/>
      </c:catAx>
      <c:valAx>
        <c:axId val="20998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Expected</a:t>
            </a:r>
            <a:r>
              <a:rPr lang="en-IN" baseline="0"/>
              <a:t> EBITDA Growth</a:t>
            </a:r>
          </a:p>
        </c:rich>
      </c:tx>
      <c:layout>
        <c:manualLayout>
          <c:xMode val="edge"/>
          <c:yMode val="edge"/>
          <c:x val="0.25478327496241115"/>
          <c:y val="4.5761808627287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88035347370647"/>
          <c:y val="0.22898261008340262"/>
          <c:w val="0.82518602017828735"/>
          <c:h val="0.64684152215044199"/>
        </c:manualLayout>
      </c:layout>
      <c:lineChart>
        <c:grouping val="standard"/>
        <c:varyColors val="0"/>
        <c:ser>
          <c:idx val="0"/>
          <c:order val="0"/>
          <c:tx>
            <c:strRef>
              <c:f>Forecasting!$G$4:$I$4</c:f>
              <c:strCache>
                <c:ptCount val="1"/>
                <c:pt idx="0">
                  <c:v>Year Weightage Year EBITDA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Forecasting!$G$5:$G$19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Forecasting!$I$5:$I$14</c:f>
              <c:numCache>
                <c:formatCode>General</c:formatCode>
                <c:ptCount val="10"/>
                <c:pt idx="0">
                  <c:v>12657.620000000003</c:v>
                </c:pt>
                <c:pt idx="1">
                  <c:v>14896.019999999997</c:v>
                </c:pt>
                <c:pt idx="2">
                  <c:v>16336.300000000003</c:v>
                </c:pt>
                <c:pt idx="3">
                  <c:v>16050.570000000003</c:v>
                </c:pt>
                <c:pt idx="4">
                  <c:v>15519.959999999995</c:v>
                </c:pt>
                <c:pt idx="5">
                  <c:v>13197.289999999994</c:v>
                </c:pt>
                <c:pt idx="6">
                  <c:v>17341.43</c:v>
                </c:pt>
                <c:pt idx="7">
                  <c:v>22889.439999999991</c:v>
                </c:pt>
                <c:pt idx="8">
                  <c:v>21121.540000000008</c:v>
                </c:pt>
                <c:pt idx="9">
                  <c:v>6593.27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6-4888-911B-17BD0611D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873968"/>
        <c:axId val="2099862448"/>
      </c:lineChart>
      <c:catAx>
        <c:axId val="209987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62448"/>
        <c:crosses val="autoZero"/>
        <c:auto val="1"/>
        <c:lblAlgn val="ctr"/>
        <c:lblOffset val="100"/>
        <c:noMultiLvlLbl val="0"/>
      </c:catAx>
      <c:valAx>
        <c:axId val="20998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4">
                    <a:lumMod val="50000"/>
                  </a:schemeClr>
                </a:solidFill>
              </a:rPr>
              <a:t>Football Field Analysis - Valuation Summary (in Rs.)</a:t>
            </a:r>
          </a:p>
        </c:rich>
      </c:tx>
      <c:overlay val="0"/>
      <c:spPr>
        <a:noFill/>
        <a:ln>
          <a:solidFill>
            <a:schemeClr val="accent1">
              <a:alpha val="79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34887951028883E-2"/>
          <c:y val="0.16320286048027982"/>
          <c:w val="0.90686705986846705"/>
          <c:h val="0.76623393673309259"/>
        </c:manualLayout>
      </c:layout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FTF_Analysis!$B$7:$B$11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FTF_Analysis!$C$7:$C$11</c:f>
              <c:numCache>
                <c:formatCode>General</c:formatCode>
                <c:ptCount val="5"/>
                <c:pt idx="0">
                  <c:v>234.72161951169912</c:v>
                </c:pt>
                <c:pt idx="1">
                  <c:v>57.429247397830125</c:v>
                </c:pt>
                <c:pt idx="2">
                  <c:v>55.616677378620238</c:v>
                </c:pt>
                <c:pt idx="3">
                  <c:v>51.732598766027628</c:v>
                </c:pt>
                <c:pt idx="4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C-4CE1-8794-1920DEF7586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FTF_Analysis!$B$7:$B$11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FTF_Analysis!$D$7:$D$11</c:f>
              <c:numCache>
                <c:formatCode>General</c:formatCode>
                <c:ptCount val="5"/>
                <c:pt idx="0">
                  <c:v>234.72161951169912</c:v>
                </c:pt>
                <c:pt idx="1">
                  <c:v>57.429247397830125</c:v>
                </c:pt>
                <c:pt idx="2">
                  <c:v>55.616677378620238</c:v>
                </c:pt>
                <c:pt idx="3">
                  <c:v>51.732598766027628</c:v>
                </c:pt>
                <c:pt idx="4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C-4CE1-8794-1920DEF7586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FTF_Analysis!$B$7:$B$11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FTF_Analysis!$E$7:$E$11</c:f>
              <c:numCache>
                <c:formatCode>General</c:formatCode>
                <c:ptCount val="5"/>
                <c:pt idx="0">
                  <c:v>1435.6976354688588</c:v>
                </c:pt>
                <c:pt idx="1">
                  <c:v>70.721427538702585</c:v>
                </c:pt>
                <c:pt idx="2">
                  <c:v>65.974220345533837</c:v>
                </c:pt>
                <c:pt idx="3">
                  <c:v>57.429247397830125</c:v>
                </c:pt>
                <c:pt idx="4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C-4CE1-8794-1920DEF75866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FTF_Analysis!$B$7:$B$11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FTF_Analysis!$F$7:$F$11</c:f>
              <c:numCache>
                <c:formatCode>General</c:formatCode>
                <c:ptCount val="5"/>
                <c:pt idx="0">
                  <c:v>1435.6976354688588</c:v>
                </c:pt>
                <c:pt idx="1">
                  <c:v>70.721427538702585</c:v>
                </c:pt>
                <c:pt idx="2">
                  <c:v>65.974220345533837</c:v>
                </c:pt>
                <c:pt idx="3">
                  <c:v>57.429247397830125</c:v>
                </c:pt>
                <c:pt idx="4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5C-4CE1-8794-1920DEF75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909578704"/>
        <c:axId val="909580144"/>
      </c:stockChart>
      <c:catAx>
        <c:axId val="90957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580144"/>
        <c:crosses val="autoZero"/>
        <c:auto val="1"/>
        <c:lblAlgn val="ctr"/>
        <c:lblOffset val="100"/>
        <c:noMultiLvlLbl val="0"/>
      </c:catAx>
      <c:valAx>
        <c:axId val="9095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5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C7693E1B-CE74-4A27-9890-6E29909D3FDE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Daily Return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IN"/>
            <a:t>Daily Return Distribution</a:t>
          </a:r>
        </a:p>
      </cx:txPr>
    </cx:title>
    <cx:plotArea>
      <cx:plotAreaRegion>
        <cx:series layoutId="clusteredColumn" uniqueId="{5E3F3E68-135A-4FEE-A109-583758014E1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23</xdr:row>
      <xdr:rowOff>89065</xdr:rowOff>
    </xdr:from>
    <xdr:to>
      <xdr:col>5</xdr:col>
      <xdr:colOff>524493</xdr:colOff>
      <xdr:row>35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0FD26D-AC41-A1A8-6CB3-EFE94C58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79169</xdr:rowOff>
    </xdr:from>
    <xdr:to>
      <xdr:col>10</xdr:col>
      <xdr:colOff>425533</xdr:colOff>
      <xdr:row>35</xdr:row>
      <xdr:rowOff>60167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8EFD97-29AC-497E-9CA9-4907C2B83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126438</xdr:rowOff>
    </xdr:from>
    <xdr:to>
      <xdr:col>10</xdr:col>
      <xdr:colOff>153018</xdr:colOff>
      <xdr:row>32</xdr:row>
      <xdr:rowOff>99768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24ED5-41E4-944C-3088-060D675D7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164188</xdr:colOff>
      <xdr:row>22</xdr:row>
      <xdr:rowOff>130507</xdr:rowOff>
    </xdr:from>
    <xdr:to>
      <xdr:col>12</xdr:col>
      <xdr:colOff>509403</xdr:colOff>
      <xdr:row>34</xdr:row>
      <xdr:rowOff>4209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1562D19-A23C-4097-802C-F088F12274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8868" y="3635707"/>
              <a:ext cx="2722655" cy="1428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-1</xdr:colOff>
      <xdr:row>22</xdr:row>
      <xdr:rowOff>19793</xdr:rowOff>
    </xdr:from>
    <xdr:to>
      <xdr:col>11</xdr:col>
      <xdr:colOff>19791</xdr:colOff>
      <xdr:row>39</xdr:row>
      <xdr:rowOff>108857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291170C-E046-4462-B60E-C137B862D5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499" y="3037313"/>
              <a:ext cx="3524992" cy="2291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rim\Downloads\Common%20Size%20Statement.xlsx" TargetMode="External"/><Relationship Id="rId1" Type="http://schemas.openxmlformats.org/officeDocument/2006/relationships/externalLinkPath" Target="Common%20Size%20Stat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heet"/>
      <sheetName val="Sheet1"/>
    </sheetNames>
    <sheetDataSet>
      <sheetData sheetId="0">
        <row r="62">
          <cell r="C62">
            <v>15893.48</v>
          </cell>
          <cell r="D62">
            <v>16523.96</v>
          </cell>
          <cell r="E62">
            <v>19374.189999999999</v>
          </cell>
          <cell r="F62">
            <v>21713.34</v>
          </cell>
          <cell r="G62">
            <v>23298.48</v>
          </cell>
          <cell r="H62">
            <v>24231.59</v>
          </cell>
          <cell r="I62">
            <v>25851.27</v>
          </cell>
          <cell r="J62">
            <v>27820.22</v>
          </cell>
          <cell r="K62">
            <v>21954.85</v>
          </cell>
        </row>
        <row r="63">
          <cell r="C63">
            <v>3729.89</v>
          </cell>
          <cell r="D63">
            <v>5508.33</v>
          </cell>
          <cell r="E63">
            <v>4136.42</v>
          </cell>
          <cell r="F63">
            <v>3256.46</v>
          </cell>
          <cell r="G63">
            <v>4011.29</v>
          </cell>
          <cell r="H63">
            <v>3225.54</v>
          </cell>
          <cell r="I63">
            <v>3003.3</v>
          </cell>
          <cell r="J63">
            <v>2860.78</v>
          </cell>
          <cell r="K63">
            <v>1090.9100000000001</v>
          </cell>
        </row>
        <row r="64">
          <cell r="C64">
            <v>17581.38</v>
          </cell>
          <cell r="D64">
            <v>22052.86</v>
          </cell>
          <cell r="E64">
            <v>25043.49</v>
          </cell>
          <cell r="F64">
            <v>28663.35</v>
          </cell>
          <cell r="G64">
            <v>24870.87</v>
          </cell>
          <cell r="H64">
            <v>24841.01</v>
          </cell>
          <cell r="I64">
            <v>29415.02</v>
          </cell>
          <cell r="J64">
            <v>31114.02</v>
          </cell>
          <cell r="K64">
            <v>34719.82</v>
          </cell>
        </row>
        <row r="66">
          <cell r="C66">
            <v>55898.32</v>
          </cell>
          <cell r="D66">
            <v>64240.88</v>
          </cell>
          <cell r="E66">
            <v>71739.039999999994</v>
          </cell>
          <cell r="F66">
            <v>77310.75</v>
          </cell>
          <cell r="G66">
            <v>73760.759999999995</v>
          </cell>
          <cell r="H66">
            <v>77196.02</v>
          </cell>
          <cell r="I66">
            <v>85830.96</v>
          </cell>
          <cell r="J66">
            <v>91753.97</v>
          </cell>
          <cell r="K66">
            <v>88002.7</v>
          </cell>
        </row>
        <row r="74">
          <cell r="C74">
            <v>5135.7800000000007</v>
          </cell>
          <cell r="D74">
            <v>7078.7499999999982</v>
          </cell>
          <cell r="E74">
            <v>7138.07</v>
          </cell>
          <cell r="G74">
            <v>4022.239999999998</v>
          </cell>
          <cell r="H74">
            <v>6917.41</v>
          </cell>
          <cell r="I74">
            <v>7953.8499999999985</v>
          </cell>
          <cell r="K74">
            <v>5867.5299999999988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HNDFDS/consolidated/" TargetMode="External"/><Relationship Id="rId2" Type="http://schemas.openxmlformats.org/officeDocument/2006/relationships/hyperlink" Target="https://www.screener.in/company/ITC/consolidated/" TargetMode="External"/><Relationship Id="rId1" Type="http://schemas.openxmlformats.org/officeDocument/2006/relationships/hyperlink" Target="https://www.screener.in/company/HINDUNILVR/consolidated/" TargetMode="External"/><Relationship Id="rId6" Type="http://schemas.openxmlformats.org/officeDocument/2006/relationships/printerSettings" Target="../printerSettings/printerSettings18.bin"/><Relationship Id="rId5" Type="http://schemas.openxmlformats.org/officeDocument/2006/relationships/hyperlink" Target="https://www.screener.in/company/DAVANGERE/" TargetMode="External"/><Relationship Id="rId4" Type="http://schemas.openxmlformats.org/officeDocument/2006/relationships/hyperlink" Target="https://www.screener.in/company/GODAVARIB/consolidated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51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" sqref="M1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ITC LTD</v>
      </c>
      <c r="H1" t="str">
        <f>UPDATE</f>
        <v/>
      </c>
      <c r="J1" s="3"/>
      <c r="K1" s="3"/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39192.1</v>
      </c>
      <c r="C4" s="1">
        <f>'Data Sheet'!C17</f>
        <v>42767.6</v>
      </c>
      <c r="D4" s="1">
        <f>'Data Sheet'!D17</f>
        <v>43448.94</v>
      </c>
      <c r="E4" s="1">
        <f>'Data Sheet'!E17</f>
        <v>48339.58</v>
      </c>
      <c r="F4" s="1">
        <f>'Data Sheet'!F17</f>
        <v>49387.7</v>
      </c>
      <c r="G4" s="1">
        <f>'Data Sheet'!G17</f>
        <v>49257.45</v>
      </c>
      <c r="H4" s="1">
        <f>'Data Sheet'!H17</f>
        <v>60644.54</v>
      </c>
      <c r="I4" s="1">
        <f>'Data Sheet'!I17</f>
        <v>70919.03</v>
      </c>
      <c r="J4" s="1">
        <f>'Data Sheet'!J17</f>
        <v>67931.94</v>
      </c>
      <c r="K4" s="1">
        <f>'Data Sheet'!K17</f>
        <v>75323.34</v>
      </c>
      <c r="L4" s="1">
        <f>SUM(Quarters!H4:K4)</f>
        <v>79040.320000000007</v>
      </c>
      <c r="M4" s="1">
        <f>$K4+M23*K4</f>
        <v>83518.968378580088</v>
      </c>
      <c r="N4" s="1">
        <f>$K4+N23*L4</f>
        <v>81245.655893575647</v>
      </c>
    </row>
    <row r="5" spans="1:14" x14ac:dyDescent="0.3">
      <c r="A5" t="s">
        <v>7</v>
      </c>
      <c r="B5" s="6">
        <f>SUM('Data Sheet'!B18,'Data Sheet'!B20:B24, -1*'Data Sheet'!B19)</f>
        <v>24660.609999999997</v>
      </c>
      <c r="C5" s="6">
        <f>SUM('Data Sheet'!C18,'Data Sheet'!C20:C24, -1*'Data Sheet'!C19)</f>
        <v>27298.09</v>
      </c>
      <c r="D5" s="6">
        <f>SUM('Data Sheet'!D18,'Data Sheet'!D20:D24, -1*'Data Sheet'!D19)</f>
        <v>26928.35</v>
      </c>
      <c r="E5" s="6">
        <f>SUM('Data Sheet'!E18,'Data Sheet'!E20:E24, -1*'Data Sheet'!E19)</f>
        <v>29802.19</v>
      </c>
      <c r="F5" s="6">
        <f>SUM('Data Sheet'!F18,'Data Sheet'!F20:F24, -1*'Data Sheet'!F19)</f>
        <v>30044.16</v>
      </c>
      <c r="G5" s="6">
        <f>SUM('Data Sheet'!G18,'Data Sheet'!G20:G24, -1*'Data Sheet'!G19)</f>
        <v>32192.670000000002</v>
      </c>
      <c r="H5" s="6">
        <f>SUM('Data Sheet'!H18,'Data Sheet'!H20:H24, -1*'Data Sheet'!H19)</f>
        <v>40021.39</v>
      </c>
      <c r="I5" s="6">
        <f>SUM('Data Sheet'!I18,'Data Sheet'!I20:I24, -1*'Data Sheet'!I19)</f>
        <v>45214.770000000004</v>
      </c>
      <c r="J5" s="6">
        <f>SUM('Data Sheet'!J18,'Data Sheet'!J20:J24, -1*'Data Sheet'!J19)</f>
        <v>42744.41</v>
      </c>
      <c r="K5" s="6">
        <f>SUM('Data Sheet'!K18,'Data Sheet'!K20:K24, -1*'Data Sheet'!K19)</f>
        <v>49483.89</v>
      </c>
      <c r="L5" s="6">
        <f>SUM(Quarters!H5:K5)</f>
        <v>52790.48</v>
      </c>
      <c r="M5" s="6">
        <f t="shared" ref="M5:N5" si="0">M4-M6</f>
        <v>53597.013652967857</v>
      </c>
      <c r="N5" s="6">
        <f t="shared" si="0"/>
        <v>54263.408505136205</v>
      </c>
    </row>
    <row r="6" spans="1:14" s="2" customFormat="1" x14ac:dyDescent="0.3">
      <c r="A6" s="2" t="s">
        <v>8</v>
      </c>
      <c r="B6" s="1">
        <f>B4-B5</f>
        <v>14531.490000000002</v>
      </c>
      <c r="C6" s="1">
        <f t="shared" ref="C6:K6" si="1">C4-C5</f>
        <v>15469.509999999998</v>
      </c>
      <c r="D6" s="1">
        <f t="shared" si="1"/>
        <v>16520.590000000004</v>
      </c>
      <c r="E6" s="1">
        <f t="shared" si="1"/>
        <v>18537.390000000003</v>
      </c>
      <c r="F6" s="1">
        <f t="shared" si="1"/>
        <v>19343.539999999997</v>
      </c>
      <c r="G6" s="1">
        <f t="shared" si="1"/>
        <v>17064.779999999995</v>
      </c>
      <c r="H6" s="1">
        <f t="shared" si="1"/>
        <v>20623.150000000001</v>
      </c>
      <c r="I6" s="1">
        <f t="shared" si="1"/>
        <v>25704.259999999995</v>
      </c>
      <c r="J6" s="1">
        <f t="shared" si="1"/>
        <v>25187.53</v>
      </c>
      <c r="K6" s="1">
        <f t="shared" si="1"/>
        <v>25839.449999999997</v>
      </c>
      <c r="L6" s="1">
        <f>SUM(Quarters!H6:K6)</f>
        <v>26249.84</v>
      </c>
      <c r="M6" s="1">
        <f>M4*M24</f>
        <v>29921.954725612231</v>
      </c>
      <c r="N6" s="1">
        <f>N4*N24</f>
        <v>26982.247388439442</v>
      </c>
    </row>
    <row r="7" spans="1:14" x14ac:dyDescent="0.3">
      <c r="A7" t="s">
        <v>9</v>
      </c>
      <c r="B7" s="6">
        <f>'Data Sheet'!B25</f>
        <v>1483.11</v>
      </c>
      <c r="C7" s="6">
        <f>'Data Sheet'!C25</f>
        <v>1758.63</v>
      </c>
      <c r="D7" s="6">
        <f>'Data Sheet'!D25</f>
        <v>2239.81</v>
      </c>
      <c r="E7" s="6">
        <f>'Data Sheet'!E25</f>
        <v>2080.44</v>
      </c>
      <c r="F7" s="6">
        <f>'Data Sheet'!F25</f>
        <v>2417.3200000000002</v>
      </c>
      <c r="G7" s="6">
        <f>'Data Sheet'!G25</f>
        <v>2576.9499999999998</v>
      </c>
      <c r="H7" s="6">
        <f>'Data Sheet'!H25</f>
        <v>1909.72</v>
      </c>
      <c r="I7" s="6">
        <f>'Data Sheet'!I25</f>
        <v>2097.64</v>
      </c>
      <c r="J7" s="6">
        <f>'Data Sheet'!J25</f>
        <v>3330.45</v>
      </c>
      <c r="K7" s="6">
        <f>'Data Sheet'!K25</f>
        <v>17794.88</v>
      </c>
      <c r="L7" s="6">
        <f>SUM(Quarters!H7:K7)</f>
        <v>17635.960000000003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1077.4000000000001</v>
      </c>
      <c r="C8" s="6">
        <f>'Data Sheet'!C26</f>
        <v>1152.79</v>
      </c>
      <c r="D8" s="6">
        <f>'Data Sheet'!D26</f>
        <v>1236.28</v>
      </c>
      <c r="E8" s="6">
        <f>'Data Sheet'!E26</f>
        <v>1396.61</v>
      </c>
      <c r="F8" s="6">
        <f>'Data Sheet'!F26</f>
        <v>1644.91</v>
      </c>
      <c r="G8" s="6">
        <f>'Data Sheet'!G26</f>
        <v>1645.59</v>
      </c>
      <c r="H8" s="6">
        <f>'Data Sheet'!H26</f>
        <v>1732.41</v>
      </c>
      <c r="I8" s="6">
        <f>'Data Sheet'!I26</f>
        <v>1809.01</v>
      </c>
      <c r="J8" s="6">
        <f>'Data Sheet'!J26</f>
        <v>1518.05</v>
      </c>
      <c r="K8" s="6">
        <f>'Data Sheet'!K26</f>
        <v>1646.32</v>
      </c>
      <c r="L8" s="6">
        <f>SUM(Quarters!H8:K8)</f>
        <v>1666.15</v>
      </c>
      <c r="M8" s="6">
        <f>+$L8</f>
        <v>1666.15</v>
      </c>
      <c r="N8" s="6">
        <f>+$L8</f>
        <v>1666.15</v>
      </c>
    </row>
    <row r="9" spans="1:14" x14ac:dyDescent="0.3">
      <c r="A9" t="s">
        <v>11</v>
      </c>
      <c r="B9" s="6">
        <f>'Data Sheet'!B27</f>
        <v>78.13</v>
      </c>
      <c r="C9" s="6">
        <f>'Data Sheet'!C27</f>
        <v>49.03</v>
      </c>
      <c r="D9" s="6">
        <f>'Data Sheet'!D27</f>
        <v>115.01</v>
      </c>
      <c r="E9" s="6">
        <f>'Data Sheet'!E27</f>
        <v>71.400000000000006</v>
      </c>
      <c r="F9" s="6">
        <f>'Data Sheet'!F27</f>
        <v>81.38</v>
      </c>
      <c r="G9" s="6">
        <f>'Data Sheet'!G27</f>
        <v>57.97</v>
      </c>
      <c r="H9" s="6">
        <f>'Data Sheet'!H27</f>
        <v>59.99</v>
      </c>
      <c r="I9" s="6">
        <f>'Data Sheet'!I27</f>
        <v>77.77</v>
      </c>
      <c r="J9" s="6">
        <f>'Data Sheet'!J27</f>
        <v>39.11</v>
      </c>
      <c r="K9" s="6">
        <f>'Data Sheet'!K27</f>
        <v>45.06</v>
      </c>
      <c r="L9" s="6">
        <f>SUM(Quarters!H9:K9)</f>
        <v>51.93</v>
      </c>
      <c r="M9" s="6">
        <f>+$L9</f>
        <v>51.93</v>
      </c>
      <c r="N9" s="6">
        <f>+$L9</f>
        <v>51.93</v>
      </c>
    </row>
    <row r="10" spans="1:14" x14ac:dyDescent="0.3">
      <c r="A10" t="s">
        <v>12</v>
      </c>
      <c r="B10" s="6">
        <f>'Data Sheet'!B28</f>
        <v>14859.07</v>
      </c>
      <c r="C10" s="6">
        <f>'Data Sheet'!C28</f>
        <v>16026.32</v>
      </c>
      <c r="D10" s="6">
        <f>'Data Sheet'!D28</f>
        <v>17409.11</v>
      </c>
      <c r="E10" s="6">
        <f>'Data Sheet'!E28</f>
        <v>19149.82</v>
      </c>
      <c r="F10" s="6">
        <f>'Data Sheet'!F28</f>
        <v>20034.57</v>
      </c>
      <c r="G10" s="6">
        <f>'Data Sheet'!G28</f>
        <v>17938.169999999998</v>
      </c>
      <c r="H10" s="6">
        <f>'Data Sheet'!H28</f>
        <v>20740.47</v>
      </c>
      <c r="I10" s="6">
        <f>'Data Sheet'!I28</f>
        <v>25915.119999999999</v>
      </c>
      <c r="J10" s="6">
        <f>'Data Sheet'!J28</f>
        <v>26960.82</v>
      </c>
      <c r="K10" s="6">
        <f>'Data Sheet'!K28</f>
        <v>41942.949999999997</v>
      </c>
      <c r="L10" s="6">
        <f>SUM(Quarters!H10:K10)</f>
        <v>42167.72</v>
      </c>
      <c r="M10" s="6">
        <f>M6+M7-SUM(M8:M9)</f>
        <v>28203.87472561223</v>
      </c>
      <c r="N10" s="6">
        <f>N6+N7-SUM(N8:N9)</f>
        <v>25264.16738843944</v>
      </c>
    </row>
    <row r="11" spans="1:14" x14ac:dyDescent="0.3">
      <c r="A11" t="s">
        <v>13</v>
      </c>
      <c r="B11" s="6">
        <f>'Data Sheet'!B29</f>
        <v>5358.21</v>
      </c>
      <c r="C11" s="6">
        <f>'Data Sheet'!C29</f>
        <v>5549.09</v>
      </c>
      <c r="D11" s="6">
        <f>'Data Sheet'!D29</f>
        <v>5916.43</v>
      </c>
      <c r="E11" s="6">
        <f>'Data Sheet'!E29</f>
        <v>6313.92</v>
      </c>
      <c r="F11" s="6">
        <f>'Data Sheet'!F29</f>
        <v>4441.79</v>
      </c>
      <c r="G11" s="6">
        <f>'Data Sheet'!G29</f>
        <v>4555.29</v>
      </c>
      <c r="H11" s="6">
        <f>'Data Sheet'!H29</f>
        <v>5237.34</v>
      </c>
      <c r="I11" s="6">
        <f>'Data Sheet'!I29</f>
        <v>6438.4</v>
      </c>
      <c r="J11" s="6">
        <f>'Data Sheet'!J29</f>
        <v>6209.46</v>
      </c>
      <c r="K11" s="6">
        <f>'Data Sheet'!K29</f>
        <v>6890.47</v>
      </c>
      <c r="L11" s="6">
        <f>SUM(Quarters!H11:K11)</f>
        <v>6948.82</v>
      </c>
      <c r="M11" s="7">
        <f>IF($L10&gt;0,$L11/$L10,0)</f>
        <v>0.16479003370350589</v>
      </c>
      <c r="N11" s="7">
        <f>IF($L10&gt;0,$L11/$L10,0)</f>
        <v>0.16479003370350589</v>
      </c>
    </row>
    <row r="12" spans="1:14" s="2" customFormat="1" x14ac:dyDescent="0.3">
      <c r="A12" s="2" t="s">
        <v>14</v>
      </c>
      <c r="B12" s="1">
        <f>'Data Sheet'!B30</f>
        <v>9344.4500000000007</v>
      </c>
      <c r="C12" s="1">
        <f>'Data Sheet'!C30</f>
        <v>10289.44</v>
      </c>
      <c r="D12" s="1">
        <f>'Data Sheet'!D30</f>
        <v>11271.2</v>
      </c>
      <c r="E12" s="1">
        <f>'Data Sheet'!E30</f>
        <v>12592.33</v>
      </c>
      <c r="F12" s="1">
        <f>'Data Sheet'!F30</f>
        <v>15306.23</v>
      </c>
      <c r="G12" s="1">
        <f>'Data Sheet'!G30</f>
        <v>13161.19</v>
      </c>
      <c r="H12" s="1">
        <f>'Data Sheet'!H30</f>
        <v>15242.66</v>
      </c>
      <c r="I12" s="1">
        <f>'Data Sheet'!I30</f>
        <v>19191.66</v>
      </c>
      <c r="J12" s="1">
        <f>'Data Sheet'!J30</f>
        <v>20458.78</v>
      </c>
      <c r="K12" s="1">
        <f>'Data Sheet'!K30</f>
        <v>34746.629999999997</v>
      </c>
      <c r="L12" s="1">
        <f>SUM(Quarters!H12:K12)</f>
        <v>34899.24</v>
      </c>
      <c r="M12" s="1">
        <f>M10-M11*M10</f>
        <v>23556.157259009131</v>
      </c>
      <c r="N12" s="1">
        <f>N10-N11*N10</f>
        <v>21100.884393007491</v>
      </c>
    </row>
    <row r="13" spans="1:14" x14ac:dyDescent="0.3">
      <c r="A13" t="s">
        <v>57</v>
      </c>
      <c r="B13" s="6">
        <f>IF('Data Sheet'!B93&gt;0,B12/'Data Sheet'!B93,0)</f>
        <v>7.7413675978394147</v>
      </c>
      <c r="C13" s="6">
        <f>IF('Data Sheet'!C93&gt;0,C12/'Data Sheet'!C93,0)</f>
        <v>8.4704875117309051</v>
      </c>
      <c r="D13" s="6">
        <f>IF('Data Sheet'!D93&gt;0,D12/'Data Sheet'!D93,0)</f>
        <v>9.2354334128135172</v>
      </c>
      <c r="E13" s="6">
        <f>IF('Data Sheet'!E93&gt;0,E12/'Data Sheet'!E93,0)</f>
        <v>10.272241528396393</v>
      </c>
      <c r="F13" s="6">
        <f>IF('Data Sheet'!F93&gt;0,F12/'Data Sheet'!F93,0)</f>
        <v>12.451985812141032</v>
      </c>
      <c r="G13" s="6">
        <f>IF('Data Sheet'!G93&gt;0,G12/'Data Sheet'!G93,0)</f>
        <v>10.692504549590536</v>
      </c>
      <c r="H13" s="6">
        <f>IF('Data Sheet'!H93&gt;0,H12/'Data Sheet'!H93,0)</f>
        <v>12.368975842509718</v>
      </c>
      <c r="I13" s="6">
        <f>IF('Data Sheet'!I93&gt;0,I12/'Data Sheet'!I93,0)</f>
        <v>15.442275506919859</v>
      </c>
      <c r="J13" s="6">
        <f>IF('Data Sheet'!J93&gt;0,J12/'Data Sheet'!J93,0)</f>
        <v>16.387081788108645</v>
      </c>
      <c r="K13" s="6">
        <f>IF('Data Sheet'!K93&gt;0,K12/'Data Sheet'!K93,0)</f>
        <v>27.765983970081745</v>
      </c>
      <c r="L13" s="6">
        <f>IF('Data Sheet'!$B6&gt;0,'Profit &amp; Loss'!L12/'Data Sheet'!$B6,0)</f>
        <v>27.85660969880918</v>
      </c>
      <c r="M13" s="6">
        <f>IF('Data Sheet'!$B6&gt;0,'Profit &amp; Loss'!M12/'Data Sheet'!$B6,0)</f>
        <v>18.802549246573509</v>
      </c>
      <c r="N13" s="6">
        <f>IF('Data Sheet'!$B6&gt;0,'Profit &amp; Loss'!N12/'Data Sheet'!$B6,0)</f>
        <v>16.842747888942675</v>
      </c>
    </row>
    <row r="14" spans="1:14" x14ac:dyDescent="0.3">
      <c r="A14" t="s">
        <v>16</v>
      </c>
      <c r="B14" s="6">
        <f>IF(B15&gt;0,B15/B13,"")</f>
        <v>26.49790200600356</v>
      </c>
      <c r="C14" s="6">
        <f t="shared" ref="C14:K14" si="2">IF(C15&gt;0,C15/C13,"")</f>
        <v>31.019466073955435</v>
      </c>
      <c r="D14" s="6">
        <f t="shared" si="2"/>
        <v>25.932729877918941</v>
      </c>
      <c r="E14" s="6">
        <f t="shared" si="2"/>
        <v>27.125530414148926</v>
      </c>
      <c r="F14" s="6">
        <f t="shared" si="2"/>
        <v>12.925649163771876</v>
      </c>
      <c r="G14" s="6">
        <f t="shared" si="2"/>
        <v>19.155474664525016</v>
      </c>
      <c r="H14" s="6">
        <f t="shared" si="2"/>
        <v>18.995913889045614</v>
      </c>
      <c r="I14" s="6">
        <f t="shared" si="2"/>
        <v>23.279600201337455</v>
      </c>
      <c r="J14" s="6">
        <f t="shared" si="2"/>
        <v>24.502837368601647</v>
      </c>
      <c r="K14" s="6">
        <f t="shared" si="2"/>
        <v>14.757265596692401</v>
      </c>
      <c r="L14" s="6">
        <f t="shared" ref="L14" si="3">IF(L13&gt;0,L15/L13,0)</f>
        <v>14.852848371483162</v>
      </c>
      <c r="M14" s="6">
        <f>M25</f>
        <v>19.348137884528668</v>
      </c>
      <c r="N14" s="6">
        <f>N25</f>
        <v>14.852848371483162</v>
      </c>
    </row>
    <row r="15" spans="1:14" s="2" customFormat="1" x14ac:dyDescent="0.3">
      <c r="A15" s="2" t="s">
        <v>58</v>
      </c>
      <c r="B15" s="1">
        <f>'Data Sheet'!B90</f>
        <v>205.13</v>
      </c>
      <c r="C15" s="1">
        <f>'Data Sheet'!C90</f>
        <v>262.75</v>
      </c>
      <c r="D15" s="1">
        <f>'Data Sheet'!D90</f>
        <v>239.5</v>
      </c>
      <c r="E15" s="1">
        <f>'Data Sheet'!E90</f>
        <v>278.64</v>
      </c>
      <c r="F15" s="1">
        <f>'Data Sheet'!F90</f>
        <v>160.94999999999999</v>
      </c>
      <c r="G15" s="1">
        <f>'Data Sheet'!G90</f>
        <v>204.82</v>
      </c>
      <c r="H15" s="1">
        <f>'Data Sheet'!H90</f>
        <v>234.96</v>
      </c>
      <c r="I15" s="1">
        <f>'Data Sheet'!I90</f>
        <v>359.49</v>
      </c>
      <c r="J15" s="1">
        <f>'Data Sheet'!J90</f>
        <v>401.53</v>
      </c>
      <c r="K15" s="1">
        <f>'Data Sheet'!K90</f>
        <v>409.75</v>
      </c>
      <c r="L15" s="1">
        <f>'Data Sheet'!B8</f>
        <v>413.75</v>
      </c>
      <c r="M15" s="8">
        <f>M13*M14</f>
        <v>363.79431540334491</v>
      </c>
      <c r="N15" s="9">
        <f>N13*N14</f>
        <v>250.16278055358367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0.73199813793214152</v>
      </c>
      <c r="C18" s="5">
        <f>IF('Data Sheet'!C30&gt;0, 'Data Sheet'!C31/'Data Sheet'!C30, 0)</f>
        <v>0.56077104293333746</v>
      </c>
      <c r="D18" s="5">
        <f>IF('Data Sheet'!D30&gt;0, 'Data Sheet'!D31/'Data Sheet'!D30, 0)</f>
        <v>0.55763450209383203</v>
      </c>
      <c r="E18" s="5">
        <f>IF('Data Sheet'!E30&gt;0, 'Data Sheet'!E31/'Data Sheet'!E30, 0)</f>
        <v>0.55976137855345276</v>
      </c>
      <c r="F18" s="5">
        <f>IF('Data Sheet'!F30&gt;0, 'Data Sheet'!F31/'Data Sheet'!F30, 0)</f>
        <v>0.8151308323473514</v>
      </c>
      <c r="G18" s="5">
        <f>IF('Data Sheet'!G30&gt;0, 'Data Sheet'!G31/'Data Sheet'!G30, 0)</f>
        <v>1.0053771733407084</v>
      </c>
      <c r="H18" s="5">
        <f>IF('Data Sheet'!H30&gt;0, 'Data Sheet'!H31/'Data Sheet'!H30, 0)</f>
        <v>0.92974585800641096</v>
      </c>
      <c r="I18" s="5">
        <f>IF('Data Sheet'!I30&gt;0, 'Data Sheet'!I31/'Data Sheet'!I30, 0)</f>
        <v>1.0037380820627295</v>
      </c>
      <c r="J18" s="5">
        <f>IF('Data Sheet'!J30&gt;0, 'Data Sheet'!J31/'Data Sheet'!J30, 0)</f>
        <v>0.83907544829163816</v>
      </c>
      <c r="K18" s="5">
        <f>IF('Data Sheet'!K30&gt;0, 'Data Sheet'!K31/'Data Sheet'!K30, 0)</f>
        <v>0.51681932895362803</v>
      </c>
    </row>
    <row r="19" spans="1:14" x14ac:dyDescent="0.3">
      <c r="A19" t="s">
        <v>18</v>
      </c>
      <c r="B19" s="5">
        <f t="shared" ref="B19:L19" si="4">IF(B6&gt;0,B6/B4,0)</f>
        <v>0.37077599822413199</v>
      </c>
      <c r="C19" s="5">
        <f t="shared" ref="C19:K19" si="5">IF(C6&gt;0,C6/C4,0)</f>
        <v>0.36171096811605047</v>
      </c>
      <c r="D19" s="5">
        <f t="shared" si="5"/>
        <v>0.38022998950031928</v>
      </c>
      <c r="E19" s="5">
        <f t="shared" si="5"/>
        <v>0.38348264507056129</v>
      </c>
      <c r="F19" s="5">
        <f t="shared" si="5"/>
        <v>0.39166715599228147</v>
      </c>
      <c r="G19" s="5">
        <f t="shared" si="5"/>
        <v>0.34644058919006154</v>
      </c>
      <c r="H19" s="5">
        <f t="shared" si="5"/>
        <v>0.3400660636555245</v>
      </c>
      <c r="I19" s="5">
        <f t="shared" si="5"/>
        <v>0.36244517162741785</v>
      </c>
      <c r="J19" s="5">
        <f t="shared" si="5"/>
        <v>0.37077595605248426</v>
      </c>
      <c r="K19" s="5">
        <f t="shared" si="5"/>
        <v>0.34304705553418102</v>
      </c>
      <c r="L19" s="5">
        <f t="shared" si="4"/>
        <v>0.33210695503257071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7.5290157386170398E-2</v>
      </c>
      <c r="I23" s="5">
        <f>IF(D4=0,"",POWER($K4/D4,1/7)-1)</f>
        <v>8.1772081914101014E-2</v>
      </c>
      <c r="J23" s="5">
        <f>IF(F4=0,"",POWER($K4/F4,1/5)-1)</f>
        <v>8.8083322106701667E-2</v>
      </c>
      <c r="K23" s="5">
        <f>IF(H4=0,"",POWER($K4/H4, 1/3)-1)</f>
        <v>7.4927782346726923E-2</v>
      </c>
      <c r="L23" s="5">
        <f>IF(ISERROR(MAX(IF(J4=0,"",(K4-J4)/J4),IF(K4=0,"",(L4-K4)/K4))),"",MAX(IF(J4=0,"",(K4-J4)/J4),IF(K4=0,"",(L4-K4)/K4)))</f>
        <v>0.10880596078957842</v>
      </c>
      <c r="M23" s="16">
        <f>MAX(K23:L23)</f>
        <v>0.10880596078957842</v>
      </c>
      <c r="N23" s="16">
        <f>MIN(H23:L23)</f>
        <v>7.4927782346726923E-2</v>
      </c>
    </row>
    <row r="24" spans="1:14" x14ac:dyDescent="0.3">
      <c r="G24" t="s">
        <v>18</v>
      </c>
      <c r="H24" s="5">
        <f>IF(SUM(B4:$K$4)=0,"",SUMPRODUCT(B19:$K$19,B4:$K$4)/SUM(B4:$K$4))</f>
        <v>0.36333561776087531</v>
      </c>
      <c r="I24" s="5">
        <f>IF(SUM(E4:$K$4)=0,"",SUMPRODUCT(E19:$K$19,E4:$K$4)/SUM(E4:$K$4))</f>
        <v>0.361068770445239</v>
      </c>
      <c r="J24" s="5">
        <f>IF(SUM(G4:$K$4)=0,"",SUMPRODUCT(G19:$K$19,G4:$K$4)/SUM(G4:$K$4))</f>
        <v>0.35306244239396706</v>
      </c>
      <c r="K24" s="5">
        <f>IF(SUM(I4:$K$4)=0, "", SUMPRODUCT(I19:$K$19,I4:$K$4)/SUM(I4:$K$4))</f>
        <v>0.35826537739283482</v>
      </c>
      <c r="L24" s="5">
        <f>L19</f>
        <v>0.33210695503257071</v>
      </c>
      <c r="M24" s="16">
        <f>MAX(K24:L24)</f>
        <v>0.35826537739283482</v>
      </c>
      <c r="N24" s="16">
        <f>MIN(H24:L24)</f>
        <v>0.33210695503257071</v>
      </c>
    </row>
    <row r="25" spans="1:14" x14ac:dyDescent="0.3">
      <c r="G25" t="s">
        <v>23</v>
      </c>
      <c r="H25" s="6">
        <f>IF(ISERROR(AVERAGEIF(B14:$L14,"&gt;0")),"",AVERAGEIF(B14:$L14,"&gt;0"))</f>
        <v>21.73138342068037</v>
      </c>
      <c r="I25" s="6">
        <f>IF(ISERROR(AVERAGEIF(E14:$L14,"&gt;0")),"",AVERAGEIF(E14:$L14,"&gt;0"))</f>
        <v>19.449389958700763</v>
      </c>
      <c r="J25" s="6">
        <f>IF(ISERROR(AVERAGEIF(G14:$L14,"&gt;0")),"",AVERAGEIF(G14:$L14,"&gt;0"))</f>
        <v>19.257323348614218</v>
      </c>
      <c r="K25" s="6">
        <f>IF(ISERROR(AVERAGEIF(I14:$L14,"&gt;0")),"",AVERAGEIF(I14:$L14,"&gt;0"))</f>
        <v>19.348137884528668</v>
      </c>
      <c r="L25" s="6">
        <f>L14</f>
        <v>14.852848371483162</v>
      </c>
      <c r="M25" s="1">
        <f>MAX(K25:L25)</f>
        <v>19.348137884528668</v>
      </c>
      <c r="N25" s="1">
        <f>MIN(H25:L25)</f>
        <v>14.852848371483162</v>
      </c>
    </row>
  </sheetData>
  <printOptions gridLines="1"/>
  <pageMargins left="0.7" right="0.7" top="0.75" bottom="0.75" header="0.3" footer="0.3"/>
  <pageSetup paperSize="9" scale="67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ED03-50D4-4154-9824-9F3C74941500}">
  <sheetPr>
    <pageSetUpPr fitToPage="1"/>
  </sheetPr>
  <dimension ref="A1:M131"/>
  <sheetViews>
    <sheetView showGridLines="0" topLeftCell="B13" zoomScale="168" zoomScaleNormal="68" zoomScalePageLayoutView="101" workbookViewId="0">
      <selection activeCell="H27" sqref="H27"/>
    </sheetView>
  </sheetViews>
  <sheetFormatPr defaultColWidth="8.33203125" defaultRowHeight="10.199999999999999" x14ac:dyDescent="0.2"/>
  <cols>
    <col min="1" max="1" width="1.109375" style="124" hidden="1" customWidth="1"/>
    <col min="2" max="2" width="17.88671875" style="124" customWidth="1"/>
    <col min="3" max="11" width="8.21875" style="124" customWidth="1"/>
    <col min="12" max="12" width="9.88671875" style="124" customWidth="1"/>
    <col min="13" max="13" width="0" style="124" hidden="1" customWidth="1"/>
    <col min="14" max="16384" width="8.33203125" style="124"/>
  </cols>
  <sheetData>
    <row r="1" spans="2:13" x14ac:dyDescent="0.2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3" spans="2:13" ht="19.8" customHeight="1" x14ac:dyDescent="0.2">
      <c r="B3" s="246" t="str">
        <f>"Historical Financial Statement - "&amp;'Balance Sheet'!A1</f>
        <v>Historical Financial Statement - ITC LTD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</row>
    <row r="4" spans="2:13" x14ac:dyDescent="0.2">
      <c r="B4" s="139" t="s">
        <v>93</v>
      </c>
      <c r="C4" s="140">
        <f>'Balance Sheet'!B3</f>
        <v>42460</v>
      </c>
      <c r="D4" s="140">
        <f>'Balance Sheet'!C3</f>
        <v>42825</v>
      </c>
      <c r="E4" s="140">
        <f>'Balance Sheet'!D3</f>
        <v>43190</v>
      </c>
      <c r="F4" s="140">
        <f>'Balance Sheet'!E3</f>
        <v>43555</v>
      </c>
      <c r="G4" s="140">
        <f>'Balance Sheet'!F3</f>
        <v>43921</v>
      </c>
      <c r="H4" s="140">
        <f>'Balance Sheet'!G3</f>
        <v>44286</v>
      </c>
      <c r="I4" s="140">
        <f>'Balance Sheet'!H3</f>
        <v>44651</v>
      </c>
      <c r="J4" s="140">
        <f>'Balance Sheet'!I3</f>
        <v>45016</v>
      </c>
      <c r="K4" s="140">
        <f>'Balance Sheet'!J3</f>
        <v>45382</v>
      </c>
      <c r="L4" s="140">
        <f>'Balance Sheet'!K3</f>
        <v>45747</v>
      </c>
      <c r="M4" s="141" t="s">
        <v>94</v>
      </c>
    </row>
    <row r="5" spans="2:13" s="144" customFormat="1" x14ac:dyDescent="0.2">
      <c r="B5" s="142"/>
      <c r="C5" s="142"/>
      <c r="D5" s="142"/>
      <c r="E5" s="142"/>
      <c r="F5" s="143"/>
      <c r="G5" s="143"/>
      <c r="H5" s="143"/>
      <c r="I5" s="143"/>
      <c r="J5" s="143"/>
      <c r="K5" s="143"/>
      <c r="L5" s="143"/>
      <c r="M5" s="143"/>
    </row>
    <row r="6" spans="2:13" x14ac:dyDescent="0.2">
      <c r="B6" s="145" t="s">
        <v>95</v>
      </c>
      <c r="C6" s="145"/>
      <c r="D6" s="145"/>
      <c r="E6" s="145"/>
      <c r="F6" s="146"/>
      <c r="G6" s="146"/>
      <c r="H6" s="146"/>
      <c r="I6" s="146"/>
      <c r="J6" s="146"/>
      <c r="K6" s="146"/>
      <c r="L6" s="146"/>
      <c r="M6" s="146"/>
    </row>
    <row r="7" spans="2:13" x14ac:dyDescent="0.2">
      <c r="B7" s="124" t="s">
        <v>6</v>
      </c>
      <c r="C7" s="125">
        <f>IFERROR('Data Sheet'!B17,0)</f>
        <v>39192.1</v>
      </c>
      <c r="D7" s="125">
        <f>IFERROR('Data Sheet'!C17,0)</f>
        <v>42767.6</v>
      </c>
      <c r="E7" s="125">
        <f>IFERROR('Data Sheet'!D17,0)</f>
        <v>43448.94</v>
      </c>
      <c r="F7" s="125">
        <f>IFERROR('Data Sheet'!E17,0)</f>
        <v>48339.58</v>
      </c>
      <c r="G7" s="126">
        <f>IFERROR('Data Sheet'!F17,0)</f>
        <v>49387.7</v>
      </c>
      <c r="H7" s="126">
        <f>IFERROR('Data Sheet'!G17,0)</f>
        <v>49257.45</v>
      </c>
      <c r="I7" s="126">
        <f>IFERROR('Data Sheet'!H17,0)</f>
        <v>60644.54</v>
      </c>
      <c r="J7" s="126">
        <f>IFERROR('Data Sheet'!I17,0)</f>
        <v>70919.03</v>
      </c>
      <c r="K7" s="126">
        <f>IFERROR('Data Sheet'!J17,0)</f>
        <v>67931.94</v>
      </c>
      <c r="L7" s="126">
        <f>IFERROR('Data Sheet'!K17,0)</f>
        <v>75323.34</v>
      </c>
      <c r="M7" s="124">
        <f>IFERROR(SUM(Quarters!J4:K4),0)</f>
        <v>40259.79</v>
      </c>
    </row>
    <row r="8" spans="2:13" x14ac:dyDescent="0.2">
      <c r="B8" s="127" t="s">
        <v>22</v>
      </c>
      <c r="C8" s="127"/>
      <c r="D8" s="127"/>
      <c r="E8" s="127"/>
      <c r="F8" s="128" t="s">
        <v>96</v>
      </c>
      <c r="G8" s="129">
        <f>(G7-F7)/F7</f>
        <v>2.1682439110972732E-2</v>
      </c>
      <c r="H8" s="129">
        <f t="shared" ref="H8:L8" si="0">(H7-G7)/G7</f>
        <v>-2.6372963308678075E-3</v>
      </c>
      <c r="I8" s="129">
        <f t="shared" si="0"/>
        <v>0.23117497962237193</v>
      </c>
      <c r="J8" s="129">
        <f t="shared" si="0"/>
        <v>0.16942151758427054</v>
      </c>
      <c r="K8" s="129">
        <f t="shared" si="0"/>
        <v>-4.2119724423754758E-2</v>
      </c>
      <c r="L8" s="129">
        <f t="shared" si="0"/>
        <v>0.10880596078957842</v>
      </c>
      <c r="M8" s="129">
        <f>(M7-L7)/L7</f>
        <v>-0.46550710576562321</v>
      </c>
    </row>
    <row r="10" spans="2:13" x14ac:dyDescent="0.2">
      <c r="B10" s="124" t="s">
        <v>97</v>
      </c>
      <c r="C10" s="126">
        <f>IFERROR(SUM('Data Sheet'!B18:B23),0)</f>
        <v>23815.479999999996</v>
      </c>
      <c r="D10" s="126">
        <f>IFERROR(SUM('Data Sheet'!C18:C23),0)</f>
        <v>24943.72</v>
      </c>
      <c r="E10" s="126">
        <f>IFERROR(SUM('Data Sheet'!D18:D23),0)</f>
        <v>23866.85</v>
      </c>
      <c r="F10" s="126">
        <f>IFERROR(SUM('Data Sheet'!E18:E23),0)</f>
        <v>29168.719999999998</v>
      </c>
      <c r="G10" s="126">
        <f>IFERROR(SUM('Data Sheet'!F18:F23),0)</f>
        <v>30225.29</v>
      </c>
      <c r="H10" s="126">
        <f>IFERROR(SUM('Data Sheet'!G18:G23),0)</f>
        <v>32408.820000000003</v>
      </c>
      <c r="I10" s="126">
        <f>IFERROR(SUM('Data Sheet'!H18:H23),0)</f>
        <v>40283.440000000002</v>
      </c>
      <c r="J10" s="126">
        <f>IFERROR(SUM('Data Sheet'!I18:I23),0)</f>
        <v>44623.390000000007</v>
      </c>
      <c r="K10" s="126">
        <f>IFERROR(SUM('Data Sheet'!J18:J23),0)</f>
        <v>41713.979999999996</v>
      </c>
      <c r="L10" s="126">
        <f>IFERROR(SUM('Data Sheet'!K18:K23),0)</f>
        <v>48713.799999999996</v>
      </c>
      <c r="M10" s="126">
        <f>IFERROR(Quarters!D5,0)</f>
        <v>11320.23</v>
      </c>
    </row>
    <row r="11" spans="2:13" x14ac:dyDescent="0.2">
      <c r="B11" s="127" t="s">
        <v>98</v>
      </c>
      <c r="C11" s="129">
        <f t="shared" ref="C11:E11" si="1">C10/C7</f>
        <v>0.60766021723765751</v>
      </c>
      <c r="D11" s="129">
        <f t="shared" si="1"/>
        <v>0.58323871341856925</v>
      </c>
      <c r="E11" s="129">
        <f t="shared" si="1"/>
        <v>0.54930799232386329</v>
      </c>
      <c r="F11" s="129">
        <f>F10/F7</f>
        <v>0.6034127727216495</v>
      </c>
      <c r="G11" s="129">
        <f t="shared" ref="G11:L11" si="2">G10/G7</f>
        <v>0.61200035636403405</v>
      </c>
      <c r="H11" s="129">
        <f t="shared" si="2"/>
        <v>0.65794757950320215</v>
      </c>
      <c r="I11" s="129">
        <f t="shared" si="2"/>
        <v>0.664255017846619</v>
      </c>
      <c r="J11" s="129">
        <f t="shared" si="2"/>
        <v>0.62921602283618383</v>
      </c>
      <c r="K11" s="129">
        <f t="shared" si="2"/>
        <v>0.61405547964624585</v>
      </c>
      <c r="L11" s="129">
        <f t="shared" si="2"/>
        <v>0.64672915460201308</v>
      </c>
      <c r="M11" s="129">
        <f>M10/M7</f>
        <v>0.28117955905880282</v>
      </c>
    </row>
    <row r="13" spans="2:13" x14ac:dyDescent="0.2">
      <c r="B13" s="124" t="s">
        <v>99</v>
      </c>
      <c r="C13" s="126">
        <f t="shared" ref="C13:E13" si="3">C7-C10</f>
        <v>15376.620000000003</v>
      </c>
      <c r="D13" s="126">
        <f t="shared" si="3"/>
        <v>17823.879999999997</v>
      </c>
      <c r="E13" s="126">
        <f t="shared" si="3"/>
        <v>19582.090000000004</v>
      </c>
      <c r="F13" s="126">
        <f>F7-F10</f>
        <v>19170.860000000004</v>
      </c>
      <c r="G13" s="126">
        <f t="shared" ref="G13:M13" si="4">G7-G10</f>
        <v>19162.409999999996</v>
      </c>
      <c r="H13" s="126">
        <f t="shared" si="4"/>
        <v>16848.629999999994</v>
      </c>
      <c r="I13" s="126">
        <f t="shared" si="4"/>
        <v>20361.099999999999</v>
      </c>
      <c r="J13" s="126">
        <f t="shared" si="4"/>
        <v>26295.639999999992</v>
      </c>
      <c r="K13" s="126">
        <f t="shared" si="4"/>
        <v>26217.960000000006</v>
      </c>
      <c r="L13" s="126">
        <f t="shared" si="4"/>
        <v>26609.54</v>
      </c>
      <c r="M13" s="126">
        <f t="shared" si="4"/>
        <v>28939.56</v>
      </c>
    </row>
    <row r="14" spans="2:13" x14ac:dyDescent="0.2">
      <c r="B14" s="127" t="s">
        <v>167</v>
      </c>
      <c r="C14" s="129">
        <f t="shared" ref="C14:E14" si="5">C13/C7</f>
        <v>0.39233978276234249</v>
      </c>
      <c r="D14" s="129">
        <f t="shared" si="5"/>
        <v>0.41676128658143075</v>
      </c>
      <c r="E14" s="129">
        <f t="shared" si="5"/>
        <v>0.45069200767613671</v>
      </c>
      <c r="F14" s="129">
        <f>F13/F7</f>
        <v>0.39658722727835044</v>
      </c>
      <c r="G14" s="129">
        <f t="shared" ref="G14:M14" si="6">G13/G7</f>
        <v>0.38799964363596601</v>
      </c>
      <c r="H14" s="129">
        <f t="shared" si="6"/>
        <v>0.34205242049679785</v>
      </c>
      <c r="I14" s="129">
        <f t="shared" si="6"/>
        <v>0.33574498215338094</v>
      </c>
      <c r="J14" s="129">
        <f t="shared" si="6"/>
        <v>0.37078397716381617</v>
      </c>
      <c r="K14" s="129">
        <f t="shared" si="6"/>
        <v>0.38594452035375415</v>
      </c>
      <c r="L14" s="129">
        <f t="shared" si="6"/>
        <v>0.35327084539798692</v>
      </c>
      <c r="M14" s="129">
        <f t="shared" si="6"/>
        <v>0.71882044094119713</v>
      </c>
    </row>
    <row r="16" spans="2:13" x14ac:dyDescent="0.2">
      <c r="B16" s="124" t="s">
        <v>100</v>
      </c>
      <c r="C16" s="126">
        <f>IFERROR(SUM('Data Sheet'!B24:B25),0)</f>
        <v>2719</v>
      </c>
      <c r="D16" s="126">
        <f>IFERROR(SUM('Data Sheet'!C24:C25),0)</f>
        <v>2927.86</v>
      </c>
      <c r="E16" s="126">
        <f>IFERROR(SUM('Data Sheet'!D24:D25),0)</f>
        <v>3245.79</v>
      </c>
      <c r="F16" s="126">
        <f>IFERROR(SUM('Data Sheet'!E24:E25),0)</f>
        <v>3120.29</v>
      </c>
      <c r="G16" s="126">
        <f>IFERROR(SUM('Data Sheet'!F24:F25),0)</f>
        <v>3642.4500000000003</v>
      </c>
      <c r="H16" s="126">
        <f>IFERROR(SUM('Data Sheet'!G24:G25),0)</f>
        <v>3651.34</v>
      </c>
      <c r="I16" s="126">
        <f>IFERROR(SUM('Data Sheet'!H24:H25),0)</f>
        <v>3019.67</v>
      </c>
      <c r="J16" s="126">
        <f>IFERROR(SUM('Data Sheet'!I24:I25),0)</f>
        <v>3406.2</v>
      </c>
      <c r="K16" s="126">
        <f>IFERROR(SUM('Data Sheet'!J24:J25),0)</f>
        <v>5096.42</v>
      </c>
      <c r="L16" s="126">
        <f>IFERROR(SUM('Data Sheet'!K24:K25),0)</f>
        <v>20016.27</v>
      </c>
      <c r="M16" s="126">
        <f>IFERROR(SUM('Data Sheet'!L24:L25),0)</f>
        <v>0</v>
      </c>
    </row>
    <row r="17" spans="2:13" x14ac:dyDescent="0.2">
      <c r="B17" s="127" t="s">
        <v>101</v>
      </c>
      <c r="C17" s="129">
        <f t="shared" ref="C17:E17" si="7">C16/C7</f>
        <v>6.9376226331326979E-2</v>
      </c>
      <c r="D17" s="129">
        <f t="shared" si="7"/>
        <v>6.8459768609882246E-2</v>
      </c>
      <c r="E17" s="129">
        <f t="shared" si="7"/>
        <v>7.4703548579090756E-2</v>
      </c>
      <c r="F17" s="129">
        <f>F16/F7</f>
        <v>6.4549381686808197E-2</v>
      </c>
      <c r="G17" s="129">
        <f t="shared" ref="G17:M17" si="8">G16/G7</f>
        <v>7.3752169062337392E-2</v>
      </c>
      <c r="H17" s="129">
        <f t="shared" si="8"/>
        <v>7.4127670027579598E-2</v>
      </c>
      <c r="I17" s="129">
        <f t="shared" si="8"/>
        <v>4.9792940963852637E-2</v>
      </c>
      <c r="J17" s="129">
        <f t="shared" si="8"/>
        <v>4.8029421722209115E-2</v>
      </c>
      <c r="K17" s="129">
        <f t="shared" si="8"/>
        <v>7.5022441579027474E-2</v>
      </c>
      <c r="L17" s="129">
        <f t="shared" si="8"/>
        <v>0.26573795054759919</v>
      </c>
      <c r="M17" s="129">
        <f t="shared" si="8"/>
        <v>0</v>
      </c>
    </row>
    <row r="19" spans="2:13" x14ac:dyDescent="0.2">
      <c r="B19" s="124" t="s">
        <v>102</v>
      </c>
      <c r="C19" s="126">
        <f t="shared" ref="C19:E19" si="9">C13-C16</f>
        <v>12657.620000000003</v>
      </c>
      <c r="D19" s="126">
        <f t="shared" si="9"/>
        <v>14896.019999999997</v>
      </c>
      <c r="E19" s="126">
        <f t="shared" si="9"/>
        <v>16336.300000000003</v>
      </c>
      <c r="F19" s="126">
        <f>F13-F16</f>
        <v>16050.570000000003</v>
      </c>
      <c r="G19" s="126">
        <f t="shared" ref="G19:M19" si="10">G13-G16</f>
        <v>15519.959999999995</v>
      </c>
      <c r="H19" s="126">
        <f t="shared" si="10"/>
        <v>13197.289999999994</v>
      </c>
      <c r="I19" s="126">
        <f t="shared" si="10"/>
        <v>17341.43</v>
      </c>
      <c r="J19" s="126">
        <f t="shared" si="10"/>
        <v>22889.439999999991</v>
      </c>
      <c r="K19" s="126">
        <f t="shared" si="10"/>
        <v>21121.540000000008</v>
      </c>
      <c r="L19" s="126">
        <f t="shared" si="10"/>
        <v>6593.27</v>
      </c>
      <c r="M19" s="126">
        <f t="shared" si="10"/>
        <v>28939.56</v>
      </c>
    </row>
    <row r="20" spans="2:13" x14ac:dyDescent="0.2">
      <c r="B20" s="127" t="s">
        <v>103</v>
      </c>
      <c r="C20" s="129">
        <f t="shared" ref="C20:E20" si="11">C19/C7</f>
        <v>0.32296355643101549</v>
      </c>
      <c r="D20" s="129">
        <f t="shared" si="11"/>
        <v>0.34830151797154851</v>
      </c>
      <c r="E20" s="129">
        <f t="shared" si="11"/>
        <v>0.37598845909704592</v>
      </c>
      <c r="F20" s="129">
        <f>F19/F7</f>
        <v>0.3320378455915422</v>
      </c>
      <c r="G20" s="129">
        <f t="shared" ref="G20:M20" si="12">G19/G7</f>
        <v>0.31424747457362856</v>
      </c>
      <c r="H20" s="129">
        <f t="shared" si="12"/>
        <v>0.26792475046921826</v>
      </c>
      <c r="I20" s="129">
        <f t="shared" si="12"/>
        <v>0.28595204118952838</v>
      </c>
      <c r="J20" s="129">
        <f t="shared" si="12"/>
        <v>0.32275455544160703</v>
      </c>
      <c r="K20" s="129">
        <f t="shared" si="12"/>
        <v>0.31092207877472672</v>
      </c>
      <c r="L20" s="129">
        <f t="shared" si="12"/>
        <v>8.7532894850387691E-2</v>
      </c>
      <c r="M20" s="129">
        <f t="shared" si="12"/>
        <v>0.71882044094119713</v>
      </c>
    </row>
    <row r="22" spans="2:13" x14ac:dyDescent="0.2">
      <c r="B22" s="124" t="s">
        <v>11</v>
      </c>
      <c r="C22" s="126">
        <f>IFERROR('Data Sheet'!B27,0)</f>
        <v>78.13</v>
      </c>
      <c r="D22" s="126">
        <f>IFERROR('Data Sheet'!C27,0)</f>
        <v>49.03</v>
      </c>
      <c r="E22" s="126">
        <f>IFERROR('Data Sheet'!D27,0)</f>
        <v>115.01</v>
      </c>
      <c r="F22" s="126">
        <f>IFERROR('Data Sheet'!E27,0)</f>
        <v>71.400000000000006</v>
      </c>
      <c r="G22" s="126">
        <f>IFERROR('Data Sheet'!F27,0)</f>
        <v>81.38</v>
      </c>
      <c r="H22" s="126">
        <f>IFERROR('Data Sheet'!G27,0)</f>
        <v>57.97</v>
      </c>
      <c r="I22" s="126">
        <f>IFERROR('Data Sheet'!H27,0)</f>
        <v>59.99</v>
      </c>
      <c r="J22" s="126">
        <f>IFERROR('Data Sheet'!I27,0)</f>
        <v>77.77</v>
      </c>
      <c r="K22" s="126">
        <f>IFERROR('Data Sheet'!J27,0)</f>
        <v>39.11</v>
      </c>
      <c r="L22" s="126">
        <f>IFERROR('Data Sheet'!K27,0)</f>
        <v>45.06</v>
      </c>
      <c r="M22" s="126">
        <f>IFERROR(Quarters!J9+N11,0)</f>
        <v>10.91</v>
      </c>
    </row>
    <row r="23" spans="2:13" x14ac:dyDescent="0.2">
      <c r="B23" s="127" t="s">
        <v>104</v>
      </c>
      <c r="C23" s="129">
        <f t="shared" ref="C23:E23" si="13">C22/C7</f>
        <v>1.9935139989946953E-3</v>
      </c>
      <c r="D23" s="129">
        <f t="shared" si="13"/>
        <v>1.146428604831695E-3</v>
      </c>
      <c r="E23" s="129">
        <f t="shared" si="13"/>
        <v>2.647015094039118E-3</v>
      </c>
      <c r="F23" s="129">
        <f>F22/F7</f>
        <v>1.4770504832685763E-3</v>
      </c>
      <c r="G23" s="129">
        <f t="shared" ref="G23:M23" si="14">G22/G7</f>
        <v>1.647778697934911E-3</v>
      </c>
      <c r="H23" s="129">
        <f t="shared" si="14"/>
        <v>1.1768778123918311E-3</v>
      </c>
      <c r="I23" s="129">
        <f t="shared" si="14"/>
        <v>9.8920694262006107E-4</v>
      </c>
      <c r="J23" s="129">
        <f t="shared" si="14"/>
        <v>1.0966027031108574E-3</v>
      </c>
      <c r="K23" s="129">
        <f t="shared" si="14"/>
        <v>5.7572329010477244E-4</v>
      </c>
      <c r="L23" s="129">
        <f t="shared" si="14"/>
        <v>5.9822094984104534E-4</v>
      </c>
      <c r="M23" s="129">
        <f t="shared" si="14"/>
        <v>2.7098998777688607E-4</v>
      </c>
    </row>
    <row r="25" spans="2:13" x14ac:dyDescent="0.2">
      <c r="B25" s="124" t="s">
        <v>10</v>
      </c>
      <c r="C25" s="126">
        <f>IFERROR('Data Sheet'!B26,0)</f>
        <v>1077.4000000000001</v>
      </c>
      <c r="D25" s="126">
        <f>IFERROR('Data Sheet'!C26,0)</f>
        <v>1152.79</v>
      </c>
      <c r="E25" s="126">
        <f>IFERROR('Data Sheet'!D26,0)</f>
        <v>1236.28</v>
      </c>
      <c r="F25" s="126">
        <f>IFERROR('Data Sheet'!E26,0)</f>
        <v>1396.61</v>
      </c>
      <c r="G25" s="126">
        <f>IFERROR('Data Sheet'!F26,0)</f>
        <v>1644.91</v>
      </c>
      <c r="H25" s="126">
        <f>IFERROR('Data Sheet'!G26,0)</f>
        <v>1645.59</v>
      </c>
      <c r="I25" s="126">
        <f>IFERROR('Data Sheet'!H26,0)</f>
        <v>1732.41</v>
      </c>
      <c r="J25" s="126">
        <f>IFERROR('Data Sheet'!I26,0)</f>
        <v>1809.01</v>
      </c>
      <c r="K25" s="126">
        <f>IFERROR('Data Sheet'!J26,0)</f>
        <v>1518.05</v>
      </c>
      <c r="L25" s="126">
        <f>IFERROR('Data Sheet'!K26,0)</f>
        <v>1646.32</v>
      </c>
      <c r="M25" s="126">
        <f>IFERROR(Quarters!J8+N10,0)</f>
        <v>411.03</v>
      </c>
    </row>
    <row r="26" spans="2:13" x14ac:dyDescent="0.2">
      <c r="B26" s="127" t="s">
        <v>105</v>
      </c>
      <c r="C26" s="129">
        <f t="shared" ref="C26:E26" si="15">C25/C7</f>
        <v>2.7490234001240049E-2</v>
      </c>
      <c r="D26" s="129">
        <f t="shared" si="15"/>
        <v>2.6954750792656124E-2</v>
      </c>
      <c r="E26" s="129">
        <f t="shared" si="15"/>
        <v>2.845362855802696E-2</v>
      </c>
      <c r="F26" s="129">
        <f>F25/F7</f>
        <v>2.8891645314253867E-2</v>
      </c>
      <c r="G26" s="129">
        <f t="shared" ref="G26:M26" si="16">G25/G7</f>
        <v>3.3306066085280348E-2</v>
      </c>
      <c r="H26" s="129">
        <f t="shared" si="16"/>
        <v>3.3407941336792708E-2</v>
      </c>
      <c r="I26" s="129">
        <f t="shared" si="16"/>
        <v>2.8566627762367396E-2</v>
      </c>
      <c r="J26" s="129">
        <f t="shared" si="16"/>
        <v>2.550810410125463E-2</v>
      </c>
      <c r="K26" s="129">
        <f t="shared" si="16"/>
        <v>2.2346631054552542E-2</v>
      </c>
      <c r="L26" s="129">
        <f t="shared" si="16"/>
        <v>2.1856704707996222E-2</v>
      </c>
      <c r="M26" s="129">
        <f t="shared" si="16"/>
        <v>1.0209442225108476E-2</v>
      </c>
    </row>
    <row r="28" spans="2:13" x14ac:dyDescent="0.2">
      <c r="B28" s="124" t="s">
        <v>9</v>
      </c>
      <c r="C28" s="126">
        <f>IFERROR('Data Sheet'!B25,0)</f>
        <v>1483.11</v>
      </c>
      <c r="D28" s="126">
        <f>IFERROR('Data Sheet'!C25,0)</f>
        <v>1758.63</v>
      </c>
      <c r="E28" s="126">
        <f>IFERROR('Data Sheet'!D25,0)</f>
        <v>2239.81</v>
      </c>
      <c r="F28" s="126">
        <f>IFERROR('Data Sheet'!E25,0)</f>
        <v>2080.44</v>
      </c>
      <c r="G28" s="126">
        <f>IFERROR('Data Sheet'!F25,0)</f>
        <v>2417.3200000000002</v>
      </c>
      <c r="H28" s="126">
        <f>IFERROR('Data Sheet'!G25,0)</f>
        <v>2576.9499999999998</v>
      </c>
      <c r="I28" s="126">
        <f>IFERROR('Data Sheet'!H25,0)</f>
        <v>1909.72</v>
      </c>
      <c r="J28" s="126">
        <f>IFERROR('Data Sheet'!I25,0)</f>
        <v>2097.64</v>
      </c>
      <c r="K28" s="126">
        <f>IFERROR('Data Sheet'!J25,0)</f>
        <v>3330.45</v>
      </c>
      <c r="L28" s="126">
        <f>IFERROR('Data Sheet'!K25,0)</f>
        <v>17794.88</v>
      </c>
      <c r="M28" s="126">
        <f>IFERROR(Quarters!J7+N9,0)</f>
        <v>15391.28</v>
      </c>
    </row>
    <row r="30" spans="2:13" x14ac:dyDescent="0.2">
      <c r="B30" s="124" t="s">
        <v>106</v>
      </c>
      <c r="C30" s="126">
        <f>C19+C28-C25-C22</f>
        <v>12985.200000000004</v>
      </c>
      <c r="D30" s="126">
        <f t="shared" ref="D30:E30" si="17">D19+D28-D25-D22</f>
        <v>15452.829999999996</v>
      </c>
      <c r="E30" s="126">
        <f t="shared" si="17"/>
        <v>17224.820000000007</v>
      </c>
      <c r="F30" s="126">
        <f>F19+F28-F25-F22</f>
        <v>16663</v>
      </c>
      <c r="G30" s="126">
        <f t="shared" ref="G30:M30" si="18">G19+G28-G25-G22</f>
        <v>16210.989999999996</v>
      </c>
      <c r="H30" s="126">
        <f t="shared" si="18"/>
        <v>14070.679999999995</v>
      </c>
      <c r="I30" s="126">
        <f t="shared" si="18"/>
        <v>17458.75</v>
      </c>
      <c r="J30" s="126">
        <f t="shared" si="18"/>
        <v>23100.299999999992</v>
      </c>
      <c r="K30" s="126">
        <f t="shared" si="18"/>
        <v>22894.830000000009</v>
      </c>
      <c r="L30" s="126">
        <f t="shared" si="18"/>
        <v>22696.77</v>
      </c>
      <c r="M30" s="126">
        <f t="shared" si="18"/>
        <v>43908.9</v>
      </c>
    </row>
    <row r="31" spans="2:13" x14ac:dyDescent="0.2">
      <c r="B31" s="127" t="s">
        <v>107</v>
      </c>
      <c r="C31" s="129">
        <f t="shared" ref="C31:E31" si="19">C30/C7</f>
        <v>0.33132187354084125</v>
      </c>
      <c r="D31" s="129">
        <f t="shared" si="19"/>
        <v>0.36132095324497976</v>
      </c>
      <c r="E31" s="129">
        <f t="shared" si="19"/>
        <v>0.39643821000005997</v>
      </c>
      <c r="F31" s="129">
        <f>F30/F7</f>
        <v>0.34470717370734294</v>
      </c>
      <c r="G31" s="129">
        <f t="shared" ref="G31:M31" si="20">G30/G7</f>
        <v>0.32823941993654282</v>
      </c>
      <c r="H31" s="129">
        <f t="shared" si="20"/>
        <v>0.28565587540564918</v>
      </c>
      <c r="I31" s="129">
        <f t="shared" si="20"/>
        <v>0.28788659292328705</v>
      </c>
      <c r="J31" s="129">
        <f t="shared" si="20"/>
        <v>0.32572780535774376</v>
      </c>
      <c r="K31" s="129">
        <f t="shared" si="20"/>
        <v>0.33702599984631687</v>
      </c>
      <c r="L31" s="129">
        <f t="shared" si="20"/>
        <v>0.30132452968761081</v>
      </c>
      <c r="M31" s="129">
        <f t="shared" si="20"/>
        <v>1.0906390718878562</v>
      </c>
    </row>
    <row r="34" spans="2:13" x14ac:dyDescent="0.2">
      <c r="B34" s="124" t="s">
        <v>13</v>
      </c>
      <c r="C34" s="126">
        <f>IFERROR('Data Sheet'!B29,0)</f>
        <v>5358.21</v>
      </c>
      <c r="D34" s="126">
        <f>IFERROR('Data Sheet'!C29,0)</f>
        <v>5549.09</v>
      </c>
      <c r="E34" s="126">
        <f>IFERROR('Data Sheet'!D29,0)</f>
        <v>5916.43</v>
      </c>
      <c r="F34" s="126">
        <f>IFERROR('Data Sheet'!E29,0)</f>
        <v>6313.92</v>
      </c>
      <c r="G34" s="126">
        <f>IFERROR('Data Sheet'!F29,0)</f>
        <v>4441.79</v>
      </c>
      <c r="H34" s="126">
        <f>IFERROR('Data Sheet'!G29,0)</f>
        <v>4555.29</v>
      </c>
      <c r="I34" s="126">
        <f>IFERROR('Data Sheet'!H29,0)</f>
        <v>5237.34</v>
      </c>
      <c r="J34" s="126">
        <f>IFERROR('Data Sheet'!I29,0)</f>
        <v>6438.4</v>
      </c>
      <c r="K34" s="126">
        <f>IFERROR('Data Sheet'!J29,0)</f>
        <v>6209.46</v>
      </c>
      <c r="L34" s="126">
        <f>IFERROR('Data Sheet'!K29,0)</f>
        <v>6890.47</v>
      </c>
      <c r="M34" s="126">
        <f>IFERROR(Quarters!J11+N13,0)</f>
        <v>1680.85</v>
      </c>
    </row>
    <row r="35" spans="2:13" x14ac:dyDescent="0.2">
      <c r="B35" s="127" t="s">
        <v>108</v>
      </c>
      <c r="C35" s="129">
        <f t="shared" ref="C35:E35" si="21">C34/C30</f>
        <v>0.41263977451252182</v>
      </c>
      <c r="D35" s="129">
        <f t="shared" si="21"/>
        <v>0.35909862465321896</v>
      </c>
      <c r="E35" s="129">
        <f t="shared" si="21"/>
        <v>0.34348283465371471</v>
      </c>
      <c r="F35" s="129">
        <f>F34/F30</f>
        <v>0.37891856208365843</v>
      </c>
      <c r="G35" s="129">
        <f t="shared" ref="G35:M35" si="22">G34/G30</f>
        <v>0.27399868854400633</v>
      </c>
      <c r="H35" s="129">
        <f t="shared" si="22"/>
        <v>0.32374341538575263</v>
      </c>
      <c r="I35" s="129">
        <f t="shared" si="22"/>
        <v>0.29998367580725999</v>
      </c>
      <c r="J35" s="129">
        <f t="shared" si="22"/>
        <v>0.27871499504335451</v>
      </c>
      <c r="K35" s="129">
        <f t="shared" si="22"/>
        <v>0.27121668953209077</v>
      </c>
      <c r="L35" s="129">
        <f t="shared" si="22"/>
        <v>0.30358813170332166</v>
      </c>
      <c r="M35" s="129">
        <f t="shared" si="22"/>
        <v>3.8280394179767654E-2</v>
      </c>
    </row>
    <row r="37" spans="2:13" x14ac:dyDescent="0.2">
      <c r="B37" s="124" t="s">
        <v>109</v>
      </c>
      <c r="C37" s="126">
        <f t="shared" ref="C37:E37" si="23">C30-C34</f>
        <v>7626.9900000000043</v>
      </c>
      <c r="D37" s="126">
        <f t="shared" si="23"/>
        <v>9903.7399999999961</v>
      </c>
      <c r="E37" s="126">
        <f t="shared" si="23"/>
        <v>11308.390000000007</v>
      </c>
      <c r="F37" s="126">
        <f>F30-F34</f>
        <v>10349.08</v>
      </c>
      <c r="G37" s="126">
        <f t="shared" ref="G37:M37" si="24">G30-G34</f>
        <v>11769.199999999997</v>
      </c>
      <c r="H37" s="126">
        <f t="shared" si="24"/>
        <v>9515.3899999999958</v>
      </c>
      <c r="I37" s="126">
        <f t="shared" si="24"/>
        <v>12221.41</v>
      </c>
      <c r="J37" s="126">
        <f t="shared" si="24"/>
        <v>16661.899999999994</v>
      </c>
      <c r="K37" s="126">
        <f t="shared" si="24"/>
        <v>16685.37000000001</v>
      </c>
      <c r="L37" s="126">
        <f t="shared" si="24"/>
        <v>15806.3</v>
      </c>
      <c r="M37" s="126">
        <f t="shared" si="24"/>
        <v>42228.05</v>
      </c>
    </row>
    <row r="38" spans="2:13" x14ac:dyDescent="0.2">
      <c r="B38" s="127" t="s">
        <v>110</v>
      </c>
      <c r="C38" s="129">
        <f t="shared" ref="C38:E38" si="25">C37/C7</f>
        <v>0.19460529035188226</v>
      </c>
      <c r="D38" s="129">
        <f t="shared" si="25"/>
        <v>0.2315710958763175</v>
      </c>
      <c r="E38" s="129">
        <f t="shared" si="25"/>
        <v>0.26026848986419476</v>
      </c>
      <c r="F38" s="129">
        <f>F37/F7</f>
        <v>0.21409122710623468</v>
      </c>
      <c r="G38" s="129">
        <f t="shared" ref="G38:M38" si="26">G37/G7</f>
        <v>0.23830224934548477</v>
      </c>
      <c r="H38" s="129">
        <f t="shared" si="26"/>
        <v>0.19317666667681735</v>
      </c>
      <c r="I38" s="129">
        <f t="shared" si="26"/>
        <v>0.20152531456253109</v>
      </c>
      <c r="J38" s="129">
        <f t="shared" si="26"/>
        <v>0.23494258170197752</v>
      </c>
      <c r="K38" s="129">
        <f t="shared" si="26"/>
        <v>0.24561892388175591</v>
      </c>
      <c r="L38" s="129">
        <f t="shared" si="26"/>
        <v>0.20984597868336693</v>
      </c>
      <c r="M38" s="129">
        <f t="shared" si="26"/>
        <v>1.0488889783081332</v>
      </c>
    </row>
    <row r="40" spans="2:13" x14ac:dyDescent="0.2">
      <c r="B40" s="124" t="s">
        <v>74</v>
      </c>
      <c r="C40" s="124">
        <f>IFERROR( 'Data Sheet'!B93,0)</f>
        <v>1207.08</v>
      </c>
      <c r="D40" s="124">
        <f>IFERROR( 'Data Sheet'!C93,0)</f>
        <v>1214.74</v>
      </c>
      <c r="E40" s="124">
        <f>IFERROR( 'Data Sheet'!D93,0)</f>
        <v>1220.43</v>
      </c>
      <c r="F40" s="124">
        <f>IFERROR( 'Data Sheet'!E93,0)</f>
        <v>1225.8599999999999</v>
      </c>
      <c r="G40" s="124">
        <f>IFERROR( 'Data Sheet'!F93,0)</f>
        <v>1229.22</v>
      </c>
      <c r="H40" s="124">
        <f>IFERROR( 'Data Sheet'!G93,0)</f>
        <v>1230.8800000000001</v>
      </c>
      <c r="I40" s="124">
        <f>IFERROR( 'Data Sheet'!H93,0)</f>
        <v>1232.33</v>
      </c>
      <c r="J40" s="124">
        <f>IFERROR( 'Data Sheet'!I93,0)</f>
        <v>1242.8</v>
      </c>
      <c r="K40" s="124">
        <f>IFERROR( 'Data Sheet'!J93,0)</f>
        <v>1248.47</v>
      </c>
      <c r="L40" s="124">
        <f>IFERROR( 'Data Sheet'!K93,0)</f>
        <v>1251.4100000000001</v>
      </c>
      <c r="M40" s="124">
        <f>IFERROR( L40,0)</f>
        <v>1251.4100000000001</v>
      </c>
    </row>
    <row r="42" spans="2:13" x14ac:dyDescent="0.2">
      <c r="B42" s="124" t="s">
        <v>111</v>
      </c>
      <c r="C42" s="130">
        <f t="shared" ref="C42:E42" si="27">C37/C40</f>
        <v>6.3185455810716809</v>
      </c>
      <c r="D42" s="130">
        <f t="shared" si="27"/>
        <v>8.1529710061412288</v>
      </c>
      <c r="E42" s="130">
        <f t="shared" si="27"/>
        <v>9.2659062789344784</v>
      </c>
      <c r="F42" s="130">
        <f>F37/F40</f>
        <v>8.4423017310296444</v>
      </c>
      <c r="G42" s="130">
        <f t="shared" ref="G42:M42" si="28">G37/G40</f>
        <v>9.5745269357804101</v>
      </c>
      <c r="H42" s="130">
        <f t="shared" si="28"/>
        <v>7.7305586247237708</v>
      </c>
      <c r="I42" s="130">
        <f t="shared" si="28"/>
        <v>9.9173192245583568</v>
      </c>
      <c r="J42" s="130">
        <f t="shared" si="28"/>
        <v>13.406742838751203</v>
      </c>
      <c r="K42" s="130">
        <f t="shared" si="28"/>
        <v>13.364654336908384</v>
      </c>
      <c r="L42" s="130">
        <f t="shared" si="28"/>
        <v>12.63079246609824</v>
      </c>
      <c r="M42" s="130">
        <f t="shared" si="28"/>
        <v>33.744376343484547</v>
      </c>
    </row>
    <row r="44" spans="2:13" x14ac:dyDescent="0.2">
      <c r="B44" s="124" t="s">
        <v>112</v>
      </c>
      <c r="C44" s="126">
        <f>IFERROR('Data Sheet'!B31/'Data Sheet'!B93,0)</f>
        <v>5.666666666666667</v>
      </c>
      <c r="D44" s="126">
        <f>IFERROR('Data Sheet'!C31/'Data Sheet'!C93,0)</f>
        <v>4.7500041161071511</v>
      </c>
      <c r="E44" s="126">
        <f>IFERROR('Data Sheet'!D31/'Data Sheet'!D93,0)</f>
        <v>5.1499963127750057</v>
      </c>
      <c r="F44" s="126">
        <f>IFERROR('Data Sheet'!E31/'Data Sheet'!E93,0)</f>
        <v>5.7500040787691908</v>
      </c>
      <c r="G44" s="126">
        <f>IFERROR('Data Sheet'!F31/'Data Sheet'!F93,0)</f>
        <v>10.149997559427929</v>
      </c>
      <c r="H44" s="126">
        <f>IFERROR('Data Sheet'!G31/'Data Sheet'!G93,0)</f>
        <v>10.749999999999998</v>
      </c>
      <c r="I44" s="126">
        <f>IFERROR('Data Sheet'!H31/'Data Sheet'!H93,0)</f>
        <v>11.500004057354767</v>
      </c>
      <c r="J44" s="126">
        <f>IFERROR('Data Sheet'!I31/'Data Sheet'!I93,0)</f>
        <v>15.500000000000002</v>
      </c>
      <c r="K44" s="126">
        <f>IFERROR('Data Sheet'!J31/'Data Sheet'!J93,0)</f>
        <v>13.749997997548999</v>
      </c>
      <c r="L44" s="126">
        <f>IFERROR('Data Sheet'!K31/'Data Sheet'!K93,0)</f>
        <v>14.349997203154841</v>
      </c>
      <c r="M44" s="131" t="s">
        <v>96</v>
      </c>
    </row>
    <row r="45" spans="2:13" x14ac:dyDescent="0.2">
      <c r="B45" s="127" t="s">
        <v>113</v>
      </c>
      <c r="C45" s="129">
        <f t="shared" ref="C45:E45" si="29">C44/C42</f>
        <v>0.89683085988050282</v>
      </c>
      <c r="D45" s="129">
        <f t="shared" si="29"/>
        <v>0.58261020584142986</v>
      </c>
      <c r="E45" s="129">
        <f t="shared" si="29"/>
        <v>0.55580060468377879</v>
      </c>
      <c r="F45" s="129">
        <f>F44/F42</f>
        <v>0.68109435814584485</v>
      </c>
      <c r="G45" s="129">
        <f t="shared" ref="G45:L45" si="30">G44/G42</f>
        <v>1.060104340142066</v>
      </c>
      <c r="H45" s="129">
        <f t="shared" si="30"/>
        <v>1.3905851467990282</v>
      </c>
      <c r="I45" s="129">
        <f t="shared" si="30"/>
        <v>1.1595879689823023</v>
      </c>
      <c r="J45" s="129">
        <f t="shared" si="30"/>
        <v>1.1561346545111906</v>
      </c>
      <c r="K45" s="129">
        <f t="shared" si="30"/>
        <v>1.028833043558518</v>
      </c>
      <c r="L45" s="129">
        <f t="shared" si="30"/>
        <v>1.1361121831168586</v>
      </c>
      <c r="M45" s="128" t="s">
        <v>96</v>
      </c>
    </row>
    <row r="47" spans="2:13" x14ac:dyDescent="0.2">
      <c r="B47" s="124" t="s">
        <v>114</v>
      </c>
      <c r="C47" s="132">
        <f t="shared" ref="C47:E47" si="31">IFERROR(IF(C44&lt;C42,1-C45,0),0)</f>
        <v>0.10316914011949718</v>
      </c>
      <c r="D47" s="132">
        <f t="shared" si="31"/>
        <v>0.41738979415857014</v>
      </c>
      <c r="E47" s="132">
        <f t="shared" si="31"/>
        <v>0.44419939531622121</v>
      </c>
      <c r="F47" s="132">
        <f>IFERROR(IF(F44&lt;F42,1-F45,0),0)</f>
        <v>0.31890564185415515</v>
      </c>
      <c r="G47" s="132">
        <f t="shared" ref="G47:M47" si="32">IFERROR(IF(G44&lt;G42,1-G45,0),0)</f>
        <v>0</v>
      </c>
      <c r="H47" s="132">
        <f t="shared" si="32"/>
        <v>0</v>
      </c>
      <c r="I47" s="132">
        <f t="shared" si="32"/>
        <v>0</v>
      </c>
      <c r="J47" s="132">
        <f t="shared" si="32"/>
        <v>0</v>
      </c>
      <c r="K47" s="132">
        <f t="shared" si="32"/>
        <v>0</v>
      </c>
      <c r="L47" s="132">
        <f t="shared" si="32"/>
        <v>0</v>
      </c>
      <c r="M47" s="132">
        <f t="shared" si="32"/>
        <v>0</v>
      </c>
    </row>
    <row r="52" spans="2:13" x14ac:dyDescent="0.2">
      <c r="B52" s="145" t="s">
        <v>115</v>
      </c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7"/>
    </row>
    <row r="53" spans="2:13" x14ac:dyDescent="0.2">
      <c r="B53" s="133" t="s">
        <v>24</v>
      </c>
      <c r="C53" s="126">
        <f>'Balance Sheet'!B4</f>
        <v>804.72</v>
      </c>
      <c r="D53" s="126">
        <f>'Balance Sheet'!C4</f>
        <v>1214.74</v>
      </c>
      <c r="E53" s="126">
        <f>'Balance Sheet'!D4</f>
        <v>1220.43</v>
      </c>
      <c r="F53" s="126">
        <v>1225.8599999999999</v>
      </c>
      <c r="G53" s="126">
        <v>1229.22</v>
      </c>
      <c r="H53" s="126">
        <v>1230.8800000000001</v>
      </c>
      <c r="I53" s="126">
        <v>1232.33</v>
      </c>
      <c r="J53" s="126">
        <v>1242.8</v>
      </c>
      <c r="K53" s="126">
        <v>1248.47</v>
      </c>
      <c r="L53" s="126">
        <v>1251.4100000000001</v>
      </c>
      <c r="M53" s="148" t="s">
        <v>96</v>
      </c>
    </row>
    <row r="54" spans="2:13" x14ac:dyDescent="0.2">
      <c r="B54" s="133" t="s">
        <v>25</v>
      </c>
      <c r="C54" s="126">
        <f>'Balance Sheet'!B5</f>
        <v>41874.800000000003</v>
      </c>
      <c r="D54" s="126">
        <f>'Balance Sheet'!C5</f>
        <v>45198.19</v>
      </c>
      <c r="E54" s="126">
        <f>'Balance Sheet'!D5</f>
        <v>51289.68</v>
      </c>
      <c r="F54" s="126">
        <v>57915.01</v>
      </c>
      <c r="G54" s="126">
        <v>64044.04</v>
      </c>
      <c r="H54" s="126">
        <v>59116.46</v>
      </c>
      <c r="I54" s="126">
        <v>61223.24</v>
      </c>
      <c r="J54" s="126">
        <v>67912.460000000006</v>
      </c>
      <c r="K54" s="126">
        <v>73258.53</v>
      </c>
      <c r="L54" s="126">
        <v>68778.64</v>
      </c>
      <c r="M54" s="148" t="s">
        <v>96</v>
      </c>
    </row>
    <row r="55" spans="2:13" x14ac:dyDescent="0.2">
      <c r="B55" s="133" t="s">
        <v>71</v>
      </c>
      <c r="C55" s="126">
        <f>'Balance Sheet'!B6</f>
        <v>83.78</v>
      </c>
      <c r="D55" s="126">
        <f>'Balance Sheet'!C6</f>
        <v>45.72</v>
      </c>
      <c r="E55" s="126">
        <f>'Balance Sheet'!D6</f>
        <v>35.92</v>
      </c>
      <c r="F55" s="126">
        <v>13.44</v>
      </c>
      <c r="G55" s="126">
        <v>277.45</v>
      </c>
      <c r="H55" s="126">
        <v>270.83</v>
      </c>
      <c r="I55" s="126">
        <v>249.44</v>
      </c>
      <c r="J55" s="126">
        <v>306.04000000000002</v>
      </c>
      <c r="K55" s="126">
        <v>303.43</v>
      </c>
      <c r="L55" s="126">
        <v>284.54000000000002</v>
      </c>
      <c r="M55" s="148" t="s">
        <v>96</v>
      </c>
    </row>
    <row r="56" spans="2:13" x14ac:dyDescent="0.2">
      <c r="B56" s="133" t="s">
        <v>72</v>
      </c>
      <c r="C56" s="126">
        <f>'Balance Sheet'!B7</f>
        <v>8888.0400000000009</v>
      </c>
      <c r="D56" s="126">
        <f>'Balance Sheet'!C7</f>
        <v>9439.67</v>
      </c>
      <c r="E56" s="126">
        <f>'Balance Sheet'!D7</f>
        <v>11694.85</v>
      </c>
      <c r="F56" s="126">
        <v>12584.73</v>
      </c>
      <c r="G56" s="126">
        <v>11760.04</v>
      </c>
      <c r="H56" s="126">
        <v>13142.59</v>
      </c>
      <c r="I56" s="126">
        <v>14491.01</v>
      </c>
      <c r="J56" s="126">
        <v>16369.66</v>
      </c>
      <c r="K56" s="126">
        <v>16943.54</v>
      </c>
      <c r="L56" s="126">
        <v>17688.11</v>
      </c>
      <c r="M56" s="148" t="s">
        <v>96</v>
      </c>
    </row>
    <row r="57" spans="2:13" x14ac:dyDescent="0.2">
      <c r="B57" s="134" t="s">
        <v>26</v>
      </c>
      <c r="C57" s="135">
        <f t="shared" ref="C57:D57" si="33">SUM(C53:C56)</f>
        <v>51651.340000000004</v>
      </c>
      <c r="D57" s="135">
        <f t="shared" si="33"/>
        <v>55898.32</v>
      </c>
      <c r="E57" s="135">
        <f>SUM(E53:E56)</f>
        <v>64240.88</v>
      </c>
      <c r="F57" s="135">
        <v>71739.039999999994</v>
      </c>
      <c r="G57" s="135">
        <v>77310.75</v>
      </c>
      <c r="H57" s="135">
        <v>73760.759999999995</v>
      </c>
      <c r="I57" s="135">
        <v>77196.02</v>
      </c>
      <c r="J57" s="135">
        <v>85830.96</v>
      </c>
      <c r="K57" s="135">
        <v>91753.97</v>
      </c>
      <c r="L57" s="135">
        <v>88002.7</v>
      </c>
      <c r="M57" s="148" t="s">
        <v>96</v>
      </c>
    </row>
    <row r="58" spans="2:13" x14ac:dyDescent="0.2">
      <c r="B58" s="134"/>
      <c r="C58" s="134"/>
      <c r="D58" s="134"/>
      <c r="E58" s="134"/>
    </row>
    <row r="59" spans="2:13" x14ac:dyDescent="0.2">
      <c r="B59" s="133" t="s">
        <v>27</v>
      </c>
      <c r="C59" s="133">
        <f>'Balance Sheet'!B10</f>
        <v>15106.63</v>
      </c>
      <c r="D59" s="133">
        <f>'Balance Sheet'!C10</f>
        <v>15893.48</v>
      </c>
      <c r="E59" s="133">
        <f>'Balance Sheet'!D10</f>
        <v>16523.96</v>
      </c>
      <c r="F59" s="126">
        <v>19374.189999999999</v>
      </c>
      <c r="G59" s="126">
        <v>21713.34</v>
      </c>
      <c r="H59" s="126">
        <v>23298.48</v>
      </c>
      <c r="I59" s="126">
        <v>24231.59</v>
      </c>
      <c r="J59" s="126">
        <v>25851.27</v>
      </c>
      <c r="K59" s="126">
        <v>27820.22</v>
      </c>
      <c r="L59" s="126">
        <v>21954.85</v>
      </c>
      <c r="M59" s="148" t="s">
        <v>96</v>
      </c>
    </row>
    <row r="60" spans="2:13" x14ac:dyDescent="0.2">
      <c r="B60" s="133" t="s">
        <v>28</v>
      </c>
      <c r="C60" s="133">
        <f>'Balance Sheet'!B11</f>
        <v>2559.7199999999998</v>
      </c>
      <c r="D60" s="133">
        <f>'Balance Sheet'!C11</f>
        <v>3729.89</v>
      </c>
      <c r="E60" s="133">
        <f>'Balance Sheet'!D11</f>
        <v>5508.33</v>
      </c>
      <c r="F60" s="126">
        <v>4136.42</v>
      </c>
      <c r="G60" s="126">
        <v>3256.46</v>
      </c>
      <c r="H60" s="126">
        <v>4011.29</v>
      </c>
      <c r="I60" s="126">
        <v>3225.54</v>
      </c>
      <c r="J60" s="126">
        <v>3003.3</v>
      </c>
      <c r="K60" s="126">
        <v>2860.78</v>
      </c>
      <c r="L60" s="126">
        <v>1090.9100000000001</v>
      </c>
      <c r="M60" s="148" t="s">
        <v>96</v>
      </c>
    </row>
    <row r="61" spans="2:13" x14ac:dyDescent="0.2">
      <c r="B61" s="133" t="s">
        <v>29</v>
      </c>
      <c r="C61" s="133">
        <f>'Balance Sheet'!B12</f>
        <v>11747.59</v>
      </c>
      <c r="D61" s="133">
        <f>'Balance Sheet'!C12</f>
        <v>17581.38</v>
      </c>
      <c r="E61" s="133">
        <f>'Balance Sheet'!D12</f>
        <v>22052.86</v>
      </c>
      <c r="F61" s="126">
        <v>25043.49</v>
      </c>
      <c r="G61" s="126">
        <v>28663.35</v>
      </c>
      <c r="H61" s="126">
        <v>24870.87</v>
      </c>
      <c r="I61" s="126">
        <v>24841.01</v>
      </c>
      <c r="J61" s="126">
        <v>29415.02</v>
      </c>
      <c r="K61" s="126">
        <v>31114.02</v>
      </c>
      <c r="L61" s="126">
        <v>34719.82</v>
      </c>
      <c r="M61" s="148" t="s">
        <v>96</v>
      </c>
    </row>
    <row r="62" spans="2:13" x14ac:dyDescent="0.2">
      <c r="B62" s="133" t="s">
        <v>73</v>
      </c>
      <c r="C62" s="126">
        <f>IFERROR('Data Sheet'!B65-'Historical Financial Statemen'!C68,0)</f>
        <v>14104.84</v>
      </c>
      <c r="D62" s="126">
        <f>IFERROR('Data Sheet'!C65-'Historical Financial Statemen'!D68,0)</f>
        <v>10561.009999999998</v>
      </c>
      <c r="E62" s="126">
        <f>IFERROR('Data Sheet'!D65-'Historical Financial Statemen'!E68,0)</f>
        <v>12023.169999999998</v>
      </c>
      <c r="F62" s="126">
        <f>IFERROR('Data Sheet'!E65-'Historical Financial Statemen'!F68,0)</f>
        <v>15052.379999999997</v>
      </c>
      <c r="G62" s="126">
        <f>IFERROR('Data Sheet'!F65-'Historical Financial Statemen'!G68,0)</f>
        <v>7458.9299999999985</v>
      </c>
      <c r="H62" s="126">
        <f>IFERROR('Data Sheet'!G65-'Historical Financial Statemen'!H68,0)</f>
        <v>6461.9399999999987</v>
      </c>
      <c r="I62" s="126">
        <f>IFERROR('Data Sheet'!H65-'Historical Financial Statemen'!I68,0)</f>
        <v>9317.3100000000013</v>
      </c>
      <c r="J62" s="126">
        <f>IFERROR('Data Sheet'!I65-'Historical Financial Statemen'!J68,0)</f>
        <v>10848.02</v>
      </c>
      <c r="K62" s="126">
        <f>IFERROR('Data Sheet'!J65-'Historical Financial Statemen'!K68,0)</f>
        <v>8526.3900000000031</v>
      </c>
      <c r="L62" s="126">
        <f>IFERROR('Data Sheet'!K65-'Historical Financial Statemen'!L68,0)</f>
        <v>10525.2</v>
      </c>
      <c r="M62" s="148" t="s">
        <v>96</v>
      </c>
    </row>
    <row r="63" spans="2:13" x14ac:dyDescent="0.2">
      <c r="B63" s="134" t="s">
        <v>116</v>
      </c>
      <c r="C63" s="135">
        <f t="shared" ref="C63:E63" si="34">C62+C61+C60+C59</f>
        <v>43518.78</v>
      </c>
      <c r="D63" s="135">
        <f t="shared" si="34"/>
        <v>47765.759999999995</v>
      </c>
      <c r="E63" s="135">
        <f t="shared" si="34"/>
        <v>56108.32</v>
      </c>
      <c r="F63" s="135">
        <f>F62+F61+F60+F59</f>
        <v>63606.479999999996</v>
      </c>
      <c r="G63" s="135">
        <f t="shared" ref="G63:L63" si="35">G62+G61+G60+G59</f>
        <v>61092.08</v>
      </c>
      <c r="H63" s="135">
        <f t="shared" si="35"/>
        <v>58642.58</v>
      </c>
      <c r="I63" s="135">
        <f t="shared" si="35"/>
        <v>61615.45</v>
      </c>
      <c r="J63" s="135">
        <f t="shared" si="35"/>
        <v>69117.61</v>
      </c>
      <c r="K63" s="135">
        <f t="shared" si="35"/>
        <v>70321.41</v>
      </c>
      <c r="L63" s="135">
        <f t="shared" si="35"/>
        <v>68290.78</v>
      </c>
      <c r="M63" s="148" t="s">
        <v>96</v>
      </c>
    </row>
    <row r="64" spans="2:13" x14ac:dyDescent="0.2">
      <c r="B64" s="134"/>
      <c r="C64" s="134"/>
      <c r="D64" s="134"/>
      <c r="E64" s="134"/>
    </row>
    <row r="65" spans="2:13" x14ac:dyDescent="0.2">
      <c r="B65" s="133" t="s">
        <v>78</v>
      </c>
      <c r="C65" s="126">
        <v>4035.28</v>
      </c>
      <c r="D65" s="126">
        <v>4035.28</v>
      </c>
      <c r="E65" s="126">
        <v>4035.28</v>
      </c>
      <c r="F65" s="126">
        <v>4035.28</v>
      </c>
      <c r="G65" s="126">
        <v>2562.48</v>
      </c>
      <c r="H65" s="126">
        <v>2501.6999999999998</v>
      </c>
      <c r="I65" s="126">
        <v>2461.9</v>
      </c>
      <c r="J65" s="126">
        <v>2956.17</v>
      </c>
      <c r="K65" s="126">
        <v>4025.82</v>
      </c>
      <c r="L65" s="126">
        <v>4719.67</v>
      </c>
      <c r="M65" s="148" t="s">
        <v>96</v>
      </c>
    </row>
    <row r="66" spans="2:13" x14ac:dyDescent="0.2">
      <c r="B66" s="133" t="s">
        <v>45</v>
      </c>
      <c r="C66" s="126">
        <v>4035.28</v>
      </c>
      <c r="D66" s="126">
        <v>4035.28</v>
      </c>
      <c r="E66" s="126">
        <v>4035.28</v>
      </c>
      <c r="F66" s="126">
        <v>4035.28</v>
      </c>
      <c r="G66" s="126">
        <v>8879.33</v>
      </c>
      <c r="H66" s="126">
        <v>10397.16</v>
      </c>
      <c r="I66" s="126">
        <v>10864.15</v>
      </c>
      <c r="J66" s="126">
        <v>11771.16</v>
      </c>
      <c r="K66" s="126">
        <v>14152.88</v>
      </c>
      <c r="L66" s="126">
        <v>15637.56</v>
      </c>
      <c r="M66" s="148" t="s">
        <v>96</v>
      </c>
    </row>
    <row r="67" spans="2:13" x14ac:dyDescent="0.2">
      <c r="B67" s="133" t="s">
        <v>87</v>
      </c>
      <c r="C67" s="126">
        <v>4035.28</v>
      </c>
      <c r="D67" s="126">
        <v>4035.28</v>
      </c>
      <c r="E67" s="126">
        <v>4035.28</v>
      </c>
      <c r="F67" s="126">
        <v>4035.28</v>
      </c>
      <c r="G67" s="126">
        <v>7277.34</v>
      </c>
      <c r="H67" s="126">
        <v>4659.0200000000004</v>
      </c>
      <c r="I67" s="126">
        <v>4654.42</v>
      </c>
      <c r="J67" s="126">
        <v>4880.1899999999996</v>
      </c>
      <c r="K67" s="126">
        <v>7217.68</v>
      </c>
      <c r="L67" s="126">
        <v>4012.36</v>
      </c>
      <c r="M67" s="148" t="s">
        <v>96</v>
      </c>
    </row>
    <row r="68" spans="2:13" x14ac:dyDescent="0.2">
      <c r="B68" s="134" t="s">
        <v>117</v>
      </c>
      <c r="C68" s="135">
        <f t="shared" ref="C68:E68" si="36">C67+C66+62</f>
        <v>8132.56</v>
      </c>
      <c r="D68" s="135">
        <f t="shared" si="36"/>
        <v>8132.56</v>
      </c>
      <c r="E68" s="135">
        <f t="shared" si="36"/>
        <v>8132.56</v>
      </c>
      <c r="F68" s="135">
        <f>F67+F66+62</f>
        <v>8132.56</v>
      </c>
      <c r="G68" s="135">
        <f t="shared" ref="G68:L68" si="37">G67+G66+62</f>
        <v>16218.67</v>
      </c>
      <c r="H68" s="135">
        <f t="shared" si="37"/>
        <v>15118.18</v>
      </c>
      <c r="I68" s="135">
        <f t="shared" si="37"/>
        <v>15580.57</v>
      </c>
      <c r="J68" s="135">
        <f t="shared" si="37"/>
        <v>16713.349999999999</v>
      </c>
      <c r="K68" s="135">
        <f t="shared" si="37"/>
        <v>21432.559999999998</v>
      </c>
      <c r="L68" s="135">
        <f t="shared" si="37"/>
        <v>19711.919999999998</v>
      </c>
      <c r="M68" s="148" t="s">
        <v>96</v>
      </c>
    </row>
    <row r="70" spans="2:13" x14ac:dyDescent="0.2">
      <c r="B70" s="136" t="s">
        <v>118</v>
      </c>
      <c r="C70" s="135">
        <f t="shared" ref="C70:E70" si="38">C68+C63</f>
        <v>51651.34</v>
      </c>
      <c r="D70" s="135">
        <f t="shared" si="38"/>
        <v>55898.319999999992</v>
      </c>
      <c r="E70" s="135">
        <f t="shared" si="38"/>
        <v>64240.88</v>
      </c>
      <c r="F70" s="135">
        <f>F68+F63</f>
        <v>71739.039999999994</v>
      </c>
      <c r="G70" s="135">
        <f t="shared" ref="G70:L70" si="39">G68+G63</f>
        <v>77310.75</v>
      </c>
      <c r="H70" s="135">
        <f t="shared" si="39"/>
        <v>73760.760000000009</v>
      </c>
      <c r="I70" s="135">
        <f t="shared" si="39"/>
        <v>77196.01999999999</v>
      </c>
      <c r="J70" s="135">
        <f t="shared" si="39"/>
        <v>85830.959999999992</v>
      </c>
      <c r="K70" s="135">
        <f t="shared" si="39"/>
        <v>91753.97</v>
      </c>
      <c r="L70" s="135">
        <f t="shared" si="39"/>
        <v>88002.7</v>
      </c>
      <c r="M70" s="148" t="s">
        <v>96</v>
      </c>
    </row>
    <row r="72" spans="2:13" x14ac:dyDescent="0.2">
      <c r="B72" s="124" t="s">
        <v>119</v>
      </c>
      <c r="C72" s="124" t="b">
        <f t="shared" ref="C72:E72" si="40">C70=C57</f>
        <v>1</v>
      </c>
      <c r="D72" s="124" t="b">
        <f t="shared" si="40"/>
        <v>1</v>
      </c>
      <c r="E72" s="124" t="b">
        <f t="shared" si="40"/>
        <v>1</v>
      </c>
      <c r="F72" s="124" t="b">
        <f>F70=F57</f>
        <v>1</v>
      </c>
      <c r="G72" s="124" t="b">
        <f t="shared" ref="G72:L72" si="41">G70=G57</f>
        <v>1</v>
      </c>
      <c r="H72" s="124" t="b">
        <f t="shared" si="41"/>
        <v>1</v>
      </c>
      <c r="I72" s="124" t="b">
        <f t="shared" si="41"/>
        <v>1</v>
      </c>
      <c r="J72" s="124" t="b">
        <f t="shared" si="41"/>
        <v>1</v>
      </c>
      <c r="K72" s="124" t="b">
        <f t="shared" si="41"/>
        <v>1</v>
      </c>
      <c r="L72" s="124" t="b">
        <f t="shared" si="41"/>
        <v>1</v>
      </c>
      <c r="M72" s="148" t="s">
        <v>96</v>
      </c>
    </row>
    <row r="77" spans="2:13" x14ac:dyDescent="0.2">
      <c r="B77" s="145" t="s">
        <v>120</v>
      </c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</row>
    <row r="78" spans="2:13" x14ac:dyDescent="0.2">
      <c r="B78" s="137" t="s">
        <v>144</v>
      </c>
      <c r="C78" s="137"/>
      <c r="D78" s="137"/>
      <c r="E78" s="137"/>
    </row>
    <row r="79" spans="2:13" x14ac:dyDescent="0.2">
      <c r="B79" s="124" t="s">
        <v>121</v>
      </c>
      <c r="C79" s="125">
        <f>Sheet1!C3</f>
        <v>14261</v>
      </c>
      <c r="D79" s="125">
        <f>Sheet1!D3</f>
        <v>15154</v>
      </c>
      <c r="E79" s="125">
        <f>Sheet1!E3</f>
        <v>16075</v>
      </c>
      <c r="F79" s="125">
        <v>18862</v>
      </c>
      <c r="G79" s="125">
        <v>19416</v>
      </c>
      <c r="H79" s="125">
        <v>17326</v>
      </c>
      <c r="I79" s="125">
        <v>20857</v>
      </c>
      <c r="J79" s="125">
        <v>26052</v>
      </c>
      <c r="K79" s="125">
        <v>26635</v>
      </c>
      <c r="L79" s="125">
        <v>26719</v>
      </c>
    </row>
    <row r="80" spans="2:13" x14ac:dyDescent="0.2">
      <c r="B80" s="124" t="s">
        <v>78</v>
      </c>
      <c r="C80" s="125">
        <f>Sheet1!C4</f>
        <v>558</v>
      </c>
      <c r="D80" s="125">
        <f>Sheet1!D4</f>
        <v>-207</v>
      </c>
      <c r="E80" s="125">
        <f>Sheet1!E4</f>
        <v>-870</v>
      </c>
      <c r="F80" s="125">
        <v>-755</v>
      </c>
      <c r="G80" s="125">
        <v>1411</v>
      </c>
      <c r="H80" s="125">
        <v>-66</v>
      </c>
      <c r="I80" s="125">
        <v>-732</v>
      </c>
      <c r="J80" s="125">
        <v>-884</v>
      </c>
      <c r="K80" s="125">
        <v>-934</v>
      </c>
      <c r="L80" s="125">
        <v>-1023</v>
      </c>
    </row>
    <row r="81" spans="2:12" x14ac:dyDescent="0.2">
      <c r="B81" s="124" t="s">
        <v>45</v>
      </c>
      <c r="C81" s="125">
        <f>Sheet1!C5</f>
        <v>-505</v>
      </c>
      <c r="D81" s="125">
        <f>Sheet1!D5</f>
        <v>-693</v>
      </c>
      <c r="E81" s="125">
        <f>Sheet1!E5</f>
        <v>593</v>
      </c>
      <c r="F81" s="125">
        <v>-359</v>
      </c>
      <c r="G81" s="125">
        <v>-508</v>
      </c>
      <c r="H81" s="125">
        <v>-1460</v>
      </c>
      <c r="I81" s="125">
        <v>-466</v>
      </c>
      <c r="J81" s="125">
        <v>-1098</v>
      </c>
      <c r="K81" s="125">
        <v>-2545</v>
      </c>
      <c r="L81" s="125">
        <v>-2975</v>
      </c>
    </row>
    <row r="82" spans="2:12" x14ac:dyDescent="0.2">
      <c r="B82" s="124" t="s">
        <v>122</v>
      </c>
      <c r="C82" s="125">
        <f>Sheet1!C6</f>
        <v>-23</v>
      </c>
      <c r="D82" s="125">
        <f>Sheet1!D6</f>
        <v>622</v>
      </c>
      <c r="E82" s="125">
        <f>Sheet1!E6</f>
        <v>321</v>
      </c>
      <c r="F82" s="125">
        <v>639</v>
      </c>
      <c r="G82" s="125">
        <v>-607</v>
      </c>
      <c r="H82" s="125">
        <v>1112</v>
      </c>
      <c r="I82" s="125">
        <v>1099</v>
      </c>
      <c r="J82" s="125">
        <v>1058</v>
      </c>
      <c r="K82" s="125">
        <v>141</v>
      </c>
      <c r="L82" s="125">
        <v>1256</v>
      </c>
    </row>
    <row r="83" spans="2:12" x14ac:dyDescent="0.2">
      <c r="B83" s="124" t="s">
        <v>123</v>
      </c>
      <c r="C83" s="125">
        <f>Sheet1!C7</f>
        <v>31</v>
      </c>
      <c r="D83" s="125">
        <f>Sheet1!D7</f>
        <v>-277</v>
      </c>
      <c r="E83" s="125">
        <f>Sheet1!E7</f>
        <v>44</v>
      </c>
      <c r="F83" s="125">
        <v>-476</v>
      </c>
      <c r="G83" s="125">
        <v>296</v>
      </c>
      <c r="H83" s="125">
        <v>-413</v>
      </c>
      <c r="I83" s="125">
        <v>-100</v>
      </c>
      <c r="J83" s="125">
        <v>-924</v>
      </c>
      <c r="K83" s="125">
        <v>-3337</v>
      </c>
      <c r="L83" s="125">
        <v>-2742</v>
      </c>
    </row>
    <row r="84" spans="2:12" x14ac:dyDescent="0.2">
      <c r="B84" s="124" t="s">
        <v>124</v>
      </c>
      <c r="C84" s="125">
        <f>Sheet1!C8</f>
        <v>-4449</v>
      </c>
      <c r="D84" s="125">
        <f>Sheet1!D8</f>
        <v>-5078</v>
      </c>
      <c r="E84" s="125">
        <f>Sheet1!E8</f>
        <v>-5492</v>
      </c>
      <c r="F84" s="125">
        <v>-5803</v>
      </c>
      <c r="G84" s="125">
        <v>-5023</v>
      </c>
      <c r="H84" s="125">
        <v>-4387</v>
      </c>
      <c r="I84" s="125">
        <v>-4982</v>
      </c>
      <c r="J84" s="125">
        <v>-6250</v>
      </c>
      <c r="K84" s="125">
        <v>-6120</v>
      </c>
      <c r="L84" s="125">
        <v>-6350</v>
      </c>
    </row>
    <row r="85" spans="2:12" x14ac:dyDescent="0.2">
      <c r="B85" s="137" t="s">
        <v>32</v>
      </c>
      <c r="C85" s="138">
        <f t="shared" ref="C85:E85" si="42">IFERROR(SUM(C79:C84),0)</f>
        <v>9873</v>
      </c>
      <c r="D85" s="138">
        <f t="shared" si="42"/>
        <v>9521</v>
      </c>
      <c r="E85" s="138">
        <f t="shared" si="42"/>
        <v>10671</v>
      </c>
      <c r="F85" s="138">
        <f>IFERROR(SUM(F79:F84),0)</f>
        <v>12108</v>
      </c>
      <c r="G85" s="138">
        <f t="shared" ref="G85:L85" si="43">IFERROR(SUM(G79:G84),0)</f>
        <v>14985</v>
      </c>
      <c r="H85" s="138">
        <f t="shared" si="43"/>
        <v>12112</v>
      </c>
      <c r="I85" s="138">
        <f t="shared" si="43"/>
        <v>15676</v>
      </c>
      <c r="J85" s="138">
        <f t="shared" si="43"/>
        <v>17954</v>
      </c>
      <c r="K85" s="138">
        <f t="shared" si="43"/>
        <v>13840</v>
      </c>
      <c r="L85" s="138">
        <f t="shared" si="43"/>
        <v>14885</v>
      </c>
    </row>
    <row r="86" spans="2:12" x14ac:dyDescent="0.2">
      <c r="F86" s="125"/>
      <c r="G86" s="125"/>
      <c r="H86" s="125"/>
      <c r="I86" s="125"/>
      <c r="J86" s="125"/>
      <c r="K86" s="125"/>
      <c r="L86" s="125"/>
    </row>
    <row r="87" spans="2:12" x14ac:dyDescent="0.2">
      <c r="B87" s="137" t="s">
        <v>145</v>
      </c>
      <c r="C87" s="137"/>
      <c r="D87" s="137"/>
      <c r="E87" s="137"/>
      <c r="F87" s="125"/>
      <c r="G87" s="125"/>
      <c r="H87" s="125"/>
      <c r="I87" s="125"/>
      <c r="J87" s="125"/>
      <c r="K87" s="125"/>
      <c r="L87" s="125"/>
    </row>
    <row r="88" spans="2:12" x14ac:dyDescent="0.2">
      <c r="B88" s="124" t="s">
        <v>126</v>
      </c>
      <c r="C88" s="125">
        <f>Sheet1!C10</f>
        <v>-3300</v>
      </c>
      <c r="D88" s="125">
        <f>Sheet1!D10</f>
        <v>-2348</v>
      </c>
      <c r="E88" s="125">
        <f>Sheet1!E10</f>
        <v>-3122</v>
      </c>
      <c r="F88" s="125">
        <v>-3169</v>
      </c>
      <c r="G88" s="125">
        <v>-2441</v>
      </c>
      <c r="H88" s="125">
        <v>-1837</v>
      </c>
      <c r="I88" s="125">
        <v>-2142</v>
      </c>
      <c r="J88" s="125">
        <v>-2743</v>
      </c>
      <c r="K88" s="125">
        <v>-3563</v>
      </c>
      <c r="L88" s="125">
        <v>-2279</v>
      </c>
    </row>
    <row r="89" spans="2:12" x14ac:dyDescent="0.2">
      <c r="B89" s="124" t="s">
        <v>127</v>
      </c>
      <c r="C89" s="125">
        <f>Sheet1!C11</f>
        <v>9</v>
      </c>
      <c r="D89" s="125">
        <f>Sheet1!D11</f>
        <v>8</v>
      </c>
      <c r="E89" s="125">
        <f>Sheet1!E11</f>
        <v>50</v>
      </c>
      <c r="F89" s="125">
        <v>28</v>
      </c>
      <c r="G89" s="125">
        <v>27</v>
      </c>
      <c r="H89" s="125">
        <v>3</v>
      </c>
      <c r="I89" s="125">
        <v>133</v>
      </c>
      <c r="J89" s="125">
        <v>49</v>
      </c>
      <c r="K89" s="125">
        <v>107</v>
      </c>
      <c r="L89" s="125">
        <v>175</v>
      </c>
    </row>
    <row r="90" spans="2:12" x14ac:dyDescent="0.2">
      <c r="B90" s="124" t="s">
        <v>128</v>
      </c>
      <c r="C90" s="125">
        <f>Sheet1!C12</f>
        <v>-98742</v>
      </c>
      <c r="D90" s="125">
        <f>Sheet1!D12</f>
        <v>-154081</v>
      </c>
      <c r="E90" s="125">
        <f>Sheet1!E12</f>
        <v>-85683</v>
      </c>
      <c r="F90" s="125">
        <v>-94187</v>
      </c>
      <c r="G90" s="125">
        <v>-79835</v>
      </c>
      <c r="H90" s="125">
        <v>-57553</v>
      </c>
      <c r="I90" s="125">
        <v>-69776</v>
      </c>
      <c r="J90" s="125">
        <v>-80932</v>
      </c>
      <c r="K90" s="125">
        <v>-75107</v>
      </c>
      <c r="L90" s="125">
        <v>-66373</v>
      </c>
    </row>
    <row r="91" spans="2:12" x14ac:dyDescent="0.2">
      <c r="B91" s="124" t="s">
        <v>129</v>
      </c>
      <c r="C91" s="125">
        <f>Sheet1!C13</f>
        <v>99658</v>
      </c>
      <c r="D91" s="125">
        <f>Sheet1!D13</f>
        <v>150651</v>
      </c>
      <c r="E91" s="125">
        <f>Sheet1!E13</f>
        <v>81034</v>
      </c>
      <c r="F91" s="125">
        <v>92454</v>
      </c>
      <c r="G91" s="125">
        <v>75835</v>
      </c>
      <c r="H91" s="125">
        <v>62797</v>
      </c>
      <c r="I91" s="125">
        <v>70992</v>
      </c>
      <c r="J91" s="125">
        <v>77230</v>
      </c>
      <c r="K91" s="125">
        <v>77830</v>
      </c>
      <c r="L91" s="125">
        <v>67311</v>
      </c>
    </row>
    <row r="92" spans="2:12" x14ac:dyDescent="0.2">
      <c r="B92" s="124" t="s">
        <v>130</v>
      </c>
      <c r="C92" s="125">
        <f>Sheet1!C14</f>
        <v>559</v>
      </c>
      <c r="D92" s="125">
        <f>Sheet1!D14</f>
        <v>741</v>
      </c>
      <c r="E92" s="125">
        <f>Sheet1!E14</f>
        <v>756</v>
      </c>
      <c r="F92" s="125">
        <v>1184</v>
      </c>
      <c r="G92" s="125">
        <v>1513</v>
      </c>
      <c r="H92" s="125">
        <v>1275</v>
      </c>
      <c r="I92" s="125">
        <v>1035</v>
      </c>
      <c r="J92" s="125">
        <v>1324</v>
      </c>
      <c r="K92" s="125">
        <v>1138</v>
      </c>
      <c r="L92" s="125">
        <v>1072</v>
      </c>
    </row>
    <row r="93" spans="2:12" x14ac:dyDescent="0.2">
      <c r="B93" s="124" t="s">
        <v>131</v>
      </c>
      <c r="C93" s="125">
        <f>Sheet1!C15</f>
        <v>268</v>
      </c>
      <c r="D93" s="125">
        <f>Sheet1!D15</f>
        <v>64</v>
      </c>
      <c r="E93" s="125">
        <f>Sheet1!E15</f>
        <v>4</v>
      </c>
      <c r="F93" s="125">
        <v>13</v>
      </c>
      <c r="G93" s="125">
        <v>17</v>
      </c>
      <c r="H93" s="125">
        <v>7</v>
      </c>
      <c r="I93" s="125">
        <v>16</v>
      </c>
      <c r="J93" s="125">
        <v>19</v>
      </c>
      <c r="K93" s="125">
        <v>36</v>
      </c>
      <c r="L93" s="125">
        <v>38</v>
      </c>
    </row>
    <row r="94" spans="2:12" x14ac:dyDescent="0.2">
      <c r="B94" s="124" t="s">
        <v>132</v>
      </c>
      <c r="C94" s="125">
        <f>Sheet1!C16</f>
        <v>0</v>
      </c>
      <c r="D94" s="125">
        <f>Sheet1!D16</f>
        <v>-8</v>
      </c>
      <c r="E94" s="125">
        <f>Sheet1!E16</f>
        <v>0</v>
      </c>
      <c r="F94" s="125">
        <v>0</v>
      </c>
      <c r="G94" s="125">
        <v>0</v>
      </c>
      <c r="H94" s="125">
        <v>0</v>
      </c>
      <c r="I94" s="125">
        <v>0</v>
      </c>
      <c r="J94" s="125">
        <v>0</v>
      </c>
      <c r="K94" s="125">
        <v>0</v>
      </c>
      <c r="L94" s="125">
        <v>0</v>
      </c>
    </row>
    <row r="95" spans="2:12" x14ac:dyDescent="0.2">
      <c r="B95" s="124" t="s">
        <v>133</v>
      </c>
      <c r="C95" s="125">
        <f>Sheet1!C17</f>
        <v>0</v>
      </c>
      <c r="D95" s="125">
        <f>Sheet1!D17</f>
        <v>0</v>
      </c>
      <c r="E95" s="125">
        <f>Sheet1!E17</f>
        <v>0</v>
      </c>
      <c r="F95" s="125">
        <v>0</v>
      </c>
      <c r="G95" s="125">
        <v>0</v>
      </c>
      <c r="H95" s="125">
        <v>-2</v>
      </c>
      <c r="I95" s="125">
        <v>-2</v>
      </c>
      <c r="J95" s="125">
        <v>-2</v>
      </c>
      <c r="K95" s="125">
        <v>-65</v>
      </c>
      <c r="L95" s="125">
        <v>-30</v>
      </c>
    </row>
    <row r="96" spans="2:12" x14ac:dyDescent="0.2">
      <c r="B96" s="124" t="s">
        <v>134</v>
      </c>
      <c r="C96" s="125">
        <f>Sheet1!C18</f>
        <v>0</v>
      </c>
      <c r="D96" s="125">
        <f>Sheet1!D18</f>
        <v>0</v>
      </c>
      <c r="E96" s="125">
        <f>Sheet1!E18</f>
        <v>129</v>
      </c>
      <c r="F96" s="125">
        <v>18</v>
      </c>
      <c r="G96" s="125">
        <v>0</v>
      </c>
      <c r="H96" s="125">
        <v>0</v>
      </c>
      <c r="I96" s="125">
        <v>0</v>
      </c>
      <c r="J96" s="125">
        <v>56</v>
      </c>
      <c r="K96" s="125">
        <v>0</v>
      </c>
      <c r="L96" s="125">
        <v>0</v>
      </c>
    </row>
    <row r="97" spans="2:12" x14ac:dyDescent="0.2">
      <c r="B97" s="124" t="s">
        <v>135</v>
      </c>
      <c r="C97" s="125">
        <f>Sheet1!C19</f>
        <v>-3728</v>
      </c>
      <c r="D97" s="125">
        <f>Sheet1!D19</f>
        <v>1052</v>
      </c>
      <c r="E97" s="125">
        <f>Sheet1!E19</f>
        <v>3579</v>
      </c>
      <c r="F97" s="125">
        <v>-1887</v>
      </c>
      <c r="G97" s="125">
        <v>-1290</v>
      </c>
      <c r="H97" s="125">
        <v>1051</v>
      </c>
      <c r="I97" s="125">
        <v>-2494</v>
      </c>
      <c r="J97" s="125">
        <v>-733</v>
      </c>
      <c r="K97" s="125">
        <v>1187</v>
      </c>
      <c r="L97" s="125">
        <v>-478</v>
      </c>
    </row>
    <row r="98" spans="2:12" x14ac:dyDescent="0.2">
      <c r="B98" s="137" t="s">
        <v>125</v>
      </c>
      <c r="C98" s="138">
        <f t="shared" ref="C98:E98" si="44">IFERROR(SUM(C88:C97),0)</f>
        <v>-5276</v>
      </c>
      <c r="D98" s="138">
        <f t="shared" si="44"/>
        <v>-3921</v>
      </c>
      <c r="E98" s="138">
        <f t="shared" si="44"/>
        <v>-3253</v>
      </c>
      <c r="F98" s="138">
        <f>IFERROR(SUM(F88:F97),0)</f>
        <v>-5546</v>
      </c>
      <c r="G98" s="138">
        <f t="shared" ref="G98:L98" si="45">IFERROR(SUM(G88:G97),0)</f>
        <v>-6174</v>
      </c>
      <c r="H98" s="138">
        <f t="shared" si="45"/>
        <v>5741</v>
      </c>
      <c r="I98" s="138">
        <f t="shared" si="45"/>
        <v>-2238</v>
      </c>
      <c r="J98" s="138">
        <f t="shared" si="45"/>
        <v>-5732</v>
      </c>
      <c r="K98" s="138">
        <f t="shared" si="45"/>
        <v>1563</v>
      </c>
      <c r="L98" s="138">
        <f t="shared" si="45"/>
        <v>-564</v>
      </c>
    </row>
    <row r="99" spans="2:12" x14ac:dyDescent="0.2">
      <c r="F99" s="125"/>
      <c r="G99" s="125"/>
      <c r="H99" s="125"/>
      <c r="I99" s="125"/>
      <c r="J99" s="125"/>
      <c r="K99" s="125"/>
      <c r="L99" s="125"/>
    </row>
    <row r="100" spans="2:12" x14ac:dyDescent="0.2">
      <c r="B100" s="137" t="s">
        <v>146</v>
      </c>
      <c r="C100" s="137"/>
      <c r="D100" s="137"/>
      <c r="E100" s="137"/>
      <c r="F100" s="125"/>
      <c r="G100" s="125"/>
      <c r="H100" s="125"/>
      <c r="I100" s="125"/>
      <c r="J100" s="125"/>
      <c r="K100" s="125"/>
      <c r="L100" s="125"/>
    </row>
    <row r="101" spans="2:12" x14ac:dyDescent="0.2">
      <c r="B101" s="124" t="s">
        <v>137</v>
      </c>
      <c r="C101" s="125">
        <f>Sheet1!C21</f>
        <v>979</v>
      </c>
      <c r="D101" s="125">
        <f>Sheet1!D21</f>
        <v>532</v>
      </c>
      <c r="E101" s="125">
        <f>Sheet1!E21</f>
        <v>1067</v>
      </c>
      <c r="F101" s="125">
        <v>969</v>
      </c>
      <c r="G101" s="125">
        <v>625</v>
      </c>
      <c r="H101" s="125">
        <v>291</v>
      </c>
      <c r="I101" s="125">
        <v>292</v>
      </c>
      <c r="J101" s="125">
        <v>2477</v>
      </c>
      <c r="K101" s="125">
        <v>1443</v>
      </c>
      <c r="L101" s="125">
        <v>797</v>
      </c>
    </row>
    <row r="102" spans="2:12" x14ac:dyDescent="0.2">
      <c r="B102" s="124" t="s">
        <v>138</v>
      </c>
      <c r="C102" s="125">
        <f>Sheet1!C22</f>
        <v>7</v>
      </c>
      <c r="D102" s="125">
        <f>Sheet1!D22</f>
        <v>0</v>
      </c>
      <c r="E102" s="125">
        <f>Sheet1!E22</f>
        <v>0</v>
      </c>
      <c r="F102" s="125">
        <v>0</v>
      </c>
      <c r="G102" s="125">
        <v>0</v>
      </c>
      <c r="H102" s="125">
        <v>0</v>
      </c>
      <c r="I102" s="125">
        <v>0</v>
      </c>
      <c r="J102" s="125">
        <v>0</v>
      </c>
      <c r="K102" s="125">
        <v>8</v>
      </c>
      <c r="L102" s="125">
        <v>90</v>
      </c>
    </row>
    <row r="103" spans="2:12" x14ac:dyDescent="0.2">
      <c r="B103" s="124" t="s">
        <v>139</v>
      </c>
      <c r="C103" s="125">
        <f>Sheet1!C23</f>
        <v>-20</v>
      </c>
      <c r="D103" s="125">
        <f>Sheet1!D23</f>
        <v>-13</v>
      </c>
      <c r="E103" s="125">
        <f>Sheet1!E23</f>
        <v>-13</v>
      </c>
      <c r="F103" s="125">
        <v>-18</v>
      </c>
      <c r="G103" s="125">
        <v>-3</v>
      </c>
      <c r="H103" s="125">
        <v>-2</v>
      </c>
      <c r="I103" s="125">
        <v>-1</v>
      </c>
      <c r="J103" s="125">
        <v>-1</v>
      </c>
      <c r="K103" s="125">
        <v>-2</v>
      </c>
      <c r="L103" s="125">
        <v>-54</v>
      </c>
    </row>
    <row r="104" spans="2:12" x14ac:dyDescent="0.2">
      <c r="B104" s="124" t="s">
        <v>140</v>
      </c>
      <c r="C104" s="125">
        <f>Sheet1!C24</f>
        <v>-16</v>
      </c>
      <c r="D104" s="125">
        <f>Sheet1!D24</f>
        <v>-28</v>
      </c>
      <c r="E104" s="125">
        <f>Sheet1!E24</f>
        <v>-25</v>
      </c>
      <c r="F104" s="125">
        <v>-98</v>
      </c>
      <c r="G104" s="125">
        <v>-44</v>
      </c>
      <c r="H104" s="125">
        <v>-41</v>
      </c>
      <c r="I104" s="125">
        <v>-40</v>
      </c>
      <c r="J104" s="125">
        <v>-41</v>
      </c>
      <c r="K104" s="125">
        <v>-46</v>
      </c>
      <c r="L104" s="125">
        <v>-50</v>
      </c>
    </row>
    <row r="105" spans="2:12" x14ac:dyDescent="0.2">
      <c r="B105" s="124" t="s">
        <v>141</v>
      </c>
      <c r="C105" s="125">
        <f>Sheet1!C25</f>
        <v>-4876</v>
      </c>
      <c r="D105" s="125">
        <f>Sheet1!D25</f>
        <v>-5133</v>
      </c>
      <c r="E105" s="125">
        <f>Sheet1!E25</f>
        <v>-6994</v>
      </c>
      <c r="F105" s="125">
        <v>-6519</v>
      </c>
      <c r="G105" s="125">
        <v>-7302</v>
      </c>
      <c r="H105" s="125">
        <v>-18881</v>
      </c>
      <c r="I105" s="125">
        <v>-13788</v>
      </c>
      <c r="J105" s="125">
        <v>-15418</v>
      </c>
      <c r="K105" s="125">
        <v>-19899</v>
      </c>
      <c r="L105" s="125">
        <v>-17782</v>
      </c>
    </row>
    <row r="106" spans="2:12" x14ac:dyDescent="0.2">
      <c r="B106" s="124" t="s">
        <v>142</v>
      </c>
      <c r="C106" s="125">
        <f>Sheet1!C26</f>
        <v>0</v>
      </c>
      <c r="D106" s="125">
        <f>Sheet1!D26</f>
        <v>0</v>
      </c>
      <c r="E106" s="125">
        <f>Sheet1!E26</f>
        <v>0</v>
      </c>
      <c r="F106" s="125">
        <v>0</v>
      </c>
      <c r="G106" s="125">
        <v>-49</v>
      </c>
      <c r="H106" s="125">
        <v>-55</v>
      </c>
      <c r="I106" s="125">
        <v>-59</v>
      </c>
      <c r="J106" s="125">
        <v>-59</v>
      </c>
      <c r="K106" s="125">
        <v>-67</v>
      </c>
      <c r="L106" s="125">
        <v>-66</v>
      </c>
    </row>
    <row r="107" spans="2:12" x14ac:dyDescent="0.2">
      <c r="B107" s="124" t="s">
        <v>143</v>
      </c>
      <c r="C107" s="125">
        <f>Sheet1!C27</f>
        <v>-734</v>
      </c>
      <c r="D107" s="125">
        <f>Sheet1!D27</f>
        <v>-971</v>
      </c>
      <c r="E107" s="125">
        <f>Sheet1!E27</f>
        <v>-1335</v>
      </c>
      <c r="F107" s="125">
        <v>-1203</v>
      </c>
      <c r="G107" s="125">
        <v>-1409</v>
      </c>
      <c r="H107" s="125">
        <v>55</v>
      </c>
      <c r="I107" s="125">
        <v>15</v>
      </c>
      <c r="J107" s="125">
        <v>35</v>
      </c>
      <c r="K107" s="125">
        <v>12</v>
      </c>
      <c r="L107" s="125">
        <v>28</v>
      </c>
    </row>
    <row r="108" spans="2:12" x14ac:dyDescent="0.2">
      <c r="B108" s="137" t="s">
        <v>136</v>
      </c>
      <c r="C108" s="138">
        <f t="shared" ref="C108:E108" si="46">IFERROR(SUM(C101:C107),0)</f>
        <v>-4660</v>
      </c>
      <c r="D108" s="138">
        <f t="shared" si="46"/>
        <v>-5613</v>
      </c>
      <c r="E108" s="138">
        <f t="shared" si="46"/>
        <v>-7300</v>
      </c>
      <c r="F108" s="138">
        <f>IFERROR(SUM(F101:F107),0)</f>
        <v>-6869</v>
      </c>
      <c r="G108" s="138">
        <f t="shared" ref="G108:L108" si="47">IFERROR(SUM(G101:G107),0)</f>
        <v>-8182</v>
      </c>
      <c r="H108" s="138">
        <f t="shared" si="47"/>
        <v>-18633</v>
      </c>
      <c r="I108" s="138">
        <f t="shared" si="47"/>
        <v>-13581</v>
      </c>
      <c r="J108" s="138">
        <f t="shared" si="47"/>
        <v>-13007</v>
      </c>
      <c r="K108" s="138">
        <f t="shared" si="47"/>
        <v>-18551</v>
      </c>
      <c r="L108" s="138">
        <f t="shared" si="47"/>
        <v>-17037</v>
      </c>
    </row>
    <row r="109" spans="2:12" x14ac:dyDescent="0.2">
      <c r="F109" s="125"/>
      <c r="G109" s="125"/>
      <c r="H109" s="125"/>
      <c r="I109" s="125"/>
      <c r="J109" s="125"/>
      <c r="K109" s="125"/>
      <c r="L109" s="125"/>
    </row>
    <row r="110" spans="2:12" x14ac:dyDescent="0.2">
      <c r="B110" s="137" t="s">
        <v>35</v>
      </c>
      <c r="C110" s="138">
        <f t="shared" ref="C110:E110" si="48">C108+C98+C85</f>
        <v>-63</v>
      </c>
      <c r="D110" s="138">
        <f t="shared" si="48"/>
        <v>-13</v>
      </c>
      <c r="E110" s="138">
        <f t="shared" si="48"/>
        <v>118</v>
      </c>
      <c r="F110" s="138">
        <f>F108+F98+F85</f>
        <v>-307</v>
      </c>
      <c r="G110" s="138">
        <f t="shared" ref="G110:L110" si="49">G108+G98+G85</f>
        <v>629</v>
      </c>
      <c r="H110" s="138">
        <f t="shared" si="49"/>
        <v>-780</v>
      </c>
      <c r="I110" s="138">
        <f t="shared" si="49"/>
        <v>-143</v>
      </c>
      <c r="J110" s="138">
        <f t="shared" si="49"/>
        <v>-785</v>
      </c>
      <c r="K110" s="138">
        <f t="shared" si="49"/>
        <v>-3148</v>
      </c>
      <c r="L110" s="138">
        <f t="shared" si="49"/>
        <v>-2716</v>
      </c>
    </row>
    <row r="131" spans="2:12" x14ac:dyDescent="0.2"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</row>
  </sheetData>
  <mergeCells count="1">
    <mergeCell ref="B3:M3"/>
  </mergeCells>
  <pageMargins left="0.25" right="0.25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0D70-3BD3-4E3B-89A0-0DF718E1B94E}">
  <dimension ref="B1:L66"/>
  <sheetViews>
    <sheetView showGridLines="0" view="pageLayout" zoomScale="85" zoomScaleNormal="77" zoomScalePageLayoutView="85" workbookViewId="0">
      <selection activeCell="A66" sqref="A66:XFD66"/>
    </sheetView>
  </sheetViews>
  <sheetFormatPr defaultRowHeight="10.199999999999999" x14ac:dyDescent="0.2"/>
  <cols>
    <col min="1" max="1" width="0.33203125" style="124" customWidth="1"/>
    <col min="2" max="2" width="20.77734375" style="124" customWidth="1"/>
    <col min="3" max="12" width="8" style="124" customWidth="1"/>
    <col min="13" max="16384" width="8.88671875" style="124"/>
  </cols>
  <sheetData>
    <row r="1" spans="2:12" x14ac:dyDescent="0.2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3" spans="2:12" x14ac:dyDescent="0.2">
      <c r="B3" s="246" t="str">
        <f>"Ratio Analysis - "&amp;'Balance Sheet'!A1</f>
        <v>Ratio Analysis - ITC LTD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2:12" x14ac:dyDescent="0.2">
      <c r="B4" s="139" t="s">
        <v>93</v>
      </c>
      <c r="C4" s="164">
        <f>'Historical Financial Statemen'!C4</f>
        <v>42460</v>
      </c>
      <c r="D4" s="164">
        <f>'Historical Financial Statemen'!D4</f>
        <v>42825</v>
      </c>
      <c r="E4" s="164">
        <f>'Historical Financial Statemen'!E4</f>
        <v>43190</v>
      </c>
      <c r="F4" s="149">
        <f>'Historical Financial Statemen'!F4</f>
        <v>43555</v>
      </c>
      <c r="G4" s="149">
        <f>'Balance Sheet'!F3</f>
        <v>43921</v>
      </c>
      <c r="H4" s="149">
        <f>'Balance Sheet'!G3</f>
        <v>44286</v>
      </c>
      <c r="I4" s="149">
        <f>'Balance Sheet'!H3</f>
        <v>44651</v>
      </c>
      <c r="J4" s="149">
        <f>'Balance Sheet'!I3</f>
        <v>45016</v>
      </c>
      <c r="K4" s="149">
        <f>'Balance Sheet'!J3</f>
        <v>45382</v>
      </c>
      <c r="L4" s="149">
        <f>'Balance Sheet'!K3</f>
        <v>45747</v>
      </c>
    </row>
    <row r="6" spans="2:12" x14ac:dyDescent="0.2">
      <c r="B6" s="150" t="s">
        <v>22</v>
      </c>
      <c r="C6" s="151">
        <f>IFERROR('Data Sheet'!B17/'Data Sheet'!A17-1,0)</f>
        <v>0</v>
      </c>
      <c r="D6" s="151">
        <f>IFERROR('Data Sheet'!C17/'Data Sheet'!B17-1,0)</f>
        <v>9.1230120355888067E-2</v>
      </c>
      <c r="E6" s="151">
        <f>IFERROR('Data Sheet'!D17/'Data Sheet'!C17-1,0)</f>
        <v>1.5931218960147486E-2</v>
      </c>
      <c r="F6" s="151">
        <f>IFERROR('Data Sheet'!E17/'Data Sheet'!D17-1,0)</f>
        <v>0.11256062863673999</v>
      </c>
      <c r="G6" s="151">
        <f>IFERROR('Data Sheet'!F17/'Data Sheet'!E17-1,0)</f>
        <v>2.1682439110972673E-2</v>
      </c>
      <c r="H6" s="151">
        <f>IFERROR('Data Sheet'!G17/'Data Sheet'!F17-1,0)</f>
        <v>-2.6372963308678443E-3</v>
      </c>
      <c r="I6" s="151">
        <f>IFERROR('Data Sheet'!H17/'Data Sheet'!G17-1,0)</f>
        <v>0.23117497962237188</v>
      </c>
      <c r="J6" s="151">
        <f>IFERROR('Data Sheet'!I17/'Data Sheet'!H17-1,0)</f>
        <v>0.1694215175842706</v>
      </c>
      <c r="K6" s="151">
        <f>IFERROR('Data Sheet'!J17/'Data Sheet'!I17-1,0)</f>
        <v>-4.2119724423754779E-2</v>
      </c>
      <c r="L6" s="151">
        <f>IFERROR('Data Sheet'!K17/'Data Sheet'!J17-1,0)</f>
        <v>0.10880596078957838</v>
      </c>
    </row>
    <row r="7" spans="2:12" x14ac:dyDescent="0.2">
      <c r="B7" s="124" t="s">
        <v>147</v>
      </c>
      <c r="C7" s="152">
        <f>IFERROR('Historical Financial Statemen'!C19/'Historical Financial Statemen'!B19-1,0)</f>
        <v>0</v>
      </c>
      <c r="D7" s="152">
        <f>IFERROR('Historical Financial Statemen'!D19/'Historical Financial Statemen'!C19-1,0)</f>
        <v>0.17684209195725531</v>
      </c>
      <c r="E7" s="152">
        <f>IFERROR('Historical Financial Statemen'!E19/'Historical Financial Statemen'!D19-1,0)</f>
        <v>9.6688914220040445E-2</v>
      </c>
      <c r="F7" s="152">
        <f>IFERROR('Historical Financial Statemen'!F19/'Historical Financial Statemen'!E19-1,0)</f>
        <v>-1.749049662408253E-2</v>
      </c>
      <c r="G7" s="152">
        <f>IFERROR('Historical Financial Statemen'!G19/'Historical Financial Statemen'!F19-1,0)</f>
        <v>-3.3058639038987869E-2</v>
      </c>
      <c r="H7" s="152">
        <f>IFERROR('Historical Financial Statemen'!H19/'Historical Financial Statemen'!G19-1,0)</f>
        <v>-0.14965695787875755</v>
      </c>
      <c r="I7" s="152">
        <f>IFERROR('Historical Financial Statemen'!I19/'Historical Financial Statemen'!H19-1,0)</f>
        <v>0.31401446812186506</v>
      </c>
      <c r="J7" s="152">
        <f>IFERROR('Historical Financial Statemen'!J19/'Historical Financial Statemen'!I19-1,0)</f>
        <v>0.31992805668275293</v>
      </c>
      <c r="K7" s="152">
        <f>IFERROR('Historical Financial Statemen'!K19/'Historical Financial Statemen'!J19-1,0)</f>
        <v>-7.7236489839855538E-2</v>
      </c>
      <c r="L7" s="152">
        <f>IFERROR('Historical Financial Statemen'!L19/'Historical Financial Statemen'!K19-1,0)</f>
        <v>-0.68784141686638389</v>
      </c>
    </row>
    <row r="8" spans="2:12" x14ac:dyDescent="0.2">
      <c r="B8" s="124" t="s">
        <v>148</v>
      </c>
      <c r="C8" s="152">
        <f>IFERROR(('Historical Financial Statemen'!C19-'Historical Financial Statemen'!C25)/('Historical Financial Statemen'!B19-'Historical Financial Statemen'!B25)-1,0)</f>
        <v>0</v>
      </c>
      <c r="D8" s="152">
        <f>IFERROR(('Historical Financial Statemen'!D19-'Historical Financial Statemen'!D25)/('Historical Financial Statemen'!C19-'Historical Financial Statemen'!C25)-1,0)</f>
        <v>0.18678487973458124</v>
      </c>
      <c r="E8" s="152">
        <f>IFERROR(('Historical Financial Statemen'!E19-'Historical Financial Statemen'!E25)/('Historical Financial Statemen'!D19-'Historical Financial Statemen'!D25)-1,0)</f>
        <v>9.8724244591701371E-2</v>
      </c>
      <c r="F8" s="152">
        <f>IFERROR(('Historical Financial Statemen'!F19-'Historical Financial Statemen'!F25)/('Historical Financial Statemen'!E19-'Historical Financial Statemen'!E25)-1,0)</f>
        <v>-2.9540358224691032E-2</v>
      </c>
      <c r="G8" s="152">
        <f>IFERROR(('Historical Financial Statemen'!G19-'Historical Financial Statemen'!G25)/('Historical Financial Statemen'!F19-'Historical Financial Statemen'!F25)-1,0)</f>
        <v>-5.315355030312674E-2</v>
      </c>
      <c r="H8" s="152">
        <f>IFERROR(('Historical Financial Statemen'!H19-'Historical Financial Statemen'!H25)/('Historical Financial Statemen'!G19-'Historical Financial Statemen'!G25)-1,0)</f>
        <v>-0.16744804523226964</v>
      </c>
      <c r="I8" s="152">
        <f>IFERROR(('Historical Financial Statemen'!I19-'Historical Financial Statemen'!I25)/('Historical Financial Statemen'!H19-'Historical Financial Statemen'!H25)-1,0)</f>
        <v>0.35123142048356604</v>
      </c>
      <c r="J8" s="152">
        <f>IFERROR(('Historical Financial Statemen'!J19-'Historical Financial Statemen'!J25)/('Historical Financial Statemen'!I19-'Historical Financial Statemen'!I25)-1,0)</f>
        <v>0.35052873274555307</v>
      </c>
      <c r="K8" s="152">
        <f>IFERROR(('Historical Financial Statemen'!K19-'Historical Financial Statemen'!K25)/('Historical Financial Statemen'!J19-'Historical Financial Statemen'!J25)-1,0)</f>
        <v>-7.0062138201165025E-2</v>
      </c>
      <c r="L8" s="152">
        <f>IFERROR(('Historical Financial Statemen'!L19-'Historical Financial Statemen'!L25)/('Historical Financial Statemen'!K19-'Historical Financial Statemen'!K25)-1,0)</f>
        <v>-0.74764952567119436</v>
      </c>
    </row>
    <row r="9" spans="2:12" x14ac:dyDescent="0.2">
      <c r="B9" s="124" t="s">
        <v>149</v>
      </c>
      <c r="C9" s="152">
        <f>IFERROR('Historical Financial Statemen'!C37/'Historical Financial Statemen'!B37-1,0)</f>
        <v>0</v>
      </c>
      <c r="D9" s="152">
        <f>IFERROR('Historical Financial Statemen'!D37/'Historical Financial Statemen'!C37-1,0)</f>
        <v>0.29851225712895779</v>
      </c>
      <c r="E9" s="152">
        <f>IFERROR('Historical Financial Statemen'!E37/'Historical Financial Statemen'!D37-1,0)</f>
        <v>0.14183025806412641</v>
      </c>
      <c r="F9" s="152">
        <f>IFERROR('Historical Financial Statemen'!F37/'Historical Financial Statemen'!E37-1,0)</f>
        <v>-8.4831704601628144E-2</v>
      </c>
      <c r="G9" s="152">
        <f>IFERROR('Historical Financial Statemen'!G37/'Historical Financial Statemen'!F37-1,0)</f>
        <v>0.13722185933435593</v>
      </c>
      <c r="H9" s="152">
        <f>IFERROR('Historical Financial Statemen'!H37/'Historical Financial Statemen'!G37-1,0)</f>
        <v>-0.19150069673384784</v>
      </c>
      <c r="I9" s="152">
        <f>IFERROR('Historical Financial Statemen'!I37/'Historical Financial Statemen'!H37-1,0)</f>
        <v>0.28438350924134537</v>
      </c>
      <c r="J9" s="152">
        <f>IFERROR('Historical Financial Statemen'!J37/'Historical Financial Statemen'!I37-1,0)</f>
        <v>0.3633369635745789</v>
      </c>
      <c r="K9" s="152">
        <f>IFERROR('Historical Financial Statemen'!K37/'Historical Financial Statemen'!J37-1,0)</f>
        <v>1.4086028604189949E-3</v>
      </c>
      <c r="L9" s="152">
        <f>IFERROR('Historical Financial Statemen'!L37/'Historical Financial Statemen'!K37-1,0)</f>
        <v>-5.2685076806808007E-2</v>
      </c>
    </row>
    <row r="10" spans="2:12" x14ac:dyDescent="0.2">
      <c r="B10" s="153" t="s">
        <v>150</v>
      </c>
      <c r="C10" s="154">
        <f>IFERROR('Historical Financial Statemen'!C44/'Historical Financial Statemen'!B44-1,0)</f>
        <v>0</v>
      </c>
      <c r="D10" s="154">
        <f>IFERROR('Historical Financial Statemen'!D44/'Historical Financial Statemen'!C44-1,0)</f>
        <v>-0.16176397951050281</v>
      </c>
      <c r="E10" s="154">
        <f>IFERROR('Historical Financial Statemen'!E44/'Historical Financial Statemen'!D44-1,0)</f>
        <v>8.4208810537972134E-2</v>
      </c>
      <c r="F10" s="154">
        <f>IFERROR('Historical Financial Statemen'!F44/'Historical Financial Statemen'!E44-1,0)</f>
        <v>0.11650644574362401</v>
      </c>
      <c r="G10" s="154">
        <f>IFERROR('Historical Financial Statemen'!G44/'Historical Financial Statemen'!F44-1,0)</f>
        <v>0.76521571469920979</v>
      </c>
      <c r="H10" s="154">
        <f>IFERROR('Historical Financial Statemen'!H44/'Historical Financial Statemen'!G44-1,0)</f>
        <v>5.9113555156941944E-2</v>
      </c>
      <c r="I10" s="154">
        <f>IFERROR('Historical Financial Statemen'!I44/'Historical Financial Statemen'!H44-1,0)</f>
        <v>6.9767819288815591E-2</v>
      </c>
      <c r="J10" s="154">
        <f>IFERROR('Historical Financial Statemen'!J44/'Historical Financial Statemen'!I44-1,0)</f>
        <v>0.34782561142550716</v>
      </c>
      <c r="K10" s="154">
        <f>IFERROR('Historical Financial Statemen'!K44/'Historical Financial Statemen'!J44-1,0)</f>
        <v>-0.1129033549968389</v>
      </c>
      <c r="L10" s="154">
        <f>IFERROR('Historical Financial Statemen'!L44/'Historical Financial Statemen'!K44-1,0)</f>
        <v>4.3636312217121498E-2</v>
      </c>
    </row>
    <row r="12" spans="2:12" x14ac:dyDescent="0.2">
      <c r="B12" s="150" t="s">
        <v>151</v>
      </c>
      <c r="C12" s="155">
        <f>'Historical Financial Statemen'!C14</f>
        <v>0.39233978276234249</v>
      </c>
      <c r="D12" s="155">
        <f>'Historical Financial Statemen'!D14</f>
        <v>0.41676128658143075</v>
      </c>
      <c r="E12" s="155">
        <f>'Historical Financial Statemen'!E14</f>
        <v>0.45069200767613671</v>
      </c>
      <c r="F12" s="155">
        <f>'Historical Financial Statemen'!F14</f>
        <v>0.39658722727835044</v>
      </c>
      <c r="G12" s="155">
        <f>'Historical Financial Statemen'!G14</f>
        <v>0.38799964363596601</v>
      </c>
      <c r="H12" s="155">
        <f>'Historical Financial Statemen'!H14</f>
        <v>0.34205242049679785</v>
      </c>
      <c r="I12" s="155">
        <f>'Historical Financial Statemen'!I14</f>
        <v>0.33574498215338094</v>
      </c>
      <c r="J12" s="155">
        <f>'Historical Financial Statemen'!J14</f>
        <v>0.37078397716381617</v>
      </c>
      <c r="K12" s="155">
        <f>'Historical Financial Statemen'!K14</f>
        <v>0.38594452035375415</v>
      </c>
      <c r="L12" s="155">
        <f>'Historical Financial Statemen'!L14</f>
        <v>0.35327084539798692</v>
      </c>
    </row>
    <row r="13" spans="2:12" x14ac:dyDescent="0.2">
      <c r="B13" s="124" t="s">
        <v>152</v>
      </c>
      <c r="C13" s="156">
        <f>'Historical Financial Statemen'!C20</f>
        <v>0.32296355643101549</v>
      </c>
      <c r="D13" s="156">
        <f>'Historical Financial Statemen'!D20</f>
        <v>0.34830151797154851</v>
      </c>
      <c r="E13" s="156">
        <f>'Historical Financial Statemen'!E20</f>
        <v>0.37598845909704592</v>
      </c>
      <c r="F13" s="156">
        <f>'Historical Financial Statemen'!F20</f>
        <v>0.3320378455915422</v>
      </c>
      <c r="G13" s="156">
        <f>'Historical Financial Statemen'!G20</f>
        <v>0.31424747457362856</v>
      </c>
      <c r="H13" s="156">
        <f>'Historical Financial Statemen'!H20</f>
        <v>0.26792475046921826</v>
      </c>
      <c r="I13" s="156">
        <f>'Historical Financial Statemen'!I20</f>
        <v>0.28595204118952838</v>
      </c>
      <c r="J13" s="156">
        <f>'Historical Financial Statemen'!J20</f>
        <v>0.32275455544160703</v>
      </c>
      <c r="K13" s="156">
        <f>'Historical Financial Statemen'!K20</f>
        <v>0.31092207877472672</v>
      </c>
      <c r="L13" s="156">
        <f>'Historical Financial Statemen'!L20</f>
        <v>8.7532894850387691E-2</v>
      </c>
    </row>
    <row r="14" spans="2:12" x14ac:dyDescent="0.2">
      <c r="B14" s="124" t="s">
        <v>153</v>
      </c>
      <c r="C14" s="152">
        <f>IFERROR(('Historical Financial Statemen'!C19-'Historical Financial Statemen'!C25)/'Historical Financial Statemen'!C7,0)</f>
        <v>0.29547332242977548</v>
      </c>
      <c r="D14" s="152">
        <f>IFERROR(('Historical Financial Statemen'!D19-'Historical Financial Statemen'!D25)/'Historical Financial Statemen'!D7,0)</f>
        <v>0.32134676717889232</v>
      </c>
      <c r="E14" s="152">
        <f>IFERROR(('Historical Financial Statemen'!E19-'Historical Financial Statemen'!E25)/'Historical Financial Statemen'!E7,0)</f>
        <v>0.34753483053901896</v>
      </c>
      <c r="F14" s="152">
        <f>IFERROR(('Historical Financial Statemen'!F19-'Historical Financial Statemen'!F25)/'Historical Financial Statemen'!F7,0)</f>
        <v>0.30314620027728834</v>
      </c>
      <c r="G14" s="152">
        <f>IFERROR(('Historical Financial Statemen'!G19-'Historical Financial Statemen'!G25)/'Historical Financial Statemen'!G7,0)</f>
        <v>0.28094140848834825</v>
      </c>
      <c r="H14" s="152">
        <f>IFERROR(('Historical Financial Statemen'!H19-'Historical Financial Statemen'!H25)/'Historical Financial Statemen'!H7,0)</f>
        <v>0.23451680913242554</v>
      </c>
      <c r="I14" s="152">
        <f>IFERROR(('Historical Financial Statemen'!I19-'Historical Financial Statemen'!I25)/'Historical Financial Statemen'!I7,0)</f>
        <v>0.25738541342716098</v>
      </c>
      <c r="J14" s="152">
        <f>IFERROR(('Historical Financial Statemen'!J19-'Historical Financial Statemen'!J25)/'Historical Financial Statemen'!J7,0)</f>
        <v>0.29724645134035244</v>
      </c>
      <c r="K14" s="152">
        <f>IFERROR(('Historical Financial Statemen'!K19-'Historical Financial Statemen'!K25)/'Historical Financial Statemen'!K7,0)</f>
        <v>0.28857544772017418</v>
      </c>
      <c r="L14" s="152">
        <f>IFERROR(('Historical Financial Statemen'!L19-'Historical Financial Statemen'!L25)/'Historical Financial Statemen'!L7,0)</f>
        <v>6.5676190142391469E-2</v>
      </c>
    </row>
    <row r="15" spans="2:12" x14ac:dyDescent="0.2">
      <c r="B15" s="153" t="s">
        <v>154</v>
      </c>
      <c r="C15" s="157">
        <f>'Historical Financial Statemen'!C38</f>
        <v>0.19460529035188226</v>
      </c>
      <c r="D15" s="157">
        <f>'Historical Financial Statemen'!D38</f>
        <v>0.2315710958763175</v>
      </c>
      <c r="E15" s="157">
        <f>'Historical Financial Statemen'!E38</f>
        <v>0.26026848986419476</v>
      </c>
      <c r="F15" s="157">
        <f>'Historical Financial Statemen'!F38</f>
        <v>0.21409122710623468</v>
      </c>
      <c r="G15" s="157">
        <f>'Historical Financial Statemen'!G38</f>
        <v>0.23830224934548477</v>
      </c>
      <c r="H15" s="157">
        <f>'Historical Financial Statemen'!H38</f>
        <v>0.19317666667681735</v>
      </c>
      <c r="I15" s="157">
        <f>'Historical Financial Statemen'!I38</f>
        <v>0.20152531456253109</v>
      </c>
      <c r="J15" s="157">
        <f>'Historical Financial Statemen'!J38</f>
        <v>0.23494258170197752</v>
      </c>
      <c r="K15" s="157">
        <f>'Historical Financial Statemen'!K38</f>
        <v>0.24561892388175591</v>
      </c>
      <c r="L15" s="157">
        <f>'Historical Financial Statemen'!L38</f>
        <v>0.20984597868336693</v>
      </c>
    </row>
    <row r="17" spans="2:12" x14ac:dyDescent="0.2">
      <c r="B17" s="150" t="s">
        <v>155</v>
      </c>
      <c r="C17" s="155">
        <f>'Historical Financial Statemen'!C17</f>
        <v>6.9376226331326979E-2</v>
      </c>
      <c r="D17" s="155">
        <f>'Historical Financial Statemen'!D17</f>
        <v>6.8459768609882246E-2</v>
      </c>
      <c r="E17" s="155">
        <f>'Historical Financial Statemen'!E17</f>
        <v>7.4703548579090756E-2</v>
      </c>
      <c r="F17" s="155">
        <f>'Historical Financial Statemen'!F17</f>
        <v>6.4549381686808197E-2</v>
      </c>
      <c r="G17" s="155">
        <f>'Historical Financial Statemen'!G17</f>
        <v>7.3752169062337392E-2</v>
      </c>
      <c r="H17" s="155">
        <f>'Historical Financial Statemen'!H17</f>
        <v>7.4127670027579598E-2</v>
      </c>
      <c r="I17" s="155">
        <f>'Historical Financial Statemen'!I17</f>
        <v>4.9792940963852637E-2</v>
      </c>
      <c r="J17" s="155">
        <f>'Historical Financial Statemen'!J17</f>
        <v>4.8029421722209115E-2</v>
      </c>
      <c r="K17" s="155">
        <f>'Historical Financial Statemen'!K17</f>
        <v>7.5022441579027474E-2</v>
      </c>
      <c r="L17" s="155">
        <f>'Historical Financial Statemen'!L17</f>
        <v>0.26573795054759919</v>
      </c>
    </row>
    <row r="18" spans="2:12" x14ac:dyDescent="0.2">
      <c r="B18" s="124" t="s">
        <v>156</v>
      </c>
      <c r="C18" s="156">
        <f>'Historical Financial Statemen'!C26</f>
        <v>2.7490234001240049E-2</v>
      </c>
      <c r="D18" s="156">
        <f>'Historical Financial Statemen'!D26</f>
        <v>2.6954750792656124E-2</v>
      </c>
      <c r="E18" s="156">
        <f>'Historical Financial Statemen'!E26</f>
        <v>2.845362855802696E-2</v>
      </c>
      <c r="F18" s="156">
        <f>'Historical Financial Statemen'!F26</f>
        <v>2.8891645314253867E-2</v>
      </c>
      <c r="G18" s="156">
        <f>'Historical Financial Statemen'!G26</f>
        <v>3.3306066085280348E-2</v>
      </c>
      <c r="H18" s="156">
        <f>'Historical Financial Statemen'!H26</f>
        <v>3.3407941336792708E-2</v>
      </c>
      <c r="I18" s="156">
        <f>'Historical Financial Statemen'!I26</f>
        <v>2.8566627762367396E-2</v>
      </c>
      <c r="J18" s="156">
        <f>'Historical Financial Statemen'!J26</f>
        <v>2.550810410125463E-2</v>
      </c>
      <c r="K18" s="156">
        <f>'Historical Financial Statemen'!K26</f>
        <v>2.2346631054552542E-2</v>
      </c>
      <c r="L18" s="156">
        <f>'Historical Financial Statemen'!L26</f>
        <v>2.1856704707996222E-2</v>
      </c>
    </row>
    <row r="19" spans="2:12" x14ac:dyDescent="0.2">
      <c r="B19" s="153" t="s">
        <v>157</v>
      </c>
      <c r="C19" s="154">
        <f t="shared" ref="C19:F19" si="0">C14</f>
        <v>0.29547332242977548</v>
      </c>
      <c r="D19" s="154">
        <f t="shared" si="0"/>
        <v>0.32134676717889232</v>
      </c>
      <c r="E19" s="154">
        <f t="shared" si="0"/>
        <v>0.34753483053901896</v>
      </c>
      <c r="F19" s="154">
        <f t="shared" si="0"/>
        <v>0.30314620027728834</v>
      </c>
      <c r="G19" s="154">
        <f>G14</f>
        <v>0.28094140848834825</v>
      </c>
      <c r="H19" s="154">
        <f t="shared" ref="H19:L19" si="1">H14</f>
        <v>0.23451680913242554</v>
      </c>
      <c r="I19" s="154">
        <f t="shared" si="1"/>
        <v>0.25738541342716098</v>
      </c>
      <c r="J19" s="154">
        <f t="shared" si="1"/>
        <v>0.29724645134035244</v>
      </c>
      <c r="K19" s="154">
        <f t="shared" si="1"/>
        <v>0.28857544772017418</v>
      </c>
      <c r="L19" s="154">
        <f t="shared" si="1"/>
        <v>6.5676190142391469E-2</v>
      </c>
    </row>
    <row r="21" spans="2:12" x14ac:dyDescent="0.2">
      <c r="B21" s="150" t="s">
        <v>158</v>
      </c>
      <c r="C21" s="151">
        <f>'Historical Financial Statemen'!C19/('Data Sheet'!B57+B60+B59)</f>
        <v>15.729222586738247</v>
      </c>
      <c r="D21" s="150">
        <f>'Historical Financial Statemen'!D19/('Data Sheet'!C57+C60+C59)</f>
        <v>12.262722887202196</v>
      </c>
      <c r="E21" s="150">
        <f>'Historical Financial Statemen'!E19/('Data Sheet'!D57+D60+D59)</f>
        <v>13.385691928254797</v>
      </c>
      <c r="F21" s="150">
        <f>'Historical Financial Statemen'!F19/('Data Sheet'!E57+E60+E59)</f>
        <v>13.093314081542758</v>
      </c>
      <c r="G21" s="150">
        <f>'Historical Financial Statemen'!G19/('Data Sheet'!F57+F60+F59)</f>
        <v>12.625860301654704</v>
      </c>
      <c r="H21" s="150">
        <f>'Historical Financial Statemen'!H19/('Data Sheet'!G57+G60+G59)</f>
        <v>10.721833160015592</v>
      </c>
      <c r="I21" s="150">
        <f>'Historical Financial Statemen'!I19/('Data Sheet'!H57+H60+H59)</f>
        <v>14.072066735371209</v>
      </c>
      <c r="J21" s="150">
        <f>'Historical Financial Statemen'!J19/('Data Sheet'!I57+I60+I59)</f>
        <v>18.417637592532984</v>
      </c>
      <c r="K21" s="150">
        <f>'Historical Financial Statemen'!K19/('Data Sheet'!J57+J60+J59)</f>
        <v>16.917939558019022</v>
      </c>
      <c r="L21" s="150">
        <f>'Historical Financial Statemen'!L19/('Data Sheet'!K57+K60+K59)</f>
        <v>5.2686729369271461</v>
      </c>
    </row>
    <row r="22" spans="2:12" x14ac:dyDescent="0.2">
      <c r="B22" s="124" t="s">
        <v>159</v>
      </c>
      <c r="C22" s="156">
        <f>'Historical Financial Statemen'!C47</f>
        <v>0.10316914011949718</v>
      </c>
      <c r="D22" s="156">
        <f>'Historical Financial Statemen'!D47</f>
        <v>0.41738979415857014</v>
      </c>
      <c r="E22" s="156">
        <f>'Historical Financial Statemen'!E47</f>
        <v>0.44419939531622121</v>
      </c>
      <c r="F22" s="156">
        <f>'Historical Financial Statemen'!F47</f>
        <v>0.31890564185415515</v>
      </c>
      <c r="G22" s="156">
        <f>'Historical Financial Statemen'!G47</f>
        <v>0</v>
      </c>
      <c r="H22" s="156">
        <f>'Historical Financial Statemen'!H47</f>
        <v>0</v>
      </c>
      <c r="I22" s="156">
        <f>'Historical Financial Statemen'!I47</f>
        <v>0</v>
      </c>
      <c r="J22" s="156">
        <f>'Historical Financial Statemen'!J47</f>
        <v>0</v>
      </c>
      <c r="K22" s="156">
        <f>'Historical Financial Statemen'!K47</f>
        <v>0</v>
      </c>
      <c r="L22" s="156">
        <f>'Historical Financial Statemen'!L47</f>
        <v>0</v>
      </c>
    </row>
    <row r="23" spans="2:12" x14ac:dyDescent="0.2">
      <c r="B23" s="124" t="s">
        <v>160</v>
      </c>
      <c r="C23" s="156">
        <f>'Historical Financial Statemen'!C37/('Data Sheet'!B57+'Data Sheet'!B58)</f>
        <v>0.17870374362223387</v>
      </c>
      <c r="D23" s="156">
        <f>'Historical Financial Statemen'!D37/('Data Sheet'!C57+'Data Sheet'!C58)</f>
        <v>0.21338321023904322</v>
      </c>
      <c r="E23" s="156">
        <f>'Historical Financial Statemen'!E37/('Data Sheet'!D57+'Data Sheet'!D58)</f>
        <v>0.21535643326589882</v>
      </c>
      <c r="F23" s="156">
        <f>'Historical Financial Statemen'!F37/('Data Sheet'!E57+'Data Sheet'!E58)</f>
        <v>0.17499032395025638</v>
      </c>
      <c r="G23" s="156">
        <f>'Historical Financial Statemen'!G37/('Data Sheet'!F57+'Data Sheet'!F58)</f>
        <v>0.18030660641126239</v>
      </c>
      <c r="H23" s="156">
        <f>'Historical Financial Statemen'!H37/('Data Sheet'!G57+'Data Sheet'!G58)</f>
        <v>0.15767704094331245</v>
      </c>
      <c r="I23" s="156">
        <f>'Historical Financial Statemen'!I37/('Data Sheet'!H57+'Data Sheet'!H58)</f>
        <v>0.19568166618285607</v>
      </c>
      <c r="J23" s="156">
        <f>'Historical Financial Statemen'!J37/('Data Sheet'!I57+'Data Sheet'!I58)</f>
        <v>0.24093467366039825</v>
      </c>
      <c r="K23" s="156">
        <f>'Historical Financial Statemen'!K37/('Data Sheet'!J57+'Data Sheet'!J58)</f>
        <v>0.22394365630075039</v>
      </c>
      <c r="L23" s="156">
        <f>'Historical Financial Statemen'!L37/('Data Sheet'!K57+'Data Sheet'!K58)</f>
        <v>0.22570739275496732</v>
      </c>
    </row>
    <row r="24" spans="2:12" x14ac:dyDescent="0.2">
      <c r="B24" s="124" t="s">
        <v>161</v>
      </c>
      <c r="C24" s="156">
        <f>C23*C22</f>
        <v>1.8436711565640949E-2</v>
      </c>
      <c r="D24" s="156">
        <f t="shared" ref="D24:L24" si="2">D23*D22</f>
        <v>8.9063974198569151E-2</v>
      </c>
      <c r="E24" s="156">
        <f t="shared" si="2"/>
        <v>9.5661197434170397E-2</v>
      </c>
      <c r="F24" s="156">
        <f t="shared" si="2"/>
        <v>5.5805401577623051E-2</v>
      </c>
      <c r="G24" s="156">
        <f t="shared" si="2"/>
        <v>0</v>
      </c>
      <c r="H24" s="156">
        <f t="shared" si="2"/>
        <v>0</v>
      </c>
      <c r="I24" s="156">
        <f t="shared" si="2"/>
        <v>0</v>
      </c>
      <c r="J24" s="156">
        <f t="shared" si="2"/>
        <v>0</v>
      </c>
      <c r="K24" s="156">
        <f t="shared" si="2"/>
        <v>0</v>
      </c>
      <c r="L24" s="156">
        <f t="shared" si="2"/>
        <v>0</v>
      </c>
    </row>
    <row r="25" spans="2:12" x14ac:dyDescent="0.2">
      <c r="B25" s="153" t="s">
        <v>162</v>
      </c>
      <c r="C25" s="157">
        <f>('Historical Financial Statemen'!C19-'Historical Financial Statemen'!C25)/'Historical Financial Statemen'!C22</f>
        <v>148.21733009087424</v>
      </c>
      <c r="D25" s="157">
        <f>('Historical Financial Statemen'!D19-'Historical Financial Statemen'!D25)/'Historical Financial Statemen'!D22</f>
        <v>280.30246787681</v>
      </c>
      <c r="E25" s="157">
        <f>('Historical Financial Statemen'!E19-'Historical Financial Statemen'!E25)/'Historical Financial Statemen'!E22</f>
        <v>131.2931049473959</v>
      </c>
      <c r="F25" s="157">
        <f>('Historical Financial Statemen'!F19-'Historical Financial Statemen'!F25)/'Historical Financial Statemen'!F22</f>
        <v>205.23753501400563</v>
      </c>
      <c r="G25" s="157">
        <f>('Historical Financial Statemen'!G19-'Historical Financial Statemen'!G25)/'Historical Financial Statemen'!G22</f>
        <v>170.49705087245019</v>
      </c>
      <c r="H25" s="157">
        <f>('Historical Financial Statemen'!H19-'Historical Financial Statemen'!H25)/'Historical Financial Statemen'!H22</f>
        <v>199.27031223046393</v>
      </c>
      <c r="I25" s="157">
        <f>('Historical Financial Statemen'!I19-'Historical Financial Statemen'!I25)/'Historical Financial Statemen'!I22</f>
        <v>260.19369894982498</v>
      </c>
      <c r="J25" s="157">
        <f>('Historical Financial Statemen'!J19-'Historical Financial Statemen'!J25)/'Historical Financial Statemen'!J22</f>
        <v>271.06120612061198</v>
      </c>
      <c r="K25" s="157">
        <f>('Historical Financial Statemen'!K19-'Historical Financial Statemen'!K25)/'Historical Financial Statemen'!K22</f>
        <v>501.2398363589877</v>
      </c>
      <c r="L25" s="157">
        <f>('Historical Financial Statemen'!L19-'Historical Financial Statemen'!L25)/'Historical Financial Statemen'!L22</f>
        <v>109.78584110075457</v>
      </c>
    </row>
    <row r="27" spans="2:12" x14ac:dyDescent="0.2">
      <c r="B27" s="150" t="s">
        <v>163</v>
      </c>
      <c r="C27" s="158">
        <f>'Data Sheet'!B17/'Data Sheet'!B67</f>
        <v>20.442577118476095</v>
      </c>
      <c r="D27" s="158">
        <f>'Data Sheet'!C17/'Data Sheet'!C67</f>
        <v>17.28479685081377</v>
      </c>
      <c r="E27" s="158">
        <f>'Data Sheet'!D17/'Data Sheet'!D67</f>
        <v>16.198449832046499</v>
      </c>
      <c r="F27" s="158">
        <f>'Data Sheet'!E17/'Data Sheet'!E67</f>
        <v>11.97923811978351</v>
      </c>
      <c r="G27" s="158">
        <f>'Data Sheet'!F17/'Data Sheet'!F67</f>
        <v>19.273399207018201</v>
      </c>
      <c r="H27" s="158">
        <f>'Data Sheet'!G17/'Data Sheet'!G67</f>
        <v>19.689591078066915</v>
      </c>
      <c r="I27" s="158">
        <f>'Data Sheet'!H17/'Data Sheet'!H67</f>
        <v>24.633226369876922</v>
      </c>
      <c r="J27" s="158">
        <f>'Data Sheet'!I17/'Data Sheet'!I67</f>
        <v>23.990173095593285</v>
      </c>
      <c r="K27" s="158">
        <f>'Data Sheet'!J17/'Data Sheet'!J67</f>
        <v>16.874062923826699</v>
      </c>
      <c r="L27" s="158">
        <f>'Data Sheet'!K17/'Data Sheet'!K67</f>
        <v>15.959450554805738</v>
      </c>
    </row>
    <row r="28" spans="2:12" x14ac:dyDescent="0.2">
      <c r="B28" s="124" t="s">
        <v>164</v>
      </c>
      <c r="C28" s="159">
        <f>'Historical Financial Statemen'!C7/'Historical Financial Statemen'!C56</f>
        <v>4.4095323603404122</v>
      </c>
      <c r="D28" s="159">
        <f>'Historical Financial Statemen'!D7/'Historical Financial Statemen'!D56</f>
        <v>4.5306244815761563</v>
      </c>
      <c r="E28" s="159">
        <f>'Historical Financial Statemen'!E7/'Historical Financial Statemen'!E56</f>
        <v>3.7152199472417347</v>
      </c>
      <c r="F28" s="159">
        <f>'Historical Financial Statemen'!F7/'Historical Financial Statemen'!F56</f>
        <v>3.8411296865328062</v>
      </c>
      <c r="G28" s="159">
        <f>'Historical Financial Statemen'!G7/'Historical Financial Statemen'!G56</f>
        <v>4.1996200693194918</v>
      </c>
      <c r="H28" s="159">
        <f>'Historical Financial Statemen'!H7/'Historical Financial Statemen'!H56</f>
        <v>3.7479256371841467</v>
      </c>
      <c r="I28" s="159">
        <f>'Historical Financial Statemen'!I7/'Historical Financial Statemen'!I56</f>
        <v>4.1849767545533405</v>
      </c>
      <c r="J28" s="159">
        <f>'Historical Financial Statemen'!J7/'Historical Financial Statemen'!J56</f>
        <v>4.3323459375454343</v>
      </c>
      <c r="K28" s="159">
        <f>'Historical Financial Statemen'!K7/'Historical Financial Statemen'!K56</f>
        <v>4.0093121036099895</v>
      </c>
      <c r="L28" s="159">
        <f>'Historical Financial Statemen'!L7/'Historical Financial Statemen'!L56</f>
        <v>4.2584165295218082</v>
      </c>
    </row>
    <row r="29" spans="2:12" x14ac:dyDescent="0.2">
      <c r="B29" s="124" t="s">
        <v>47</v>
      </c>
      <c r="C29" s="159">
        <f>'Historical Financial Statemen'!C7/'Historical Financial Statemen'!C66</f>
        <v>9.7123619674471158</v>
      </c>
      <c r="D29" s="159">
        <f>'Historical Financial Statemen'!D7/'Historical Financial Statemen'!D66</f>
        <v>10.598421918677266</v>
      </c>
      <c r="E29" s="159">
        <f>'Historical Financial Statemen'!E7/'Historical Financial Statemen'!E66</f>
        <v>10.76726769889574</v>
      </c>
      <c r="F29" s="159">
        <f>'Historical Financial Statemen'!F7/'Historical Financial Statemen'!F66</f>
        <v>11.97923811978351</v>
      </c>
      <c r="G29" s="159">
        <f>'Historical Financial Statemen'!G7/'Historical Financial Statemen'!G66</f>
        <v>5.5620975906965953</v>
      </c>
      <c r="H29" s="159">
        <f>'Historical Financial Statemen'!H7/'Historical Financial Statemen'!H66</f>
        <v>4.7375869949101483</v>
      </c>
      <c r="I29" s="159">
        <f>'Historical Financial Statemen'!I7/'Historical Financial Statemen'!I66</f>
        <v>5.5820786715941884</v>
      </c>
      <c r="J29" s="159">
        <f>'Historical Financial Statemen'!J7/'Historical Financial Statemen'!J66</f>
        <v>6.0248123379514</v>
      </c>
      <c r="K29" s="159">
        <f>'Historical Financial Statemen'!K7/'Historical Financial Statemen'!K66</f>
        <v>4.7998668822176125</v>
      </c>
      <c r="L29" s="159">
        <f>'Historical Financial Statemen'!L7/'Historical Financial Statemen'!L66</f>
        <v>4.8168218059594974</v>
      </c>
    </row>
    <row r="30" spans="2:12" x14ac:dyDescent="0.2">
      <c r="B30" s="124" t="s">
        <v>165</v>
      </c>
      <c r="C30" s="159">
        <f>'Historical Financial Statemen'!C7/'Historical Financial Statemen'!C59</f>
        <v>2.594364196382648</v>
      </c>
      <c r="D30" s="159">
        <f>'Historical Financial Statemen'!D7/'Historical Financial Statemen'!D59</f>
        <v>2.6908895974953251</v>
      </c>
      <c r="E30" s="159">
        <f>'Historical Financial Statemen'!E7/'Historical Financial Statemen'!E59</f>
        <v>2.6294508096122238</v>
      </c>
      <c r="F30" s="159">
        <f>'Historical Financial Statemen'!F7/'Historical Financial Statemen'!F59</f>
        <v>2.4950503737188501</v>
      </c>
      <c r="G30" s="159">
        <f>'Historical Financial Statemen'!G7/'Historical Financial Statemen'!G59</f>
        <v>2.2745326145125531</v>
      </c>
      <c r="H30" s="159">
        <f>'Historical Financial Statemen'!H7/'Historical Financial Statemen'!H59</f>
        <v>2.1141915695787881</v>
      </c>
      <c r="I30" s="159">
        <f>'Historical Financial Statemen'!I7/'Historical Financial Statemen'!I59</f>
        <v>2.5027057654904197</v>
      </c>
      <c r="J30" s="159">
        <f>'Historical Financial Statemen'!J7/'Historical Financial Statemen'!J59</f>
        <v>2.7433480057266046</v>
      </c>
      <c r="K30" s="159">
        <f>'Historical Financial Statemen'!K7/'Historical Financial Statemen'!K59</f>
        <v>2.4418189360112894</v>
      </c>
      <c r="L30" s="159">
        <f>'Historical Financial Statemen'!L7/'Historical Financial Statemen'!L59</f>
        <v>3.4308291789741219</v>
      </c>
    </row>
    <row r="31" spans="2:12" x14ac:dyDescent="0.2">
      <c r="B31" s="153" t="s">
        <v>166</v>
      </c>
      <c r="C31" s="160">
        <f>'Historical Financial Statemen'!C7/('Historical Financial Statemen'!C53+'Historical Financial Statemen'!C54)</f>
        <v>0.91828820942691003</v>
      </c>
      <c r="D31" s="160">
        <f>'Historical Financial Statemen'!D7/('Historical Financial Statemen'!D53+'Historical Financial Statemen'!D54)</f>
        <v>0.92145874005368755</v>
      </c>
      <c r="E31" s="160">
        <f>'Historical Financial Statemen'!E7/('Historical Financial Statemen'!E53+'Historical Financial Statemen'!E54)</f>
        <v>0.82743951593321752</v>
      </c>
      <c r="F31" s="160">
        <f>'Historical Financial Statemen'!F7/('Historical Financial Statemen'!F53+'Historical Financial Statemen'!F54)</f>
        <v>0.81736335633885671</v>
      </c>
      <c r="G31" s="160">
        <f>'Historical Financial Statemen'!G7/('Historical Financial Statemen'!G53+'Historical Financial Statemen'!G54)</f>
        <v>0.75662989714317919</v>
      </c>
      <c r="H31" s="160">
        <f>'Historical Financial Statemen'!H7/('Historical Financial Statemen'!H53+'Historical Financial Statemen'!H54)</f>
        <v>0.81623233103563475</v>
      </c>
      <c r="I31" s="160">
        <f>'Historical Financial Statemen'!I7/('Historical Financial Statemen'!I53+'Historical Financial Statemen'!I54)</f>
        <v>0.97100290654620558</v>
      </c>
      <c r="J31" s="160">
        <f>'Historical Financial Statemen'!J7/('Historical Financial Statemen'!J53+'Historical Financial Statemen'!J54)</f>
        <v>1.0255044952473606</v>
      </c>
      <c r="K31" s="160">
        <f>'Historical Financial Statemen'!K7/('Historical Financial Statemen'!K53+'Historical Financial Statemen'!K54)</f>
        <v>0.91175245278967076</v>
      </c>
      <c r="L31" s="160">
        <f>'Historical Financial Statemen'!L7/('Historical Financial Statemen'!L53+'Historical Financial Statemen'!L54)</f>
        <v>1.075585980589761</v>
      </c>
    </row>
    <row r="33" spans="2:12" x14ac:dyDescent="0.2">
      <c r="B33" s="150" t="s">
        <v>46</v>
      </c>
      <c r="C33" s="161">
        <f>365/C27</f>
        <v>17.854891674597688</v>
      </c>
      <c r="D33" s="161">
        <f t="shared" ref="D33:L33" si="3">365/D27</f>
        <v>21.116823249375695</v>
      </c>
      <c r="E33" s="161">
        <f t="shared" si="3"/>
        <v>22.533020368275956</v>
      </c>
      <c r="F33" s="161">
        <f t="shared" si="3"/>
        <v>30.469383474163408</v>
      </c>
      <c r="G33" s="161">
        <f t="shared" si="3"/>
        <v>18.9380189804344</v>
      </c>
      <c r="H33" s="161">
        <f t="shared" si="3"/>
        <v>18.537713584442557</v>
      </c>
      <c r="I33" s="161">
        <f t="shared" si="3"/>
        <v>14.817385044061677</v>
      </c>
      <c r="J33" s="161">
        <f t="shared" si="3"/>
        <v>15.214563002342249</v>
      </c>
      <c r="K33" s="161">
        <f t="shared" si="3"/>
        <v>21.630830799179297</v>
      </c>
      <c r="L33" s="161">
        <f t="shared" si="3"/>
        <v>22.870461532906003</v>
      </c>
    </row>
    <row r="34" spans="2:12" x14ac:dyDescent="0.2">
      <c r="B34" s="124" t="s">
        <v>168</v>
      </c>
      <c r="C34" s="162">
        <f t="shared" ref="C34:L34" si="4">365/C28</f>
        <v>82.775217454538037</v>
      </c>
      <c r="D34" s="162">
        <f t="shared" si="4"/>
        <v>80.562845471805772</v>
      </c>
      <c r="E34" s="162">
        <f t="shared" si="4"/>
        <v>98.244519889322959</v>
      </c>
      <c r="F34" s="162">
        <f t="shared" si="4"/>
        <v>95.024128260940614</v>
      </c>
      <c r="G34" s="162">
        <f t="shared" si="4"/>
        <v>86.912623993423466</v>
      </c>
      <c r="H34" s="162">
        <f t="shared" si="4"/>
        <v>97.387204372130526</v>
      </c>
      <c r="I34" s="162">
        <f t="shared" si="4"/>
        <v>87.216732949083294</v>
      </c>
      <c r="J34" s="162">
        <f t="shared" si="4"/>
        <v>84.249966475852816</v>
      </c>
      <c r="K34" s="162">
        <f t="shared" si="4"/>
        <v>91.038061035795536</v>
      </c>
      <c r="L34" s="162">
        <f t="shared" si="4"/>
        <v>85.712611124254465</v>
      </c>
    </row>
    <row r="35" spans="2:12" x14ac:dyDescent="0.2">
      <c r="B35" s="124" t="s">
        <v>169</v>
      </c>
      <c r="C35" s="162">
        <f t="shared" ref="C35:L35" si="5">365/C29</f>
        <v>37.580971675414183</v>
      </c>
      <c r="D35" s="162">
        <f t="shared" si="5"/>
        <v>34.43908940412836</v>
      </c>
      <c r="E35" s="162">
        <f t="shared" si="5"/>
        <v>33.899036432189142</v>
      </c>
      <c r="F35" s="162">
        <f t="shared" si="5"/>
        <v>30.469383474163408</v>
      </c>
      <c r="G35" s="162">
        <f t="shared" si="5"/>
        <v>65.622724888990575</v>
      </c>
      <c r="H35" s="162">
        <f t="shared" si="5"/>
        <v>77.043440129361144</v>
      </c>
      <c r="I35" s="162">
        <f t="shared" si="5"/>
        <v>65.387827989131424</v>
      </c>
      <c r="J35" s="162">
        <f t="shared" si="5"/>
        <v>60.582799849349321</v>
      </c>
      <c r="K35" s="162">
        <f t="shared" si="5"/>
        <v>76.043775578910299</v>
      </c>
      <c r="L35" s="162">
        <f t="shared" si="5"/>
        <v>75.776106051590389</v>
      </c>
    </row>
    <row r="36" spans="2:12" x14ac:dyDescent="0.2">
      <c r="B36" s="153" t="s">
        <v>170</v>
      </c>
      <c r="C36" s="163">
        <f t="shared" ref="C36:L36" si="6">365/C30</f>
        <v>140.68957647076834</v>
      </c>
      <c r="D36" s="163">
        <f t="shared" si="6"/>
        <v>135.64287451248143</v>
      </c>
      <c r="E36" s="163">
        <f t="shared" si="6"/>
        <v>138.81225640947741</v>
      </c>
      <c r="F36" s="163">
        <f t="shared" si="6"/>
        <v>146.289631602095</v>
      </c>
      <c r="G36" s="163">
        <f t="shared" si="6"/>
        <v>160.47252858505254</v>
      </c>
      <c r="H36" s="163">
        <f t="shared" si="6"/>
        <v>172.64282255780597</v>
      </c>
      <c r="I36" s="163">
        <f t="shared" si="6"/>
        <v>145.84215413291946</v>
      </c>
      <c r="J36" s="163">
        <f t="shared" si="6"/>
        <v>133.04910614259671</v>
      </c>
      <c r="K36" s="163">
        <f t="shared" si="6"/>
        <v>149.47873268450749</v>
      </c>
      <c r="L36" s="163">
        <f t="shared" si="6"/>
        <v>106.38827553318799</v>
      </c>
    </row>
    <row r="38" spans="2:12" x14ac:dyDescent="0.2">
      <c r="B38" s="150" t="s">
        <v>171</v>
      </c>
      <c r="C38" s="151">
        <f>'Historical Financial Statemen'!C85/'Historical Financial Statemen'!C7</f>
        <v>0.25191301308171798</v>
      </c>
      <c r="D38" s="151">
        <f>'Historical Financial Statemen'!D85/'Historical Financial Statemen'!D7</f>
        <v>0.22262179780955677</v>
      </c>
      <c r="E38" s="151">
        <f>'Historical Financial Statemen'!E85/'Historical Financial Statemen'!E7</f>
        <v>0.24559862680194269</v>
      </c>
      <c r="F38" s="151">
        <f>'Historical Financial Statemen'!F85/'Historical Financial Statemen'!F7</f>
        <v>0.25047797270890643</v>
      </c>
      <c r="G38" s="151">
        <f>'Historical Financial Statemen'!G85/'Historical Financial Statemen'!G7</f>
        <v>0.30341562777776654</v>
      </c>
      <c r="H38" s="151">
        <f>'Historical Financial Statemen'!H85/'Historical Financial Statemen'!H7</f>
        <v>0.24589173820406865</v>
      </c>
      <c r="I38" s="151">
        <f>'Historical Financial Statemen'!I85/'Historical Financial Statemen'!I7</f>
        <v>0.25848988218889946</v>
      </c>
      <c r="J38" s="151">
        <f>'Historical Financial Statemen'!J85/'Historical Financial Statemen'!J7</f>
        <v>0.2531619510306331</v>
      </c>
      <c r="K38" s="151">
        <f>'Historical Financial Statemen'!K85/'Historical Financial Statemen'!K7</f>
        <v>0.20373332485425855</v>
      </c>
      <c r="L38" s="151">
        <f>'Historical Financial Statemen'!L85/'Historical Financial Statemen'!L7</f>
        <v>0.19761471012836129</v>
      </c>
    </row>
    <row r="39" spans="2:12" x14ac:dyDescent="0.2">
      <c r="B39" s="124" t="s">
        <v>172</v>
      </c>
      <c r="C39" s="152">
        <f>'Historical Financial Statemen'!C85/'Historical Financial Statemen'!C70</f>
        <v>0.19114702542083131</v>
      </c>
      <c r="D39" s="152">
        <f>'Historical Financial Statemen'!D85/'Historical Financial Statemen'!D70</f>
        <v>0.170327122532484</v>
      </c>
      <c r="E39" s="152">
        <f>'Historical Financial Statemen'!E85/'Historical Financial Statemen'!E70</f>
        <v>0.16610918156787391</v>
      </c>
      <c r="F39" s="152">
        <f>'Historical Financial Statemen'!F85/'Historical Financial Statemen'!F70</f>
        <v>0.16877839458124894</v>
      </c>
      <c r="G39" s="152">
        <f>'Historical Financial Statemen'!G85/'Historical Financial Statemen'!G70</f>
        <v>0.19382815455806598</v>
      </c>
      <c r="H39" s="152">
        <f>'Historical Financial Statemen'!H85/'Historical Financial Statemen'!H70</f>
        <v>0.16420655101709905</v>
      </c>
      <c r="I39" s="152">
        <f>'Historical Financial Statemen'!I85/'Historical Financial Statemen'!I70</f>
        <v>0.20306746384075244</v>
      </c>
      <c r="J39" s="152">
        <f>'Historical Financial Statemen'!J85/'Historical Financial Statemen'!J70</f>
        <v>0.20917859942379768</v>
      </c>
      <c r="K39" s="152">
        <f>'Historical Financial Statemen'!K85/'Historical Financial Statemen'!K70</f>
        <v>0.15083815991831198</v>
      </c>
      <c r="L39" s="152">
        <f>'Historical Financial Statemen'!L85/'Historical Financial Statemen'!L70</f>
        <v>0.1691425376721396</v>
      </c>
    </row>
    <row r="40" spans="2:12" x14ac:dyDescent="0.2">
      <c r="B40" s="153" t="s">
        <v>173</v>
      </c>
      <c r="C40" s="154">
        <f>'Historical Financial Statemen'!C85/'Historical Financial Statemen'!C55</f>
        <v>117.84435426116018</v>
      </c>
      <c r="D40" s="154">
        <f>'Historical Financial Statemen'!D85/'Historical Financial Statemen'!D55</f>
        <v>208.24584426946632</v>
      </c>
      <c r="E40" s="154">
        <f>'Historical Financial Statemen'!E85/'Historical Financial Statemen'!E55</f>
        <v>297.07683741648106</v>
      </c>
      <c r="F40" s="154">
        <f>'Historical Financial Statemen'!F85/'Historical Financial Statemen'!F55</f>
        <v>900.89285714285722</v>
      </c>
      <c r="G40" s="154">
        <f>'Historical Financial Statemen'!G85/'Historical Financial Statemen'!G55</f>
        <v>54.009731483150119</v>
      </c>
      <c r="H40" s="154">
        <f>'Historical Financial Statemen'!H85/'Historical Financial Statemen'!H55</f>
        <v>44.721781191153127</v>
      </c>
      <c r="I40" s="154">
        <f>'Historical Financial Statemen'!I85/'Historical Financial Statemen'!I55</f>
        <v>62.844772289929445</v>
      </c>
      <c r="J40" s="154">
        <f>'Historical Financial Statemen'!J85/'Historical Financial Statemen'!J55</f>
        <v>58.665533917135008</v>
      </c>
      <c r="K40" s="154">
        <f>'Historical Financial Statemen'!K85/'Historical Financial Statemen'!K55</f>
        <v>45.611837985696866</v>
      </c>
      <c r="L40" s="154">
        <f>'Historical Financial Statemen'!L85/'Historical Financial Statemen'!L55</f>
        <v>52.312504393055455</v>
      </c>
    </row>
    <row r="66" spans="2:12" x14ac:dyDescent="0.2"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</row>
  </sheetData>
  <mergeCells count="1">
    <mergeCell ref="B3:L3"/>
  </mergeCells>
  <pageMargins left="0.25" right="0.25" top="0.75" bottom="0.75" header="0.3" footer="0.3"/>
  <pageSetup orientation="portrait" r:id="rId1"/>
  <headerFooter>
    <oddHeader>&amp;L&amp;"-,Bold"&amp;8&amp;K07-047ITC Ltd
NSE: ITC(INE154A01025)
401.25 INR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EB68-D374-4079-847B-AA8A3D176425}">
  <dimension ref="A1:M28"/>
  <sheetViews>
    <sheetView workbookViewId="0">
      <selection activeCell="G6" sqref="G6"/>
    </sheetView>
  </sheetViews>
  <sheetFormatPr defaultRowHeight="14.4" x14ac:dyDescent="0.3"/>
  <cols>
    <col min="1" max="1" width="41.6640625" customWidth="1"/>
    <col min="8" max="8" width="10.33203125" bestFit="1" customWidth="1"/>
  </cols>
  <sheetData>
    <row r="1" spans="1:13" ht="15" thickBot="1" x14ac:dyDescent="0.35">
      <c r="A1" s="29">
        <v>41699</v>
      </c>
      <c r="B1" s="29">
        <v>42064</v>
      </c>
      <c r="C1" s="29">
        <v>42430</v>
      </c>
      <c r="D1" s="29">
        <v>42795</v>
      </c>
      <c r="E1" s="29">
        <v>43160</v>
      </c>
      <c r="F1" s="29">
        <v>43525</v>
      </c>
      <c r="G1" s="29">
        <v>43891</v>
      </c>
      <c r="H1" s="29">
        <v>44256</v>
      </c>
      <c r="I1" s="29">
        <v>44621</v>
      </c>
      <c r="J1" s="29">
        <v>44986</v>
      </c>
      <c r="K1" s="29">
        <v>45352</v>
      </c>
      <c r="L1" s="29">
        <v>45717</v>
      </c>
      <c r="M1" s="28"/>
    </row>
    <row r="2" spans="1:13" ht="15" thickBot="1" x14ac:dyDescent="0.35">
      <c r="A2" s="30" t="s">
        <v>174</v>
      </c>
      <c r="B2" s="31">
        <v>7344</v>
      </c>
      <c r="C2" s="31">
        <v>9843</v>
      </c>
      <c r="D2" s="31">
        <v>9799</v>
      </c>
      <c r="E2" s="31">
        <v>10627</v>
      </c>
      <c r="F2" s="31">
        <v>13169</v>
      </c>
      <c r="G2" s="31">
        <v>12583</v>
      </c>
      <c r="H2" s="31">
        <v>14690</v>
      </c>
      <c r="I2" s="31">
        <v>12527</v>
      </c>
      <c r="J2" s="31">
        <v>15776</v>
      </c>
      <c r="K2" s="31">
        <v>18878</v>
      </c>
      <c r="L2" s="31">
        <v>17179</v>
      </c>
      <c r="M2" s="31">
        <v>17627</v>
      </c>
    </row>
    <row r="3" spans="1:13" x14ac:dyDescent="0.3">
      <c r="A3" s="32" t="s">
        <v>121</v>
      </c>
      <c r="B3" s="31">
        <v>13172</v>
      </c>
      <c r="C3" s="31">
        <v>14261</v>
      </c>
      <c r="D3" s="31">
        <v>15154</v>
      </c>
      <c r="E3" s="31">
        <v>16075</v>
      </c>
      <c r="F3" s="31">
        <v>17433</v>
      </c>
      <c r="G3" s="31">
        <v>18862</v>
      </c>
      <c r="H3" s="31">
        <v>19416</v>
      </c>
      <c r="I3" s="31">
        <v>17326</v>
      </c>
      <c r="J3" s="31">
        <v>20857</v>
      </c>
      <c r="K3" s="31">
        <v>26052</v>
      </c>
      <c r="L3" s="31">
        <v>26635</v>
      </c>
      <c r="M3" s="31">
        <v>26719</v>
      </c>
    </row>
    <row r="4" spans="1:13" x14ac:dyDescent="0.3">
      <c r="A4" s="33" t="s">
        <v>78</v>
      </c>
      <c r="B4" s="34">
        <v>-1546</v>
      </c>
      <c r="C4" s="35">
        <v>558</v>
      </c>
      <c r="D4" s="35">
        <v>-207</v>
      </c>
      <c r="E4" s="35">
        <v>-870</v>
      </c>
      <c r="F4" s="35">
        <v>-964</v>
      </c>
      <c r="G4" s="35">
        <v>-755</v>
      </c>
      <c r="H4" s="34">
        <v>1411</v>
      </c>
      <c r="I4" s="35">
        <v>-66</v>
      </c>
      <c r="J4" s="35">
        <v>-732</v>
      </c>
      <c r="K4" s="35">
        <v>-884</v>
      </c>
      <c r="L4" s="35">
        <v>-934</v>
      </c>
      <c r="M4" s="34">
        <v>-1023</v>
      </c>
    </row>
    <row r="5" spans="1:13" x14ac:dyDescent="0.3">
      <c r="A5" s="33" t="s">
        <v>45</v>
      </c>
      <c r="B5" s="35">
        <v>-755</v>
      </c>
      <c r="C5" s="35">
        <v>-505</v>
      </c>
      <c r="D5" s="35">
        <v>-693</v>
      </c>
      <c r="E5" s="35">
        <v>593</v>
      </c>
      <c r="F5" s="35">
        <v>602</v>
      </c>
      <c r="G5" s="35">
        <v>-359</v>
      </c>
      <c r="H5" s="35">
        <v>-508</v>
      </c>
      <c r="I5" s="34">
        <v>-1460</v>
      </c>
      <c r="J5" s="35">
        <v>-466</v>
      </c>
      <c r="K5" s="34">
        <v>-1098</v>
      </c>
      <c r="L5" s="34">
        <v>-2545</v>
      </c>
      <c r="M5" s="34">
        <v>-2975</v>
      </c>
    </row>
    <row r="6" spans="1:13" ht="15" thickBot="1" x14ac:dyDescent="0.35">
      <c r="A6" s="33" t="s">
        <v>122</v>
      </c>
      <c r="B6" s="35">
        <v>456</v>
      </c>
      <c r="C6" s="35">
        <v>-23</v>
      </c>
      <c r="D6" s="35">
        <v>622</v>
      </c>
      <c r="E6" s="35">
        <v>321</v>
      </c>
      <c r="F6" s="34">
        <v>2098</v>
      </c>
      <c r="G6" s="35">
        <v>639</v>
      </c>
      <c r="H6" s="35">
        <v>-607</v>
      </c>
      <c r="I6" s="34">
        <v>1112</v>
      </c>
      <c r="J6" s="34">
        <v>1099</v>
      </c>
      <c r="K6" s="34">
        <v>1058</v>
      </c>
      <c r="L6" s="35">
        <v>141</v>
      </c>
      <c r="M6" s="34">
        <v>1256</v>
      </c>
    </row>
    <row r="7" spans="1:13" x14ac:dyDescent="0.3">
      <c r="A7" s="32" t="s">
        <v>123</v>
      </c>
      <c r="B7" s="31">
        <v>-1844</v>
      </c>
      <c r="C7" s="36">
        <v>31</v>
      </c>
      <c r="D7" s="36">
        <v>-277</v>
      </c>
      <c r="E7" s="36">
        <v>44</v>
      </c>
      <c r="F7" s="31">
        <v>1736</v>
      </c>
      <c r="G7" s="36">
        <v>-476</v>
      </c>
      <c r="H7" s="36">
        <v>296</v>
      </c>
      <c r="I7" s="36">
        <v>-413</v>
      </c>
      <c r="J7" s="36">
        <v>-100</v>
      </c>
      <c r="K7" s="36">
        <v>-924</v>
      </c>
      <c r="L7" s="31">
        <v>-3337</v>
      </c>
      <c r="M7" s="31">
        <v>-2742</v>
      </c>
    </row>
    <row r="8" spans="1:13" ht="15" thickBot="1" x14ac:dyDescent="0.35">
      <c r="A8" s="33" t="s">
        <v>124</v>
      </c>
      <c r="B8" s="34">
        <v>-3984</v>
      </c>
      <c r="C8" s="34">
        <v>-4449</v>
      </c>
      <c r="D8" s="34">
        <v>-5078</v>
      </c>
      <c r="E8" s="34">
        <v>-5492</v>
      </c>
      <c r="F8" s="34">
        <v>-6000</v>
      </c>
      <c r="G8" s="34">
        <v>-5803</v>
      </c>
      <c r="H8" s="34">
        <v>-5023</v>
      </c>
      <c r="I8" s="34">
        <v>-4387</v>
      </c>
      <c r="J8" s="34">
        <v>-4982</v>
      </c>
      <c r="K8" s="34">
        <v>-6250</v>
      </c>
      <c r="L8" s="34">
        <v>-6120</v>
      </c>
      <c r="M8" s="34">
        <v>-6350</v>
      </c>
    </row>
    <row r="9" spans="1:13" x14ac:dyDescent="0.3">
      <c r="A9" s="37" t="s">
        <v>175</v>
      </c>
      <c r="B9" s="38">
        <v>-3254</v>
      </c>
      <c r="C9" s="38">
        <v>-5275</v>
      </c>
      <c r="D9" s="38">
        <v>-3921</v>
      </c>
      <c r="E9" s="38">
        <v>-3251</v>
      </c>
      <c r="F9" s="38">
        <v>-7114</v>
      </c>
      <c r="G9" s="38">
        <v>-5546</v>
      </c>
      <c r="H9" s="38">
        <v>-6174</v>
      </c>
      <c r="I9" s="38">
        <v>5740</v>
      </c>
      <c r="J9" s="38">
        <v>-2238</v>
      </c>
      <c r="K9" s="38">
        <v>-5732</v>
      </c>
      <c r="L9" s="38">
        <v>1563</v>
      </c>
      <c r="M9" s="39">
        <v>-564</v>
      </c>
    </row>
    <row r="10" spans="1:13" x14ac:dyDescent="0.3">
      <c r="A10" s="40" t="s">
        <v>126</v>
      </c>
      <c r="B10" s="41">
        <v>-2887</v>
      </c>
      <c r="C10" s="41">
        <v>-3300</v>
      </c>
      <c r="D10" s="41">
        <v>-2348</v>
      </c>
      <c r="E10" s="41">
        <v>-3122</v>
      </c>
      <c r="F10" s="41">
        <v>-2878</v>
      </c>
      <c r="G10" s="41">
        <v>-3169</v>
      </c>
      <c r="H10" s="41">
        <v>-2441</v>
      </c>
      <c r="I10" s="41">
        <v>-1837</v>
      </c>
      <c r="J10" s="41">
        <v>-2142</v>
      </c>
      <c r="K10" s="41">
        <v>-2743</v>
      </c>
      <c r="L10" s="41">
        <v>-3563</v>
      </c>
      <c r="M10" s="41">
        <v>-2279</v>
      </c>
    </row>
    <row r="11" spans="1:13" x14ac:dyDescent="0.3">
      <c r="A11" s="40" t="s">
        <v>127</v>
      </c>
      <c r="B11" s="42">
        <v>38</v>
      </c>
      <c r="C11" s="42">
        <v>9</v>
      </c>
      <c r="D11" s="42">
        <v>8</v>
      </c>
      <c r="E11" s="42">
        <v>50</v>
      </c>
      <c r="F11" s="42">
        <v>80</v>
      </c>
      <c r="G11" s="42">
        <v>28</v>
      </c>
      <c r="H11" s="42">
        <v>27</v>
      </c>
      <c r="I11" s="42">
        <v>3</v>
      </c>
      <c r="J11" s="42">
        <v>133</v>
      </c>
      <c r="K11" s="42">
        <v>49</v>
      </c>
      <c r="L11" s="42">
        <v>107</v>
      </c>
      <c r="M11" s="42">
        <v>175</v>
      </c>
    </row>
    <row r="12" spans="1:13" x14ac:dyDescent="0.3">
      <c r="A12" s="40" t="s">
        <v>128</v>
      </c>
      <c r="B12" s="41">
        <v>-94242</v>
      </c>
      <c r="C12" s="41">
        <v>-98742</v>
      </c>
      <c r="D12" s="41">
        <v>-154081</v>
      </c>
      <c r="E12" s="41">
        <v>-85683</v>
      </c>
      <c r="F12" s="41">
        <v>-98330</v>
      </c>
      <c r="G12" s="41">
        <v>-94187</v>
      </c>
      <c r="H12" s="41">
        <v>-79835</v>
      </c>
      <c r="I12" s="41">
        <v>-57553</v>
      </c>
      <c r="J12" s="41">
        <v>-69776</v>
      </c>
      <c r="K12" s="41">
        <v>-80932</v>
      </c>
      <c r="L12" s="41">
        <v>-75107</v>
      </c>
      <c r="M12" s="41">
        <v>-66373</v>
      </c>
    </row>
    <row r="13" spans="1:13" x14ac:dyDescent="0.3">
      <c r="A13" s="40" t="s">
        <v>129</v>
      </c>
      <c r="B13" s="41">
        <v>93293</v>
      </c>
      <c r="C13" s="41">
        <v>99658</v>
      </c>
      <c r="D13" s="41">
        <v>150651</v>
      </c>
      <c r="E13" s="41">
        <v>81034</v>
      </c>
      <c r="F13" s="41">
        <v>95017</v>
      </c>
      <c r="G13" s="41">
        <v>92454</v>
      </c>
      <c r="H13" s="41">
        <v>75835</v>
      </c>
      <c r="I13" s="41">
        <v>62797</v>
      </c>
      <c r="J13" s="41">
        <v>70992</v>
      </c>
      <c r="K13" s="41">
        <v>77230</v>
      </c>
      <c r="L13" s="41">
        <v>77830</v>
      </c>
      <c r="M13" s="41">
        <v>67311</v>
      </c>
    </row>
    <row r="14" spans="1:13" x14ac:dyDescent="0.3">
      <c r="A14" s="40" t="s">
        <v>130</v>
      </c>
      <c r="B14" s="42">
        <v>374</v>
      </c>
      <c r="C14" s="42">
        <v>559</v>
      </c>
      <c r="D14" s="42">
        <v>741</v>
      </c>
      <c r="E14" s="42">
        <v>756</v>
      </c>
      <c r="F14" s="42">
        <v>736</v>
      </c>
      <c r="G14" s="41">
        <v>1184</v>
      </c>
      <c r="H14" s="41">
        <v>1513</v>
      </c>
      <c r="I14" s="41">
        <v>1275</v>
      </c>
      <c r="J14" s="41">
        <v>1035</v>
      </c>
      <c r="K14" s="41">
        <v>1324</v>
      </c>
      <c r="L14" s="41">
        <v>1138</v>
      </c>
      <c r="M14" s="41">
        <v>1072</v>
      </c>
    </row>
    <row r="15" spans="1:13" x14ac:dyDescent="0.3">
      <c r="A15" s="40" t="s">
        <v>131</v>
      </c>
      <c r="B15" s="42">
        <v>192</v>
      </c>
      <c r="C15" s="42">
        <v>268</v>
      </c>
      <c r="D15" s="42">
        <v>64</v>
      </c>
      <c r="E15" s="42">
        <v>4</v>
      </c>
      <c r="F15" s="42">
        <v>13</v>
      </c>
      <c r="G15" s="42">
        <v>13</v>
      </c>
      <c r="H15" s="42">
        <v>17</v>
      </c>
      <c r="I15" s="42">
        <v>7</v>
      </c>
      <c r="J15" s="42">
        <v>16</v>
      </c>
      <c r="K15" s="42">
        <v>19</v>
      </c>
      <c r="L15" s="42">
        <v>36</v>
      </c>
      <c r="M15" s="42">
        <v>38</v>
      </c>
    </row>
    <row r="16" spans="1:13" x14ac:dyDescent="0.3">
      <c r="A16" s="40" t="s">
        <v>132</v>
      </c>
      <c r="B16" s="42">
        <v>0</v>
      </c>
      <c r="C16" s="42">
        <v>0</v>
      </c>
      <c r="D16" s="42">
        <v>-8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</row>
    <row r="17" spans="1:13" x14ac:dyDescent="0.3">
      <c r="A17" s="40" t="s">
        <v>133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-2</v>
      </c>
      <c r="J17" s="42">
        <v>-2</v>
      </c>
      <c r="K17" s="42">
        <v>-2</v>
      </c>
      <c r="L17" s="42">
        <v>-65</v>
      </c>
      <c r="M17" s="42">
        <v>-30</v>
      </c>
    </row>
    <row r="18" spans="1:13" x14ac:dyDescent="0.3">
      <c r="A18" s="40" t="s">
        <v>134</v>
      </c>
      <c r="B18" s="42">
        <v>0</v>
      </c>
      <c r="C18" s="42">
        <v>0</v>
      </c>
      <c r="D18" s="42">
        <v>0</v>
      </c>
      <c r="E18" s="42">
        <v>129</v>
      </c>
      <c r="F18" s="42">
        <v>18</v>
      </c>
      <c r="G18" s="42">
        <v>18</v>
      </c>
      <c r="H18" s="42">
        <v>0</v>
      </c>
      <c r="I18" s="42">
        <v>0</v>
      </c>
      <c r="J18" s="42">
        <v>0</v>
      </c>
      <c r="K18" s="42">
        <v>56</v>
      </c>
      <c r="L18" s="42">
        <v>0</v>
      </c>
      <c r="M18" s="42">
        <v>0</v>
      </c>
    </row>
    <row r="19" spans="1:13" ht="15" thickBot="1" x14ac:dyDescent="0.35">
      <c r="A19" s="40" t="s">
        <v>135</v>
      </c>
      <c r="B19" s="42">
        <v>-21</v>
      </c>
      <c r="C19" s="41">
        <v>-3728</v>
      </c>
      <c r="D19" s="41">
        <v>1052</v>
      </c>
      <c r="E19" s="41">
        <v>3579</v>
      </c>
      <c r="F19" s="41">
        <v>-1769</v>
      </c>
      <c r="G19" s="41">
        <v>-1887</v>
      </c>
      <c r="H19" s="41">
        <v>-1290</v>
      </c>
      <c r="I19" s="41">
        <v>1051</v>
      </c>
      <c r="J19" s="41">
        <v>-2494</v>
      </c>
      <c r="K19" s="42">
        <v>-733</v>
      </c>
      <c r="L19" s="41">
        <v>1187</v>
      </c>
      <c r="M19" s="42">
        <v>-478</v>
      </c>
    </row>
    <row r="20" spans="1:13" x14ac:dyDescent="0.3">
      <c r="A20" s="30" t="s">
        <v>176</v>
      </c>
      <c r="B20" s="31">
        <v>-4122</v>
      </c>
      <c r="C20" s="31">
        <v>-4661</v>
      </c>
      <c r="D20" s="31">
        <v>-5613</v>
      </c>
      <c r="E20" s="31">
        <v>-7301</v>
      </c>
      <c r="F20" s="31">
        <v>-6221</v>
      </c>
      <c r="G20" s="31">
        <v>-6869</v>
      </c>
      <c r="H20" s="31">
        <v>-8181</v>
      </c>
      <c r="I20" s="31">
        <v>-18634</v>
      </c>
      <c r="J20" s="31">
        <v>-13580</v>
      </c>
      <c r="K20" s="31">
        <v>-13006</v>
      </c>
      <c r="L20" s="31">
        <v>-18551</v>
      </c>
      <c r="M20" s="31">
        <v>-17037</v>
      </c>
    </row>
    <row r="21" spans="1:13" x14ac:dyDescent="0.3">
      <c r="A21" s="33" t="s">
        <v>137</v>
      </c>
      <c r="B21" s="35">
        <v>691</v>
      </c>
      <c r="C21" s="35">
        <v>979</v>
      </c>
      <c r="D21" s="35">
        <v>532</v>
      </c>
      <c r="E21" s="34">
        <v>1067</v>
      </c>
      <c r="F21" s="35">
        <v>913</v>
      </c>
      <c r="G21" s="35">
        <v>969</v>
      </c>
      <c r="H21" s="35">
        <v>625</v>
      </c>
      <c r="I21" s="35">
        <v>291</v>
      </c>
      <c r="J21" s="35">
        <v>292</v>
      </c>
      <c r="K21" s="34">
        <v>2477</v>
      </c>
      <c r="L21" s="34">
        <v>1443</v>
      </c>
      <c r="M21" s="35">
        <v>797</v>
      </c>
    </row>
    <row r="22" spans="1:13" x14ac:dyDescent="0.3">
      <c r="A22" s="33" t="s">
        <v>138</v>
      </c>
      <c r="B22" s="35">
        <v>156</v>
      </c>
      <c r="C22" s="35">
        <v>7</v>
      </c>
      <c r="D22" s="35">
        <v>0</v>
      </c>
      <c r="E22" s="35">
        <v>0</v>
      </c>
      <c r="F22" s="35">
        <v>11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8</v>
      </c>
      <c r="M22" s="35">
        <v>90</v>
      </c>
    </row>
    <row r="23" spans="1:13" x14ac:dyDescent="0.3">
      <c r="A23" s="33" t="s">
        <v>139</v>
      </c>
      <c r="B23" s="35">
        <v>-15</v>
      </c>
      <c r="C23" s="35">
        <v>-20</v>
      </c>
      <c r="D23" s="35">
        <v>-13</v>
      </c>
      <c r="E23" s="35">
        <v>-13</v>
      </c>
      <c r="F23" s="35">
        <v>-8</v>
      </c>
      <c r="G23" s="35">
        <v>-18</v>
      </c>
      <c r="H23" s="35">
        <v>-3</v>
      </c>
      <c r="I23" s="35">
        <v>-2</v>
      </c>
      <c r="J23" s="35">
        <v>-1</v>
      </c>
      <c r="K23" s="35">
        <v>-1</v>
      </c>
      <c r="L23" s="35">
        <v>-2</v>
      </c>
      <c r="M23" s="35">
        <v>-54</v>
      </c>
    </row>
    <row r="24" spans="1:13" x14ac:dyDescent="0.3">
      <c r="A24" s="33" t="s">
        <v>140</v>
      </c>
      <c r="B24" s="35">
        <v>-48</v>
      </c>
      <c r="C24" s="35">
        <v>-16</v>
      </c>
      <c r="D24" s="35">
        <v>-28</v>
      </c>
      <c r="E24" s="35">
        <v>-25</v>
      </c>
      <c r="F24" s="35">
        <v>-49</v>
      </c>
      <c r="G24" s="35">
        <v>-98</v>
      </c>
      <c r="H24" s="35">
        <v>-44</v>
      </c>
      <c r="I24" s="35">
        <v>-41</v>
      </c>
      <c r="J24" s="35">
        <v>-40</v>
      </c>
      <c r="K24" s="35">
        <v>-41</v>
      </c>
      <c r="L24" s="35">
        <v>-46</v>
      </c>
      <c r="M24" s="35">
        <v>-50</v>
      </c>
    </row>
    <row r="25" spans="1:13" x14ac:dyDescent="0.3">
      <c r="A25" s="33" t="s">
        <v>141</v>
      </c>
      <c r="B25" s="34">
        <v>-4239</v>
      </c>
      <c r="C25" s="34">
        <v>-4876</v>
      </c>
      <c r="D25" s="34">
        <v>-5133</v>
      </c>
      <c r="E25" s="34">
        <v>-6994</v>
      </c>
      <c r="F25" s="34">
        <v>-5952</v>
      </c>
      <c r="G25" s="34">
        <v>-6519</v>
      </c>
      <c r="H25" s="34">
        <v>-7302</v>
      </c>
      <c r="I25" s="34">
        <v>-18881</v>
      </c>
      <c r="J25" s="34">
        <v>-13788</v>
      </c>
      <c r="K25" s="34">
        <v>-15418</v>
      </c>
      <c r="L25" s="34">
        <v>-19899</v>
      </c>
      <c r="M25" s="34">
        <v>-17782</v>
      </c>
    </row>
    <row r="26" spans="1:13" x14ac:dyDescent="0.3">
      <c r="A26" s="33" t="s">
        <v>142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-49</v>
      </c>
      <c r="I26" s="35">
        <v>-55</v>
      </c>
      <c r="J26" s="35">
        <v>-59</v>
      </c>
      <c r="K26" s="35">
        <v>-59</v>
      </c>
      <c r="L26" s="35">
        <v>-67</v>
      </c>
      <c r="M26" s="35">
        <v>-66</v>
      </c>
    </row>
    <row r="27" spans="1:13" ht="15" thickBot="1" x14ac:dyDescent="0.35">
      <c r="A27" s="33" t="s">
        <v>143</v>
      </c>
      <c r="B27" s="35">
        <v>-667</v>
      </c>
      <c r="C27" s="35">
        <v>-734</v>
      </c>
      <c r="D27" s="35">
        <v>-971</v>
      </c>
      <c r="E27" s="34">
        <v>-1335</v>
      </c>
      <c r="F27" s="34">
        <v>-1136</v>
      </c>
      <c r="G27" s="34">
        <v>-1203</v>
      </c>
      <c r="H27" s="34">
        <v>-1409</v>
      </c>
      <c r="I27" s="35">
        <v>55</v>
      </c>
      <c r="J27" s="35">
        <v>15</v>
      </c>
      <c r="K27" s="35">
        <v>35</v>
      </c>
      <c r="L27" s="35">
        <v>12</v>
      </c>
      <c r="M27" s="35">
        <v>28</v>
      </c>
    </row>
    <row r="28" spans="1:13" x14ac:dyDescent="0.3">
      <c r="A28" s="37" t="s">
        <v>35</v>
      </c>
      <c r="B28" s="39">
        <v>-32</v>
      </c>
      <c r="C28" s="39">
        <v>-93</v>
      </c>
      <c r="D28" s="39">
        <v>266</v>
      </c>
      <c r="E28" s="39">
        <v>75</v>
      </c>
      <c r="F28" s="39">
        <v>-166</v>
      </c>
      <c r="G28" s="39">
        <v>169</v>
      </c>
      <c r="H28" s="39">
        <v>334</v>
      </c>
      <c r="I28" s="39">
        <v>-367</v>
      </c>
      <c r="J28" s="39">
        <v>-43</v>
      </c>
      <c r="K28" s="39">
        <v>139</v>
      </c>
      <c r="L28" s="39">
        <v>191</v>
      </c>
      <c r="M28" s="39">
        <v>26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1026-0E09-46DC-A4C6-963C81E2BB40}">
  <dimension ref="A1:K45"/>
  <sheetViews>
    <sheetView showGridLines="0" view="pageLayout" zoomScale="73" zoomScaleNormal="100" zoomScalePageLayoutView="73" workbookViewId="0">
      <selection activeCell="A45" sqref="A45"/>
    </sheetView>
  </sheetViews>
  <sheetFormatPr defaultRowHeight="14.4" x14ac:dyDescent="0.3"/>
  <cols>
    <col min="1" max="1" width="0.21875" customWidth="1"/>
    <col min="2" max="2" width="11.109375" customWidth="1"/>
    <col min="3" max="5" width="8.109375" customWidth="1"/>
    <col min="7" max="7" width="11.109375" customWidth="1"/>
    <col min="8" max="10" width="8.44140625" customWidth="1"/>
  </cols>
  <sheetData>
    <row r="1" spans="2:11" ht="9.6" customHeight="1" x14ac:dyDescent="0.3">
      <c r="B1" s="239"/>
      <c r="C1" s="239"/>
      <c r="D1" s="239"/>
      <c r="E1" s="239"/>
      <c r="F1" s="239"/>
      <c r="G1" s="239"/>
      <c r="H1" s="239"/>
      <c r="I1" s="239"/>
      <c r="J1" s="239"/>
      <c r="K1" s="239"/>
    </row>
    <row r="3" spans="2:11" x14ac:dyDescent="0.3">
      <c r="B3" s="247" t="str">
        <f>"Forecasting - "&amp;'Data Sheet'!B1</f>
        <v>Forecasting - ITC LTD</v>
      </c>
      <c r="C3" s="247"/>
      <c r="D3" s="247"/>
      <c r="E3" s="247"/>
      <c r="G3" s="247" t="s">
        <v>794</v>
      </c>
      <c r="H3" s="247"/>
      <c r="I3" s="247"/>
      <c r="J3" s="247"/>
    </row>
    <row r="4" spans="2:11" ht="28.8" x14ac:dyDescent="0.3">
      <c r="B4" s="165" t="s">
        <v>177</v>
      </c>
      <c r="C4" s="25" t="s">
        <v>178</v>
      </c>
      <c r="D4" s="25" t="s">
        <v>6</v>
      </c>
      <c r="E4" s="25" t="s">
        <v>179</v>
      </c>
      <c r="G4" s="165" t="s">
        <v>177</v>
      </c>
      <c r="H4" s="25" t="s">
        <v>178</v>
      </c>
      <c r="I4" s="25" t="s">
        <v>102</v>
      </c>
      <c r="J4" s="25" t="s">
        <v>179</v>
      </c>
    </row>
    <row r="5" spans="2:11" x14ac:dyDescent="0.3">
      <c r="B5">
        <v>1</v>
      </c>
      <c r="C5" s="45">
        <v>42460</v>
      </c>
      <c r="D5">
        <v>39192.1</v>
      </c>
      <c r="G5">
        <v>1</v>
      </c>
      <c r="H5" s="45">
        <v>42460</v>
      </c>
      <c r="I5">
        <v>12657.620000000003</v>
      </c>
    </row>
    <row r="6" spans="2:11" x14ac:dyDescent="0.3">
      <c r="B6">
        <v>2</v>
      </c>
      <c r="C6" s="45">
        <v>42825</v>
      </c>
      <c r="D6">
        <v>42767.6</v>
      </c>
      <c r="E6" s="26">
        <f>(D6/D5)-1</f>
        <v>9.1230120355888067E-2</v>
      </c>
      <c r="G6">
        <v>2</v>
      </c>
      <c r="H6" s="45">
        <v>42825</v>
      </c>
      <c r="I6">
        <v>14896.019999999997</v>
      </c>
      <c r="J6" s="26">
        <f>I6/I5-1</f>
        <v>0.17684209195725531</v>
      </c>
    </row>
    <row r="7" spans="2:11" x14ac:dyDescent="0.3">
      <c r="B7">
        <v>3</v>
      </c>
      <c r="C7" s="45">
        <v>43190</v>
      </c>
      <c r="D7">
        <v>43448.94</v>
      </c>
      <c r="E7" s="26">
        <f>(D7/D6)-1</f>
        <v>1.5931218960147486E-2</v>
      </c>
      <c r="G7">
        <v>3</v>
      </c>
      <c r="H7" s="45">
        <v>43190</v>
      </c>
      <c r="I7">
        <v>16336.300000000003</v>
      </c>
      <c r="J7" s="26">
        <f t="shared" ref="J7:J19" si="0">I7/I6-1</f>
        <v>9.6688914220040445E-2</v>
      </c>
    </row>
    <row r="8" spans="2:11" x14ac:dyDescent="0.3">
      <c r="B8">
        <v>4</v>
      </c>
      <c r="C8" s="45">
        <v>43555</v>
      </c>
      <c r="D8">
        <v>48339.58</v>
      </c>
      <c r="E8" s="26">
        <f t="shared" ref="E8:E19" si="1">(D8/D7)-1</f>
        <v>0.11256062863673999</v>
      </c>
      <c r="G8">
        <v>4</v>
      </c>
      <c r="H8" s="45">
        <v>43555</v>
      </c>
      <c r="I8">
        <v>16050.570000000003</v>
      </c>
      <c r="J8" s="26">
        <f t="shared" si="0"/>
        <v>-1.749049662408253E-2</v>
      </c>
    </row>
    <row r="9" spans="2:11" x14ac:dyDescent="0.3">
      <c r="B9">
        <v>5</v>
      </c>
      <c r="C9" s="45">
        <v>43921</v>
      </c>
      <c r="D9">
        <v>49387.7</v>
      </c>
      <c r="E9" s="26">
        <f t="shared" si="1"/>
        <v>2.1682439110972673E-2</v>
      </c>
      <c r="G9">
        <v>5</v>
      </c>
      <c r="H9" s="45">
        <v>43921</v>
      </c>
      <c r="I9">
        <v>15519.959999999995</v>
      </c>
      <c r="J9" s="26">
        <f t="shared" si="0"/>
        <v>-3.3058639038987869E-2</v>
      </c>
    </row>
    <row r="10" spans="2:11" x14ac:dyDescent="0.3">
      <c r="B10">
        <v>6</v>
      </c>
      <c r="C10" s="45">
        <v>44286</v>
      </c>
      <c r="D10">
        <v>49257.45</v>
      </c>
      <c r="E10" s="26">
        <f t="shared" si="1"/>
        <v>-2.6372963308678443E-3</v>
      </c>
      <c r="G10">
        <v>6</v>
      </c>
      <c r="H10" s="45">
        <v>44286</v>
      </c>
      <c r="I10">
        <v>13197.289999999994</v>
      </c>
      <c r="J10" s="26">
        <f t="shared" si="0"/>
        <v>-0.14965695787875755</v>
      </c>
    </row>
    <row r="11" spans="2:11" x14ac:dyDescent="0.3">
      <c r="B11">
        <v>7</v>
      </c>
      <c r="C11" s="45">
        <v>44651</v>
      </c>
      <c r="D11">
        <v>60644.54</v>
      </c>
      <c r="E11" s="26">
        <f t="shared" si="1"/>
        <v>0.23117497962237188</v>
      </c>
      <c r="G11">
        <v>7</v>
      </c>
      <c r="H11" s="45">
        <v>44651</v>
      </c>
      <c r="I11">
        <v>17341.43</v>
      </c>
      <c r="J11" s="26">
        <f t="shared" si="0"/>
        <v>0.31401446812186506</v>
      </c>
    </row>
    <row r="12" spans="2:11" x14ac:dyDescent="0.3">
      <c r="B12">
        <v>8</v>
      </c>
      <c r="C12" s="45">
        <v>45016</v>
      </c>
      <c r="D12">
        <v>70919.03</v>
      </c>
      <c r="E12" s="26">
        <f t="shared" si="1"/>
        <v>0.1694215175842706</v>
      </c>
      <c r="G12">
        <v>8</v>
      </c>
      <c r="H12" s="45">
        <v>45016</v>
      </c>
      <c r="I12">
        <v>22889.439999999991</v>
      </c>
      <c r="J12" s="26">
        <f t="shared" si="0"/>
        <v>0.31992805668275293</v>
      </c>
    </row>
    <row r="13" spans="2:11" x14ac:dyDescent="0.3">
      <c r="B13">
        <v>9</v>
      </c>
      <c r="C13" s="45">
        <v>45382</v>
      </c>
      <c r="D13">
        <v>67931.94</v>
      </c>
      <c r="E13" s="26">
        <f t="shared" si="1"/>
        <v>-4.2119724423754779E-2</v>
      </c>
      <c r="G13">
        <v>9</v>
      </c>
      <c r="H13" s="45">
        <v>45382</v>
      </c>
      <c r="I13">
        <v>21121.540000000008</v>
      </c>
      <c r="J13" s="26">
        <f t="shared" si="0"/>
        <v>-7.7236489839855538E-2</v>
      </c>
    </row>
    <row r="14" spans="2:11" x14ac:dyDescent="0.3">
      <c r="B14">
        <v>10</v>
      </c>
      <c r="C14" s="45">
        <v>45747</v>
      </c>
      <c r="D14">
        <v>75323.34</v>
      </c>
      <c r="E14" s="26">
        <f t="shared" si="1"/>
        <v>0.10880596078957838</v>
      </c>
      <c r="G14">
        <v>10</v>
      </c>
      <c r="H14" s="45">
        <v>45747</v>
      </c>
      <c r="I14">
        <v>6593.27</v>
      </c>
      <c r="J14" s="26">
        <f t="shared" si="0"/>
        <v>-0.68784141686638389</v>
      </c>
    </row>
    <row r="15" spans="2:11" x14ac:dyDescent="0.3">
      <c r="B15">
        <v>11</v>
      </c>
      <c r="C15" s="46">
        <v>46112</v>
      </c>
      <c r="D15">
        <f>FORECAST(B15,D5:D14,B5:B14)</f>
        <v>77236.775999999998</v>
      </c>
      <c r="E15" s="26">
        <f t="shared" si="1"/>
        <v>2.5402962747005153E-2</v>
      </c>
      <c r="G15">
        <v>11</v>
      </c>
      <c r="H15" s="46">
        <v>46112</v>
      </c>
      <c r="I15">
        <f>FORECAST(G15,I5:I14,G5:G14)</f>
        <v>16437.513999999996</v>
      </c>
      <c r="J15" s="26">
        <f t="shared" si="0"/>
        <v>1.4930746048622301</v>
      </c>
    </row>
    <row r="16" spans="2:11" x14ac:dyDescent="0.3">
      <c r="B16">
        <v>12</v>
      </c>
      <c r="C16" s="46">
        <v>46477</v>
      </c>
      <c r="D16">
        <f t="shared" ref="D16:D19" si="2">FORECAST(B16,D6:D15,B6:B15)</f>
        <v>82101.898400000005</v>
      </c>
      <c r="E16" s="26">
        <f t="shared" si="1"/>
        <v>6.2989713604824749E-2</v>
      </c>
      <c r="G16">
        <v>12</v>
      </c>
      <c r="H16" s="46">
        <v>46477</v>
      </c>
      <c r="I16">
        <f t="shared" ref="I16:I19" si="3">FORECAST(G16,I6:I15,G6:G15)</f>
        <v>15947.655599999998</v>
      </c>
      <c r="J16" s="26">
        <f t="shared" si="0"/>
        <v>-2.9801246100839673E-2</v>
      </c>
    </row>
    <row r="17" spans="2:10" x14ac:dyDescent="0.3">
      <c r="B17">
        <v>13</v>
      </c>
      <c r="C17" s="46">
        <v>46843</v>
      </c>
      <c r="D17">
        <f t="shared" si="2"/>
        <v>87330.224693333323</v>
      </c>
      <c r="E17" s="26">
        <f t="shared" si="1"/>
        <v>6.368094277017744E-2</v>
      </c>
      <c r="G17">
        <v>13</v>
      </c>
      <c r="H17" s="46">
        <v>46843</v>
      </c>
      <c r="I17">
        <f t="shared" si="3"/>
        <v>15606.767573333329</v>
      </c>
      <c r="J17" s="26">
        <f t="shared" si="0"/>
        <v>-2.1375431926600519E-2</v>
      </c>
    </row>
    <row r="18" spans="2:10" x14ac:dyDescent="0.3">
      <c r="B18">
        <v>14</v>
      </c>
      <c r="C18" s="46">
        <v>47208</v>
      </c>
      <c r="D18">
        <f t="shared" si="2"/>
        <v>92209.285610666644</v>
      </c>
      <c r="E18" s="26">
        <f t="shared" si="1"/>
        <v>5.5869098407412832E-2</v>
      </c>
      <c r="G18">
        <v>14</v>
      </c>
      <c r="H18" s="46">
        <v>47208</v>
      </c>
      <c r="I18">
        <f t="shared" si="3"/>
        <v>15443.489962666663</v>
      </c>
      <c r="J18" s="26">
        <f t="shared" si="0"/>
        <v>-1.0461974902839732E-2</v>
      </c>
    </row>
    <row r="19" spans="2:10" x14ac:dyDescent="0.3">
      <c r="B19">
        <v>15</v>
      </c>
      <c r="C19" s="46">
        <v>47573</v>
      </c>
      <c r="D19">
        <f t="shared" si="2"/>
        <v>97418.722582044429</v>
      </c>
      <c r="E19" s="26">
        <f t="shared" si="1"/>
        <v>5.6495795807089078E-2</v>
      </c>
      <c r="G19">
        <v>15</v>
      </c>
      <c r="H19" s="46">
        <v>47573</v>
      </c>
      <c r="I19">
        <f t="shared" si="3"/>
        <v>15187.342136177775</v>
      </c>
      <c r="J19" s="26">
        <f t="shared" si="0"/>
        <v>-1.6586136107065497E-2</v>
      </c>
    </row>
    <row r="38" spans="1:11" ht="11.4" customHeight="1" x14ac:dyDescent="0.3"/>
    <row r="45" spans="1:11" x14ac:dyDescent="0.3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39"/>
    </row>
  </sheetData>
  <mergeCells count="2">
    <mergeCell ref="B3:E3"/>
    <mergeCell ref="G3:J3"/>
  </mergeCells>
  <pageMargins left="0.7" right="0.7" top="0.75" bottom="0.75" header="0.3" footer="0.3"/>
  <pageSetup orientation="portrait" r:id="rId1"/>
  <headerFooter>
    <oddHeader>&amp;L&amp;"-,Bold"&amp;8&amp;K07-047ITC Ltd
NSE: ITC(INE154A01025)
401.25 INR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74" sqref="B74:K74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3" width="8.77734375" style="4"/>
    <col min="14" max="14" width="9.88671875" style="4" bestFit="1" customWidth="1"/>
    <col min="15" max="16384" width="8.77734375" style="4"/>
  </cols>
  <sheetData>
    <row r="1" spans="1:11" s="1" customFormat="1" x14ac:dyDescent="0.3">
      <c r="A1" s="1" t="s">
        <v>0</v>
      </c>
      <c r="B1" s="1" t="s">
        <v>63</v>
      </c>
      <c r="E1" s="248" t="str">
        <f>IF(B2&lt;&gt;B3, "A NEW VERSION OF THE WORKSHEET IS AVAILABLE", "")</f>
        <v/>
      </c>
      <c r="F1" s="248"/>
      <c r="G1" s="248"/>
      <c r="H1" s="248"/>
      <c r="I1" s="248"/>
      <c r="J1" s="248"/>
      <c r="K1" s="248"/>
    </row>
    <row r="2" spans="1:11" x14ac:dyDescent="0.3">
      <c r="A2" s="1" t="s">
        <v>61</v>
      </c>
      <c r="B2" s="4">
        <v>2.1</v>
      </c>
      <c r="E2" s="249" t="s">
        <v>36</v>
      </c>
      <c r="F2" s="249"/>
      <c r="G2" s="249"/>
      <c r="H2" s="249"/>
      <c r="I2" s="249"/>
      <c r="J2" s="249"/>
      <c r="K2" s="249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1252.8172084592145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413.75</v>
      </c>
    </row>
    <row r="9" spans="1:11" x14ac:dyDescent="0.3">
      <c r="A9" s="4" t="s">
        <v>79</v>
      </c>
      <c r="B9">
        <v>518353.12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39192.1</v>
      </c>
      <c r="C17">
        <v>42767.6</v>
      </c>
      <c r="D17">
        <v>43448.94</v>
      </c>
      <c r="E17">
        <v>48339.58</v>
      </c>
      <c r="F17">
        <v>49387.7</v>
      </c>
      <c r="G17">
        <v>49257.45</v>
      </c>
      <c r="H17">
        <v>60644.54</v>
      </c>
      <c r="I17">
        <v>70919.03</v>
      </c>
      <c r="J17">
        <v>67931.94</v>
      </c>
      <c r="K17">
        <v>75323.34</v>
      </c>
    </row>
    <row r="18" spans="1:11" s="6" customFormat="1" x14ac:dyDescent="0.3">
      <c r="A18" s="4" t="s">
        <v>80</v>
      </c>
      <c r="B18">
        <v>13763.88</v>
      </c>
      <c r="C18">
        <v>15456.59</v>
      </c>
      <c r="D18">
        <v>14827.72</v>
      </c>
      <c r="E18">
        <v>17623.52</v>
      </c>
      <c r="F18">
        <v>18048.599999999999</v>
      </c>
      <c r="G18">
        <v>20776.71</v>
      </c>
      <c r="H18">
        <v>27071.07</v>
      </c>
      <c r="I18">
        <v>29364.36</v>
      </c>
      <c r="J18">
        <v>27348.57</v>
      </c>
      <c r="K18">
        <v>32704.37</v>
      </c>
    </row>
    <row r="19" spans="1:11" s="6" customFormat="1" x14ac:dyDescent="0.3">
      <c r="A19" s="4" t="s">
        <v>81</v>
      </c>
      <c r="B19">
        <v>195.38</v>
      </c>
      <c r="C19">
        <v>-592.57000000000005</v>
      </c>
      <c r="D19">
        <v>-1027.76</v>
      </c>
      <c r="E19">
        <v>203.19</v>
      </c>
      <c r="F19">
        <v>703.13</v>
      </c>
      <c r="G19">
        <v>645.27</v>
      </c>
      <c r="H19">
        <v>686</v>
      </c>
      <c r="I19">
        <v>358.59</v>
      </c>
      <c r="J19">
        <v>367.77</v>
      </c>
      <c r="K19">
        <v>725.65</v>
      </c>
    </row>
    <row r="20" spans="1:11" s="6" customFormat="1" x14ac:dyDescent="0.3">
      <c r="A20" s="4" t="s">
        <v>82</v>
      </c>
      <c r="B20">
        <v>571.88</v>
      </c>
      <c r="C20">
        <v>584.33000000000004</v>
      </c>
      <c r="D20">
        <v>653.5</v>
      </c>
      <c r="E20">
        <v>746.73</v>
      </c>
      <c r="F20">
        <v>780.85</v>
      </c>
      <c r="G20">
        <v>699.56</v>
      </c>
      <c r="H20">
        <v>889.77</v>
      </c>
      <c r="I20">
        <v>1232.3399999999999</v>
      </c>
      <c r="J20">
        <v>952.9</v>
      </c>
      <c r="K20">
        <v>975.35</v>
      </c>
    </row>
    <row r="21" spans="1:11" s="6" customFormat="1" x14ac:dyDescent="0.3">
      <c r="A21" s="4" t="s">
        <v>83</v>
      </c>
      <c r="B21">
        <v>1581.59</v>
      </c>
      <c r="C21">
        <v>1683.9</v>
      </c>
      <c r="D21">
        <v>1697.62</v>
      </c>
      <c r="E21">
        <v>1871.01</v>
      </c>
      <c r="F21">
        <v>1908.29</v>
      </c>
      <c r="G21">
        <v>1587.18</v>
      </c>
      <c r="H21">
        <v>1887.67</v>
      </c>
      <c r="I21">
        <v>2327.8000000000002</v>
      </c>
      <c r="J21">
        <v>2183.7600000000002</v>
      </c>
      <c r="K21">
        <v>2345.36</v>
      </c>
    </row>
    <row r="22" spans="1:11" s="6" customFormat="1" x14ac:dyDescent="0.3">
      <c r="A22" s="4" t="s">
        <v>84</v>
      </c>
      <c r="B22">
        <v>3440.97</v>
      </c>
      <c r="C22">
        <v>3631.73</v>
      </c>
      <c r="D22">
        <v>3760.9</v>
      </c>
      <c r="E22">
        <v>4177.88</v>
      </c>
      <c r="F22">
        <v>4295.79</v>
      </c>
      <c r="G22">
        <v>4463.33</v>
      </c>
      <c r="H22">
        <v>4890.55</v>
      </c>
      <c r="I22">
        <v>5736.22</v>
      </c>
      <c r="J22">
        <v>5548.53</v>
      </c>
      <c r="K22">
        <v>6169.78</v>
      </c>
    </row>
    <row r="23" spans="1:11" s="6" customFormat="1" x14ac:dyDescent="0.3">
      <c r="A23" s="4" t="s">
        <v>85</v>
      </c>
      <c r="B23">
        <v>4261.78</v>
      </c>
      <c r="C23">
        <v>4179.74</v>
      </c>
      <c r="D23">
        <v>3954.87</v>
      </c>
      <c r="E23">
        <v>4546.3900000000003</v>
      </c>
      <c r="F23">
        <v>4488.63</v>
      </c>
      <c r="G23">
        <v>4236.7700000000004</v>
      </c>
      <c r="H23">
        <v>4858.38</v>
      </c>
      <c r="I23">
        <v>5604.08</v>
      </c>
      <c r="J23">
        <v>5312.45</v>
      </c>
      <c r="K23">
        <v>5793.29</v>
      </c>
    </row>
    <row r="24" spans="1:11" s="6" customFormat="1" x14ac:dyDescent="0.3">
      <c r="A24" s="4" t="s">
        <v>86</v>
      </c>
      <c r="B24">
        <v>1235.8900000000001</v>
      </c>
      <c r="C24">
        <v>1169.23</v>
      </c>
      <c r="D24">
        <v>1005.98</v>
      </c>
      <c r="E24">
        <v>1039.8499999999999</v>
      </c>
      <c r="F24">
        <v>1225.1300000000001</v>
      </c>
      <c r="G24">
        <v>1074.3900000000001</v>
      </c>
      <c r="H24">
        <v>1109.95</v>
      </c>
      <c r="I24">
        <v>1308.56</v>
      </c>
      <c r="J24">
        <v>1765.97</v>
      </c>
      <c r="K24">
        <v>2221.39</v>
      </c>
    </row>
    <row r="25" spans="1:11" s="6" customFormat="1" x14ac:dyDescent="0.3">
      <c r="A25" s="6" t="s">
        <v>9</v>
      </c>
      <c r="B25">
        <v>1483.11</v>
      </c>
      <c r="C25">
        <v>1758.63</v>
      </c>
      <c r="D25">
        <v>2239.81</v>
      </c>
      <c r="E25">
        <v>2080.44</v>
      </c>
      <c r="F25">
        <v>2417.3200000000002</v>
      </c>
      <c r="G25">
        <v>2576.9499999999998</v>
      </c>
      <c r="H25">
        <v>1909.72</v>
      </c>
      <c r="I25">
        <v>2097.64</v>
      </c>
      <c r="J25">
        <v>3330.45</v>
      </c>
      <c r="K25">
        <v>17794.88</v>
      </c>
    </row>
    <row r="26" spans="1:11" s="6" customFormat="1" x14ac:dyDescent="0.3">
      <c r="A26" s="6" t="s">
        <v>10</v>
      </c>
      <c r="B26">
        <v>1077.4000000000001</v>
      </c>
      <c r="C26">
        <v>1152.79</v>
      </c>
      <c r="D26">
        <v>1236.28</v>
      </c>
      <c r="E26">
        <v>1396.61</v>
      </c>
      <c r="F26">
        <v>1644.91</v>
      </c>
      <c r="G26">
        <v>1645.59</v>
      </c>
      <c r="H26">
        <v>1732.41</v>
      </c>
      <c r="I26">
        <v>1809.01</v>
      </c>
      <c r="J26">
        <v>1518.05</v>
      </c>
      <c r="K26">
        <v>1646.32</v>
      </c>
    </row>
    <row r="27" spans="1:11" s="6" customFormat="1" x14ac:dyDescent="0.3">
      <c r="A27" s="6" t="s">
        <v>11</v>
      </c>
      <c r="B27">
        <v>78.13</v>
      </c>
      <c r="C27">
        <v>49.03</v>
      </c>
      <c r="D27">
        <v>115.01</v>
      </c>
      <c r="E27">
        <v>71.400000000000006</v>
      </c>
      <c r="F27">
        <v>81.38</v>
      </c>
      <c r="G27">
        <v>57.97</v>
      </c>
      <c r="H27">
        <v>59.99</v>
      </c>
      <c r="I27">
        <v>77.77</v>
      </c>
      <c r="J27">
        <v>39.11</v>
      </c>
      <c r="K27">
        <v>45.06</v>
      </c>
    </row>
    <row r="28" spans="1:11" s="6" customFormat="1" x14ac:dyDescent="0.3">
      <c r="A28" s="6" t="s">
        <v>12</v>
      </c>
      <c r="B28">
        <v>14859.07</v>
      </c>
      <c r="C28">
        <v>16026.32</v>
      </c>
      <c r="D28">
        <v>17409.11</v>
      </c>
      <c r="E28">
        <v>19149.82</v>
      </c>
      <c r="F28">
        <v>20034.57</v>
      </c>
      <c r="G28">
        <v>17938.169999999998</v>
      </c>
      <c r="H28">
        <v>20740.47</v>
      </c>
      <c r="I28">
        <v>25915.119999999999</v>
      </c>
      <c r="J28">
        <v>26960.82</v>
      </c>
      <c r="K28">
        <v>41942.949999999997</v>
      </c>
    </row>
    <row r="29" spans="1:11" s="6" customFormat="1" x14ac:dyDescent="0.3">
      <c r="A29" s="6" t="s">
        <v>13</v>
      </c>
      <c r="B29">
        <v>5358.21</v>
      </c>
      <c r="C29">
        <v>5549.09</v>
      </c>
      <c r="D29">
        <v>5916.43</v>
      </c>
      <c r="E29">
        <v>6313.92</v>
      </c>
      <c r="F29">
        <v>4441.79</v>
      </c>
      <c r="G29">
        <v>4555.29</v>
      </c>
      <c r="H29">
        <v>5237.34</v>
      </c>
      <c r="I29">
        <v>6438.4</v>
      </c>
      <c r="J29">
        <v>6209.46</v>
      </c>
      <c r="K29">
        <v>6890.47</v>
      </c>
    </row>
    <row r="30" spans="1:11" s="6" customFormat="1" x14ac:dyDescent="0.3">
      <c r="A30" s="6" t="s">
        <v>14</v>
      </c>
      <c r="B30">
        <v>9344.4500000000007</v>
      </c>
      <c r="C30">
        <v>10289.44</v>
      </c>
      <c r="D30">
        <v>11271.2</v>
      </c>
      <c r="E30">
        <v>12592.33</v>
      </c>
      <c r="F30">
        <v>15306.23</v>
      </c>
      <c r="G30">
        <v>13161.19</v>
      </c>
      <c r="H30">
        <v>15242.66</v>
      </c>
      <c r="I30">
        <v>19191.66</v>
      </c>
      <c r="J30">
        <v>20458.78</v>
      </c>
      <c r="K30">
        <v>34746.629999999997</v>
      </c>
    </row>
    <row r="31" spans="1:11" s="6" customFormat="1" x14ac:dyDescent="0.3">
      <c r="A31" s="6" t="s">
        <v>70</v>
      </c>
      <c r="B31">
        <v>6840.12</v>
      </c>
      <c r="C31">
        <v>5770.02</v>
      </c>
      <c r="D31">
        <v>6285.21</v>
      </c>
      <c r="E31">
        <v>7048.7</v>
      </c>
      <c r="F31">
        <v>12476.58</v>
      </c>
      <c r="G31">
        <v>13231.96</v>
      </c>
      <c r="H31">
        <v>14171.8</v>
      </c>
      <c r="I31">
        <v>19263.400000000001</v>
      </c>
      <c r="J31">
        <v>17166.46</v>
      </c>
      <c r="K31">
        <v>17957.73</v>
      </c>
    </row>
    <row r="32" spans="1:11" s="6" customFormat="1" x14ac:dyDescent="0.3"/>
    <row r="33" spans="1:11" x14ac:dyDescent="0.3">
      <c r="A33" s="6" t="s">
        <v>271</v>
      </c>
      <c r="B33" s="4">
        <f>B30+B29+B27+B26</f>
        <v>15858.189999999999</v>
      </c>
      <c r="C33" s="4">
        <f t="shared" ref="C33:D33" si="0">C30+C29+C27+C26</f>
        <v>17040.350000000002</v>
      </c>
      <c r="D33" s="4">
        <f t="shared" si="0"/>
        <v>18538.919999999998</v>
      </c>
      <c r="E33" s="4">
        <f>E30+E29+E27+E26</f>
        <v>20374.260000000002</v>
      </c>
      <c r="F33" s="4">
        <f t="shared" ref="F33:K33" si="1">F30+F29+F27+F26</f>
        <v>21474.31</v>
      </c>
      <c r="G33" s="4">
        <f t="shared" si="1"/>
        <v>19420.04</v>
      </c>
      <c r="H33" s="4">
        <f t="shared" si="1"/>
        <v>22272.400000000001</v>
      </c>
      <c r="I33" s="4">
        <f t="shared" si="1"/>
        <v>27516.839999999997</v>
      </c>
      <c r="J33" s="4">
        <f t="shared" si="1"/>
        <v>28225.399999999998</v>
      </c>
      <c r="K33" s="4">
        <f t="shared" si="1"/>
        <v>43328.479999999996</v>
      </c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45016</v>
      </c>
      <c r="C41" s="12">
        <v>45107</v>
      </c>
      <c r="D41" s="12">
        <v>45199</v>
      </c>
      <c r="E41" s="12">
        <v>45291</v>
      </c>
      <c r="F41" s="12">
        <v>45382</v>
      </c>
      <c r="G41" s="12">
        <v>45473</v>
      </c>
      <c r="H41" s="12">
        <v>45565</v>
      </c>
      <c r="I41" s="12">
        <v>45657</v>
      </c>
      <c r="J41" s="12">
        <v>45747</v>
      </c>
      <c r="K41" s="12">
        <v>45838</v>
      </c>
    </row>
    <row r="42" spans="1:11" s="6" customFormat="1" x14ac:dyDescent="0.3">
      <c r="A42" s="6" t="s">
        <v>6</v>
      </c>
      <c r="B42">
        <v>17634.89</v>
      </c>
      <c r="C42">
        <v>17164.46</v>
      </c>
      <c r="D42">
        <v>17774.47</v>
      </c>
      <c r="E42">
        <v>17195.240000000002</v>
      </c>
      <c r="F42">
        <v>17037.8</v>
      </c>
      <c r="G42">
        <v>17777.810000000001</v>
      </c>
      <c r="H42">
        <v>19990.36</v>
      </c>
      <c r="I42">
        <v>18790.169999999998</v>
      </c>
      <c r="J42">
        <v>18765</v>
      </c>
      <c r="K42">
        <v>21494.79</v>
      </c>
    </row>
    <row r="43" spans="1:11" s="6" customFormat="1" x14ac:dyDescent="0.3">
      <c r="A43" s="6" t="s">
        <v>7</v>
      </c>
      <c r="B43">
        <v>11010.89</v>
      </c>
      <c r="C43">
        <v>10494.39</v>
      </c>
      <c r="D43">
        <v>11320.23</v>
      </c>
      <c r="E43">
        <v>10985.01</v>
      </c>
      <c r="F43">
        <v>10735.73</v>
      </c>
      <c r="G43">
        <v>11232.97</v>
      </c>
      <c r="H43">
        <v>13438.28</v>
      </c>
      <c r="I43">
        <v>12428.27</v>
      </c>
      <c r="J43">
        <v>12245.61</v>
      </c>
      <c r="K43">
        <v>14678.32</v>
      </c>
    </row>
    <row r="44" spans="1:11" s="6" customFormat="1" x14ac:dyDescent="0.3">
      <c r="A44" s="6" t="s">
        <v>9</v>
      </c>
      <c r="B44">
        <v>682.52</v>
      </c>
      <c r="C44">
        <v>722.3</v>
      </c>
      <c r="D44">
        <v>673.5</v>
      </c>
      <c r="E44">
        <v>820.26</v>
      </c>
      <c r="F44">
        <v>868</v>
      </c>
      <c r="G44">
        <v>771.13</v>
      </c>
      <c r="H44">
        <v>690.31</v>
      </c>
      <c r="I44">
        <v>803.4</v>
      </c>
      <c r="J44">
        <v>15391.28</v>
      </c>
      <c r="K44">
        <v>750.97</v>
      </c>
    </row>
    <row r="45" spans="1:11" s="6" customFormat="1" x14ac:dyDescent="0.3">
      <c r="A45" s="6" t="s">
        <v>10</v>
      </c>
      <c r="B45">
        <v>461.4</v>
      </c>
      <c r="C45">
        <v>442.46</v>
      </c>
      <c r="D45">
        <v>453.04</v>
      </c>
      <c r="E45">
        <v>384.04</v>
      </c>
      <c r="F45">
        <v>385.09</v>
      </c>
      <c r="G45">
        <v>403.13</v>
      </c>
      <c r="H45">
        <v>416.18</v>
      </c>
      <c r="I45">
        <v>415.98</v>
      </c>
      <c r="J45">
        <v>411.03</v>
      </c>
      <c r="K45">
        <v>422.96</v>
      </c>
    </row>
    <row r="46" spans="1:11" s="6" customFormat="1" x14ac:dyDescent="0.3">
      <c r="A46" s="6" t="s">
        <v>11</v>
      </c>
      <c r="B46">
        <v>12.15</v>
      </c>
      <c r="C46">
        <v>9.9</v>
      </c>
      <c r="D46">
        <v>9.8699999999999992</v>
      </c>
      <c r="E46">
        <v>11.94</v>
      </c>
      <c r="F46">
        <v>10.72</v>
      </c>
      <c r="G46">
        <v>9.6</v>
      </c>
      <c r="H46">
        <v>14.73</v>
      </c>
      <c r="I46">
        <v>9.82</v>
      </c>
      <c r="J46">
        <v>10.91</v>
      </c>
      <c r="K46">
        <v>16.47</v>
      </c>
    </row>
    <row r="47" spans="1:11" s="6" customFormat="1" x14ac:dyDescent="0.3">
      <c r="A47" s="6" t="s">
        <v>12</v>
      </c>
      <c r="B47">
        <v>6832.97</v>
      </c>
      <c r="C47">
        <v>6940.01</v>
      </c>
      <c r="D47">
        <v>6664.83</v>
      </c>
      <c r="E47">
        <v>6634.51</v>
      </c>
      <c r="F47">
        <v>6774.26</v>
      </c>
      <c r="G47">
        <v>6903.24</v>
      </c>
      <c r="H47">
        <v>6811.48</v>
      </c>
      <c r="I47">
        <v>6739.5</v>
      </c>
      <c r="J47">
        <v>21488.73</v>
      </c>
      <c r="K47">
        <v>7128.01</v>
      </c>
    </row>
    <row r="48" spans="1:11" s="6" customFormat="1" x14ac:dyDescent="0.3">
      <c r="A48" s="6" t="s">
        <v>13</v>
      </c>
      <c r="B48">
        <v>1607.95</v>
      </c>
      <c r="C48">
        <v>1759.89</v>
      </c>
      <c r="D48">
        <v>1700.31</v>
      </c>
      <c r="E48">
        <v>1227.99</v>
      </c>
      <c r="F48">
        <v>1583.55</v>
      </c>
      <c r="G48">
        <v>1726.25</v>
      </c>
      <c r="H48">
        <v>1757.05</v>
      </c>
      <c r="I48">
        <v>1726.32</v>
      </c>
      <c r="J48">
        <v>1680.85</v>
      </c>
      <c r="K48">
        <v>1784.6</v>
      </c>
    </row>
    <row r="49" spans="1:11" s="6" customFormat="1" x14ac:dyDescent="0.3">
      <c r="A49" s="6" t="s">
        <v>14</v>
      </c>
      <c r="B49">
        <v>5175.4799999999996</v>
      </c>
      <c r="C49">
        <v>5104.93</v>
      </c>
      <c r="D49">
        <v>4898.07</v>
      </c>
      <c r="E49">
        <v>5335.23</v>
      </c>
      <c r="F49">
        <v>5120.55</v>
      </c>
      <c r="G49">
        <v>5091.59</v>
      </c>
      <c r="H49">
        <v>4992.87</v>
      </c>
      <c r="I49">
        <v>4934.8</v>
      </c>
      <c r="J49">
        <v>19727.37</v>
      </c>
      <c r="K49">
        <v>5244.2</v>
      </c>
    </row>
    <row r="50" spans="1:11" x14ac:dyDescent="0.3">
      <c r="A50" s="6" t="s">
        <v>8</v>
      </c>
      <c r="B50">
        <v>6624</v>
      </c>
      <c r="C50">
        <v>6670.07</v>
      </c>
      <c r="D50">
        <v>6454.24</v>
      </c>
      <c r="E50">
        <v>6210.23</v>
      </c>
      <c r="F50">
        <v>6302.07</v>
      </c>
      <c r="G50">
        <v>6544.84</v>
      </c>
      <c r="H50">
        <v>6552.08</v>
      </c>
      <c r="I50">
        <v>6361.9</v>
      </c>
      <c r="J50">
        <v>6519.39</v>
      </c>
      <c r="K50">
        <v>6816.47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804.72</v>
      </c>
      <c r="C57">
        <v>1214.74</v>
      </c>
      <c r="D57">
        <v>1220.43</v>
      </c>
      <c r="E57">
        <v>1225.8599999999999</v>
      </c>
      <c r="F57">
        <v>1229.22</v>
      </c>
      <c r="G57">
        <v>1230.8800000000001</v>
      </c>
      <c r="H57">
        <v>1232.33</v>
      </c>
      <c r="I57">
        <v>1242.8</v>
      </c>
      <c r="J57">
        <v>1248.47</v>
      </c>
      <c r="K57">
        <v>1251.4100000000001</v>
      </c>
    </row>
    <row r="58" spans="1:11" x14ac:dyDescent="0.3">
      <c r="A58" s="6" t="s">
        <v>25</v>
      </c>
      <c r="B58">
        <v>41874.800000000003</v>
      </c>
      <c r="C58">
        <v>45198.19</v>
      </c>
      <c r="D58">
        <v>51289.68</v>
      </c>
      <c r="E58">
        <v>57915.01</v>
      </c>
      <c r="F58">
        <v>64044.04</v>
      </c>
      <c r="G58">
        <v>59116.46</v>
      </c>
      <c r="H58">
        <v>61223.24</v>
      </c>
      <c r="I58">
        <v>67912.460000000006</v>
      </c>
      <c r="J58">
        <v>73258.53</v>
      </c>
      <c r="K58">
        <v>68778.64</v>
      </c>
    </row>
    <row r="59" spans="1:11" x14ac:dyDescent="0.3">
      <c r="A59" s="6" t="s">
        <v>71</v>
      </c>
      <c r="B59">
        <v>83.78</v>
      </c>
      <c r="C59">
        <v>45.72</v>
      </c>
      <c r="D59">
        <v>35.92</v>
      </c>
      <c r="E59">
        <v>13.44</v>
      </c>
      <c r="F59">
        <v>277.45</v>
      </c>
      <c r="G59">
        <v>270.83</v>
      </c>
      <c r="H59">
        <v>249.44</v>
      </c>
      <c r="I59">
        <v>306.04000000000002</v>
      </c>
      <c r="J59">
        <v>303.43</v>
      </c>
      <c r="K59">
        <v>284.54000000000002</v>
      </c>
    </row>
    <row r="60" spans="1:11" x14ac:dyDescent="0.3">
      <c r="A60" s="6" t="s">
        <v>72</v>
      </c>
      <c r="B60">
        <v>8888.0400000000009</v>
      </c>
      <c r="C60">
        <v>9439.67</v>
      </c>
      <c r="D60">
        <v>11694.85</v>
      </c>
      <c r="E60">
        <v>12584.73</v>
      </c>
      <c r="F60">
        <v>11760.04</v>
      </c>
      <c r="G60">
        <v>13142.59</v>
      </c>
      <c r="H60">
        <v>14491.01</v>
      </c>
      <c r="I60">
        <v>16369.66</v>
      </c>
      <c r="J60">
        <v>16943.54</v>
      </c>
      <c r="K60">
        <v>17688.11</v>
      </c>
    </row>
    <row r="61" spans="1:11" s="1" customFormat="1" x14ac:dyDescent="0.3">
      <c r="A61" s="1" t="s">
        <v>26</v>
      </c>
      <c r="B61">
        <v>51651.34</v>
      </c>
      <c r="C61">
        <v>55898.32</v>
      </c>
      <c r="D61">
        <v>64240.88</v>
      </c>
      <c r="E61">
        <v>71739.039999999994</v>
      </c>
      <c r="F61">
        <v>77310.75</v>
      </c>
      <c r="G61">
        <v>73760.759999999995</v>
      </c>
      <c r="H61">
        <v>77196.02</v>
      </c>
      <c r="I61">
        <v>85830.96</v>
      </c>
      <c r="J61">
        <v>91753.97</v>
      </c>
      <c r="K61">
        <v>88002.7</v>
      </c>
    </row>
    <row r="62" spans="1:11" x14ac:dyDescent="0.3">
      <c r="A62" s="6" t="s">
        <v>27</v>
      </c>
      <c r="B62">
        <v>15106.63</v>
      </c>
      <c r="C62">
        <v>15893.48</v>
      </c>
      <c r="D62">
        <v>16523.96</v>
      </c>
      <c r="E62">
        <v>19374.189999999999</v>
      </c>
      <c r="F62">
        <v>21713.34</v>
      </c>
      <c r="G62">
        <v>23298.48</v>
      </c>
      <c r="H62">
        <v>24231.59</v>
      </c>
      <c r="I62">
        <v>25851.27</v>
      </c>
      <c r="J62">
        <v>27820.22</v>
      </c>
      <c r="K62">
        <v>21954.85</v>
      </c>
    </row>
    <row r="63" spans="1:11" x14ac:dyDescent="0.3">
      <c r="A63" s="6" t="s">
        <v>28</v>
      </c>
      <c r="B63">
        <v>2559.7199999999998</v>
      </c>
      <c r="C63">
        <v>3729.89</v>
      </c>
      <c r="D63">
        <v>5508.33</v>
      </c>
      <c r="E63">
        <v>4136.42</v>
      </c>
      <c r="F63">
        <v>3256.46</v>
      </c>
      <c r="G63">
        <v>4011.29</v>
      </c>
      <c r="H63">
        <v>3225.54</v>
      </c>
      <c r="I63">
        <v>3003.3</v>
      </c>
      <c r="J63">
        <v>2860.78</v>
      </c>
      <c r="K63">
        <v>1090.9100000000001</v>
      </c>
    </row>
    <row r="64" spans="1:11" x14ac:dyDescent="0.3">
      <c r="A64" s="6" t="s">
        <v>29</v>
      </c>
      <c r="B64">
        <v>11747.59</v>
      </c>
      <c r="C64">
        <v>17581.38</v>
      </c>
      <c r="D64">
        <v>22052.86</v>
      </c>
      <c r="E64">
        <v>25043.49</v>
      </c>
      <c r="F64">
        <v>28663.35</v>
      </c>
      <c r="G64">
        <v>24870.87</v>
      </c>
      <c r="H64">
        <v>24841.01</v>
      </c>
      <c r="I64">
        <v>29415.02</v>
      </c>
      <c r="J64">
        <v>31114.02</v>
      </c>
      <c r="K64">
        <v>34719.82</v>
      </c>
    </row>
    <row r="65" spans="1:11" x14ac:dyDescent="0.3">
      <c r="A65" s="6" t="s">
        <v>73</v>
      </c>
      <c r="B65">
        <v>22237.4</v>
      </c>
      <c r="C65">
        <v>18693.57</v>
      </c>
      <c r="D65">
        <v>20155.73</v>
      </c>
      <c r="E65">
        <v>23184.94</v>
      </c>
      <c r="F65">
        <v>23677.599999999999</v>
      </c>
      <c r="G65">
        <v>21580.12</v>
      </c>
      <c r="H65">
        <v>24897.88</v>
      </c>
      <c r="I65">
        <v>27561.37</v>
      </c>
      <c r="J65">
        <v>29958.95</v>
      </c>
      <c r="K65">
        <v>30237.119999999999</v>
      </c>
    </row>
    <row r="66" spans="1:11" s="1" customFormat="1" x14ac:dyDescent="0.3">
      <c r="A66" s="1" t="s">
        <v>26</v>
      </c>
      <c r="B66">
        <v>51651.34</v>
      </c>
      <c r="C66">
        <v>55898.32</v>
      </c>
      <c r="D66">
        <v>64240.88</v>
      </c>
      <c r="E66">
        <v>71739.039999999994</v>
      </c>
      <c r="F66">
        <v>77310.75</v>
      </c>
      <c r="G66">
        <v>73760.759999999995</v>
      </c>
      <c r="H66">
        <v>77196.02</v>
      </c>
      <c r="I66">
        <v>85830.96</v>
      </c>
      <c r="J66">
        <v>91753.97</v>
      </c>
      <c r="K66">
        <v>88002.7</v>
      </c>
    </row>
    <row r="67" spans="1:11" s="6" customFormat="1" x14ac:dyDescent="0.3">
      <c r="A67" s="6" t="s">
        <v>78</v>
      </c>
      <c r="B67">
        <v>1917.18</v>
      </c>
      <c r="C67">
        <v>2474.29</v>
      </c>
      <c r="D67">
        <v>2682.29</v>
      </c>
      <c r="E67">
        <v>4035.28</v>
      </c>
      <c r="F67">
        <v>2562.48</v>
      </c>
      <c r="G67">
        <v>2501.6999999999998</v>
      </c>
      <c r="H67">
        <v>2461.9</v>
      </c>
      <c r="I67">
        <v>2956.17</v>
      </c>
      <c r="J67">
        <v>4025.82</v>
      </c>
      <c r="K67">
        <v>4719.67</v>
      </c>
    </row>
    <row r="68" spans="1:11" x14ac:dyDescent="0.3">
      <c r="A68" s="6" t="s">
        <v>45</v>
      </c>
      <c r="B68">
        <v>9062.1</v>
      </c>
      <c r="C68">
        <v>8116.1</v>
      </c>
      <c r="D68">
        <v>7495.09</v>
      </c>
      <c r="E68">
        <v>7859.56</v>
      </c>
      <c r="F68">
        <v>8879.33</v>
      </c>
      <c r="G68">
        <v>10397.16</v>
      </c>
      <c r="H68">
        <v>10864.15</v>
      </c>
      <c r="I68">
        <v>11771.16</v>
      </c>
      <c r="J68">
        <v>14152.88</v>
      </c>
      <c r="K68">
        <v>15637.56</v>
      </c>
    </row>
    <row r="69" spans="1:11" x14ac:dyDescent="0.3">
      <c r="A69" s="4" t="s">
        <v>87</v>
      </c>
      <c r="B69">
        <v>6063.3</v>
      </c>
      <c r="C69">
        <v>2967.4</v>
      </c>
      <c r="D69">
        <v>2899.6</v>
      </c>
      <c r="E69">
        <v>4152.03</v>
      </c>
      <c r="F69">
        <v>7277.34</v>
      </c>
      <c r="G69">
        <v>4659.0200000000004</v>
      </c>
      <c r="H69">
        <v>4654.42</v>
      </c>
      <c r="I69">
        <v>4880.1899999999996</v>
      </c>
      <c r="J69">
        <v>7217.68</v>
      </c>
      <c r="K69">
        <v>4012.36</v>
      </c>
    </row>
    <row r="70" spans="1:11" x14ac:dyDescent="0.3">
      <c r="A70" s="4" t="s">
        <v>74</v>
      </c>
      <c r="B70">
        <v>8047206991</v>
      </c>
      <c r="C70">
        <v>12147383071</v>
      </c>
      <c r="D70">
        <v>12204294911</v>
      </c>
      <c r="E70">
        <v>12258631601</v>
      </c>
      <c r="F70">
        <v>12292231241</v>
      </c>
      <c r="G70">
        <v>12308844231</v>
      </c>
      <c r="H70">
        <v>12323255931</v>
      </c>
      <c r="I70">
        <v>12428017741</v>
      </c>
      <c r="J70">
        <v>12484700000</v>
      </c>
      <c r="K70">
        <v>12514119781</v>
      </c>
    </row>
    <row r="71" spans="1:11" x14ac:dyDescent="0.3">
      <c r="A71" s="4" t="s">
        <v>75</v>
      </c>
      <c r="C71">
        <v>4026657100</v>
      </c>
    </row>
    <row r="72" spans="1:11" x14ac:dyDescent="0.3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 t="s">
        <v>272</v>
      </c>
      <c r="B74" s="4">
        <f>B65-SUM(B67:B69)</f>
        <v>5194.82</v>
      </c>
      <c r="C74" s="4">
        <f t="shared" ref="C74:K74" si="2">C65-SUM(C67:C69)</f>
        <v>5135.7800000000007</v>
      </c>
      <c r="D74" s="4">
        <f t="shared" si="2"/>
        <v>7078.7499999999982</v>
      </c>
      <c r="E74" s="4">
        <f t="shared" si="2"/>
        <v>7138.07</v>
      </c>
      <c r="F74" s="4">
        <f t="shared" si="2"/>
        <v>4958.4499999999971</v>
      </c>
      <c r="G74" s="4">
        <f t="shared" si="2"/>
        <v>4022.239999999998</v>
      </c>
      <c r="H74" s="4">
        <f t="shared" si="2"/>
        <v>6917.41</v>
      </c>
      <c r="I74" s="4">
        <f t="shared" si="2"/>
        <v>7953.8499999999985</v>
      </c>
      <c r="J74" s="4">
        <f t="shared" si="2"/>
        <v>4562.57</v>
      </c>
      <c r="K74" s="4">
        <f t="shared" si="2"/>
        <v>5867.5299999999988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9799.0400000000009</v>
      </c>
      <c r="C82">
        <v>10627.31</v>
      </c>
      <c r="D82">
        <v>13169.4</v>
      </c>
      <c r="E82">
        <v>12583.41</v>
      </c>
      <c r="F82">
        <v>14689.66</v>
      </c>
      <c r="G82">
        <v>12526.97</v>
      </c>
      <c r="H82">
        <v>15775.51</v>
      </c>
      <c r="I82">
        <v>18877.55</v>
      </c>
      <c r="J82">
        <v>17178.86</v>
      </c>
      <c r="K82">
        <v>17627.04</v>
      </c>
    </row>
    <row r="83" spans="1:11" s="6" customFormat="1" x14ac:dyDescent="0.3">
      <c r="A83" s="6" t="s">
        <v>33</v>
      </c>
      <c r="B83">
        <v>-3920.73</v>
      </c>
      <c r="C83">
        <v>-3250.93</v>
      </c>
      <c r="D83">
        <v>-7113.89</v>
      </c>
      <c r="E83">
        <v>-5545.68</v>
      </c>
      <c r="F83">
        <v>-6174.02</v>
      </c>
      <c r="G83">
        <v>5739.98</v>
      </c>
      <c r="H83">
        <v>-2238.4899999999998</v>
      </c>
      <c r="I83">
        <v>-5732.29</v>
      </c>
      <c r="J83">
        <v>1562.77</v>
      </c>
      <c r="K83">
        <v>-563.84</v>
      </c>
    </row>
    <row r="84" spans="1:11" s="6" customFormat="1" x14ac:dyDescent="0.3">
      <c r="A84" s="6" t="s">
        <v>34</v>
      </c>
      <c r="B84">
        <v>-5612.52</v>
      </c>
      <c r="C84">
        <v>-7301.03</v>
      </c>
      <c r="D84">
        <v>-6221.13</v>
      </c>
      <c r="E84">
        <v>-6868.64</v>
      </c>
      <c r="F84">
        <v>-8181.48</v>
      </c>
      <c r="G84">
        <v>-18633.830000000002</v>
      </c>
      <c r="H84">
        <v>-13580.5</v>
      </c>
      <c r="I84">
        <v>-13006.03</v>
      </c>
      <c r="J84">
        <v>-18550.96</v>
      </c>
      <c r="K84">
        <v>-17037.400000000001</v>
      </c>
    </row>
    <row r="85" spans="1:11" s="1" customFormat="1" x14ac:dyDescent="0.3">
      <c r="A85" s="6" t="s">
        <v>35</v>
      </c>
      <c r="B85">
        <v>265.79000000000002</v>
      </c>
      <c r="C85">
        <v>75.349999999999994</v>
      </c>
      <c r="D85">
        <v>-165.62</v>
      </c>
      <c r="E85">
        <v>169.09</v>
      </c>
      <c r="F85">
        <v>334.16</v>
      </c>
      <c r="G85">
        <v>-366.88</v>
      </c>
      <c r="H85">
        <v>-43.48</v>
      </c>
      <c r="I85">
        <v>139.22999999999999</v>
      </c>
      <c r="J85">
        <v>190.67</v>
      </c>
      <c r="K85">
        <v>25.8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205.13</v>
      </c>
      <c r="C90">
        <v>262.75</v>
      </c>
      <c r="D90">
        <v>239.5</v>
      </c>
      <c r="E90">
        <v>278.64</v>
      </c>
      <c r="F90">
        <v>160.94999999999999</v>
      </c>
      <c r="G90">
        <v>204.82</v>
      </c>
      <c r="H90">
        <v>234.96</v>
      </c>
      <c r="I90">
        <v>359.49</v>
      </c>
      <c r="J90">
        <v>401.53</v>
      </c>
      <c r="K90">
        <v>409.75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1207.08</v>
      </c>
      <c r="C93" s="24">
        <v>1214.74</v>
      </c>
      <c r="D93" s="24">
        <v>1220.43</v>
      </c>
      <c r="E93" s="24">
        <v>1225.8599999999999</v>
      </c>
      <c r="F93" s="24">
        <v>1229.22</v>
      </c>
      <c r="G93" s="24">
        <v>1230.8800000000001</v>
      </c>
      <c r="H93" s="24">
        <v>1232.33</v>
      </c>
      <c r="I93" s="24">
        <v>1242.8</v>
      </c>
      <c r="J93" s="24">
        <v>1248.47</v>
      </c>
      <c r="K93" s="24">
        <v>1251.4100000000001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6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6" sqref="K6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ITC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45016</v>
      </c>
      <c r="C3" s="12">
        <f>'Data Sheet'!C41</f>
        <v>45107</v>
      </c>
      <c r="D3" s="12">
        <f>'Data Sheet'!D41</f>
        <v>45199</v>
      </c>
      <c r="E3" s="12">
        <f>'Data Sheet'!E41</f>
        <v>45291</v>
      </c>
      <c r="F3" s="12">
        <f>'Data Sheet'!F41</f>
        <v>45382</v>
      </c>
      <c r="G3" s="12">
        <f>'Data Sheet'!G41</f>
        <v>45473</v>
      </c>
      <c r="H3" s="12">
        <f>'Data Sheet'!H41</f>
        <v>45565</v>
      </c>
      <c r="I3" s="12">
        <f>'Data Sheet'!I41</f>
        <v>45657</v>
      </c>
      <c r="J3" s="12">
        <f>'Data Sheet'!J41</f>
        <v>45747</v>
      </c>
      <c r="K3" s="12">
        <f>'Data Sheet'!K41</f>
        <v>45838</v>
      </c>
    </row>
    <row r="4" spans="1:11" s="2" customFormat="1" x14ac:dyDescent="0.3">
      <c r="A4" s="2" t="s">
        <v>6</v>
      </c>
      <c r="B4" s="1">
        <f>'Data Sheet'!B42</f>
        <v>17634.89</v>
      </c>
      <c r="C4" s="1">
        <f>'Data Sheet'!C42</f>
        <v>17164.46</v>
      </c>
      <c r="D4" s="1">
        <f>'Data Sheet'!D42</f>
        <v>17774.47</v>
      </c>
      <c r="E4" s="1">
        <f>'Data Sheet'!E42</f>
        <v>17195.240000000002</v>
      </c>
      <c r="F4" s="1">
        <f>'Data Sheet'!F42</f>
        <v>17037.8</v>
      </c>
      <c r="G4" s="1">
        <f>'Data Sheet'!G42</f>
        <v>17777.810000000001</v>
      </c>
      <c r="H4" s="1">
        <f>'Data Sheet'!H42</f>
        <v>19990.36</v>
      </c>
      <c r="I4" s="1">
        <f>'Data Sheet'!I42</f>
        <v>18790.169999999998</v>
      </c>
      <c r="J4" s="1">
        <f>'Data Sheet'!J42</f>
        <v>18765</v>
      </c>
      <c r="K4" s="1">
        <f>'Data Sheet'!K42</f>
        <v>21494.79</v>
      </c>
    </row>
    <row r="5" spans="1:11" x14ac:dyDescent="0.3">
      <c r="A5" t="s">
        <v>7</v>
      </c>
      <c r="B5" s="6">
        <f>'Data Sheet'!B43</f>
        <v>11010.89</v>
      </c>
      <c r="C5" s="6">
        <f>'Data Sheet'!C43</f>
        <v>10494.39</v>
      </c>
      <c r="D5" s="6">
        <f>'Data Sheet'!D43</f>
        <v>11320.23</v>
      </c>
      <c r="E5" s="6">
        <f>'Data Sheet'!E43</f>
        <v>10985.01</v>
      </c>
      <c r="F5" s="6">
        <f>'Data Sheet'!F43</f>
        <v>10735.73</v>
      </c>
      <c r="G5" s="6">
        <f>'Data Sheet'!G43</f>
        <v>11232.97</v>
      </c>
      <c r="H5" s="6">
        <f>'Data Sheet'!H43</f>
        <v>13438.28</v>
      </c>
      <c r="I5" s="6">
        <f>'Data Sheet'!I43</f>
        <v>12428.27</v>
      </c>
      <c r="J5" s="6">
        <f>'Data Sheet'!J43</f>
        <v>12245.61</v>
      </c>
      <c r="K5" s="6">
        <f>'Data Sheet'!K43</f>
        <v>14678.32</v>
      </c>
    </row>
    <row r="6" spans="1:11" s="2" customFormat="1" x14ac:dyDescent="0.3">
      <c r="A6" s="2" t="s">
        <v>8</v>
      </c>
      <c r="B6" s="1">
        <f>'Data Sheet'!B50</f>
        <v>6624</v>
      </c>
      <c r="C6" s="1">
        <f>'Data Sheet'!C50</f>
        <v>6670.07</v>
      </c>
      <c r="D6" s="1">
        <f>'Data Sheet'!D50</f>
        <v>6454.24</v>
      </c>
      <c r="E6" s="1">
        <f>'Data Sheet'!E50</f>
        <v>6210.23</v>
      </c>
      <c r="F6" s="1">
        <f>'Data Sheet'!F50</f>
        <v>6302.07</v>
      </c>
      <c r="G6" s="1">
        <f>'Data Sheet'!G50</f>
        <v>6544.84</v>
      </c>
      <c r="H6" s="1">
        <f>'Data Sheet'!H50</f>
        <v>6552.08</v>
      </c>
      <c r="I6" s="1">
        <f>'Data Sheet'!I50</f>
        <v>6361.9</v>
      </c>
      <c r="J6" s="1">
        <f>'Data Sheet'!J50</f>
        <v>6519.39</v>
      </c>
      <c r="K6" s="1">
        <f>'Data Sheet'!K50</f>
        <v>6816.47</v>
      </c>
    </row>
    <row r="7" spans="1:11" x14ac:dyDescent="0.3">
      <c r="A7" t="s">
        <v>9</v>
      </c>
      <c r="B7" s="6">
        <f>'Data Sheet'!B44</f>
        <v>682.52</v>
      </c>
      <c r="C7" s="6">
        <f>'Data Sheet'!C44</f>
        <v>722.3</v>
      </c>
      <c r="D7" s="6">
        <f>'Data Sheet'!D44</f>
        <v>673.5</v>
      </c>
      <c r="E7" s="6">
        <f>'Data Sheet'!E44</f>
        <v>820.26</v>
      </c>
      <c r="F7" s="6">
        <f>'Data Sheet'!F44</f>
        <v>868</v>
      </c>
      <c r="G7" s="6">
        <f>'Data Sheet'!G44</f>
        <v>771.13</v>
      </c>
      <c r="H7" s="6">
        <f>'Data Sheet'!H44</f>
        <v>690.31</v>
      </c>
      <c r="I7" s="6">
        <f>'Data Sheet'!I44</f>
        <v>803.4</v>
      </c>
      <c r="J7" s="6">
        <f>'Data Sheet'!J44</f>
        <v>15391.28</v>
      </c>
      <c r="K7" s="6">
        <f>'Data Sheet'!K44</f>
        <v>750.97</v>
      </c>
    </row>
    <row r="8" spans="1:11" x14ac:dyDescent="0.3">
      <c r="A8" t="s">
        <v>10</v>
      </c>
      <c r="B8" s="6">
        <f>'Data Sheet'!B45</f>
        <v>461.4</v>
      </c>
      <c r="C8" s="6">
        <f>'Data Sheet'!C45</f>
        <v>442.46</v>
      </c>
      <c r="D8" s="6">
        <f>'Data Sheet'!D45</f>
        <v>453.04</v>
      </c>
      <c r="E8" s="6">
        <f>'Data Sheet'!E45</f>
        <v>384.04</v>
      </c>
      <c r="F8" s="6">
        <f>'Data Sheet'!F45</f>
        <v>385.09</v>
      </c>
      <c r="G8" s="6">
        <f>'Data Sheet'!G45</f>
        <v>403.13</v>
      </c>
      <c r="H8" s="6">
        <f>'Data Sheet'!H45</f>
        <v>416.18</v>
      </c>
      <c r="I8" s="6">
        <f>'Data Sheet'!I45</f>
        <v>415.98</v>
      </c>
      <c r="J8" s="6">
        <f>'Data Sheet'!J45</f>
        <v>411.03</v>
      </c>
      <c r="K8" s="6">
        <f>'Data Sheet'!K45</f>
        <v>422.96</v>
      </c>
    </row>
    <row r="9" spans="1:11" x14ac:dyDescent="0.3">
      <c r="A9" t="s">
        <v>11</v>
      </c>
      <c r="B9" s="6">
        <f>'Data Sheet'!B46</f>
        <v>12.15</v>
      </c>
      <c r="C9" s="6">
        <f>'Data Sheet'!C46</f>
        <v>9.9</v>
      </c>
      <c r="D9" s="6">
        <f>'Data Sheet'!D46</f>
        <v>9.8699999999999992</v>
      </c>
      <c r="E9" s="6">
        <f>'Data Sheet'!E46</f>
        <v>11.94</v>
      </c>
      <c r="F9" s="6">
        <f>'Data Sheet'!F46</f>
        <v>10.72</v>
      </c>
      <c r="G9" s="6">
        <f>'Data Sheet'!G46</f>
        <v>9.6</v>
      </c>
      <c r="H9" s="6">
        <f>'Data Sheet'!H46</f>
        <v>14.73</v>
      </c>
      <c r="I9" s="6">
        <f>'Data Sheet'!I46</f>
        <v>9.82</v>
      </c>
      <c r="J9" s="6">
        <f>'Data Sheet'!J46</f>
        <v>10.91</v>
      </c>
      <c r="K9" s="6">
        <f>'Data Sheet'!K46</f>
        <v>16.47</v>
      </c>
    </row>
    <row r="10" spans="1:11" x14ac:dyDescent="0.3">
      <c r="A10" t="s">
        <v>12</v>
      </c>
      <c r="B10" s="6">
        <f>'Data Sheet'!B47</f>
        <v>6832.97</v>
      </c>
      <c r="C10" s="6">
        <f>'Data Sheet'!C47</f>
        <v>6940.01</v>
      </c>
      <c r="D10" s="6">
        <f>'Data Sheet'!D47</f>
        <v>6664.83</v>
      </c>
      <c r="E10" s="6">
        <f>'Data Sheet'!E47</f>
        <v>6634.51</v>
      </c>
      <c r="F10" s="6">
        <f>'Data Sheet'!F47</f>
        <v>6774.26</v>
      </c>
      <c r="G10" s="6">
        <f>'Data Sheet'!G47</f>
        <v>6903.24</v>
      </c>
      <c r="H10" s="6">
        <f>'Data Sheet'!H47</f>
        <v>6811.48</v>
      </c>
      <c r="I10" s="6">
        <f>'Data Sheet'!I47</f>
        <v>6739.5</v>
      </c>
      <c r="J10" s="6">
        <f>'Data Sheet'!J47</f>
        <v>21488.73</v>
      </c>
      <c r="K10" s="6">
        <f>'Data Sheet'!K47</f>
        <v>7128.01</v>
      </c>
    </row>
    <row r="11" spans="1:11" x14ac:dyDescent="0.3">
      <c r="A11" t="s">
        <v>13</v>
      </c>
      <c r="B11" s="6">
        <f>'Data Sheet'!B48</f>
        <v>1607.95</v>
      </c>
      <c r="C11" s="6">
        <f>'Data Sheet'!C48</f>
        <v>1759.89</v>
      </c>
      <c r="D11" s="6">
        <f>'Data Sheet'!D48</f>
        <v>1700.31</v>
      </c>
      <c r="E11" s="6">
        <f>'Data Sheet'!E48</f>
        <v>1227.99</v>
      </c>
      <c r="F11" s="6">
        <f>'Data Sheet'!F48</f>
        <v>1583.55</v>
      </c>
      <c r="G11" s="6">
        <f>'Data Sheet'!G48</f>
        <v>1726.25</v>
      </c>
      <c r="H11" s="6">
        <f>'Data Sheet'!H48</f>
        <v>1757.05</v>
      </c>
      <c r="I11" s="6">
        <f>'Data Sheet'!I48</f>
        <v>1726.32</v>
      </c>
      <c r="J11" s="6">
        <f>'Data Sheet'!J48</f>
        <v>1680.85</v>
      </c>
      <c r="K11" s="6">
        <f>'Data Sheet'!K48</f>
        <v>1784.6</v>
      </c>
    </row>
    <row r="12" spans="1:11" s="2" customFormat="1" x14ac:dyDescent="0.3">
      <c r="A12" s="2" t="s">
        <v>14</v>
      </c>
      <c r="B12" s="1">
        <f>'Data Sheet'!B49</f>
        <v>5175.4799999999996</v>
      </c>
      <c r="C12" s="1">
        <f>'Data Sheet'!C49</f>
        <v>5104.93</v>
      </c>
      <c r="D12" s="1">
        <f>'Data Sheet'!D49</f>
        <v>4898.07</v>
      </c>
      <c r="E12" s="1">
        <f>'Data Sheet'!E49</f>
        <v>5335.23</v>
      </c>
      <c r="F12" s="1">
        <f>'Data Sheet'!F49</f>
        <v>5120.55</v>
      </c>
      <c r="G12" s="1">
        <f>'Data Sheet'!G49</f>
        <v>5091.59</v>
      </c>
      <c r="H12" s="1">
        <f>'Data Sheet'!H49</f>
        <v>4992.87</v>
      </c>
      <c r="I12" s="1">
        <f>'Data Sheet'!I49</f>
        <v>4934.8</v>
      </c>
      <c r="J12" s="1">
        <f>'Data Sheet'!J49</f>
        <v>19727.37</v>
      </c>
      <c r="K12" s="1">
        <f>'Data Sheet'!K49</f>
        <v>5244.2</v>
      </c>
    </row>
    <row r="14" spans="1:11" s="2" customFormat="1" x14ac:dyDescent="0.3">
      <c r="A14" s="2" t="s">
        <v>18</v>
      </c>
      <c r="B14" s="10">
        <f>IF(B4&gt;0,B6/B4,"")</f>
        <v>0.37561901435166312</v>
      </c>
      <c r="C14" s="10">
        <f t="shared" ref="C14:K14" si="0">IF(C4&gt;0,C6/C4,"")</f>
        <v>0.38859771877472404</v>
      </c>
      <c r="D14" s="10">
        <f t="shared" si="0"/>
        <v>0.3631185627475812</v>
      </c>
      <c r="E14" s="10">
        <f t="shared" si="0"/>
        <v>0.36115983260483708</v>
      </c>
      <c r="F14" s="10">
        <f t="shared" si="0"/>
        <v>0.36988754416650038</v>
      </c>
      <c r="G14" s="10">
        <f t="shared" si="0"/>
        <v>0.36814658273431877</v>
      </c>
      <c r="H14" s="10">
        <f t="shared" si="0"/>
        <v>0.32776198127497452</v>
      </c>
      <c r="I14" s="10">
        <f t="shared" si="0"/>
        <v>0.3385759681791064</v>
      </c>
      <c r="J14" s="10">
        <f t="shared" si="0"/>
        <v>0.34742286171063153</v>
      </c>
      <c r="K14" s="10">
        <f t="shared" si="0"/>
        <v>0.31712196304313744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4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5665-5AA1-44E2-A167-CF3987CF0655}">
  <dimension ref="A1:K45"/>
  <sheetViews>
    <sheetView showGridLines="0" view="pageLayout" zoomScale="89" zoomScaleNormal="75" zoomScalePageLayoutView="89" workbookViewId="0">
      <selection activeCell="E13" sqref="E13"/>
    </sheetView>
  </sheetViews>
  <sheetFormatPr defaultRowHeight="14.4" x14ac:dyDescent="0.3"/>
  <cols>
    <col min="1" max="1" width="4.44140625" customWidth="1"/>
    <col min="2" max="2" width="19" customWidth="1"/>
    <col min="3" max="10" width="9.77734375" customWidth="1"/>
  </cols>
  <sheetData>
    <row r="1" spans="1:10" ht="10.199999999999999" customHeight="1" x14ac:dyDescent="0.3">
      <c r="A1" s="239"/>
      <c r="B1" s="239"/>
      <c r="C1" s="239"/>
      <c r="D1" s="239"/>
      <c r="E1" s="239"/>
      <c r="F1" s="239"/>
      <c r="G1" s="239"/>
      <c r="H1" s="239"/>
      <c r="I1" s="239"/>
      <c r="J1" s="239"/>
    </row>
    <row r="3" spans="1:10" x14ac:dyDescent="0.3">
      <c r="B3" s="251" t="s">
        <v>798</v>
      </c>
      <c r="C3" s="251"/>
      <c r="D3" s="251"/>
      <c r="E3" s="251"/>
      <c r="F3" s="251"/>
      <c r="G3" s="251"/>
      <c r="H3" s="251"/>
      <c r="I3" s="251"/>
      <c r="J3" s="251"/>
    </row>
    <row r="4" spans="1:10" x14ac:dyDescent="0.3">
      <c r="B4" s="251"/>
      <c r="C4" s="251"/>
      <c r="D4" s="251"/>
      <c r="E4" s="251"/>
      <c r="F4" s="251"/>
      <c r="G4" s="251"/>
      <c r="H4" s="251"/>
      <c r="I4" s="251"/>
      <c r="J4" s="251"/>
    </row>
    <row r="6" spans="1:10" x14ac:dyDescent="0.3">
      <c r="B6" s="167"/>
      <c r="C6" s="167"/>
      <c r="D6" s="167"/>
      <c r="E6" s="167"/>
      <c r="F6" s="167"/>
      <c r="G6" s="167" t="s">
        <v>180</v>
      </c>
      <c r="H6" s="168" t="s">
        <v>180</v>
      </c>
      <c r="I6" s="167" t="s">
        <v>181</v>
      </c>
      <c r="J6" s="167" t="s">
        <v>182</v>
      </c>
    </row>
    <row r="7" spans="1:10" ht="28.8" x14ac:dyDescent="0.3">
      <c r="B7" s="169" t="s">
        <v>183</v>
      </c>
      <c r="C7" s="169" t="s">
        <v>184</v>
      </c>
      <c r="D7" s="169" t="s">
        <v>185</v>
      </c>
      <c r="E7" s="169" t="s">
        <v>186</v>
      </c>
      <c r="F7" s="169" t="s">
        <v>795</v>
      </c>
      <c r="G7" s="170" t="s">
        <v>187</v>
      </c>
      <c r="H7" s="171" t="s">
        <v>188</v>
      </c>
      <c r="I7" s="170" t="s">
        <v>796</v>
      </c>
      <c r="J7" s="170" t="s">
        <v>797</v>
      </c>
    </row>
    <row r="8" spans="1:10" x14ac:dyDescent="0.3">
      <c r="H8" s="20"/>
    </row>
    <row r="9" spans="1:10" x14ac:dyDescent="0.3">
      <c r="B9" t="s">
        <v>189</v>
      </c>
      <c r="C9" t="s">
        <v>190</v>
      </c>
      <c r="D9">
        <v>91.26</v>
      </c>
      <c r="E9" s="4">
        <v>70030.05</v>
      </c>
      <c r="F9" s="5">
        <v>0.25</v>
      </c>
      <c r="G9">
        <f>D9/E9</f>
        <v>1.3031548599494074E-3</v>
      </c>
      <c r="H9">
        <f>D9/(D9+E9)</f>
        <v>1.3014588575142136E-3</v>
      </c>
      <c r="I9">
        <f>'Reg. Beta'!J13</f>
        <v>0.63865833340294376</v>
      </c>
      <c r="J9">
        <f>I9/(1+(1-F9)*G9)</f>
        <v>0.63803473984890569</v>
      </c>
    </row>
    <row r="10" spans="1:10" x14ac:dyDescent="0.3">
      <c r="B10" s="49" t="s">
        <v>191</v>
      </c>
      <c r="C10" s="49" t="s">
        <v>190</v>
      </c>
      <c r="D10" s="49">
        <v>1139</v>
      </c>
      <c r="E10" s="49">
        <v>611503.9</v>
      </c>
      <c r="F10" s="5">
        <v>0.25</v>
      </c>
      <c r="G10" s="26">
        <f>D10/E10</f>
        <v>1.8626209906429051E-3</v>
      </c>
      <c r="H10" s="26">
        <f>D10/(D10+E10)</f>
        <v>1.8591580837711494E-3</v>
      </c>
      <c r="I10" s="49">
        <v>1</v>
      </c>
      <c r="J10">
        <f t="shared" ref="J10:J14" si="0">I10/(1+(1-F10)*G10)</f>
        <v>0.99860498304791079</v>
      </c>
    </row>
    <row r="11" spans="1:10" x14ac:dyDescent="0.3">
      <c r="B11" s="49" t="s">
        <v>192</v>
      </c>
      <c r="C11" s="49" t="s">
        <v>190</v>
      </c>
      <c r="D11" s="49">
        <v>279.89999999999998</v>
      </c>
      <c r="E11" s="49">
        <v>182975</v>
      </c>
      <c r="F11" s="5">
        <v>0.25</v>
      </c>
      <c r="G11" s="26">
        <f>D11/E11</f>
        <v>1.5297171744773875E-3</v>
      </c>
      <c r="H11" s="26">
        <f t="shared" ref="H11:H14" si="1">D11/(D11+E11)</f>
        <v>1.5273807139672662E-3</v>
      </c>
      <c r="I11" s="49">
        <v>1</v>
      </c>
      <c r="J11">
        <f t="shared" si="0"/>
        <v>0.99885402688021407</v>
      </c>
    </row>
    <row r="12" spans="1:10" x14ac:dyDescent="0.3">
      <c r="B12" s="49" t="s">
        <v>193</v>
      </c>
      <c r="C12" s="49" t="s">
        <v>190</v>
      </c>
      <c r="D12" s="49">
        <v>3037.7</v>
      </c>
      <c r="E12" s="49">
        <v>110690</v>
      </c>
      <c r="F12" s="5">
        <v>0.25</v>
      </c>
      <c r="G12" s="26">
        <f t="shared" ref="G12:G14" si="2">D12/E12</f>
        <v>2.7443310145451257E-2</v>
      </c>
      <c r="H12" s="26">
        <f>D12/(D12+E12)</f>
        <v>2.6710291336235585E-2</v>
      </c>
      <c r="I12" s="49">
        <v>1</v>
      </c>
      <c r="J12">
        <f t="shared" si="0"/>
        <v>0.97983261229756768</v>
      </c>
    </row>
    <row r="13" spans="1:10" x14ac:dyDescent="0.3">
      <c r="B13" s="49" t="s">
        <v>194</v>
      </c>
      <c r="C13" s="49" t="s">
        <v>190</v>
      </c>
      <c r="D13" s="49">
        <v>1164.5</v>
      </c>
      <c r="E13" s="49">
        <v>96256.4</v>
      </c>
      <c r="F13" s="5">
        <v>0.25</v>
      </c>
      <c r="G13" s="26">
        <f t="shared" si="2"/>
        <v>1.2097896867117408E-2</v>
      </c>
      <c r="H13" s="26">
        <f t="shared" si="1"/>
        <v>1.1953287230974052E-2</v>
      </c>
      <c r="I13" s="49">
        <v>1</v>
      </c>
      <c r="J13">
        <f t="shared" si="0"/>
        <v>0.99100816407739034</v>
      </c>
    </row>
    <row r="14" spans="1:10" x14ac:dyDescent="0.3">
      <c r="B14" s="49" t="s">
        <v>195</v>
      </c>
      <c r="C14" s="49" t="s">
        <v>190</v>
      </c>
      <c r="D14" s="49">
        <v>1068.0999999999999</v>
      </c>
      <c r="E14" s="49">
        <v>94940.4</v>
      </c>
      <c r="F14" s="5">
        <v>0.25</v>
      </c>
      <c r="G14" s="26">
        <f t="shared" si="2"/>
        <v>1.1250215924938172E-2</v>
      </c>
      <c r="H14" s="26">
        <f t="shared" si="1"/>
        <v>1.1125056635610388E-2</v>
      </c>
      <c r="I14" s="49">
        <v>1</v>
      </c>
      <c r="J14">
        <f t="shared" si="0"/>
        <v>0.9916329365094908</v>
      </c>
    </row>
    <row r="16" spans="1:10" x14ac:dyDescent="0.3">
      <c r="E16" s="47" t="s">
        <v>196</v>
      </c>
      <c r="F16" s="52">
        <f>AVERAGE(F10:F14)</f>
        <v>0.25</v>
      </c>
      <c r="G16" s="53">
        <f t="shared" ref="G16:J16" si="3">AVERAGE(G10:G14)</f>
        <v>1.0836752220525426E-2</v>
      </c>
      <c r="H16" s="53">
        <f t="shared" si="3"/>
        <v>1.063503480011169E-2</v>
      </c>
      <c r="I16" s="47">
        <f t="shared" si="3"/>
        <v>1</v>
      </c>
      <c r="J16" s="54">
        <f t="shared" si="3"/>
        <v>0.99198654456251467</v>
      </c>
    </row>
    <row r="17" spans="2:10" x14ac:dyDescent="0.3">
      <c r="E17" s="48" t="s">
        <v>197</v>
      </c>
      <c r="F17" s="55">
        <f>MEDIAN(F10:F14)</f>
        <v>0.25</v>
      </c>
      <c r="G17" s="56">
        <f t="shared" ref="G17:J17" si="4">MEDIAN(G10:G14)</f>
        <v>1.1250215924938172E-2</v>
      </c>
      <c r="H17" s="56">
        <f t="shared" si="4"/>
        <v>1.1125056635610388E-2</v>
      </c>
      <c r="I17" s="48">
        <f t="shared" si="4"/>
        <v>1</v>
      </c>
      <c r="J17" s="57">
        <f t="shared" si="4"/>
        <v>0.9916329365094908</v>
      </c>
    </row>
    <row r="20" spans="2:10" ht="15.6" x14ac:dyDescent="0.3">
      <c r="B20" s="58" t="s">
        <v>198</v>
      </c>
      <c r="C20" s="48"/>
      <c r="D20" s="48"/>
      <c r="H20" s="58" t="s">
        <v>199</v>
      </c>
      <c r="I20" s="48"/>
      <c r="J20" s="48"/>
    </row>
    <row r="22" spans="2:10" x14ac:dyDescent="0.3">
      <c r="B22" t="s">
        <v>200</v>
      </c>
      <c r="D22" s="50">
        <v>8.4000000000000005E-2</v>
      </c>
      <c r="H22" t="s">
        <v>201</v>
      </c>
      <c r="J22" s="50">
        <v>6.5000000000000002E-2</v>
      </c>
    </row>
    <row r="23" spans="2:10" x14ac:dyDescent="0.3">
      <c r="B23" t="s">
        <v>202</v>
      </c>
      <c r="D23" s="59">
        <v>0.3</v>
      </c>
      <c r="H23" t="s">
        <v>203</v>
      </c>
      <c r="J23" s="50">
        <v>0.08</v>
      </c>
    </row>
    <row r="24" spans="2:10" ht="16.2" x14ac:dyDescent="0.3">
      <c r="B24" s="43" t="s">
        <v>204</v>
      </c>
      <c r="C24" s="43"/>
      <c r="D24" s="44">
        <f>D22*(1-D23)</f>
        <v>5.8799999999999998E-2</v>
      </c>
      <c r="H24" t="s">
        <v>205</v>
      </c>
      <c r="J24" s="51">
        <f>J35</f>
        <v>0.99915519280815646</v>
      </c>
    </row>
    <row r="25" spans="2:10" x14ac:dyDescent="0.3">
      <c r="H25" s="43" t="s">
        <v>199</v>
      </c>
      <c r="I25" s="43"/>
      <c r="J25" s="44">
        <f>J22+(J23*J24)</f>
        <v>0.14493241542465252</v>
      </c>
    </row>
    <row r="30" spans="2:10" ht="15.6" x14ac:dyDescent="0.3">
      <c r="B30" s="58" t="s">
        <v>206</v>
      </c>
      <c r="C30" s="48"/>
      <c r="D30" s="48"/>
      <c r="E30" s="48"/>
      <c r="H30" s="58" t="s">
        <v>207</v>
      </c>
      <c r="I30" s="48"/>
      <c r="J30" s="48"/>
    </row>
    <row r="32" spans="2:10" ht="15.6" x14ac:dyDescent="0.3">
      <c r="D32" s="60" t="s">
        <v>208</v>
      </c>
      <c r="E32" s="60" t="s">
        <v>209</v>
      </c>
      <c r="H32" t="s">
        <v>210</v>
      </c>
      <c r="J32" s="51">
        <f>J17</f>
        <v>0.9916329365094908</v>
      </c>
    </row>
    <row r="33" spans="1:11" x14ac:dyDescent="0.3">
      <c r="B33" t="s">
        <v>185</v>
      </c>
      <c r="C33">
        <v>174441</v>
      </c>
      <c r="D33" s="61">
        <f>C33/C35</f>
        <v>0.34958746750943404</v>
      </c>
      <c r="E33" s="50">
        <f>H16</f>
        <v>1.063503480011169E-2</v>
      </c>
      <c r="H33" t="s">
        <v>211</v>
      </c>
      <c r="J33" s="5">
        <f>E37</f>
        <v>1.0836752220525426E-2</v>
      </c>
    </row>
    <row r="34" spans="1:11" x14ac:dyDescent="0.3">
      <c r="B34" t="s">
        <v>79</v>
      </c>
      <c r="C34">
        <v>324550</v>
      </c>
      <c r="D34" s="61">
        <f>C34/C35</f>
        <v>0.65041253249056596</v>
      </c>
      <c r="E34" s="62">
        <f>E35-E33</f>
        <v>0.98936496519988826</v>
      </c>
      <c r="H34" t="s">
        <v>212</v>
      </c>
      <c r="J34" s="50">
        <f>D23</f>
        <v>0.3</v>
      </c>
    </row>
    <row r="35" spans="1:11" x14ac:dyDescent="0.3">
      <c r="B35" s="107" t="s">
        <v>213</v>
      </c>
      <c r="C35" s="107">
        <f>C33+C34</f>
        <v>498991</v>
      </c>
      <c r="D35" s="109">
        <v>1</v>
      </c>
      <c r="E35" s="110">
        <f>D35</f>
        <v>1</v>
      </c>
      <c r="H35" s="107" t="s">
        <v>207</v>
      </c>
      <c r="I35" s="107"/>
      <c r="J35" s="111">
        <f>J32*(1+(1-J34)*J33)</f>
        <v>0.99915519280815646</v>
      </c>
    </row>
    <row r="37" spans="1:11" ht="15.6" x14ac:dyDescent="0.3">
      <c r="B37" t="s">
        <v>214</v>
      </c>
      <c r="D37" s="61">
        <f>C33/C34</f>
        <v>0.53748574949930672</v>
      </c>
      <c r="E37" s="5">
        <f>G16</f>
        <v>1.0836752220525426E-2</v>
      </c>
      <c r="H37" s="250" t="s">
        <v>215</v>
      </c>
      <c r="I37" s="250"/>
      <c r="J37" s="250"/>
      <c r="K37" s="63"/>
    </row>
    <row r="39" spans="1:11" ht="28.8" x14ac:dyDescent="0.3">
      <c r="B39" s="64" t="s">
        <v>216</v>
      </c>
      <c r="I39" s="166" t="s">
        <v>217</v>
      </c>
      <c r="J39" s="166" t="s">
        <v>218</v>
      </c>
    </row>
    <row r="40" spans="1:11" x14ac:dyDescent="0.3">
      <c r="B40" s="65" t="s">
        <v>219</v>
      </c>
      <c r="C40" s="65"/>
      <c r="D40" s="65"/>
      <c r="H40" t="s">
        <v>220</v>
      </c>
      <c r="I40" s="5">
        <f>D24</f>
        <v>5.8799999999999998E-2</v>
      </c>
      <c r="J40" s="5">
        <f>E33</f>
        <v>1.063503480011169E-2</v>
      </c>
    </row>
    <row r="41" spans="1:11" x14ac:dyDescent="0.3">
      <c r="B41" s="65" t="s">
        <v>221</v>
      </c>
      <c r="C41" s="65"/>
      <c r="D41" s="65"/>
      <c r="H41" t="s">
        <v>187</v>
      </c>
      <c r="I41" s="5">
        <f>J25</f>
        <v>0.14493241542465252</v>
      </c>
      <c r="J41" s="62">
        <f>E34</f>
        <v>0.98936496519988826</v>
      </c>
    </row>
    <row r="42" spans="1:11" x14ac:dyDescent="0.3">
      <c r="B42" s="65" t="s">
        <v>222</v>
      </c>
      <c r="C42" s="65"/>
      <c r="D42" s="65"/>
      <c r="H42" s="91" t="s">
        <v>223</v>
      </c>
      <c r="I42" s="91"/>
      <c r="J42" s="108">
        <f>SUMPRODUCT(I40:I41,J40:J41)</f>
        <v>0.14401639418919365</v>
      </c>
    </row>
    <row r="43" spans="1:11" x14ac:dyDescent="0.3">
      <c r="B43" s="65" t="s">
        <v>224</v>
      </c>
      <c r="C43" s="65"/>
      <c r="D43" s="65"/>
    </row>
    <row r="45" spans="1:11" ht="10.8" customHeight="1" x14ac:dyDescent="0.3">
      <c r="A45" s="239"/>
      <c r="B45" s="239"/>
      <c r="C45" s="239"/>
      <c r="D45" s="239"/>
      <c r="E45" s="239"/>
      <c r="F45" s="239"/>
      <c r="G45" s="239"/>
      <c r="H45" s="239"/>
      <c r="I45" s="239"/>
      <c r="J45" s="239"/>
    </row>
  </sheetData>
  <mergeCells count="2">
    <mergeCell ref="H37:J37"/>
    <mergeCell ref="B3:J4"/>
  </mergeCells>
  <pageMargins left="0.25" right="0.25" top="0.75" bottom="0.75" header="0.3" footer="0.3"/>
  <pageSetup orientation="portrait" r:id="rId1"/>
  <headerFooter>
    <oddHeader>&amp;L&amp;"-,Bold"&amp;8&amp;K07-045ITC Ltd
NSE: ITC(INE154A01025)
401.25 INR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7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ITC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804.72</v>
      </c>
      <c r="C4" s="14">
        <f>'Data Sheet'!C57</f>
        <v>1214.74</v>
      </c>
      <c r="D4" s="14">
        <f>'Data Sheet'!D57</f>
        <v>1220.43</v>
      </c>
      <c r="E4" s="14">
        <f>'Data Sheet'!E57</f>
        <v>1225.8599999999999</v>
      </c>
      <c r="F4" s="14">
        <f>'Data Sheet'!F57</f>
        <v>1229.22</v>
      </c>
      <c r="G4" s="14">
        <f>'Data Sheet'!G57</f>
        <v>1230.8800000000001</v>
      </c>
      <c r="H4" s="14">
        <f>'Data Sheet'!H57</f>
        <v>1232.33</v>
      </c>
      <c r="I4" s="14">
        <f>'Data Sheet'!I57</f>
        <v>1242.8</v>
      </c>
      <c r="J4" s="14">
        <f>'Data Sheet'!J57</f>
        <v>1248.47</v>
      </c>
      <c r="K4" s="14">
        <f>'Data Sheet'!K57</f>
        <v>1251.4100000000001</v>
      </c>
    </row>
    <row r="5" spans="1:11" x14ac:dyDescent="0.3">
      <c r="A5" t="s">
        <v>25</v>
      </c>
      <c r="B5" s="14">
        <f>'Data Sheet'!B58</f>
        <v>41874.800000000003</v>
      </c>
      <c r="C5" s="14">
        <f>'Data Sheet'!C58</f>
        <v>45198.19</v>
      </c>
      <c r="D5" s="14">
        <f>'Data Sheet'!D58</f>
        <v>51289.68</v>
      </c>
      <c r="E5" s="14">
        <f>'Data Sheet'!E58</f>
        <v>57915.01</v>
      </c>
      <c r="F5" s="14">
        <f>'Data Sheet'!F58</f>
        <v>64044.04</v>
      </c>
      <c r="G5" s="14">
        <f>'Data Sheet'!G58</f>
        <v>59116.46</v>
      </c>
      <c r="H5" s="14">
        <f>'Data Sheet'!H58</f>
        <v>61223.24</v>
      </c>
      <c r="I5" s="14">
        <f>'Data Sheet'!I58</f>
        <v>67912.460000000006</v>
      </c>
      <c r="J5" s="14">
        <f>'Data Sheet'!J58</f>
        <v>73258.53</v>
      </c>
      <c r="K5" s="14">
        <f>'Data Sheet'!K58</f>
        <v>68778.64</v>
      </c>
    </row>
    <row r="6" spans="1:11" x14ac:dyDescent="0.3">
      <c r="A6" t="s">
        <v>71</v>
      </c>
      <c r="B6" s="14">
        <f>'Data Sheet'!B59</f>
        <v>83.78</v>
      </c>
      <c r="C6" s="14">
        <f>'Data Sheet'!C59</f>
        <v>45.72</v>
      </c>
      <c r="D6" s="14">
        <f>'Data Sheet'!D59</f>
        <v>35.92</v>
      </c>
      <c r="E6" s="14">
        <f>'Data Sheet'!E59</f>
        <v>13.44</v>
      </c>
      <c r="F6" s="14">
        <f>'Data Sheet'!F59</f>
        <v>277.45</v>
      </c>
      <c r="G6" s="14">
        <f>'Data Sheet'!G59</f>
        <v>270.83</v>
      </c>
      <c r="H6" s="14">
        <f>'Data Sheet'!H59</f>
        <v>249.44</v>
      </c>
      <c r="I6" s="14">
        <f>'Data Sheet'!I59</f>
        <v>306.04000000000002</v>
      </c>
      <c r="J6" s="14">
        <f>'Data Sheet'!J59</f>
        <v>303.43</v>
      </c>
      <c r="K6" s="14">
        <f>'Data Sheet'!K59</f>
        <v>284.54000000000002</v>
      </c>
    </row>
    <row r="7" spans="1:11" x14ac:dyDescent="0.3">
      <c r="A7" t="s">
        <v>72</v>
      </c>
      <c r="B7" s="14">
        <f>'Data Sheet'!B60</f>
        <v>8888.0400000000009</v>
      </c>
      <c r="C7" s="14">
        <f>'Data Sheet'!C60</f>
        <v>9439.67</v>
      </c>
      <c r="D7" s="14">
        <f>'Data Sheet'!D60</f>
        <v>11694.85</v>
      </c>
      <c r="E7" s="14">
        <f>'Data Sheet'!E60</f>
        <v>12584.73</v>
      </c>
      <c r="F7" s="14">
        <f>'Data Sheet'!F60</f>
        <v>11760.04</v>
      </c>
      <c r="G7" s="14">
        <f>'Data Sheet'!G60</f>
        <v>13142.59</v>
      </c>
      <c r="H7" s="14">
        <f>'Data Sheet'!H60</f>
        <v>14491.01</v>
      </c>
      <c r="I7" s="14">
        <f>'Data Sheet'!I60</f>
        <v>16369.66</v>
      </c>
      <c r="J7" s="14">
        <f>'Data Sheet'!J60</f>
        <v>16943.54</v>
      </c>
      <c r="K7" s="14">
        <f>'Data Sheet'!K60</f>
        <v>17688.11</v>
      </c>
    </row>
    <row r="8" spans="1:11" s="2" customFormat="1" x14ac:dyDescent="0.3">
      <c r="A8" s="2" t="s">
        <v>26</v>
      </c>
      <c r="B8" s="15">
        <f>'Data Sheet'!B61</f>
        <v>51651.34</v>
      </c>
      <c r="C8" s="15">
        <f>'Data Sheet'!C61</f>
        <v>55898.32</v>
      </c>
      <c r="D8" s="15">
        <f>'Data Sheet'!D61</f>
        <v>64240.88</v>
      </c>
      <c r="E8" s="15">
        <f>'Data Sheet'!E61</f>
        <v>71739.039999999994</v>
      </c>
      <c r="F8" s="15">
        <f>'Data Sheet'!F61</f>
        <v>77310.75</v>
      </c>
      <c r="G8" s="15">
        <f>'Data Sheet'!G61</f>
        <v>73760.759999999995</v>
      </c>
      <c r="H8" s="15">
        <f>'Data Sheet'!H61</f>
        <v>77196.02</v>
      </c>
      <c r="I8" s="15">
        <f>'Data Sheet'!I61</f>
        <v>85830.96</v>
      </c>
      <c r="J8" s="15">
        <f>'Data Sheet'!J61</f>
        <v>91753.97</v>
      </c>
      <c r="K8" s="15">
        <f>'Data Sheet'!K61</f>
        <v>88002.7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15106.63</v>
      </c>
      <c r="C10" s="14">
        <f>'Data Sheet'!C62</f>
        <v>15893.48</v>
      </c>
      <c r="D10" s="14">
        <f>'Data Sheet'!D62</f>
        <v>16523.96</v>
      </c>
      <c r="E10" s="14">
        <f>'Data Sheet'!E62</f>
        <v>19374.189999999999</v>
      </c>
      <c r="F10" s="14">
        <f>'Data Sheet'!F62</f>
        <v>21713.34</v>
      </c>
      <c r="G10" s="14">
        <f>'Data Sheet'!G62</f>
        <v>23298.48</v>
      </c>
      <c r="H10" s="14">
        <f>'Data Sheet'!H62</f>
        <v>24231.59</v>
      </c>
      <c r="I10" s="14">
        <f>'Data Sheet'!I62</f>
        <v>25851.27</v>
      </c>
      <c r="J10" s="14">
        <f>'Data Sheet'!J62</f>
        <v>27820.22</v>
      </c>
      <c r="K10" s="14">
        <f>'Data Sheet'!K62</f>
        <v>21954.85</v>
      </c>
    </row>
    <row r="11" spans="1:11" x14ac:dyDescent="0.3">
      <c r="A11" t="s">
        <v>28</v>
      </c>
      <c r="B11" s="14">
        <f>'Data Sheet'!B63</f>
        <v>2559.7199999999998</v>
      </c>
      <c r="C11" s="14">
        <f>'Data Sheet'!C63</f>
        <v>3729.89</v>
      </c>
      <c r="D11" s="14">
        <f>'Data Sheet'!D63</f>
        <v>5508.33</v>
      </c>
      <c r="E11" s="14">
        <f>'Data Sheet'!E63</f>
        <v>4136.42</v>
      </c>
      <c r="F11" s="14">
        <f>'Data Sheet'!F63</f>
        <v>3256.46</v>
      </c>
      <c r="G11" s="14">
        <f>'Data Sheet'!G63</f>
        <v>4011.29</v>
      </c>
      <c r="H11" s="14">
        <f>'Data Sheet'!H63</f>
        <v>3225.54</v>
      </c>
      <c r="I11" s="14">
        <f>'Data Sheet'!I63</f>
        <v>3003.3</v>
      </c>
      <c r="J11" s="14">
        <f>'Data Sheet'!J63</f>
        <v>2860.78</v>
      </c>
      <c r="K11" s="14">
        <f>'Data Sheet'!K63</f>
        <v>1090.9100000000001</v>
      </c>
    </row>
    <row r="12" spans="1:11" x14ac:dyDescent="0.3">
      <c r="A12" t="s">
        <v>29</v>
      </c>
      <c r="B12" s="14">
        <f>'Data Sheet'!B64</f>
        <v>11747.59</v>
      </c>
      <c r="C12" s="14">
        <f>'Data Sheet'!C64</f>
        <v>17581.38</v>
      </c>
      <c r="D12" s="14">
        <f>'Data Sheet'!D64</f>
        <v>22052.86</v>
      </c>
      <c r="E12" s="14">
        <f>'Data Sheet'!E64</f>
        <v>25043.49</v>
      </c>
      <c r="F12" s="14">
        <f>'Data Sheet'!F64</f>
        <v>28663.35</v>
      </c>
      <c r="G12" s="14">
        <f>'Data Sheet'!G64</f>
        <v>24870.87</v>
      </c>
      <c r="H12" s="14">
        <f>'Data Sheet'!H64</f>
        <v>24841.01</v>
      </c>
      <c r="I12" s="14">
        <f>'Data Sheet'!I64</f>
        <v>29415.02</v>
      </c>
      <c r="J12" s="14">
        <f>'Data Sheet'!J64</f>
        <v>31114.02</v>
      </c>
      <c r="K12" s="14">
        <f>'Data Sheet'!K64</f>
        <v>34719.82</v>
      </c>
    </row>
    <row r="13" spans="1:11" x14ac:dyDescent="0.3">
      <c r="A13" t="s">
        <v>73</v>
      </c>
      <c r="B13" s="14">
        <f>'Data Sheet'!B65</f>
        <v>22237.4</v>
      </c>
      <c r="C13" s="14">
        <f>'Data Sheet'!C65</f>
        <v>18693.57</v>
      </c>
      <c r="D13" s="14">
        <f>'Data Sheet'!D65</f>
        <v>20155.73</v>
      </c>
      <c r="E13" s="14">
        <f>'Data Sheet'!E65</f>
        <v>23184.94</v>
      </c>
      <c r="F13" s="14">
        <f>'Data Sheet'!F65</f>
        <v>23677.599999999999</v>
      </c>
      <c r="G13" s="14">
        <f>'Data Sheet'!G65</f>
        <v>21580.12</v>
      </c>
      <c r="H13" s="14">
        <f>'Data Sheet'!H65</f>
        <v>24897.88</v>
      </c>
      <c r="I13" s="14">
        <f>'Data Sheet'!I65</f>
        <v>27561.37</v>
      </c>
      <c r="J13" s="14">
        <f>'Data Sheet'!J65</f>
        <v>29958.95</v>
      </c>
      <c r="K13" s="14">
        <f>'Data Sheet'!K65</f>
        <v>30237.119999999999</v>
      </c>
    </row>
    <row r="14" spans="1:11" s="2" customFormat="1" x14ac:dyDescent="0.3">
      <c r="A14" s="2" t="s">
        <v>26</v>
      </c>
      <c r="B14" s="14">
        <f>'Data Sheet'!B66</f>
        <v>51651.34</v>
      </c>
      <c r="C14" s="14">
        <f>'Data Sheet'!C66</f>
        <v>55898.32</v>
      </c>
      <c r="D14" s="14">
        <f>'Data Sheet'!D66</f>
        <v>64240.88</v>
      </c>
      <c r="E14" s="14">
        <f>'Data Sheet'!E66</f>
        <v>71739.039999999994</v>
      </c>
      <c r="F14" s="14">
        <f>'Data Sheet'!F66</f>
        <v>77310.75</v>
      </c>
      <c r="G14" s="14">
        <f>'Data Sheet'!G66</f>
        <v>73760.759999999995</v>
      </c>
      <c r="H14" s="14">
        <f>'Data Sheet'!H66</f>
        <v>77196.02</v>
      </c>
      <c r="I14" s="14">
        <f>'Data Sheet'!I66</f>
        <v>85830.96</v>
      </c>
      <c r="J14" s="14">
        <f>'Data Sheet'!J66</f>
        <v>91753.97</v>
      </c>
      <c r="K14" s="14">
        <f>'Data Sheet'!K66</f>
        <v>88002.7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13349.36</v>
      </c>
      <c r="C16" s="4">
        <f t="shared" ref="C16:K16" si="0">C13-C7</f>
        <v>9253.9</v>
      </c>
      <c r="D16" s="4">
        <f t="shared" si="0"/>
        <v>8460.8799999999992</v>
      </c>
      <c r="E16" s="4">
        <f t="shared" si="0"/>
        <v>10600.21</v>
      </c>
      <c r="F16" s="4">
        <f t="shared" si="0"/>
        <v>11917.559999999998</v>
      </c>
      <c r="G16" s="4">
        <f t="shared" si="0"/>
        <v>8437.5299999999988</v>
      </c>
      <c r="H16" s="4">
        <f t="shared" si="0"/>
        <v>10406.870000000001</v>
      </c>
      <c r="I16" s="4">
        <f t="shared" si="0"/>
        <v>11191.71</v>
      </c>
      <c r="J16" s="4">
        <f t="shared" si="0"/>
        <v>13015.41</v>
      </c>
      <c r="K16" s="4">
        <f t="shared" si="0"/>
        <v>12549.009999999998</v>
      </c>
    </row>
    <row r="17" spans="1:11" x14ac:dyDescent="0.3">
      <c r="A17" t="s">
        <v>44</v>
      </c>
      <c r="B17" s="4">
        <f>'Data Sheet'!B67</f>
        <v>1917.18</v>
      </c>
      <c r="C17" s="4">
        <f>'Data Sheet'!C67</f>
        <v>2474.29</v>
      </c>
      <c r="D17" s="4">
        <f>'Data Sheet'!D67</f>
        <v>2682.29</v>
      </c>
      <c r="E17" s="4">
        <f>'Data Sheet'!E67</f>
        <v>4035.28</v>
      </c>
      <c r="F17" s="4">
        <f>'Data Sheet'!F67</f>
        <v>2562.48</v>
      </c>
      <c r="G17" s="4">
        <f>'Data Sheet'!G67</f>
        <v>2501.6999999999998</v>
      </c>
      <c r="H17" s="4">
        <f>'Data Sheet'!H67</f>
        <v>2461.9</v>
      </c>
      <c r="I17" s="4">
        <f>'Data Sheet'!I67</f>
        <v>2956.17</v>
      </c>
      <c r="J17" s="4">
        <f>'Data Sheet'!J67</f>
        <v>4025.82</v>
      </c>
      <c r="K17" s="4">
        <f>'Data Sheet'!K67</f>
        <v>4719.67</v>
      </c>
    </row>
    <row r="18" spans="1:11" x14ac:dyDescent="0.3">
      <c r="A18" t="s">
        <v>45</v>
      </c>
      <c r="B18" s="4">
        <f>'Data Sheet'!B68</f>
        <v>9062.1</v>
      </c>
      <c r="C18" s="4">
        <f>'Data Sheet'!C68</f>
        <v>8116.1</v>
      </c>
      <c r="D18" s="4">
        <f>'Data Sheet'!D68</f>
        <v>7495.09</v>
      </c>
      <c r="E18" s="4">
        <f>'Data Sheet'!E68</f>
        <v>7859.56</v>
      </c>
      <c r="F18" s="4">
        <f>'Data Sheet'!F68</f>
        <v>8879.33</v>
      </c>
      <c r="G18" s="4">
        <f>'Data Sheet'!G68</f>
        <v>10397.16</v>
      </c>
      <c r="H18" s="4">
        <f>'Data Sheet'!H68</f>
        <v>10864.15</v>
      </c>
      <c r="I18" s="4">
        <f>'Data Sheet'!I68</f>
        <v>11771.16</v>
      </c>
      <c r="J18" s="4">
        <f>'Data Sheet'!J68</f>
        <v>14152.88</v>
      </c>
      <c r="K18" s="4">
        <f>'Data Sheet'!K68</f>
        <v>15637.56</v>
      </c>
    </row>
    <row r="20" spans="1:11" x14ac:dyDescent="0.3">
      <c r="A20" t="s">
        <v>46</v>
      </c>
      <c r="B20" s="4">
        <f>IF('Profit &amp; Loss'!B4&gt;0,'Balance Sheet'!B17/('Profit &amp; Loss'!B4/365),0)</f>
        <v>17.854891674597688</v>
      </c>
      <c r="C20" s="4">
        <f>IF('Profit &amp; Loss'!C4&gt;0,'Balance Sheet'!C17/('Profit &amp; Loss'!C4/365),0)</f>
        <v>21.116823249375695</v>
      </c>
      <c r="D20" s="4">
        <f>IF('Profit &amp; Loss'!D4&gt;0,'Balance Sheet'!D17/('Profit &amp; Loss'!D4/365),0)</f>
        <v>22.533020368275956</v>
      </c>
      <c r="E20" s="4">
        <f>IF('Profit &amp; Loss'!E4&gt;0,'Balance Sheet'!E17/('Profit &amp; Loss'!E4/365),0)</f>
        <v>30.469383474163411</v>
      </c>
      <c r="F20" s="4">
        <f>IF('Profit &amp; Loss'!F4&gt;0,'Balance Sheet'!F17/('Profit &amp; Loss'!F4/365),0)</f>
        <v>18.938018980434403</v>
      </c>
      <c r="G20" s="4">
        <f>IF('Profit &amp; Loss'!G4&gt;0,'Balance Sheet'!G17/('Profit &amp; Loss'!G4/365),0)</f>
        <v>18.537713584442557</v>
      </c>
      <c r="H20" s="4">
        <f>IF('Profit &amp; Loss'!H4&gt;0,'Balance Sheet'!H17/('Profit &amp; Loss'!H4/365),0)</f>
        <v>14.817385044061677</v>
      </c>
      <c r="I20" s="4">
        <f>IF('Profit &amp; Loss'!I4&gt;0,'Balance Sheet'!I17/('Profit &amp; Loss'!I4/365),0)</f>
        <v>15.214563002342249</v>
      </c>
      <c r="J20" s="4">
        <f>IF('Profit &amp; Loss'!J4&gt;0,'Balance Sheet'!J17/('Profit &amp; Loss'!J4/365),0)</f>
        <v>21.630830799179297</v>
      </c>
      <c r="K20" s="4">
        <f>IF('Profit &amp; Loss'!K4&gt;0,'Balance Sheet'!K17/('Profit &amp; Loss'!K4/365),0)</f>
        <v>22.870461532906003</v>
      </c>
    </row>
    <row r="21" spans="1:11" x14ac:dyDescent="0.3">
      <c r="A21" t="s">
        <v>47</v>
      </c>
      <c r="B21" s="4">
        <f>IF('Balance Sheet'!B18&gt;0,'Profit &amp; Loss'!B4/'Balance Sheet'!B18,0)</f>
        <v>4.3248364065724276</v>
      </c>
      <c r="C21" s="4">
        <f>IF('Balance Sheet'!C18&gt;0,'Profit &amp; Loss'!C4/'Balance Sheet'!C18,0)</f>
        <v>5.2694767191138601</v>
      </c>
      <c r="D21" s="4">
        <f>IF('Balance Sheet'!D18&gt;0,'Profit &amp; Loss'!D4/'Balance Sheet'!D18,0)</f>
        <v>5.7969870942176813</v>
      </c>
      <c r="E21" s="4">
        <f>IF('Balance Sheet'!E18&gt;0,'Profit &amp; Loss'!E4/'Balance Sheet'!E18,0)</f>
        <v>6.1504180895622653</v>
      </c>
      <c r="F21" s="4">
        <f>IF('Balance Sheet'!F18&gt;0,'Profit &amp; Loss'!F4/'Balance Sheet'!F18,0)</f>
        <v>5.5620975906965953</v>
      </c>
      <c r="G21" s="4">
        <f>IF('Balance Sheet'!G18&gt;0,'Profit &amp; Loss'!G4/'Balance Sheet'!G18,0)</f>
        <v>4.7375869949101483</v>
      </c>
      <c r="H21" s="4">
        <f>IF('Balance Sheet'!H18&gt;0,'Profit &amp; Loss'!H4/'Balance Sheet'!H18,0)</f>
        <v>5.5820786715941884</v>
      </c>
      <c r="I21" s="4">
        <f>IF('Balance Sheet'!I18&gt;0,'Profit &amp; Loss'!I4/'Balance Sheet'!I18,0)</f>
        <v>6.0248123379514</v>
      </c>
      <c r="J21" s="4">
        <f>IF('Balance Sheet'!J18&gt;0,'Profit &amp; Loss'!J4/'Balance Sheet'!J18,0)</f>
        <v>4.7998668822176125</v>
      </c>
      <c r="K21" s="4">
        <f>IF('Balance Sheet'!K18&gt;0,'Profit &amp; Loss'!K4/'Balance Sheet'!K18,0)</f>
        <v>4.8168218059594974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0.21894458981731754</v>
      </c>
      <c r="C23" s="10">
        <f>IF(SUM('Balance Sheet'!C4:C5)&gt;0,'Profit &amp; Loss'!C12/SUM('Balance Sheet'!C4:C5),"")</f>
        <v>0.2216933944915781</v>
      </c>
      <c r="D23" s="10">
        <f>IF(SUM('Balance Sheet'!D4:D5)&gt;0,'Profit &amp; Loss'!D12/SUM('Balance Sheet'!D4:D5),"")</f>
        <v>0.21464818870118538</v>
      </c>
      <c r="E23" s="10">
        <f>IF(SUM('Balance Sheet'!E4:E5)&gt;0,'Profit &amp; Loss'!E12/SUM('Balance Sheet'!E4:E5),"")</f>
        <v>0.21292094620860327</v>
      </c>
      <c r="F23" s="10">
        <f>IF(SUM('Balance Sheet'!F4:F5)&gt;0,'Profit &amp; Loss'!F12/SUM('Balance Sheet'!F4:F5),"")</f>
        <v>0.23449464604648212</v>
      </c>
      <c r="G23" s="10">
        <f>IF(SUM('Balance Sheet'!G4:G5)&gt;0,'Profit &amp; Loss'!G12/SUM('Balance Sheet'!G4:G5),"")</f>
        <v>0.21809063995198466</v>
      </c>
      <c r="H23" s="10">
        <f>IF(SUM('Balance Sheet'!H4:H5)&gt;0,'Profit &amp; Loss'!H12/SUM('Balance Sheet'!H4:H5),"")</f>
        <v>0.24405605456807136</v>
      </c>
      <c r="I23" s="10">
        <f>IF(SUM('Balance Sheet'!I4:I5)&gt;0,'Profit &amp; Loss'!I12/SUM('Balance Sheet'!I4:I5),"")</f>
        <v>0.2775155497933201</v>
      </c>
      <c r="J23" s="10">
        <f>IF(SUM('Balance Sheet'!J4:J5)&gt;0,'Profit &amp; Loss'!J12/SUM('Balance Sheet'!J4:J5),"")</f>
        <v>0.27458869636409999</v>
      </c>
      <c r="K23" s="10">
        <f>IF(SUM('Balance Sheet'!K4:K5)&gt;0,'Profit &amp; Loss'!K12/SUM('Balance Sheet'!K4:K5),"")</f>
        <v>0.49616743098141436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0.36034518411668875</v>
      </c>
      <c r="D24" s="10">
        <f>IF((C4+C5+C6+D4+D5+D6)&gt;0,('Profit &amp; Loss'!D10+'Profit &amp; Loss'!D9)*2/(C4+C5+C6+D4+D5+D6),"")</f>
        <v>0.35400589143866729</v>
      </c>
      <c r="E24" s="10">
        <f>IF((D4+D5+D6+E4+E5+E6)&gt;0,('Profit &amp; Loss'!E10+'Profit &amp; Loss'!E9)*2/(D4+D5+D6+E4+E5+E6),"")</f>
        <v>0.34415687544012852</v>
      </c>
      <c r="F24" s="10">
        <f>IF((E4+E5+E6+F4+F5+F6)&gt;0,('Profit &amp; Loss'!F10+'Profit &amp; Loss'!F9)*2/(E4+E5+E6+F4+F5+F6),"")</f>
        <v>0.32261652337652486</v>
      </c>
      <c r="G24" s="10">
        <f>IF((F4+F5+F6+G4+G5+G6)&gt;0,('Profit &amp; Loss'!G10+'Profit &amp; Loss'!G9)*2/(F4+F5+F6+G4+G5+G6),"")</f>
        <v>0.28527066262298589</v>
      </c>
      <c r="H24" s="10">
        <f>IF((G4+G5+G6+H4+H5+H6)&gt;0,('Profit &amp; Loss'!H10+'Profit &amp; Loss'!H9)*2/(G4+G5+G6+H4+H5+H6),"")</f>
        <v>0.33733252742915004</v>
      </c>
      <c r="I24" s="10">
        <f>IF((H4+H5+H6+I4+I5+I6)&gt;0,('Profit &amp; Loss'!I10+'Profit &amp; Loss'!I9)*2/(H4+H5+H6+I4+I5+I6),"")</f>
        <v>0.39333609298769096</v>
      </c>
      <c r="J24" s="10">
        <f>IF((I4+I5+I6+J4+J5+J6)&gt;0,('Profit &amp; Loss'!J10+'Profit &amp; Loss'!J9)*2/(I4+I5+I6+J4+J5+J6),"")</f>
        <v>0.3742927321936183</v>
      </c>
      <c r="K24" s="10">
        <f>IF((J4+J5+J6+K4+K5+K6)&gt;0,('Profit &amp; Loss'!K10+'Profit &amp; Loss'!K9)*2/(J4+J5+J6+K4+K5+K6),"")</f>
        <v>0.57864605289976878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74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25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ITC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9799.0400000000009</v>
      </c>
      <c r="C4" s="1">
        <f>'Data Sheet'!C82</f>
        <v>10627.31</v>
      </c>
      <c r="D4" s="1">
        <f>'Data Sheet'!D82</f>
        <v>13169.4</v>
      </c>
      <c r="E4" s="1">
        <f>'Data Sheet'!E82</f>
        <v>12583.41</v>
      </c>
      <c r="F4" s="1">
        <f>'Data Sheet'!F82</f>
        <v>14689.66</v>
      </c>
      <c r="G4" s="1">
        <f>'Data Sheet'!G82</f>
        <v>12526.97</v>
      </c>
      <c r="H4" s="1">
        <f>'Data Sheet'!H82</f>
        <v>15775.51</v>
      </c>
      <c r="I4" s="1">
        <f>'Data Sheet'!I82</f>
        <v>18877.55</v>
      </c>
      <c r="J4" s="1">
        <f>'Data Sheet'!J82</f>
        <v>17178.86</v>
      </c>
      <c r="K4" s="1">
        <f>'Data Sheet'!K82</f>
        <v>17627.04</v>
      </c>
    </row>
    <row r="5" spans="1:11" x14ac:dyDescent="0.3">
      <c r="A5" t="s">
        <v>33</v>
      </c>
      <c r="B5" s="6">
        <f>'Data Sheet'!B83</f>
        <v>-3920.73</v>
      </c>
      <c r="C5" s="6">
        <f>'Data Sheet'!C83</f>
        <v>-3250.93</v>
      </c>
      <c r="D5" s="6">
        <f>'Data Sheet'!D83</f>
        <v>-7113.89</v>
      </c>
      <c r="E5" s="6">
        <f>'Data Sheet'!E83</f>
        <v>-5545.68</v>
      </c>
      <c r="F5" s="6">
        <f>'Data Sheet'!F83</f>
        <v>-6174.02</v>
      </c>
      <c r="G5" s="6">
        <f>'Data Sheet'!G83</f>
        <v>5739.98</v>
      </c>
      <c r="H5" s="6">
        <f>'Data Sheet'!H83</f>
        <v>-2238.4899999999998</v>
      </c>
      <c r="I5" s="6">
        <f>'Data Sheet'!I83</f>
        <v>-5732.29</v>
      </c>
      <c r="J5" s="6">
        <f>'Data Sheet'!J83</f>
        <v>1562.77</v>
      </c>
      <c r="K5" s="6">
        <f>'Data Sheet'!K83</f>
        <v>-563.84</v>
      </c>
    </row>
    <row r="6" spans="1:11" x14ac:dyDescent="0.3">
      <c r="A6" t="s">
        <v>34</v>
      </c>
      <c r="B6" s="6">
        <f>'Data Sheet'!B84</f>
        <v>-5612.52</v>
      </c>
      <c r="C6" s="6">
        <f>'Data Sheet'!C84</f>
        <v>-7301.03</v>
      </c>
      <c r="D6" s="6">
        <f>'Data Sheet'!D84</f>
        <v>-6221.13</v>
      </c>
      <c r="E6" s="6">
        <f>'Data Sheet'!E84</f>
        <v>-6868.64</v>
      </c>
      <c r="F6" s="6">
        <f>'Data Sheet'!F84</f>
        <v>-8181.48</v>
      </c>
      <c r="G6" s="6">
        <f>'Data Sheet'!G84</f>
        <v>-18633.830000000002</v>
      </c>
      <c r="H6" s="6">
        <f>'Data Sheet'!H84</f>
        <v>-13580.5</v>
      </c>
      <c r="I6" s="6">
        <f>'Data Sheet'!I84</f>
        <v>-13006.03</v>
      </c>
      <c r="J6" s="6">
        <f>'Data Sheet'!J84</f>
        <v>-18550.96</v>
      </c>
      <c r="K6" s="6">
        <f>'Data Sheet'!K84</f>
        <v>-17037.400000000001</v>
      </c>
    </row>
    <row r="7" spans="1:11" s="2" customFormat="1" x14ac:dyDescent="0.3">
      <c r="A7" s="2" t="s">
        <v>35</v>
      </c>
      <c r="B7" s="1">
        <f>'Data Sheet'!B85</f>
        <v>265.79000000000002</v>
      </c>
      <c r="C7" s="1">
        <f>'Data Sheet'!C85</f>
        <v>75.349999999999994</v>
      </c>
      <c r="D7" s="1">
        <f>'Data Sheet'!D85</f>
        <v>-165.62</v>
      </c>
      <c r="E7" s="1">
        <f>'Data Sheet'!E85</f>
        <v>169.09</v>
      </c>
      <c r="F7" s="1">
        <f>'Data Sheet'!F85</f>
        <v>334.16</v>
      </c>
      <c r="G7" s="1">
        <f>'Data Sheet'!G85</f>
        <v>-366.88</v>
      </c>
      <c r="H7" s="1">
        <f>'Data Sheet'!H85</f>
        <v>-43.48</v>
      </c>
      <c r="I7" s="1">
        <f>'Data Sheet'!I85</f>
        <v>139.22999999999999</v>
      </c>
      <c r="J7" s="1">
        <f>'Data Sheet'!J85</f>
        <v>190.67</v>
      </c>
      <c r="K7" s="1">
        <f>'Data Sheet'!K85</f>
        <v>25.8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scale="81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B014-3F0F-4756-ACC9-86C22DDAB0EA}">
  <dimension ref="B2:O75"/>
  <sheetViews>
    <sheetView topLeftCell="B1" workbookViewId="0">
      <selection activeCell="S56" sqref="S56"/>
    </sheetView>
  </sheetViews>
  <sheetFormatPr defaultRowHeight="14.4" x14ac:dyDescent="0.3"/>
  <cols>
    <col min="1" max="1" width="6.5546875" customWidth="1"/>
    <col min="2" max="2" width="22.88671875" customWidth="1"/>
  </cols>
  <sheetData>
    <row r="2" spans="2:15" ht="15" thickBot="1" x14ac:dyDescent="0.35">
      <c r="B2" s="29">
        <v>41699</v>
      </c>
      <c r="C2" s="29">
        <v>42064</v>
      </c>
      <c r="D2" s="29">
        <v>42430</v>
      </c>
      <c r="E2" s="29">
        <v>42795</v>
      </c>
      <c r="F2" s="29">
        <v>43160</v>
      </c>
      <c r="G2" s="29">
        <v>43525</v>
      </c>
      <c r="H2" s="29">
        <v>43891</v>
      </c>
      <c r="I2" s="29">
        <v>44256</v>
      </c>
      <c r="J2" s="29">
        <v>44621</v>
      </c>
      <c r="K2" s="29">
        <v>44986</v>
      </c>
      <c r="L2" s="29">
        <v>45352</v>
      </c>
      <c r="M2" s="29">
        <v>45717</v>
      </c>
      <c r="N2" s="29">
        <v>45901</v>
      </c>
      <c r="O2" s="28"/>
    </row>
    <row r="3" spans="2:15" x14ac:dyDescent="0.3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28"/>
    </row>
    <row r="4" spans="2:15" ht="21" x14ac:dyDescent="0.3">
      <c r="B4" s="70" t="s">
        <v>237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2"/>
    </row>
    <row r="5" spans="2:15" x14ac:dyDescent="0.3">
      <c r="B5" s="73" t="s">
        <v>238</v>
      </c>
      <c r="C5" s="74">
        <v>795</v>
      </c>
      <c r="D5" s="74">
        <v>802</v>
      </c>
      <c r="E5" s="74">
        <v>805</v>
      </c>
      <c r="F5" s="75">
        <v>1215</v>
      </c>
      <c r="G5" s="75">
        <v>1220</v>
      </c>
      <c r="H5" s="75">
        <v>1226</v>
      </c>
      <c r="I5" s="75">
        <v>1229</v>
      </c>
      <c r="J5" s="75">
        <v>1231</v>
      </c>
      <c r="K5" s="75">
        <v>1232</v>
      </c>
      <c r="L5" s="75">
        <v>1243</v>
      </c>
      <c r="M5" s="75">
        <v>1248</v>
      </c>
      <c r="N5" s="75">
        <v>1251</v>
      </c>
      <c r="O5" s="75">
        <v>1253</v>
      </c>
    </row>
    <row r="6" spans="2:15" ht="15" thickBot="1" x14ac:dyDescent="0.35">
      <c r="B6" s="76" t="s">
        <v>25</v>
      </c>
      <c r="C6" s="77">
        <v>26442</v>
      </c>
      <c r="D6" s="77">
        <v>30934</v>
      </c>
      <c r="E6" s="77">
        <v>41875</v>
      </c>
      <c r="F6" s="77">
        <v>45198</v>
      </c>
      <c r="G6" s="77">
        <v>51290</v>
      </c>
      <c r="H6" s="77">
        <v>57915</v>
      </c>
      <c r="I6" s="77">
        <v>64044</v>
      </c>
      <c r="J6" s="77">
        <v>59116</v>
      </c>
      <c r="K6" s="77">
        <v>61223</v>
      </c>
      <c r="L6" s="77">
        <v>67912</v>
      </c>
      <c r="M6" s="77">
        <v>73259</v>
      </c>
      <c r="N6" s="77">
        <v>68779</v>
      </c>
      <c r="O6" s="77">
        <v>69819</v>
      </c>
    </row>
    <row r="7" spans="2:15" x14ac:dyDescent="0.3">
      <c r="B7" s="30" t="s">
        <v>239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2:15" x14ac:dyDescent="0.3">
      <c r="B8" s="78" t="s">
        <v>240</v>
      </c>
      <c r="C8" s="74">
        <v>76</v>
      </c>
      <c r="D8" s="74">
        <v>61</v>
      </c>
      <c r="E8" s="74">
        <v>27</v>
      </c>
      <c r="F8" s="74">
        <v>18</v>
      </c>
      <c r="G8" s="74">
        <v>12</v>
      </c>
      <c r="H8" s="74">
        <v>8</v>
      </c>
      <c r="I8" s="74">
        <v>6</v>
      </c>
      <c r="J8" s="74">
        <v>6</v>
      </c>
      <c r="K8" s="74">
        <v>5</v>
      </c>
      <c r="L8" s="74">
        <v>3</v>
      </c>
      <c r="M8" s="74">
        <v>2</v>
      </c>
      <c r="N8" s="74">
        <v>0</v>
      </c>
      <c r="O8" s="74">
        <v>0</v>
      </c>
    </row>
    <row r="9" spans="2:15" x14ac:dyDescent="0.3">
      <c r="B9" s="78" t="s">
        <v>241</v>
      </c>
      <c r="C9" s="74">
        <v>150</v>
      </c>
      <c r="D9" s="74">
        <v>195</v>
      </c>
      <c r="E9" s="74">
        <v>44</v>
      </c>
      <c r="F9" s="74">
        <v>19</v>
      </c>
      <c r="G9" s="74">
        <v>17</v>
      </c>
      <c r="H9" s="74">
        <v>2</v>
      </c>
      <c r="I9" s="74">
        <v>1</v>
      </c>
      <c r="J9" s="74">
        <v>4</v>
      </c>
      <c r="K9" s="74">
        <v>1</v>
      </c>
      <c r="L9" s="74">
        <v>35</v>
      </c>
      <c r="M9" s="74">
        <v>10</v>
      </c>
      <c r="N9" s="74">
        <v>91</v>
      </c>
      <c r="O9" s="74">
        <v>157</v>
      </c>
    </row>
    <row r="10" spans="2:15" x14ac:dyDescent="0.3">
      <c r="B10" s="78" t="s">
        <v>242</v>
      </c>
      <c r="C10" s="74">
        <v>0</v>
      </c>
      <c r="D10" s="74">
        <v>0</v>
      </c>
      <c r="E10" s="74">
        <v>0</v>
      </c>
      <c r="F10" s="74">
        <v>0</v>
      </c>
      <c r="G10" s="74">
        <v>0</v>
      </c>
      <c r="H10" s="74">
        <v>0</v>
      </c>
      <c r="I10" s="74">
        <v>268</v>
      </c>
      <c r="J10" s="74">
        <v>261</v>
      </c>
      <c r="K10" s="74">
        <v>244</v>
      </c>
      <c r="L10" s="74">
        <v>267</v>
      </c>
      <c r="M10" s="74">
        <v>292</v>
      </c>
      <c r="N10" s="74">
        <v>193</v>
      </c>
      <c r="O10" s="74">
        <v>206</v>
      </c>
    </row>
    <row r="11" spans="2:15" ht="15" thickBot="1" x14ac:dyDescent="0.35">
      <c r="B11" s="78" t="s">
        <v>243</v>
      </c>
      <c r="C11" s="74">
        <v>16</v>
      </c>
      <c r="D11" s="74">
        <v>13</v>
      </c>
      <c r="E11" s="74">
        <v>13</v>
      </c>
      <c r="F11" s="74">
        <v>8</v>
      </c>
      <c r="G11" s="74">
        <v>7</v>
      </c>
      <c r="H11" s="74">
        <v>3</v>
      </c>
      <c r="I11" s="74">
        <v>2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/>
    </row>
    <row r="12" spans="2:15" x14ac:dyDescent="0.3">
      <c r="B12" s="37" t="s">
        <v>244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</row>
    <row r="13" spans="2:15" x14ac:dyDescent="0.3">
      <c r="B13" s="79" t="s">
        <v>245</v>
      </c>
      <c r="C13" s="80">
        <v>203</v>
      </c>
      <c r="D13" s="80">
        <v>225</v>
      </c>
      <c r="E13" s="80">
        <v>261</v>
      </c>
      <c r="F13" s="80">
        <v>295</v>
      </c>
      <c r="G13" s="80">
        <v>334</v>
      </c>
      <c r="H13" s="80">
        <v>343</v>
      </c>
      <c r="I13" s="80">
        <v>377</v>
      </c>
      <c r="J13" s="80">
        <v>347</v>
      </c>
      <c r="K13" s="80">
        <v>366</v>
      </c>
      <c r="L13" s="80">
        <v>384</v>
      </c>
      <c r="M13" s="80">
        <v>383</v>
      </c>
      <c r="N13" s="80">
        <v>368</v>
      </c>
      <c r="O13" s="80">
        <v>523</v>
      </c>
    </row>
    <row r="14" spans="2:15" x14ac:dyDescent="0.3">
      <c r="B14" s="79" t="s">
        <v>246</v>
      </c>
      <c r="C14" s="77">
        <v>2106</v>
      </c>
      <c r="D14" s="77">
        <v>2020</v>
      </c>
      <c r="E14" s="77">
        <v>2339</v>
      </c>
      <c r="F14" s="77">
        <v>2659</v>
      </c>
      <c r="G14" s="77">
        <v>3496</v>
      </c>
      <c r="H14" s="77">
        <v>3510</v>
      </c>
      <c r="I14" s="77">
        <v>3630</v>
      </c>
      <c r="J14" s="77">
        <v>4319</v>
      </c>
      <c r="K14" s="77">
        <v>4417</v>
      </c>
      <c r="L14" s="77">
        <v>4659</v>
      </c>
      <c r="M14" s="77">
        <v>4798</v>
      </c>
      <c r="N14" s="77">
        <v>4807</v>
      </c>
      <c r="O14" s="77">
        <v>5158</v>
      </c>
    </row>
    <row r="15" spans="2:15" x14ac:dyDescent="0.3">
      <c r="B15" s="79" t="s">
        <v>247</v>
      </c>
      <c r="C15" s="80">
        <v>0</v>
      </c>
      <c r="D15" s="80">
        <v>0</v>
      </c>
      <c r="E15" s="80">
        <v>805</v>
      </c>
      <c r="F15" s="80">
        <v>495</v>
      </c>
      <c r="G15" s="80">
        <v>461</v>
      </c>
      <c r="H15" s="80">
        <v>430</v>
      </c>
      <c r="I15" s="80">
        <v>703</v>
      </c>
      <c r="J15" s="80">
        <v>811</v>
      </c>
      <c r="K15" s="77">
        <v>1278</v>
      </c>
      <c r="L15" s="77">
        <v>1295</v>
      </c>
      <c r="M15" s="80">
        <v>886</v>
      </c>
      <c r="N15" s="77">
        <v>1264</v>
      </c>
      <c r="O15" s="80"/>
    </row>
    <row r="16" spans="2:15" ht="15" thickBot="1" x14ac:dyDescent="0.35">
      <c r="B16" s="79" t="s">
        <v>248</v>
      </c>
      <c r="C16" s="77">
        <v>11060</v>
      </c>
      <c r="D16" s="77">
        <v>11702</v>
      </c>
      <c r="E16" s="77">
        <v>5483</v>
      </c>
      <c r="F16" s="77">
        <v>5991</v>
      </c>
      <c r="G16" s="77">
        <v>7404</v>
      </c>
      <c r="H16" s="77">
        <v>8301</v>
      </c>
      <c r="I16" s="77">
        <v>7050</v>
      </c>
      <c r="J16" s="77">
        <v>7666</v>
      </c>
      <c r="K16" s="77">
        <v>8429</v>
      </c>
      <c r="L16" s="77">
        <v>10032</v>
      </c>
      <c r="M16" s="77">
        <v>10877</v>
      </c>
      <c r="N16" s="77">
        <v>11249</v>
      </c>
      <c r="O16" s="77">
        <v>13687</v>
      </c>
    </row>
    <row r="17" spans="2:15" ht="15" thickBot="1" x14ac:dyDescent="0.35">
      <c r="B17" s="30" t="s">
        <v>249</v>
      </c>
      <c r="C17" s="31">
        <v>40848</v>
      </c>
      <c r="D17" s="31">
        <v>45952</v>
      </c>
      <c r="E17" s="31">
        <v>51651</v>
      </c>
      <c r="F17" s="31">
        <v>55898</v>
      </c>
      <c r="G17" s="31">
        <v>64241</v>
      </c>
      <c r="H17" s="31">
        <v>71739</v>
      </c>
      <c r="I17" s="31">
        <v>77311</v>
      </c>
      <c r="J17" s="31">
        <v>73761</v>
      </c>
      <c r="K17" s="31">
        <v>77196</v>
      </c>
      <c r="L17" s="31">
        <v>85831</v>
      </c>
      <c r="M17" s="31">
        <v>91754</v>
      </c>
      <c r="N17" s="31">
        <v>88003</v>
      </c>
      <c r="O17" s="31">
        <v>90803</v>
      </c>
    </row>
    <row r="18" spans="2:15" ht="15" thickBot="1" x14ac:dyDescent="0.35"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2:15" x14ac:dyDescent="0.3">
      <c r="B19" s="37" t="s">
        <v>250</v>
      </c>
      <c r="C19" s="38">
        <v>12921</v>
      </c>
      <c r="D19" s="38">
        <v>15303</v>
      </c>
      <c r="E19" s="38">
        <v>15107</v>
      </c>
      <c r="F19" s="38">
        <v>15893</v>
      </c>
      <c r="G19" s="38">
        <v>16524</v>
      </c>
      <c r="H19" s="38">
        <v>19374</v>
      </c>
      <c r="I19" s="38">
        <v>21713</v>
      </c>
      <c r="J19" s="38">
        <v>23298</v>
      </c>
      <c r="K19" s="38">
        <v>24232</v>
      </c>
      <c r="L19" s="38">
        <v>25851</v>
      </c>
      <c r="M19" s="38">
        <v>27820</v>
      </c>
      <c r="N19" s="38">
        <v>21955</v>
      </c>
      <c r="O19" s="38">
        <v>22400</v>
      </c>
    </row>
    <row r="20" spans="2:15" x14ac:dyDescent="0.3">
      <c r="B20" s="79" t="s">
        <v>251</v>
      </c>
      <c r="C20" s="77">
        <v>1564</v>
      </c>
      <c r="D20" s="77">
        <v>1717</v>
      </c>
      <c r="E20" s="77">
        <v>1615</v>
      </c>
      <c r="F20" s="77">
        <v>1673</v>
      </c>
      <c r="G20" s="77">
        <v>1685</v>
      </c>
      <c r="H20" s="77">
        <v>2021</v>
      </c>
      <c r="I20" s="77">
        <v>2797</v>
      </c>
      <c r="J20" s="77">
        <v>2889</v>
      </c>
      <c r="K20" s="77">
        <v>2829</v>
      </c>
      <c r="L20" s="77">
        <v>2830</v>
      </c>
      <c r="M20" s="77">
        <v>2865</v>
      </c>
      <c r="N20" s="77">
        <v>1588</v>
      </c>
      <c r="O20" s="80"/>
    </row>
    <row r="21" spans="2:15" x14ac:dyDescent="0.3">
      <c r="B21" s="79" t="s">
        <v>252</v>
      </c>
      <c r="C21" s="77">
        <v>4110</v>
      </c>
      <c r="D21" s="77">
        <v>4860</v>
      </c>
      <c r="E21" s="77">
        <v>4219</v>
      </c>
      <c r="F21" s="77">
        <v>4716</v>
      </c>
      <c r="G21" s="77">
        <v>5331</v>
      </c>
      <c r="H21" s="77">
        <v>6996</v>
      </c>
      <c r="I21" s="77">
        <v>8161</v>
      </c>
      <c r="J21" s="77">
        <v>8387</v>
      </c>
      <c r="K21" s="77">
        <v>9100</v>
      </c>
      <c r="L21" s="77">
        <v>9789</v>
      </c>
      <c r="M21" s="77">
        <v>10944</v>
      </c>
      <c r="N21" s="77">
        <v>7550</v>
      </c>
      <c r="O21" s="80"/>
    </row>
    <row r="22" spans="2:15" x14ac:dyDescent="0.3">
      <c r="B22" s="79" t="s">
        <v>253</v>
      </c>
      <c r="C22" s="77">
        <v>12633</v>
      </c>
      <c r="D22" s="77">
        <v>14667</v>
      </c>
      <c r="E22" s="77">
        <v>9112</v>
      </c>
      <c r="F22" s="77">
        <v>10384</v>
      </c>
      <c r="G22" s="77">
        <v>11453</v>
      </c>
      <c r="H22" s="77">
        <v>13316</v>
      </c>
      <c r="I22" s="77">
        <v>14625</v>
      </c>
      <c r="J22" s="77">
        <v>15307</v>
      </c>
      <c r="K22" s="77">
        <v>16912</v>
      </c>
      <c r="L22" s="77">
        <v>18480</v>
      </c>
      <c r="M22" s="77">
        <v>20718</v>
      </c>
      <c r="N22" s="77">
        <v>19423</v>
      </c>
      <c r="O22" s="80"/>
    </row>
    <row r="23" spans="2:15" x14ac:dyDescent="0.3">
      <c r="B23" s="79" t="s">
        <v>254</v>
      </c>
      <c r="C23" s="80">
        <v>34</v>
      </c>
      <c r="D23" s="80">
        <v>46</v>
      </c>
      <c r="E23" s="80">
        <v>27</v>
      </c>
      <c r="F23" s="80">
        <v>32</v>
      </c>
      <c r="G23" s="80">
        <v>32</v>
      </c>
      <c r="H23" s="80">
        <v>34</v>
      </c>
      <c r="I23" s="80">
        <v>40</v>
      </c>
      <c r="J23" s="80">
        <v>41</v>
      </c>
      <c r="K23" s="80">
        <v>44</v>
      </c>
      <c r="L23" s="80">
        <v>44</v>
      </c>
      <c r="M23" s="80">
        <v>53</v>
      </c>
      <c r="N23" s="80">
        <v>63</v>
      </c>
      <c r="O23" s="80"/>
    </row>
    <row r="24" spans="2:15" x14ac:dyDescent="0.3">
      <c r="B24" s="79" t="s">
        <v>255</v>
      </c>
      <c r="C24" s="80">
        <v>729</v>
      </c>
      <c r="D24" s="80">
        <v>805</v>
      </c>
      <c r="E24" s="80">
        <v>413</v>
      </c>
      <c r="F24" s="80">
        <v>459</v>
      </c>
      <c r="G24" s="80">
        <v>497</v>
      </c>
      <c r="H24" s="80">
        <v>644</v>
      </c>
      <c r="I24" s="80">
        <v>810</v>
      </c>
      <c r="J24" s="80">
        <v>833</v>
      </c>
      <c r="K24" s="80">
        <v>907</v>
      </c>
      <c r="L24" s="77">
        <v>1000</v>
      </c>
      <c r="M24" s="77">
        <v>1068</v>
      </c>
      <c r="N24" s="80">
        <v>282</v>
      </c>
      <c r="O24" s="80"/>
    </row>
    <row r="25" spans="2:15" x14ac:dyDescent="0.3">
      <c r="B25" s="79" t="s">
        <v>256</v>
      </c>
      <c r="C25" s="80">
        <v>2</v>
      </c>
      <c r="D25" s="80">
        <v>2</v>
      </c>
      <c r="E25" s="80">
        <v>2</v>
      </c>
      <c r="F25" s="80">
        <v>2</v>
      </c>
      <c r="G25" s="80">
        <v>2</v>
      </c>
      <c r="H25" s="80">
        <v>2</v>
      </c>
      <c r="I25" s="80">
        <v>2</v>
      </c>
      <c r="J25" s="80">
        <v>2</v>
      </c>
      <c r="K25" s="80">
        <v>2</v>
      </c>
      <c r="L25" s="80">
        <v>2</v>
      </c>
      <c r="M25" s="80">
        <v>2</v>
      </c>
      <c r="N25" s="80">
        <v>2</v>
      </c>
      <c r="O25" s="80"/>
    </row>
    <row r="26" spans="2:15" x14ac:dyDescent="0.3">
      <c r="B26" s="79" t="s">
        <v>257</v>
      </c>
      <c r="C26" s="80">
        <v>120</v>
      </c>
      <c r="D26" s="80">
        <v>128</v>
      </c>
      <c r="E26" s="80">
        <v>107</v>
      </c>
      <c r="F26" s="80">
        <v>128</v>
      </c>
      <c r="G26" s="80">
        <v>140</v>
      </c>
      <c r="H26" s="80">
        <v>161</v>
      </c>
      <c r="I26" s="80">
        <v>184</v>
      </c>
      <c r="J26" s="80">
        <v>180</v>
      </c>
      <c r="K26" s="80">
        <v>179</v>
      </c>
      <c r="L26" s="80">
        <v>189</v>
      </c>
      <c r="M26" s="80">
        <v>192</v>
      </c>
      <c r="N26" s="80">
        <v>141</v>
      </c>
      <c r="O26" s="80"/>
    </row>
    <row r="27" spans="2:15" x14ac:dyDescent="0.3">
      <c r="B27" s="79" t="s">
        <v>258</v>
      </c>
      <c r="C27" s="80">
        <v>398</v>
      </c>
      <c r="D27" s="80">
        <v>678</v>
      </c>
      <c r="E27" s="80">
        <v>563</v>
      </c>
      <c r="F27" s="80">
        <v>563</v>
      </c>
      <c r="G27" s="80">
        <v>570</v>
      </c>
      <c r="H27" s="80">
        <v>684</v>
      </c>
      <c r="I27" s="80">
        <v>684</v>
      </c>
      <c r="J27" s="77">
        <v>2734</v>
      </c>
      <c r="K27" s="77">
        <v>2744</v>
      </c>
      <c r="L27" s="77">
        <v>3490</v>
      </c>
      <c r="M27" s="77">
        <v>3505</v>
      </c>
      <c r="N27" s="77">
        <v>3622</v>
      </c>
      <c r="O27" s="77">
        <v>4280</v>
      </c>
    </row>
    <row r="28" spans="2:15" ht="15" thickBot="1" x14ac:dyDescent="0.35">
      <c r="B28" s="79" t="s">
        <v>259</v>
      </c>
      <c r="C28" s="80">
        <v>411</v>
      </c>
      <c r="D28" s="80">
        <v>458</v>
      </c>
      <c r="E28" s="80">
        <v>117</v>
      </c>
      <c r="F28" s="80">
        <v>138</v>
      </c>
      <c r="G28" s="80">
        <v>212</v>
      </c>
      <c r="H28" s="80">
        <v>234</v>
      </c>
      <c r="I28" s="80">
        <v>663</v>
      </c>
      <c r="J28" s="80">
        <v>716</v>
      </c>
      <c r="K28" s="80">
        <v>719</v>
      </c>
      <c r="L28" s="80">
        <v>786</v>
      </c>
      <c r="M28" s="80">
        <v>841</v>
      </c>
      <c r="N28" s="80">
        <v>967</v>
      </c>
      <c r="O28" s="80"/>
    </row>
    <row r="29" spans="2:15" x14ac:dyDescent="0.3">
      <c r="B29" s="81" t="s">
        <v>260</v>
      </c>
      <c r="C29" s="38">
        <v>20000</v>
      </c>
      <c r="D29" s="38">
        <v>23361</v>
      </c>
      <c r="E29" s="38">
        <v>16176</v>
      </c>
      <c r="F29" s="38">
        <v>18094</v>
      </c>
      <c r="G29" s="38">
        <v>19920</v>
      </c>
      <c r="H29" s="38">
        <v>24090</v>
      </c>
      <c r="I29" s="38">
        <v>27965</v>
      </c>
      <c r="J29" s="38">
        <v>31088</v>
      </c>
      <c r="K29" s="38">
        <v>33435</v>
      </c>
      <c r="L29" s="38">
        <v>36608</v>
      </c>
      <c r="M29" s="38">
        <v>40189</v>
      </c>
      <c r="N29" s="38">
        <v>33638</v>
      </c>
      <c r="O29" s="39"/>
    </row>
    <row r="30" spans="2:15" x14ac:dyDescent="0.3">
      <c r="B30" s="79" t="s">
        <v>261</v>
      </c>
      <c r="C30" s="77">
        <v>7073</v>
      </c>
      <c r="D30" s="77">
        <v>8057</v>
      </c>
      <c r="E30" s="77">
        <v>1069</v>
      </c>
      <c r="F30" s="77">
        <v>2201</v>
      </c>
      <c r="G30" s="77">
        <v>3396</v>
      </c>
      <c r="H30" s="77">
        <v>4716</v>
      </c>
      <c r="I30" s="77">
        <v>6252</v>
      </c>
      <c r="J30" s="77">
        <v>7790</v>
      </c>
      <c r="K30" s="77">
        <v>9204</v>
      </c>
      <c r="L30" s="77">
        <v>10757</v>
      </c>
      <c r="M30" s="77">
        <v>12368</v>
      </c>
      <c r="N30" s="77">
        <v>11683</v>
      </c>
      <c r="O30" s="80"/>
    </row>
    <row r="31" spans="2:15" x14ac:dyDescent="0.3">
      <c r="B31" s="79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80"/>
    </row>
    <row r="32" spans="2:15" x14ac:dyDescent="0.3">
      <c r="B32" s="73" t="s">
        <v>262</v>
      </c>
      <c r="C32" s="75">
        <v>3117</v>
      </c>
      <c r="D32" s="75">
        <v>2700</v>
      </c>
      <c r="E32" s="75">
        <v>2560</v>
      </c>
      <c r="F32" s="75">
        <v>3730</v>
      </c>
      <c r="G32" s="75">
        <v>5508</v>
      </c>
      <c r="H32" s="75">
        <v>4136</v>
      </c>
      <c r="I32" s="75">
        <v>3256</v>
      </c>
      <c r="J32" s="75">
        <v>4011</v>
      </c>
      <c r="K32" s="75">
        <v>3226</v>
      </c>
      <c r="L32" s="75">
        <v>3003</v>
      </c>
      <c r="M32" s="75">
        <v>2861</v>
      </c>
      <c r="N32" s="75">
        <v>1091</v>
      </c>
      <c r="O32" s="75">
        <v>1305</v>
      </c>
    </row>
    <row r="33" spans="2:15" x14ac:dyDescent="0.3">
      <c r="B33" s="76" t="s">
        <v>29</v>
      </c>
      <c r="C33" s="77">
        <v>7284</v>
      </c>
      <c r="D33" s="77">
        <v>6943</v>
      </c>
      <c r="E33" s="77">
        <v>11748</v>
      </c>
      <c r="F33" s="77">
        <v>17581</v>
      </c>
      <c r="G33" s="77">
        <v>22053</v>
      </c>
      <c r="H33" s="77">
        <v>25043</v>
      </c>
      <c r="I33" s="77">
        <v>28663</v>
      </c>
      <c r="J33" s="77">
        <v>24871</v>
      </c>
      <c r="K33" s="77">
        <v>24841</v>
      </c>
      <c r="L33" s="77">
        <v>29415</v>
      </c>
      <c r="M33" s="77">
        <v>31114</v>
      </c>
      <c r="N33" s="77">
        <v>34720</v>
      </c>
      <c r="O33" s="77">
        <v>32548</v>
      </c>
    </row>
    <row r="34" spans="2:15" ht="15" thickBot="1" x14ac:dyDescent="0.35"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</row>
    <row r="35" spans="2:15" x14ac:dyDescent="0.3">
      <c r="B35" s="30" t="s">
        <v>263</v>
      </c>
      <c r="C35" s="31">
        <v>17526</v>
      </c>
      <c r="D35" s="31">
        <v>21006</v>
      </c>
      <c r="E35" s="31">
        <v>22237</v>
      </c>
      <c r="F35" s="31">
        <v>18694</v>
      </c>
      <c r="G35" s="31">
        <v>20156</v>
      </c>
      <c r="H35" s="31">
        <v>23185</v>
      </c>
      <c r="I35" s="31">
        <v>23678</v>
      </c>
      <c r="J35" s="31">
        <v>21580</v>
      </c>
      <c r="K35" s="31">
        <v>24898</v>
      </c>
      <c r="L35" s="31">
        <v>27561</v>
      </c>
      <c r="M35" s="31">
        <v>29959</v>
      </c>
      <c r="N35" s="31">
        <v>30237</v>
      </c>
      <c r="O35" s="31">
        <v>34550</v>
      </c>
    </row>
    <row r="36" spans="2:15" x14ac:dyDescent="0.3">
      <c r="B36" s="78" t="s">
        <v>264</v>
      </c>
      <c r="C36" s="75">
        <v>8255</v>
      </c>
      <c r="D36" s="75">
        <v>8587</v>
      </c>
      <c r="E36" s="75">
        <v>9062</v>
      </c>
      <c r="F36" s="75">
        <v>8116</v>
      </c>
      <c r="G36" s="75">
        <v>7495</v>
      </c>
      <c r="H36" s="75">
        <v>7860</v>
      </c>
      <c r="I36" s="75">
        <v>8879</v>
      </c>
      <c r="J36" s="75">
        <v>10397</v>
      </c>
      <c r="K36" s="75">
        <v>10864</v>
      </c>
      <c r="L36" s="75">
        <v>11771</v>
      </c>
      <c r="M36" s="75">
        <v>14153</v>
      </c>
      <c r="N36" s="75">
        <v>15638</v>
      </c>
      <c r="O36" s="75">
        <v>18763</v>
      </c>
    </row>
    <row r="37" spans="2:15" x14ac:dyDescent="0.3">
      <c r="B37" s="78" t="s">
        <v>265</v>
      </c>
      <c r="C37" s="75">
        <v>2439</v>
      </c>
      <c r="D37" s="75">
        <v>1982</v>
      </c>
      <c r="E37" s="75">
        <v>1917</v>
      </c>
      <c r="F37" s="75">
        <v>2474</v>
      </c>
      <c r="G37" s="75">
        <v>2682</v>
      </c>
      <c r="H37" s="75">
        <v>4035</v>
      </c>
      <c r="I37" s="75">
        <v>2562</v>
      </c>
      <c r="J37" s="75">
        <v>2502</v>
      </c>
      <c r="K37" s="75">
        <v>2462</v>
      </c>
      <c r="L37" s="75">
        <v>2956</v>
      </c>
      <c r="M37" s="75">
        <v>4026</v>
      </c>
      <c r="N37" s="75">
        <v>4720</v>
      </c>
      <c r="O37" s="75">
        <v>6503</v>
      </c>
    </row>
    <row r="38" spans="2:15" x14ac:dyDescent="0.3">
      <c r="B38" s="78" t="s">
        <v>266</v>
      </c>
      <c r="C38" s="75">
        <v>3490</v>
      </c>
      <c r="D38" s="75">
        <v>7896</v>
      </c>
      <c r="E38" s="75">
        <v>6063</v>
      </c>
      <c r="F38" s="75">
        <v>2967</v>
      </c>
      <c r="G38" s="75">
        <v>2900</v>
      </c>
      <c r="H38" s="75">
        <v>4152</v>
      </c>
      <c r="I38" s="75">
        <v>7277</v>
      </c>
      <c r="J38" s="75">
        <v>4659</v>
      </c>
      <c r="K38" s="75">
        <v>4654</v>
      </c>
      <c r="L38" s="75">
        <v>4880</v>
      </c>
      <c r="M38" s="75">
        <v>7218</v>
      </c>
      <c r="N38" s="75">
        <v>4012</v>
      </c>
      <c r="O38" s="75">
        <v>4046</v>
      </c>
    </row>
    <row r="39" spans="2:15" x14ac:dyDescent="0.3">
      <c r="B39" s="78" t="s">
        <v>267</v>
      </c>
      <c r="C39" s="74">
        <v>107</v>
      </c>
      <c r="D39" s="74">
        <v>150</v>
      </c>
      <c r="E39" s="74">
        <v>14</v>
      </c>
      <c r="F39" s="74">
        <v>7</v>
      </c>
      <c r="G39" s="74">
        <v>74</v>
      </c>
      <c r="H39" s="74">
        <v>67</v>
      </c>
      <c r="I39" s="74">
        <v>6</v>
      </c>
      <c r="J39" s="74">
        <v>7</v>
      </c>
      <c r="K39" s="74">
        <v>11</v>
      </c>
      <c r="L39" s="74">
        <v>13</v>
      </c>
      <c r="M39" s="74">
        <v>31</v>
      </c>
      <c r="N39" s="74">
        <v>10</v>
      </c>
      <c r="O39" s="74">
        <v>564</v>
      </c>
    </row>
    <row r="40" spans="2:15" ht="15" thickBot="1" x14ac:dyDescent="0.35">
      <c r="B40" s="78" t="s">
        <v>268</v>
      </c>
      <c r="C40" s="75">
        <v>3234</v>
      </c>
      <c r="D40" s="75">
        <v>2391</v>
      </c>
      <c r="E40" s="75">
        <v>5180</v>
      </c>
      <c r="F40" s="75">
        <v>5129</v>
      </c>
      <c r="G40" s="75">
        <v>7004</v>
      </c>
      <c r="H40" s="75">
        <v>7071</v>
      </c>
      <c r="I40" s="75">
        <v>4952</v>
      </c>
      <c r="J40" s="75">
        <v>4015</v>
      </c>
      <c r="K40" s="75">
        <v>6906</v>
      </c>
      <c r="L40" s="75">
        <v>7941</v>
      </c>
      <c r="M40" s="75">
        <v>4531</v>
      </c>
      <c r="N40" s="75">
        <v>5858</v>
      </c>
      <c r="O40" s="75">
        <v>4673</v>
      </c>
    </row>
    <row r="41" spans="2:15" x14ac:dyDescent="0.3">
      <c r="B41" s="37" t="s">
        <v>118</v>
      </c>
      <c r="C41" s="38">
        <v>40848</v>
      </c>
      <c r="D41" s="38">
        <v>45952</v>
      </c>
      <c r="E41" s="38">
        <v>51651</v>
      </c>
      <c r="F41" s="38">
        <v>55898</v>
      </c>
      <c r="G41" s="38">
        <v>64241</v>
      </c>
      <c r="H41" s="38">
        <v>71739</v>
      </c>
      <c r="I41" s="38">
        <v>77311</v>
      </c>
      <c r="J41" s="38">
        <v>73761</v>
      </c>
      <c r="K41" s="38">
        <v>77196</v>
      </c>
      <c r="L41" s="38">
        <v>85831</v>
      </c>
      <c r="M41" s="38">
        <v>91754</v>
      </c>
      <c r="N41" s="38">
        <v>88003</v>
      </c>
      <c r="O41" s="38">
        <v>90803</v>
      </c>
    </row>
    <row r="48" spans="2:15" ht="15" thickBot="1" x14ac:dyDescent="0.35">
      <c r="B48" s="82" t="s">
        <v>284</v>
      </c>
      <c r="C48" s="83">
        <v>42064</v>
      </c>
      <c r="D48" s="83">
        <v>42430</v>
      </c>
      <c r="E48" s="83">
        <v>42795</v>
      </c>
      <c r="F48" s="83">
        <v>43160</v>
      </c>
      <c r="G48" s="83">
        <v>43525</v>
      </c>
      <c r="H48" s="83">
        <v>43891</v>
      </c>
      <c r="I48" s="83">
        <v>44256</v>
      </c>
      <c r="J48" s="83">
        <v>44621</v>
      </c>
      <c r="K48" s="83">
        <v>44986</v>
      </c>
      <c r="L48" s="83">
        <v>45352</v>
      </c>
      <c r="M48" s="83">
        <v>45717</v>
      </c>
      <c r="N48" s="28"/>
    </row>
    <row r="49" spans="2:14" ht="15" thickBot="1" x14ac:dyDescent="0.35">
      <c r="B49" s="84" t="s">
        <v>285</v>
      </c>
      <c r="C49" s="85">
        <v>7344</v>
      </c>
      <c r="D49" s="85">
        <v>9843</v>
      </c>
      <c r="E49" s="85">
        <v>9799</v>
      </c>
      <c r="F49" s="85">
        <v>10627</v>
      </c>
      <c r="G49" s="85">
        <v>13169</v>
      </c>
      <c r="H49" s="85">
        <v>12583</v>
      </c>
      <c r="I49" s="85">
        <v>14690</v>
      </c>
      <c r="J49" s="85">
        <v>12527</v>
      </c>
      <c r="K49" s="85">
        <v>15776</v>
      </c>
      <c r="L49" s="85">
        <v>18878</v>
      </c>
      <c r="M49" s="85">
        <v>17179</v>
      </c>
      <c r="N49" s="85">
        <v>17627</v>
      </c>
    </row>
    <row r="50" spans="2:14" x14ac:dyDescent="0.3">
      <c r="B50" s="86" t="s">
        <v>121</v>
      </c>
      <c r="C50" s="85">
        <v>13172</v>
      </c>
      <c r="D50" s="85">
        <v>14261</v>
      </c>
      <c r="E50" s="85">
        <v>15154</v>
      </c>
      <c r="F50" s="85">
        <v>16075</v>
      </c>
      <c r="G50" s="85">
        <v>17433</v>
      </c>
      <c r="H50" s="85">
        <v>18862</v>
      </c>
      <c r="I50" s="85">
        <v>19416</v>
      </c>
      <c r="J50" s="85">
        <v>17326</v>
      </c>
      <c r="K50" s="85">
        <v>20857</v>
      </c>
      <c r="L50" s="85">
        <v>26052</v>
      </c>
      <c r="M50" s="85">
        <v>26635</v>
      </c>
      <c r="N50" s="85">
        <v>26719</v>
      </c>
    </row>
    <row r="51" spans="2:14" x14ac:dyDescent="0.3">
      <c r="B51" s="78" t="s">
        <v>78</v>
      </c>
      <c r="C51" s="75">
        <v>-1546</v>
      </c>
      <c r="D51" s="74">
        <v>558</v>
      </c>
      <c r="E51" s="74">
        <v>-207</v>
      </c>
      <c r="F51" s="74">
        <v>-870</v>
      </c>
      <c r="G51" s="74">
        <v>-964</v>
      </c>
      <c r="H51" s="74">
        <v>-755</v>
      </c>
      <c r="I51" s="75">
        <v>1411</v>
      </c>
      <c r="J51" s="74">
        <v>-66</v>
      </c>
      <c r="K51" s="74">
        <v>-732</v>
      </c>
      <c r="L51" s="74">
        <v>-884</v>
      </c>
      <c r="M51" s="74">
        <v>-934</v>
      </c>
      <c r="N51" s="75">
        <v>-1023</v>
      </c>
    </row>
    <row r="52" spans="2:14" x14ac:dyDescent="0.3">
      <c r="B52" s="78" t="s">
        <v>45</v>
      </c>
      <c r="C52" s="74">
        <v>-755</v>
      </c>
      <c r="D52" s="74">
        <v>-505</v>
      </c>
      <c r="E52" s="74">
        <v>-693</v>
      </c>
      <c r="F52" s="74">
        <v>593</v>
      </c>
      <c r="G52" s="74">
        <v>602</v>
      </c>
      <c r="H52" s="74">
        <v>-359</v>
      </c>
      <c r="I52" s="74">
        <v>-508</v>
      </c>
      <c r="J52" s="75">
        <v>-1460</v>
      </c>
      <c r="K52" s="74">
        <v>-466</v>
      </c>
      <c r="L52" s="75">
        <v>-1098</v>
      </c>
      <c r="M52" s="75">
        <v>-2545</v>
      </c>
      <c r="N52" s="75">
        <v>-2975</v>
      </c>
    </row>
    <row r="53" spans="2:14" ht="15" thickBot="1" x14ac:dyDescent="0.35">
      <c r="B53" s="78" t="s">
        <v>122</v>
      </c>
      <c r="C53" s="74">
        <v>456</v>
      </c>
      <c r="D53" s="74">
        <v>-23</v>
      </c>
      <c r="E53" s="74">
        <v>622</v>
      </c>
      <c r="F53" s="74">
        <v>321</v>
      </c>
      <c r="G53" s="75">
        <v>2098</v>
      </c>
      <c r="H53" s="74">
        <v>639</v>
      </c>
      <c r="I53" s="74">
        <v>-607</v>
      </c>
      <c r="J53" s="75">
        <v>1112</v>
      </c>
      <c r="K53" s="75">
        <v>1099</v>
      </c>
      <c r="L53" s="75">
        <v>1058</v>
      </c>
      <c r="M53" s="74">
        <v>141</v>
      </c>
      <c r="N53" s="75">
        <v>1256</v>
      </c>
    </row>
    <row r="54" spans="2:14" x14ac:dyDescent="0.3">
      <c r="B54" s="86" t="s">
        <v>123</v>
      </c>
      <c r="C54" s="85">
        <v>-1844</v>
      </c>
      <c r="D54" s="87">
        <v>31</v>
      </c>
      <c r="E54" s="87">
        <v>-277</v>
      </c>
      <c r="F54" s="87">
        <v>44</v>
      </c>
      <c r="G54" s="85">
        <v>1736</v>
      </c>
      <c r="H54" s="87">
        <v>-476</v>
      </c>
      <c r="I54" s="87">
        <v>296</v>
      </c>
      <c r="J54" s="87">
        <v>-413</v>
      </c>
      <c r="K54" s="87">
        <v>-100</v>
      </c>
      <c r="L54" s="87">
        <v>-924</v>
      </c>
      <c r="M54" s="85">
        <v>-3337</v>
      </c>
      <c r="N54" s="85">
        <v>-2742</v>
      </c>
    </row>
    <row r="55" spans="2:14" ht="15" thickBot="1" x14ac:dyDescent="0.35">
      <c r="B55" s="78" t="s">
        <v>124</v>
      </c>
      <c r="C55" s="75">
        <v>-3984</v>
      </c>
      <c r="D55" s="75">
        <v>-4449</v>
      </c>
      <c r="E55" s="75">
        <v>-5078</v>
      </c>
      <c r="F55" s="75">
        <v>-5492</v>
      </c>
      <c r="G55" s="75">
        <v>-6000</v>
      </c>
      <c r="H55" s="75">
        <v>-5803</v>
      </c>
      <c r="I55" s="75">
        <v>-5023</v>
      </c>
      <c r="J55" s="75">
        <v>-4387</v>
      </c>
      <c r="K55" s="75">
        <v>-4982</v>
      </c>
      <c r="L55" s="75">
        <v>-6250</v>
      </c>
      <c r="M55" s="75">
        <v>-6120</v>
      </c>
      <c r="N55" s="75">
        <v>-6350</v>
      </c>
    </row>
    <row r="56" spans="2:14" x14ac:dyDescent="0.3">
      <c r="B56" s="88" t="s">
        <v>286</v>
      </c>
      <c r="C56" s="89">
        <v>-3254</v>
      </c>
      <c r="D56" s="89">
        <v>-5275</v>
      </c>
      <c r="E56" s="89">
        <v>-3921</v>
      </c>
      <c r="F56" s="89">
        <v>-3251</v>
      </c>
      <c r="G56" s="89">
        <v>-7114</v>
      </c>
      <c r="H56" s="89">
        <v>-5546</v>
      </c>
      <c r="I56" s="89">
        <v>-6174</v>
      </c>
      <c r="J56" s="89">
        <v>5740</v>
      </c>
      <c r="K56" s="89">
        <v>-2238</v>
      </c>
      <c r="L56" s="89">
        <v>-5732</v>
      </c>
      <c r="M56" s="89">
        <v>1563</v>
      </c>
      <c r="N56" s="90">
        <v>-564</v>
      </c>
    </row>
    <row r="57" spans="2:14" x14ac:dyDescent="0.3">
      <c r="B57" s="79" t="s">
        <v>126</v>
      </c>
      <c r="C57" s="77">
        <v>-2887</v>
      </c>
      <c r="D57" s="77">
        <v>-3300</v>
      </c>
      <c r="E57" s="77">
        <v>-2348</v>
      </c>
      <c r="F57" s="77">
        <v>-3122</v>
      </c>
      <c r="G57" s="77">
        <v>-2878</v>
      </c>
      <c r="H57" s="77">
        <v>-3169</v>
      </c>
      <c r="I57" s="77">
        <v>-2441</v>
      </c>
      <c r="J57" s="77">
        <v>-1837</v>
      </c>
      <c r="K57" s="77">
        <v>-2142</v>
      </c>
      <c r="L57" s="77">
        <v>-2743</v>
      </c>
      <c r="M57" s="77">
        <v>-3563</v>
      </c>
      <c r="N57" s="77">
        <v>-2279</v>
      </c>
    </row>
    <row r="58" spans="2:14" x14ac:dyDescent="0.3">
      <c r="B58" s="79" t="s">
        <v>127</v>
      </c>
      <c r="C58" s="80">
        <v>38</v>
      </c>
      <c r="D58" s="80">
        <v>9</v>
      </c>
      <c r="E58" s="80">
        <v>8</v>
      </c>
      <c r="F58" s="80">
        <v>50</v>
      </c>
      <c r="G58" s="80">
        <v>80</v>
      </c>
      <c r="H58" s="80">
        <v>28</v>
      </c>
      <c r="I58" s="80">
        <v>27</v>
      </c>
      <c r="J58" s="80">
        <v>3</v>
      </c>
      <c r="K58" s="80">
        <v>133</v>
      </c>
      <c r="L58" s="80">
        <v>49</v>
      </c>
      <c r="M58" s="80">
        <v>107</v>
      </c>
      <c r="N58" s="80">
        <v>175</v>
      </c>
    </row>
    <row r="59" spans="2:14" x14ac:dyDescent="0.3">
      <c r="B59" s="79" t="s">
        <v>128</v>
      </c>
      <c r="C59" s="77">
        <v>-94242</v>
      </c>
      <c r="D59" s="77">
        <v>-98742</v>
      </c>
      <c r="E59" s="77">
        <v>-154081</v>
      </c>
      <c r="F59" s="77">
        <v>-85683</v>
      </c>
      <c r="G59" s="77">
        <v>-98330</v>
      </c>
      <c r="H59" s="77">
        <v>-94187</v>
      </c>
      <c r="I59" s="77">
        <v>-79835</v>
      </c>
      <c r="J59" s="77">
        <v>-57553</v>
      </c>
      <c r="K59" s="77">
        <v>-69776</v>
      </c>
      <c r="L59" s="77">
        <v>-80932</v>
      </c>
      <c r="M59" s="77">
        <v>-75107</v>
      </c>
      <c r="N59" s="77">
        <v>-66373</v>
      </c>
    </row>
    <row r="60" spans="2:14" x14ac:dyDescent="0.3">
      <c r="B60" s="79" t="s">
        <v>129</v>
      </c>
      <c r="C60" s="77">
        <v>93293</v>
      </c>
      <c r="D60" s="77">
        <v>99658</v>
      </c>
      <c r="E60" s="77">
        <v>150651</v>
      </c>
      <c r="F60" s="77">
        <v>81034</v>
      </c>
      <c r="G60" s="77">
        <v>95017</v>
      </c>
      <c r="H60" s="77">
        <v>92454</v>
      </c>
      <c r="I60" s="77">
        <v>75835</v>
      </c>
      <c r="J60" s="77">
        <v>62797</v>
      </c>
      <c r="K60" s="77">
        <v>70992</v>
      </c>
      <c r="L60" s="77">
        <v>77230</v>
      </c>
      <c r="M60" s="77">
        <v>77830</v>
      </c>
      <c r="N60" s="77">
        <v>67311</v>
      </c>
    </row>
    <row r="61" spans="2:14" x14ac:dyDescent="0.3">
      <c r="B61" s="79" t="s">
        <v>130</v>
      </c>
      <c r="C61" s="80">
        <v>374</v>
      </c>
      <c r="D61" s="80">
        <v>559</v>
      </c>
      <c r="E61" s="80">
        <v>741</v>
      </c>
      <c r="F61" s="80">
        <v>756</v>
      </c>
      <c r="G61" s="80">
        <v>736</v>
      </c>
      <c r="H61" s="77">
        <v>1184</v>
      </c>
      <c r="I61" s="77">
        <v>1513</v>
      </c>
      <c r="J61" s="77">
        <v>1275</v>
      </c>
      <c r="K61" s="77">
        <v>1035</v>
      </c>
      <c r="L61" s="77">
        <v>1324</v>
      </c>
      <c r="M61" s="77">
        <v>1138</v>
      </c>
      <c r="N61" s="77">
        <v>1072</v>
      </c>
    </row>
    <row r="62" spans="2:14" x14ac:dyDescent="0.3">
      <c r="B62" s="79" t="s">
        <v>131</v>
      </c>
      <c r="C62" s="80">
        <v>192</v>
      </c>
      <c r="D62" s="80">
        <v>268</v>
      </c>
      <c r="E62" s="80">
        <v>64</v>
      </c>
      <c r="F62" s="80">
        <v>4</v>
      </c>
      <c r="G62" s="80">
        <v>13</v>
      </c>
      <c r="H62" s="80">
        <v>13</v>
      </c>
      <c r="I62" s="80">
        <v>17</v>
      </c>
      <c r="J62" s="80">
        <v>7</v>
      </c>
      <c r="K62" s="80">
        <v>16</v>
      </c>
      <c r="L62" s="80">
        <v>19</v>
      </c>
      <c r="M62" s="80">
        <v>36</v>
      </c>
      <c r="N62" s="80">
        <v>38</v>
      </c>
    </row>
    <row r="63" spans="2:14" x14ac:dyDescent="0.3">
      <c r="B63" s="79" t="s">
        <v>132</v>
      </c>
      <c r="C63" s="80">
        <v>0</v>
      </c>
      <c r="D63" s="80">
        <v>0</v>
      </c>
      <c r="E63" s="80">
        <v>-8</v>
      </c>
      <c r="F63" s="80">
        <v>0</v>
      </c>
      <c r="G63" s="80">
        <v>0</v>
      </c>
      <c r="H63" s="80">
        <v>0</v>
      </c>
      <c r="I63" s="80">
        <v>0</v>
      </c>
      <c r="J63" s="80">
        <v>0</v>
      </c>
      <c r="K63" s="80">
        <v>0</v>
      </c>
      <c r="L63" s="80">
        <v>0</v>
      </c>
      <c r="M63" s="80">
        <v>0</v>
      </c>
      <c r="N63" s="80">
        <v>0</v>
      </c>
    </row>
    <row r="64" spans="2:14" x14ac:dyDescent="0.3">
      <c r="B64" s="79" t="s">
        <v>133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-2</v>
      </c>
      <c r="K64" s="80">
        <v>-2</v>
      </c>
      <c r="L64" s="80">
        <v>-2</v>
      </c>
      <c r="M64" s="80">
        <v>-65</v>
      </c>
      <c r="N64" s="80">
        <v>-30</v>
      </c>
    </row>
    <row r="65" spans="2:14" x14ac:dyDescent="0.3">
      <c r="B65" s="79" t="s">
        <v>134</v>
      </c>
      <c r="C65" s="80">
        <v>0</v>
      </c>
      <c r="D65" s="80">
        <v>0</v>
      </c>
      <c r="E65" s="80">
        <v>0</v>
      </c>
      <c r="F65" s="80">
        <v>129</v>
      </c>
      <c r="G65" s="80">
        <v>18</v>
      </c>
      <c r="H65" s="80">
        <v>18</v>
      </c>
      <c r="I65" s="80">
        <v>0</v>
      </c>
      <c r="J65" s="80">
        <v>0</v>
      </c>
      <c r="K65" s="80">
        <v>0</v>
      </c>
      <c r="L65" s="80">
        <v>56</v>
      </c>
      <c r="M65" s="80">
        <v>0</v>
      </c>
      <c r="N65" s="80">
        <v>0</v>
      </c>
    </row>
    <row r="66" spans="2:14" ht="15" thickBot="1" x14ac:dyDescent="0.35">
      <c r="B66" s="79" t="s">
        <v>135</v>
      </c>
      <c r="C66" s="80">
        <v>-21</v>
      </c>
      <c r="D66" s="77">
        <v>-3728</v>
      </c>
      <c r="E66" s="77">
        <v>1052</v>
      </c>
      <c r="F66" s="77">
        <v>3579</v>
      </c>
      <c r="G66" s="77">
        <v>-1769</v>
      </c>
      <c r="H66" s="77">
        <v>-1887</v>
      </c>
      <c r="I66" s="77">
        <v>-1290</v>
      </c>
      <c r="J66" s="77">
        <v>1051</v>
      </c>
      <c r="K66" s="77">
        <v>-2494</v>
      </c>
      <c r="L66" s="80">
        <v>-733</v>
      </c>
      <c r="M66" s="77">
        <v>1187</v>
      </c>
      <c r="N66" s="80">
        <v>-478</v>
      </c>
    </row>
    <row r="67" spans="2:14" x14ac:dyDescent="0.3">
      <c r="B67" s="84" t="s">
        <v>287</v>
      </c>
      <c r="C67" s="85">
        <v>-4122</v>
      </c>
      <c r="D67" s="85">
        <v>-4661</v>
      </c>
      <c r="E67" s="85">
        <v>-5613</v>
      </c>
      <c r="F67" s="85">
        <v>-7301</v>
      </c>
      <c r="G67" s="85">
        <v>-6221</v>
      </c>
      <c r="H67" s="85">
        <v>-6869</v>
      </c>
      <c r="I67" s="85">
        <v>-8181</v>
      </c>
      <c r="J67" s="85">
        <v>-18634</v>
      </c>
      <c r="K67" s="85">
        <v>-13580</v>
      </c>
      <c r="L67" s="85">
        <v>-13006</v>
      </c>
      <c r="M67" s="85">
        <v>-18551</v>
      </c>
      <c r="N67" s="85">
        <v>-17037</v>
      </c>
    </row>
    <row r="68" spans="2:14" x14ac:dyDescent="0.3">
      <c r="B68" s="78" t="s">
        <v>137</v>
      </c>
      <c r="C68" s="74">
        <v>691</v>
      </c>
      <c r="D68" s="74">
        <v>979</v>
      </c>
      <c r="E68" s="74">
        <v>532</v>
      </c>
      <c r="F68" s="75">
        <v>1067</v>
      </c>
      <c r="G68" s="74">
        <v>913</v>
      </c>
      <c r="H68" s="74">
        <v>969</v>
      </c>
      <c r="I68" s="74">
        <v>625</v>
      </c>
      <c r="J68" s="74">
        <v>291</v>
      </c>
      <c r="K68" s="74">
        <v>292</v>
      </c>
      <c r="L68" s="75">
        <v>2477</v>
      </c>
      <c r="M68" s="75">
        <v>1443</v>
      </c>
      <c r="N68" s="74">
        <v>797</v>
      </c>
    </row>
    <row r="69" spans="2:14" x14ac:dyDescent="0.3">
      <c r="B69" s="78" t="s">
        <v>138</v>
      </c>
      <c r="C69" s="74">
        <v>156</v>
      </c>
      <c r="D69" s="74">
        <v>7</v>
      </c>
      <c r="E69" s="74">
        <v>0</v>
      </c>
      <c r="F69" s="74">
        <v>0</v>
      </c>
      <c r="G69" s="74">
        <v>11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8</v>
      </c>
      <c r="N69" s="74">
        <v>90</v>
      </c>
    </row>
    <row r="70" spans="2:14" x14ac:dyDescent="0.3">
      <c r="B70" s="78" t="s">
        <v>139</v>
      </c>
      <c r="C70" s="74">
        <v>-15</v>
      </c>
      <c r="D70" s="74">
        <v>-20</v>
      </c>
      <c r="E70" s="74">
        <v>-13</v>
      </c>
      <c r="F70" s="74">
        <v>-13</v>
      </c>
      <c r="G70" s="74">
        <v>-8</v>
      </c>
      <c r="H70" s="74">
        <v>-18</v>
      </c>
      <c r="I70" s="74">
        <v>-3</v>
      </c>
      <c r="J70" s="74">
        <v>-2</v>
      </c>
      <c r="K70" s="74">
        <v>-1</v>
      </c>
      <c r="L70" s="74">
        <v>-1</v>
      </c>
      <c r="M70" s="74">
        <v>-2</v>
      </c>
      <c r="N70" s="74">
        <v>-54</v>
      </c>
    </row>
    <row r="71" spans="2:14" x14ac:dyDescent="0.3">
      <c r="B71" s="78" t="s">
        <v>140</v>
      </c>
      <c r="C71" s="74">
        <v>-48</v>
      </c>
      <c r="D71" s="74">
        <v>-16</v>
      </c>
      <c r="E71" s="74">
        <v>-28</v>
      </c>
      <c r="F71" s="74">
        <v>-25</v>
      </c>
      <c r="G71" s="74">
        <v>-49</v>
      </c>
      <c r="H71" s="74">
        <v>-98</v>
      </c>
      <c r="I71" s="74">
        <v>-44</v>
      </c>
      <c r="J71" s="74">
        <v>-41</v>
      </c>
      <c r="K71" s="74">
        <v>-40</v>
      </c>
      <c r="L71" s="74">
        <v>-41</v>
      </c>
      <c r="M71" s="74">
        <v>-46</v>
      </c>
      <c r="N71" s="74">
        <v>-50</v>
      </c>
    </row>
    <row r="72" spans="2:14" x14ac:dyDescent="0.3">
      <c r="B72" s="78" t="s">
        <v>141</v>
      </c>
      <c r="C72" s="75">
        <v>-4239</v>
      </c>
      <c r="D72" s="75">
        <v>-4876</v>
      </c>
      <c r="E72" s="75">
        <v>-5133</v>
      </c>
      <c r="F72" s="75">
        <v>-6994</v>
      </c>
      <c r="G72" s="75">
        <v>-5952</v>
      </c>
      <c r="H72" s="75">
        <v>-6519</v>
      </c>
      <c r="I72" s="75">
        <v>-7302</v>
      </c>
      <c r="J72" s="75">
        <v>-18881</v>
      </c>
      <c r="K72" s="75">
        <v>-13788</v>
      </c>
      <c r="L72" s="75">
        <v>-15418</v>
      </c>
      <c r="M72" s="75">
        <v>-19899</v>
      </c>
      <c r="N72" s="75">
        <v>-17782</v>
      </c>
    </row>
    <row r="73" spans="2:14" x14ac:dyDescent="0.3">
      <c r="B73" s="78" t="s">
        <v>142</v>
      </c>
      <c r="C73" s="74">
        <v>0</v>
      </c>
      <c r="D73" s="74">
        <v>0</v>
      </c>
      <c r="E73" s="74">
        <v>0</v>
      </c>
      <c r="F73" s="74">
        <v>0</v>
      </c>
      <c r="G73" s="74">
        <v>0</v>
      </c>
      <c r="H73" s="74">
        <v>0</v>
      </c>
      <c r="I73" s="74">
        <v>-49</v>
      </c>
      <c r="J73" s="74">
        <v>-55</v>
      </c>
      <c r="K73" s="74">
        <v>-59</v>
      </c>
      <c r="L73" s="74">
        <v>-59</v>
      </c>
      <c r="M73" s="74">
        <v>-67</v>
      </c>
      <c r="N73" s="74">
        <v>-66</v>
      </c>
    </row>
    <row r="74" spans="2:14" ht="15" thickBot="1" x14ac:dyDescent="0.35">
      <c r="B74" s="78" t="s">
        <v>143</v>
      </c>
      <c r="C74" s="74">
        <v>-667</v>
      </c>
      <c r="D74" s="74">
        <v>-734</v>
      </c>
      <c r="E74" s="74">
        <v>-971</v>
      </c>
      <c r="F74" s="75">
        <v>-1335</v>
      </c>
      <c r="G74" s="75">
        <v>-1136</v>
      </c>
      <c r="H74" s="75">
        <v>-1203</v>
      </c>
      <c r="I74" s="75">
        <v>-1409</v>
      </c>
      <c r="J74" s="74">
        <v>55</v>
      </c>
      <c r="K74" s="74">
        <v>15</v>
      </c>
      <c r="L74" s="74">
        <v>35</v>
      </c>
      <c r="M74" s="74">
        <v>12</v>
      </c>
      <c r="N74" s="74">
        <v>28</v>
      </c>
    </row>
    <row r="75" spans="2:14" x14ac:dyDescent="0.3">
      <c r="B75" s="88" t="s">
        <v>35</v>
      </c>
      <c r="C75" s="90">
        <v>-32</v>
      </c>
      <c r="D75" s="90">
        <v>-93</v>
      </c>
      <c r="E75" s="90">
        <v>266</v>
      </c>
      <c r="F75" s="90">
        <v>75</v>
      </c>
      <c r="G75" s="90">
        <v>-166</v>
      </c>
      <c r="H75" s="90">
        <v>169</v>
      </c>
      <c r="I75" s="90">
        <v>334</v>
      </c>
      <c r="J75" s="90">
        <v>-367</v>
      </c>
      <c r="K75" s="90">
        <v>-43</v>
      </c>
      <c r="L75" s="90">
        <v>139</v>
      </c>
      <c r="M75" s="90">
        <v>191</v>
      </c>
      <c r="N75" s="90">
        <v>26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047F-2EE7-474A-8F53-DC228CA7D796}">
  <dimension ref="A1:P163"/>
  <sheetViews>
    <sheetView showGridLines="0" view="pageLayout" zoomScale="61" zoomScaleNormal="70" zoomScalePageLayoutView="61" workbookViewId="0">
      <selection activeCell="A46" sqref="A1:J46"/>
    </sheetView>
  </sheetViews>
  <sheetFormatPr defaultRowHeight="14.4" x14ac:dyDescent="0.3"/>
  <cols>
    <col min="1" max="1" width="2.109375" customWidth="1"/>
    <col min="2" max="2" width="17.6640625" customWidth="1"/>
    <col min="3" max="4" width="10" customWidth="1"/>
    <col min="5" max="5" width="4.77734375" customWidth="1"/>
    <col min="6" max="7" width="10" customWidth="1"/>
    <col min="8" max="8" width="5.44140625" customWidth="1"/>
    <col min="9" max="9" width="16.109375" customWidth="1"/>
    <col min="10" max="10" width="11.5546875" customWidth="1"/>
    <col min="11" max="11" width="12.5546875" customWidth="1"/>
  </cols>
  <sheetData>
    <row r="1" spans="1:16" ht="10.199999999999999" customHeight="1" x14ac:dyDescent="0.3">
      <c r="A1" s="239"/>
      <c r="B1" s="239"/>
      <c r="C1" s="239"/>
      <c r="D1" s="239"/>
      <c r="E1" s="239"/>
      <c r="F1" s="239"/>
      <c r="G1" s="239"/>
      <c r="H1" s="239"/>
      <c r="I1" s="239"/>
      <c r="J1" s="239"/>
    </row>
    <row r="3" spans="1:16" ht="25.8" x14ac:dyDescent="0.5">
      <c r="B3" s="254" t="s">
        <v>225</v>
      </c>
      <c r="C3" s="254"/>
      <c r="D3" s="254"/>
      <c r="E3" s="254"/>
      <c r="F3" s="254"/>
      <c r="G3" s="254"/>
      <c r="H3" s="254"/>
      <c r="I3" s="254"/>
      <c r="J3" s="254"/>
      <c r="K3" s="173"/>
      <c r="L3" s="173"/>
      <c r="M3" s="173"/>
      <c r="N3" s="173"/>
      <c r="O3" s="173"/>
      <c r="P3" s="173"/>
    </row>
    <row r="5" spans="1:16" ht="18" x14ac:dyDescent="0.35">
      <c r="C5" s="253" t="s">
        <v>189</v>
      </c>
      <c r="D5" s="253"/>
      <c r="F5" s="252" t="s">
        <v>226</v>
      </c>
      <c r="G5" s="252"/>
      <c r="I5" s="252" t="s">
        <v>227</v>
      </c>
      <c r="J5" s="252"/>
    </row>
    <row r="6" spans="1:16" ht="18" x14ac:dyDescent="0.35">
      <c r="B6" s="174" t="s">
        <v>228</v>
      </c>
      <c r="C6" s="172" t="s">
        <v>58</v>
      </c>
      <c r="D6" s="172" t="s">
        <v>229</v>
      </c>
      <c r="E6" s="2"/>
      <c r="F6" s="172" t="s">
        <v>58</v>
      </c>
      <c r="G6" s="172" t="s">
        <v>229</v>
      </c>
    </row>
    <row r="7" spans="1:16" x14ac:dyDescent="0.3">
      <c r="B7" s="67">
        <v>44885</v>
      </c>
      <c r="C7">
        <v>319.95999999999998</v>
      </c>
      <c r="D7">
        <v>-2.2000000000000001E-3</v>
      </c>
      <c r="F7" s="68">
        <v>18512.75</v>
      </c>
      <c r="G7">
        <v>1.12E-2</v>
      </c>
      <c r="I7" t="s">
        <v>231</v>
      </c>
      <c r="J7">
        <f>J27</f>
        <v>0.51821111120392505</v>
      </c>
    </row>
    <row r="8" spans="1:16" x14ac:dyDescent="0.3">
      <c r="B8" s="67">
        <v>44892</v>
      </c>
      <c r="C8">
        <v>316.99</v>
      </c>
      <c r="D8">
        <v>-9.2999999999999992E-3</v>
      </c>
      <c r="F8" s="68">
        <v>18696.099999999999</v>
      </c>
      <c r="G8">
        <v>9.9000000000000008E-3</v>
      </c>
      <c r="I8" t="s">
        <v>232</v>
      </c>
      <c r="J8" s="5">
        <v>0.75</v>
      </c>
    </row>
    <row r="9" spans="1:16" x14ac:dyDescent="0.3">
      <c r="B9" s="67">
        <v>44899</v>
      </c>
      <c r="C9">
        <v>320.99</v>
      </c>
      <c r="D9">
        <v>1.26E-2</v>
      </c>
      <c r="F9" s="68">
        <v>18496.599999999999</v>
      </c>
      <c r="G9">
        <v>-1.0699999999999999E-2</v>
      </c>
    </row>
    <row r="10" spans="1:16" x14ac:dyDescent="0.3">
      <c r="B10" s="67">
        <v>44906</v>
      </c>
      <c r="C10">
        <v>315.07</v>
      </c>
      <c r="D10">
        <v>-1.8499999999999999E-2</v>
      </c>
      <c r="F10" s="68">
        <v>18269</v>
      </c>
      <c r="G10">
        <v>-1.23E-2</v>
      </c>
      <c r="I10" t="s">
        <v>234</v>
      </c>
      <c r="J10">
        <v>1</v>
      </c>
    </row>
    <row r="11" spans="1:16" x14ac:dyDescent="0.3">
      <c r="B11" s="67">
        <v>44913</v>
      </c>
      <c r="C11">
        <v>307.17</v>
      </c>
      <c r="D11">
        <v>-2.5100000000000001E-2</v>
      </c>
      <c r="F11" s="68">
        <v>17806.8</v>
      </c>
      <c r="G11">
        <v>-2.53E-2</v>
      </c>
      <c r="I11" t="s">
        <v>232</v>
      </c>
      <c r="J11" s="5">
        <v>0.25</v>
      </c>
    </row>
    <row r="12" spans="1:16" x14ac:dyDescent="0.3">
      <c r="B12" s="67">
        <v>44920</v>
      </c>
      <c r="C12">
        <v>311.73</v>
      </c>
      <c r="D12">
        <v>1.4800000000000001E-2</v>
      </c>
      <c r="F12" s="68">
        <v>18105.3</v>
      </c>
      <c r="G12">
        <v>1.6799999999999999E-2</v>
      </c>
    </row>
    <row r="13" spans="1:16" x14ac:dyDescent="0.3">
      <c r="B13" s="67">
        <v>44927</v>
      </c>
      <c r="C13">
        <v>315.02</v>
      </c>
      <c r="D13">
        <v>1.06E-2</v>
      </c>
      <c r="F13" s="68">
        <v>17859.45</v>
      </c>
      <c r="G13">
        <v>-1.3599999999999999E-2</v>
      </c>
      <c r="I13" s="112" t="s">
        <v>236</v>
      </c>
      <c r="J13" s="112">
        <f>J7*J8+J10*J11</f>
        <v>0.63865833340294376</v>
      </c>
    </row>
    <row r="14" spans="1:16" x14ac:dyDescent="0.3">
      <c r="B14" s="67">
        <v>44934</v>
      </c>
      <c r="C14">
        <v>309.10000000000002</v>
      </c>
      <c r="D14">
        <v>-1.8800000000000001E-2</v>
      </c>
      <c r="F14" s="68">
        <v>17956.599999999999</v>
      </c>
      <c r="G14">
        <v>5.4000000000000003E-3</v>
      </c>
    </row>
    <row r="15" spans="1:16" x14ac:dyDescent="0.3">
      <c r="B15" s="67">
        <v>44941</v>
      </c>
      <c r="C15">
        <v>314.60000000000002</v>
      </c>
      <c r="D15">
        <v>1.78E-2</v>
      </c>
      <c r="F15" s="68">
        <v>18027.650000000001</v>
      </c>
      <c r="G15">
        <v>4.0000000000000001E-3</v>
      </c>
    </row>
    <row r="16" spans="1:16" x14ac:dyDescent="0.3">
      <c r="B16" s="67">
        <v>44948</v>
      </c>
      <c r="C16">
        <v>325.32</v>
      </c>
      <c r="D16">
        <v>3.4099999999999998E-2</v>
      </c>
      <c r="F16" s="68">
        <v>17604.349999999999</v>
      </c>
      <c r="G16">
        <v>-2.35E-2</v>
      </c>
    </row>
    <row r="17" spans="2:11" x14ac:dyDescent="0.3">
      <c r="B17" s="67">
        <v>44955</v>
      </c>
      <c r="C17">
        <v>357.89</v>
      </c>
      <c r="D17">
        <v>0.10009999999999999</v>
      </c>
      <c r="F17" s="68">
        <v>17854.05</v>
      </c>
      <c r="G17">
        <v>1.4200000000000001E-2</v>
      </c>
    </row>
    <row r="18" spans="2:11" x14ac:dyDescent="0.3">
      <c r="B18" s="67">
        <v>44962</v>
      </c>
      <c r="C18">
        <v>349.15</v>
      </c>
      <c r="D18">
        <v>-2.4400000000000002E-2</v>
      </c>
      <c r="F18" s="68">
        <v>17856.5</v>
      </c>
      <c r="G18">
        <v>1E-4</v>
      </c>
    </row>
    <row r="19" spans="2:11" x14ac:dyDescent="0.3">
      <c r="B19" s="67">
        <v>44969</v>
      </c>
      <c r="C19">
        <v>360.48</v>
      </c>
      <c r="D19">
        <v>3.2500000000000001E-2</v>
      </c>
      <c r="F19" s="68">
        <v>17944.2</v>
      </c>
      <c r="G19">
        <v>4.8999999999999998E-3</v>
      </c>
    </row>
    <row r="20" spans="2:11" x14ac:dyDescent="0.3">
      <c r="B20" s="67">
        <v>44976</v>
      </c>
      <c r="C20">
        <v>362.08</v>
      </c>
      <c r="D20">
        <v>4.4000000000000003E-3</v>
      </c>
      <c r="F20" s="68">
        <v>17465.8</v>
      </c>
      <c r="G20">
        <v>-2.6700000000000002E-2</v>
      </c>
    </row>
    <row r="21" spans="2:11" x14ac:dyDescent="0.3">
      <c r="B21" s="67">
        <v>44983</v>
      </c>
      <c r="C21">
        <v>361.94</v>
      </c>
      <c r="D21">
        <v>-4.0000000000000002E-4</v>
      </c>
      <c r="F21" s="68">
        <v>17594.349999999999</v>
      </c>
      <c r="G21">
        <v>7.4000000000000003E-3</v>
      </c>
    </row>
    <row r="22" spans="2:11" x14ac:dyDescent="0.3">
      <c r="B22" s="67">
        <v>44990</v>
      </c>
      <c r="C22">
        <v>364.81</v>
      </c>
      <c r="D22">
        <v>7.9000000000000008E-3</v>
      </c>
      <c r="F22" s="68">
        <v>17412.900000000001</v>
      </c>
      <c r="G22">
        <v>-1.03E-2</v>
      </c>
    </row>
    <row r="23" spans="2:11" x14ac:dyDescent="0.3">
      <c r="B23" s="67">
        <v>44997</v>
      </c>
      <c r="C23">
        <v>353.1</v>
      </c>
      <c r="D23">
        <v>-3.2099999999999997E-2</v>
      </c>
      <c r="F23" s="68">
        <v>17100.05</v>
      </c>
      <c r="G23">
        <v>-1.7999999999999999E-2</v>
      </c>
    </row>
    <row r="24" spans="2:11" x14ac:dyDescent="0.3">
      <c r="B24" s="67">
        <v>45004</v>
      </c>
      <c r="C24">
        <v>356.06</v>
      </c>
      <c r="D24">
        <v>8.3999999999999995E-3</v>
      </c>
      <c r="F24" s="68">
        <v>16945.05</v>
      </c>
      <c r="G24">
        <v>-9.1000000000000004E-3</v>
      </c>
    </row>
    <row r="25" spans="2:11" x14ac:dyDescent="0.3">
      <c r="B25" s="67">
        <v>45011</v>
      </c>
      <c r="C25">
        <v>360.58</v>
      </c>
      <c r="D25">
        <v>1.2699999999999999E-2</v>
      </c>
      <c r="F25" s="68">
        <v>17359.75</v>
      </c>
      <c r="G25">
        <v>2.4500000000000001E-2</v>
      </c>
      <c r="I25" s="66" t="s">
        <v>230</v>
      </c>
      <c r="J25">
        <f>SLOPE(D7:D163,G7:G163)</f>
        <v>0.51821111120392505</v>
      </c>
    </row>
    <row r="26" spans="2:11" x14ac:dyDescent="0.3">
      <c r="B26" s="67">
        <v>45018</v>
      </c>
      <c r="C26">
        <v>364.19</v>
      </c>
      <c r="D26">
        <v>0.01</v>
      </c>
      <c r="F26" s="68">
        <v>17599.150000000001</v>
      </c>
      <c r="G26">
        <v>1.38E-2</v>
      </c>
      <c r="I26" s="66"/>
    </row>
    <row r="27" spans="2:11" x14ac:dyDescent="0.3">
      <c r="B27" s="67">
        <v>45025</v>
      </c>
      <c r="C27">
        <v>371.95</v>
      </c>
      <c r="D27">
        <v>2.1299999999999999E-2</v>
      </c>
      <c r="F27" s="68">
        <v>17828</v>
      </c>
      <c r="G27">
        <v>1.2999999999999999E-2</v>
      </c>
      <c r="I27" s="66" t="s">
        <v>233</v>
      </c>
      <c r="J27">
        <f>_xlfn.COVARIANCE.S(D7:D163,G7:G163)/VAR(G7:G163)</f>
        <v>0.51821111120392505</v>
      </c>
    </row>
    <row r="28" spans="2:11" x14ac:dyDescent="0.3">
      <c r="B28" s="67">
        <v>45032</v>
      </c>
      <c r="C28">
        <v>383.85</v>
      </c>
      <c r="D28">
        <v>3.2000000000000001E-2</v>
      </c>
      <c r="F28" s="68">
        <v>17624.05</v>
      </c>
      <c r="G28">
        <v>-1.14E-2</v>
      </c>
      <c r="I28" s="66"/>
    </row>
    <row r="29" spans="2:11" x14ac:dyDescent="0.3">
      <c r="B29" s="67">
        <v>45039</v>
      </c>
      <c r="C29">
        <v>400.11</v>
      </c>
      <c r="D29">
        <v>4.24E-2</v>
      </c>
      <c r="F29" s="68">
        <v>18065</v>
      </c>
      <c r="G29">
        <v>2.5000000000000001E-2</v>
      </c>
      <c r="I29" s="66" t="s">
        <v>235</v>
      </c>
      <c r="J29" cm="1">
        <f t="array" ref="J29:K29">LINEST(D7:D163,G7:G163)</f>
        <v>0.51821111120392505</v>
      </c>
      <c r="K29">
        <v>4.9427790494237776E-4</v>
      </c>
    </row>
    <row r="30" spans="2:11" x14ac:dyDescent="0.3">
      <c r="B30" s="67">
        <v>45046</v>
      </c>
      <c r="C30">
        <v>403.12</v>
      </c>
      <c r="D30">
        <v>7.4999999999999997E-3</v>
      </c>
      <c r="F30" s="68">
        <v>18069</v>
      </c>
      <c r="G30">
        <v>2.0000000000000001E-4</v>
      </c>
    </row>
    <row r="31" spans="2:11" x14ac:dyDescent="0.3">
      <c r="B31" s="67">
        <v>45053</v>
      </c>
      <c r="C31">
        <v>395.32</v>
      </c>
      <c r="D31">
        <v>-1.9400000000000001E-2</v>
      </c>
      <c r="F31" s="68">
        <v>18314.8</v>
      </c>
      <c r="G31">
        <v>1.3599999999999999E-2</v>
      </c>
    </row>
    <row r="32" spans="2:11" x14ac:dyDescent="0.3">
      <c r="B32" s="67">
        <v>45060</v>
      </c>
      <c r="C32">
        <v>394.75</v>
      </c>
      <c r="D32">
        <v>-1.4E-3</v>
      </c>
      <c r="F32" s="68">
        <v>18203.400000000001</v>
      </c>
      <c r="G32">
        <v>-6.1000000000000004E-3</v>
      </c>
    </row>
    <row r="33" spans="1:10" x14ac:dyDescent="0.3">
      <c r="B33" s="67">
        <v>45067</v>
      </c>
      <c r="C33">
        <v>417.08</v>
      </c>
      <c r="D33">
        <v>5.6599999999999998E-2</v>
      </c>
      <c r="F33" s="68">
        <v>18499.349999999999</v>
      </c>
      <c r="G33">
        <v>1.6299999999999999E-2</v>
      </c>
    </row>
    <row r="34" spans="1:10" x14ac:dyDescent="0.3">
      <c r="B34" s="67">
        <v>45074</v>
      </c>
      <c r="C34">
        <v>419.46</v>
      </c>
      <c r="D34">
        <v>5.7000000000000002E-3</v>
      </c>
      <c r="F34" s="68">
        <v>18534.099999999999</v>
      </c>
      <c r="G34">
        <v>1.9E-3</v>
      </c>
    </row>
    <row r="35" spans="1:10" x14ac:dyDescent="0.3">
      <c r="B35" s="67">
        <v>45081</v>
      </c>
      <c r="C35">
        <v>414.78</v>
      </c>
      <c r="D35">
        <v>-1.12E-2</v>
      </c>
      <c r="F35" s="68">
        <v>18563.400000000001</v>
      </c>
      <c r="G35">
        <v>1.6000000000000001E-3</v>
      </c>
    </row>
    <row r="36" spans="1:10" x14ac:dyDescent="0.3">
      <c r="B36" s="67">
        <v>45088</v>
      </c>
      <c r="C36">
        <v>428.64</v>
      </c>
      <c r="D36">
        <v>3.3399999999999999E-2</v>
      </c>
      <c r="F36" s="68">
        <v>18826</v>
      </c>
      <c r="G36">
        <v>1.41E-2</v>
      </c>
    </row>
    <row r="37" spans="1:10" x14ac:dyDescent="0.3">
      <c r="B37" s="67">
        <v>45095</v>
      </c>
      <c r="C37">
        <v>420.74</v>
      </c>
      <c r="D37">
        <v>-1.84E-2</v>
      </c>
      <c r="F37" s="68">
        <v>18665.5</v>
      </c>
      <c r="G37">
        <v>-8.5000000000000006E-3</v>
      </c>
    </row>
    <row r="38" spans="1:10" x14ac:dyDescent="0.3">
      <c r="B38" s="67">
        <v>45102</v>
      </c>
      <c r="C38">
        <v>427.22</v>
      </c>
      <c r="D38">
        <v>1.54E-2</v>
      </c>
      <c r="F38" s="68">
        <v>19189.05</v>
      </c>
      <c r="G38">
        <v>2.8000000000000001E-2</v>
      </c>
    </row>
    <row r="39" spans="1:10" x14ac:dyDescent="0.3">
      <c r="B39" s="67">
        <v>45109</v>
      </c>
      <c r="C39">
        <v>443.11</v>
      </c>
      <c r="D39">
        <v>3.7199999999999997E-2</v>
      </c>
      <c r="F39" s="68">
        <v>19331.8</v>
      </c>
      <c r="G39">
        <v>7.4000000000000003E-3</v>
      </c>
    </row>
    <row r="40" spans="1:10" x14ac:dyDescent="0.3">
      <c r="B40" s="67">
        <v>45116</v>
      </c>
      <c r="C40">
        <v>447.37</v>
      </c>
      <c r="D40">
        <v>9.5999999999999992E-3</v>
      </c>
      <c r="F40" s="68">
        <v>19564.5</v>
      </c>
      <c r="G40">
        <v>1.2E-2</v>
      </c>
    </row>
    <row r="41" spans="1:10" x14ac:dyDescent="0.3">
      <c r="B41" s="67">
        <v>45123</v>
      </c>
      <c r="C41">
        <v>463.97</v>
      </c>
      <c r="D41">
        <v>3.7100000000000001E-2</v>
      </c>
      <c r="F41" s="68">
        <v>19745</v>
      </c>
      <c r="G41">
        <v>9.1999999999999998E-3</v>
      </c>
    </row>
    <row r="42" spans="1:10" x14ac:dyDescent="0.3">
      <c r="B42" s="67">
        <v>45130</v>
      </c>
      <c r="C42">
        <v>443.16</v>
      </c>
      <c r="D42">
        <v>-4.4900000000000002E-2</v>
      </c>
      <c r="F42" s="68">
        <v>19646.05</v>
      </c>
      <c r="G42">
        <v>-5.0000000000000001E-3</v>
      </c>
    </row>
    <row r="43" spans="1:10" x14ac:dyDescent="0.3">
      <c r="B43" s="67">
        <v>45137</v>
      </c>
      <c r="C43">
        <v>430.39</v>
      </c>
      <c r="D43">
        <v>-2.8799999999999999E-2</v>
      </c>
      <c r="F43" s="68">
        <v>19517</v>
      </c>
      <c r="G43">
        <v>-6.6E-3</v>
      </c>
    </row>
    <row r="44" spans="1:10" x14ac:dyDescent="0.3">
      <c r="B44" s="67">
        <v>45144</v>
      </c>
      <c r="C44">
        <v>424.52</v>
      </c>
      <c r="D44">
        <v>-1.3599999999999999E-2</v>
      </c>
      <c r="F44" s="68">
        <v>19428.3</v>
      </c>
      <c r="G44">
        <v>-4.4999999999999997E-3</v>
      </c>
    </row>
    <row r="45" spans="1:10" x14ac:dyDescent="0.3">
      <c r="B45" s="67">
        <v>45151</v>
      </c>
      <c r="C45">
        <v>417.81</v>
      </c>
      <c r="D45">
        <v>-1.5800000000000002E-2</v>
      </c>
      <c r="F45" s="68">
        <v>19310.150000000001</v>
      </c>
      <c r="G45">
        <v>-6.1000000000000004E-3</v>
      </c>
    </row>
    <row r="46" spans="1:10" ht="3.6" customHeight="1" x14ac:dyDescent="0.3">
      <c r="A46" s="239"/>
      <c r="B46" s="241">
        <v>45158</v>
      </c>
      <c r="C46" s="239">
        <v>419.42</v>
      </c>
      <c r="D46" s="239">
        <v>3.8E-3</v>
      </c>
      <c r="E46" s="239"/>
      <c r="F46" s="242">
        <v>19265.8</v>
      </c>
      <c r="G46" s="239">
        <v>-2.3E-3</v>
      </c>
      <c r="H46" s="239"/>
      <c r="I46" s="239"/>
      <c r="J46" s="239"/>
    </row>
    <row r="47" spans="1:10" x14ac:dyDescent="0.3">
      <c r="B47" s="67">
        <v>45165</v>
      </c>
      <c r="C47">
        <v>417.24</v>
      </c>
      <c r="D47">
        <v>-5.1999999999999998E-3</v>
      </c>
      <c r="F47" s="68">
        <v>19435.3</v>
      </c>
      <c r="G47">
        <v>8.8000000000000005E-3</v>
      </c>
    </row>
    <row r="48" spans="1:10" x14ac:dyDescent="0.3">
      <c r="B48" s="67">
        <v>45172</v>
      </c>
      <c r="C48">
        <v>418.75</v>
      </c>
      <c r="D48">
        <v>3.5999999999999999E-3</v>
      </c>
      <c r="F48" s="68">
        <v>19819.95</v>
      </c>
      <c r="G48">
        <v>1.9800000000000002E-2</v>
      </c>
    </row>
    <row r="49" spans="2:7" x14ac:dyDescent="0.3">
      <c r="B49" s="67">
        <v>45179</v>
      </c>
      <c r="C49">
        <v>424.14</v>
      </c>
      <c r="D49">
        <v>1.29E-2</v>
      </c>
      <c r="F49" s="68">
        <v>20192.349999999999</v>
      </c>
      <c r="G49">
        <v>1.8800000000000001E-2</v>
      </c>
    </row>
    <row r="50" spans="2:7" x14ac:dyDescent="0.3">
      <c r="B50" s="67">
        <v>45186</v>
      </c>
      <c r="C50">
        <v>419.18</v>
      </c>
      <c r="D50">
        <v>-1.17E-2</v>
      </c>
      <c r="F50" s="68">
        <v>19674.25</v>
      </c>
      <c r="G50">
        <v>-2.5700000000000001E-2</v>
      </c>
    </row>
    <row r="51" spans="2:7" x14ac:dyDescent="0.3">
      <c r="B51" s="67">
        <v>45193</v>
      </c>
      <c r="C51">
        <v>420.41</v>
      </c>
      <c r="D51">
        <v>2.8999999999999998E-3</v>
      </c>
      <c r="F51" s="68">
        <v>19638.3</v>
      </c>
      <c r="G51">
        <v>-1.8E-3</v>
      </c>
    </row>
    <row r="52" spans="2:7" x14ac:dyDescent="0.3">
      <c r="B52" s="67">
        <v>45200</v>
      </c>
      <c r="C52">
        <v>418.28</v>
      </c>
      <c r="D52">
        <v>-5.1000000000000004E-3</v>
      </c>
      <c r="F52" s="68">
        <v>19653.5</v>
      </c>
      <c r="G52">
        <v>8.0000000000000004E-4</v>
      </c>
    </row>
    <row r="53" spans="2:7" x14ac:dyDescent="0.3">
      <c r="B53" s="67">
        <v>45207</v>
      </c>
      <c r="C53">
        <v>424.14</v>
      </c>
      <c r="D53">
        <v>1.4E-2</v>
      </c>
      <c r="F53" s="68">
        <v>19751.05</v>
      </c>
      <c r="G53">
        <v>5.0000000000000001E-3</v>
      </c>
    </row>
    <row r="54" spans="2:7" x14ac:dyDescent="0.3">
      <c r="B54" s="67">
        <v>45214</v>
      </c>
      <c r="C54">
        <v>414.64</v>
      </c>
      <c r="D54">
        <v>-2.24E-2</v>
      </c>
      <c r="F54" s="68">
        <v>19542.650000000001</v>
      </c>
      <c r="G54">
        <v>-1.06E-2</v>
      </c>
    </row>
    <row r="55" spans="2:7" x14ac:dyDescent="0.3">
      <c r="B55" s="67">
        <v>45221</v>
      </c>
      <c r="C55">
        <v>410.33</v>
      </c>
      <c r="D55">
        <v>-1.04E-2</v>
      </c>
      <c r="F55" s="68">
        <v>19047.25</v>
      </c>
      <c r="G55">
        <v>-2.53E-2</v>
      </c>
    </row>
    <row r="56" spans="2:7" x14ac:dyDescent="0.3">
      <c r="B56" s="67">
        <v>45228</v>
      </c>
      <c r="C56">
        <v>409.86</v>
      </c>
      <c r="D56">
        <v>-1.1999999999999999E-3</v>
      </c>
      <c r="F56" s="68">
        <v>19230.599999999999</v>
      </c>
      <c r="G56">
        <v>9.5999999999999992E-3</v>
      </c>
    </row>
    <row r="57" spans="2:7" x14ac:dyDescent="0.3">
      <c r="B57" s="67">
        <v>45235</v>
      </c>
      <c r="C57">
        <v>412.98</v>
      </c>
      <c r="D57">
        <v>7.6E-3</v>
      </c>
      <c r="F57" s="68">
        <v>19425.349999999999</v>
      </c>
      <c r="G57">
        <v>1.01E-2</v>
      </c>
    </row>
    <row r="58" spans="2:7" x14ac:dyDescent="0.3">
      <c r="B58" s="67">
        <v>45242</v>
      </c>
      <c r="C58">
        <v>415.54</v>
      </c>
      <c r="D58">
        <v>6.1999999999999998E-3</v>
      </c>
      <c r="F58" s="68">
        <v>19731.8</v>
      </c>
      <c r="G58">
        <v>1.5800000000000002E-2</v>
      </c>
    </row>
    <row r="59" spans="2:7" x14ac:dyDescent="0.3">
      <c r="B59" s="67">
        <v>45249</v>
      </c>
      <c r="C59">
        <v>414.16</v>
      </c>
      <c r="D59">
        <v>-3.3E-3</v>
      </c>
      <c r="F59" s="68">
        <v>19794.7</v>
      </c>
      <c r="G59">
        <v>3.2000000000000002E-3</v>
      </c>
    </row>
    <row r="60" spans="2:7" x14ac:dyDescent="0.3">
      <c r="B60" s="67">
        <v>45256</v>
      </c>
      <c r="C60">
        <v>425.52</v>
      </c>
      <c r="D60">
        <v>2.7400000000000001E-2</v>
      </c>
      <c r="F60" s="68">
        <v>20267.900000000001</v>
      </c>
      <c r="G60">
        <v>2.3900000000000001E-2</v>
      </c>
    </row>
    <row r="61" spans="2:7" x14ac:dyDescent="0.3">
      <c r="B61" s="67">
        <v>45263</v>
      </c>
      <c r="C61">
        <v>424.9</v>
      </c>
      <c r="D61">
        <v>-1.4E-3</v>
      </c>
      <c r="F61" s="68">
        <v>20969.400000000001</v>
      </c>
      <c r="G61">
        <v>3.4599999999999999E-2</v>
      </c>
    </row>
    <row r="62" spans="2:7" x14ac:dyDescent="0.3">
      <c r="B62" s="67">
        <v>45270</v>
      </c>
      <c r="C62">
        <v>433.46</v>
      </c>
      <c r="D62">
        <v>2.01E-2</v>
      </c>
      <c r="F62" s="68">
        <v>21456.65</v>
      </c>
      <c r="G62">
        <v>2.3199999999999998E-2</v>
      </c>
    </row>
    <row r="63" spans="2:7" x14ac:dyDescent="0.3">
      <c r="B63" s="67">
        <v>45277</v>
      </c>
      <c r="C63">
        <v>430.63</v>
      </c>
      <c r="D63">
        <v>-6.4999999999999997E-3</v>
      </c>
      <c r="F63" s="68">
        <v>21349.4</v>
      </c>
      <c r="G63">
        <v>-5.0000000000000001E-3</v>
      </c>
    </row>
    <row r="64" spans="2:7" x14ac:dyDescent="0.3">
      <c r="B64" s="67">
        <v>45284</v>
      </c>
      <c r="C64">
        <v>437.15</v>
      </c>
      <c r="D64">
        <v>1.52E-2</v>
      </c>
      <c r="F64" s="68">
        <v>21731.4</v>
      </c>
      <c r="G64">
        <v>1.7899999999999999E-2</v>
      </c>
    </row>
    <row r="65" spans="2:7" x14ac:dyDescent="0.3">
      <c r="B65" s="67">
        <v>45291</v>
      </c>
      <c r="C65">
        <v>448.36</v>
      </c>
      <c r="D65">
        <v>2.5600000000000001E-2</v>
      </c>
      <c r="F65" s="68">
        <v>21710.799999999999</v>
      </c>
      <c r="G65">
        <v>-8.9999999999999998E-4</v>
      </c>
    </row>
    <row r="66" spans="2:7" x14ac:dyDescent="0.3">
      <c r="B66" s="67">
        <v>45298</v>
      </c>
      <c r="C66">
        <v>441.5</v>
      </c>
      <c r="D66">
        <v>-1.5299999999999999E-2</v>
      </c>
      <c r="F66" s="68">
        <v>21894.55</v>
      </c>
      <c r="G66">
        <v>8.5000000000000006E-3</v>
      </c>
    </row>
    <row r="67" spans="2:7" x14ac:dyDescent="0.3">
      <c r="B67" s="67">
        <v>45305</v>
      </c>
      <c r="C67">
        <v>446.05</v>
      </c>
      <c r="D67">
        <v>1.03E-2</v>
      </c>
      <c r="F67" s="68">
        <v>21622.400000000001</v>
      </c>
      <c r="G67">
        <v>-1.24E-2</v>
      </c>
    </row>
    <row r="68" spans="2:7" x14ac:dyDescent="0.3">
      <c r="B68" s="67">
        <v>45312</v>
      </c>
      <c r="C68">
        <v>431.05</v>
      </c>
      <c r="D68">
        <v>-3.3599999999999998E-2</v>
      </c>
      <c r="F68" s="68">
        <v>21352.6</v>
      </c>
      <c r="G68">
        <v>-1.2500000000000001E-2</v>
      </c>
    </row>
    <row r="69" spans="2:7" x14ac:dyDescent="0.3">
      <c r="B69" s="67">
        <v>45319</v>
      </c>
      <c r="C69">
        <v>416.34</v>
      </c>
      <c r="D69">
        <v>-3.4099999999999998E-2</v>
      </c>
      <c r="F69" s="68">
        <v>21853.8</v>
      </c>
      <c r="G69">
        <v>2.35E-2</v>
      </c>
    </row>
    <row r="70" spans="2:7" x14ac:dyDescent="0.3">
      <c r="B70" s="67">
        <v>45326</v>
      </c>
      <c r="C70">
        <v>393.07</v>
      </c>
      <c r="D70">
        <v>-5.5899999999999998E-2</v>
      </c>
      <c r="F70" s="68">
        <v>21782.5</v>
      </c>
      <c r="G70">
        <v>-3.3E-3</v>
      </c>
    </row>
    <row r="71" spans="2:7" x14ac:dyDescent="0.3">
      <c r="B71" s="67">
        <v>45333</v>
      </c>
      <c r="C71">
        <v>382.76</v>
      </c>
      <c r="D71">
        <v>-2.6200000000000001E-2</v>
      </c>
      <c r="F71" s="68">
        <v>22040.7</v>
      </c>
      <c r="G71">
        <v>1.1900000000000001E-2</v>
      </c>
    </row>
    <row r="72" spans="2:7" x14ac:dyDescent="0.3">
      <c r="B72" s="67">
        <v>45340</v>
      </c>
      <c r="C72">
        <v>389.19</v>
      </c>
      <c r="D72">
        <v>1.6799999999999999E-2</v>
      </c>
      <c r="F72" s="68">
        <v>22212.7</v>
      </c>
      <c r="G72">
        <v>7.7999999999999996E-3</v>
      </c>
    </row>
    <row r="73" spans="2:7" x14ac:dyDescent="0.3">
      <c r="B73" s="67">
        <v>45347</v>
      </c>
      <c r="C73">
        <v>387.39</v>
      </c>
      <c r="D73">
        <v>-4.5999999999999999E-3</v>
      </c>
      <c r="F73" s="68">
        <v>22338.75</v>
      </c>
      <c r="G73">
        <v>5.7000000000000002E-3</v>
      </c>
    </row>
    <row r="74" spans="2:7" x14ac:dyDescent="0.3">
      <c r="B74" s="67">
        <v>45354</v>
      </c>
      <c r="C74">
        <v>391.22</v>
      </c>
      <c r="D74">
        <v>9.9000000000000008E-3</v>
      </c>
      <c r="F74" s="68">
        <v>22493.55</v>
      </c>
      <c r="G74">
        <v>6.8999999999999999E-3</v>
      </c>
    </row>
    <row r="75" spans="2:7" x14ac:dyDescent="0.3">
      <c r="B75" s="67">
        <v>45361</v>
      </c>
      <c r="C75">
        <v>396.47</v>
      </c>
      <c r="D75">
        <v>1.34E-2</v>
      </c>
      <c r="F75" s="68">
        <v>22023.35</v>
      </c>
      <c r="G75">
        <v>-2.0899999999999998E-2</v>
      </c>
    </row>
    <row r="76" spans="2:7" x14ac:dyDescent="0.3">
      <c r="B76" s="67">
        <v>45368</v>
      </c>
      <c r="C76">
        <v>405.46</v>
      </c>
      <c r="D76">
        <v>2.2700000000000001E-2</v>
      </c>
      <c r="F76" s="68">
        <v>22096.75</v>
      </c>
      <c r="G76">
        <v>3.3E-3</v>
      </c>
    </row>
    <row r="77" spans="2:7" x14ac:dyDescent="0.3">
      <c r="B77" s="67">
        <v>45375</v>
      </c>
      <c r="C77">
        <v>405.23</v>
      </c>
      <c r="D77">
        <v>-5.9999999999999995E-4</v>
      </c>
      <c r="F77" s="68">
        <v>22326.9</v>
      </c>
      <c r="G77">
        <v>1.04E-2</v>
      </c>
    </row>
    <row r="78" spans="2:7" x14ac:dyDescent="0.3">
      <c r="B78" s="67">
        <v>45382</v>
      </c>
      <c r="C78">
        <v>404.47</v>
      </c>
      <c r="D78">
        <v>-1.9E-3</v>
      </c>
      <c r="F78" s="68">
        <v>22513.7</v>
      </c>
      <c r="G78">
        <v>8.3999999999999995E-3</v>
      </c>
    </row>
    <row r="79" spans="2:7" x14ac:dyDescent="0.3">
      <c r="B79" s="67">
        <v>45389</v>
      </c>
      <c r="C79">
        <v>406.88</v>
      </c>
      <c r="D79">
        <v>6.0000000000000001E-3</v>
      </c>
      <c r="F79" s="68">
        <v>22519.4</v>
      </c>
      <c r="G79">
        <v>2.9999999999999997E-4</v>
      </c>
    </row>
    <row r="80" spans="2:7" x14ac:dyDescent="0.3">
      <c r="B80" s="67">
        <v>45396</v>
      </c>
      <c r="C80">
        <v>401.82</v>
      </c>
      <c r="D80">
        <v>-1.24E-2</v>
      </c>
      <c r="F80" s="68">
        <v>22147</v>
      </c>
      <c r="G80">
        <v>-1.6500000000000001E-2</v>
      </c>
    </row>
    <row r="81" spans="2:7" x14ac:dyDescent="0.3">
      <c r="B81" s="67">
        <v>45403</v>
      </c>
      <c r="C81">
        <v>416.25</v>
      </c>
      <c r="D81">
        <v>3.5900000000000001E-2</v>
      </c>
      <c r="F81" s="68">
        <v>22419.95</v>
      </c>
      <c r="G81">
        <v>1.23E-2</v>
      </c>
    </row>
    <row r="82" spans="2:7" x14ac:dyDescent="0.3">
      <c r="B82" s="67">
        <v>45410</v>
      </c>
      <c r="C82">
        <v>412.89</v>
      </c>
      <c r="D82">
        <v>-8.0999999999999996E-3</v>
      </c>
      <c r="F82" s="68">
        <v>22475.85</v>
      </c>
      <c r="G82">
        <v>2.5000000000000001E-3</v>
      </c>
    </row>
    <row r="83" spans="2:7" x14ac:dyDescent="0.3">
      <c r="B83" s="67">
        <v>45417</v>
      </c>
      <c r="C83">
        <v>409.95</v>
      </c>
      <c r="D83">
        <v>-7.1000000000000004E-3</v>
      </c>
      <c r="F83" s="68">
        <v>22055.200000000001</v>
      </c>
      <c r="G83">
        <v>-1.8700000000000001E-2</v>
      </c>
    </row>
    <row r="84" spans="2:7" x14ac:dyDescent="0.3">
      <c r="B84" s="67">
        <v>45424</v>
      </c>
      <c r="C84">
        <v>412.74</v>
      </c>
      <c r="D84">
        <v>6.7999999999999996E-3</v>
      </c>
      <c r="F84" s="68">
        <v>22466.1</v>
      </c>
      <c r="G84">
        <v>1.8599999999999998E-2</v>
      </c>
    </row>
    <row r="85" spans="2:7" x14ac:dyDescent="0.3">
      <c r="B85" s="67">
        <v>45431</v>
      </c>
      <c r="C85">
        <v>412.65</v>
      </c>
      <c r="D85">
        <v>-2.0000000000000001E-4</v>
      </c>
      <c r="F85" s="68">
        <v>22957.1</v>
      </c>
      <c r="G85">
        <v>2.1899999999999999E-2</v>
      </c>
    </row>
    <row r="86" spans="2:7" x14ac:dyDescent="0.3">
      <c r="B86" s="67">
        <v>45438</v>
      </c>
      <c r="C86">
        <v>403.43</v>
      </c>
      <c r="D86">
        <v>-2.24E-2</v>
      </c>
      <c r="F86" s="68">
        <v>22530.7</v>
      </c>
      <c r="G86">
        <v>-1.8599999999999998E-2</v>
      </c>
    </row>
    <row r="87" spans="2:7" x14ac:dyDescent="0.3">
      <c r="B87" s="67">
        <v>45445</v>
      </c>
      <c r="C87">
        <v>415.44</v>
      </c>
      <c r="D87">
        <v>2.98E-2</v>
      </c>
      <c r="F87" s="68">
        <v>23290.15</v>
      </c>
      <c r="G87">
        <v>3.3700000000000001E-2</v>
      </c>
    </row>
    <row r="88" spans="2:7" x14ac:dyDescent="0.3">
      <c r="B88" s="67">
        <v>45452</v>
      </c>
      <c r="C88">
        <v>407.87</v>
      </c>
      <c r="D88">
        <v>-1.8200000000000001E-2</v>
      </c>
      <c r="F88" s="68">
        <v>23465.599999999999</v>
      </c>
      <c r="G88">
        <v>7.4999999999999997E-3</v>
      </c>
    </row>
    <row r="89" spans="2:7" x14ac:dyDescent="0.3">
      <c r="B89" s="67">
        <v>45459</v>
      </c>
      <c r="C89">
        <v>396.95</v>
      </c>
      <c r="D89">
        <v>-2.6800000000000001E-2</v>
      </c>
      <c r="F89" s="68">
        <v>23501.1</v>
      </c>
      <c r="G89">
        <v>1.5E-3</v>
      </c>
    </row>
    <row r="90" spans="2:7" x14ac:dyDescent="0.3">
      <c r="B90" s="67">
        <v>45466</v>
      </c>
      <c r="C90">
        <v>401.96</v>
      </c>
      <c r="D90">
        <v>1.26E-2</v>
      </c>
      <c r="F90" s="68">
        <v>24010.6</v>
      </c>
      <c r="G90">
        <v>2.1700000000000001E-2</v>
      </c>
    </row>
    <row r="91" spans="2:7" x14ac:dyDescent="0.3">
      <c r="B91" s="67">
        <v>45473</v>
      </c>
      <c r="C91">
        <v>410.24</v>
      </c>
      <c r="D91">
        <v>2.06E-2</v>
      </c>
      <c r="F91" s="68">
        <v>24323.85</v>
      </c>
      <c r="G91">
        <v>1.2999999999999999E-2</v>
      </c>
    </row>
    <row r="92" spans="2:7" x14ac:dyDescent="0.3">
      <c r="B92" s="67">
        <v>45480</v>
      </c>
      <c r="C92">
        <v>434.27</v>
      </c>
      <c r="D92">
        <v>5.8599999999999999E-2</v>
      </c>
      <c r="F92" s="68">
        <v>24502.15</v>
      </c>
      <c r="G92">
        <v>7.3000000000000001E-3</v>
      </c>
    </row>
    <row r="93" spans="2:7" x14ac:dyDescent="0.3">
      <c r="B93" s="67">
        <v>45487</v>
      </c>
      <c r="C93">
        <v>448.93</v>
      </c>
      <c r="D93">
        <v>3.3799999999999997E-2</v>
      </c>
      <c r="F93" s="68">
        <v>24530.9</v>
      </c>
      <c r="G93">
        <v>1.1999999999999999E-3</v>
      </c>
    </row>
    <row r="94" spans="2:7" x14ac:dyDescent="0.3">
      <c r="B94" s="67">
        <v>45494</v>
      </c>
      <c r="C94">
        <v>475.09</v>
      </c>
      <c r="D94">
        <v>5.8299999999999998E-2</v>
      </c>
      <c r="F94" s="68">
        <v>24834.85</v>
      </c>
      <c r="G94">
        <v>1.24E-2</v>
      </c>
    </row>
    <row r="95" spans="2:7" x14ac:dyDescent="0.3">
      <c r="B95" s="67">
        <v>45501</v>
      </c>
      <c r="C95">
        <v>462.7</v>
      </c>
      <c r="D95">
        <v>-2.6100000000000002E-2</v>
      </c>
      <c r="F95" s="68">
        <v>24717.7</v>
      </c>
      <c r="G95">
        <v>-4.7000000000000002E-3</v>
      </c>
    </row>
    <row r="96" spans="2:7" x14ac:dyDescent="0.3">
      <c r="B96" s="67">
        <v>45508</v>
      </c>
      <c r="C96">
        <v>469.13</v>
      </c>
      <c r="D96">
        <v>1.3899999999999999E-2</v>
      </c>
      <c r="F96" s="68">
        <v>24367.5</v>
      </c>
      <c r="G96">
        <v>-1.4200000000000001E-2</v>
      </c>
    </row>
    <row r="97" spans="2:7" x14ac:dyDescent="0.3">
      <c r="B97" s="67">
        <v>45515</v>
      </c>
      <c r="C97">
        <v>475.51</v>
      </c>
      <c r="D97">
        <v>1.3599999999999999E-2</v>
      </c>
      <c r="F97" s="68">
        <v>24541.15</v>
      </c>
      <c r="G97">
        <v>7.1000000000000004E-3</v>
      </c>
    </row>
    <row r="98" spans="2:7" x14ac:dyDescent="0.3">
      <c r="B98" s="67">
        <v>45522</v>
      </c>
      <c r="C98">
        <v>478.49</v>
      </c>
      <c r="D98">
        <v>6.3E-3</v>
      </c>
      <c r="F98" s="68">
        <v>24823.15</v>
      </c>
      <c r="G98">
        <v>1.15E-2</v>
      </c>
    </row>
    <row r="99" spans="2:7" x14ac:dyDescent="0.3">
      <c r="B99" s="67">
        <v>45529</v>
      </c>
      <c r="C99">
        <v>474.8</v>
      </c>
      <c r="D99">
        <v>-7.7000000000000002E-3</v>
      </c>
      <c r="F99" s="68">
        <v>25235.9</v>
      </c>
      <c r="G99">
        <v>1.66E-2</v>
      </c>
    </row>
    <row r="100" spans="2:7" x14ac:dyDescent="0.3">
      <c r="B100" s="67">
        <v>45536</v>
      </c>
      <c r="C100">
        <v>474.61</v>
      </c>
      <c r="D100">
        <v>-4.0000000000000002E-4</v>
      </c>
      <c r="F100" s="68">
        <v>24852.15</v>
      </c>
      <c r="G100">
        <v>-1.52E-2</v>
      </c>
    </row>
    <row r="101" spans="2:7" x14ac:dyDescent="0.3">
      <c r="B101" s="67">
        <v>45543</v>
      </c>
      <c r="C101">
        <v>486.11</v>
      </c>
      <c r="D101">
        <v>2.4199999999999999E-2</v>
      </c>
      <c r="F101" s="68">
        <v>25356.5</v>
      </c>
      <c r="G101">
        <v>2.0299999999999999E-2</v>
      </c>
    </row>
    <row r="102" spans="2:7" x14ac:dyDescent="0.3">
      <c r="B102" s="67">
        <v>45550</v>
      </c>
      <c r="C102">
        <v>486.63</v>
      </c>
      <c r="D102">
        <v>1.1000000000000001E-3</v>
      </c>
      <c r="F102" s="68">
        <v>25790.95</v>
      </c>
      <c r="G102">
        <v>1.7100000000000001E-2</v>
      </c>
    </row>
    <row r="103" spans="2:7" x14ac:dyDescent="0.3">
      <c r="B103" s="67">
        <v>45557</v>
      </c>
      <c r="C103">
        <v>494.48</v>
      </c>
      <c r="D103">
        <v>1.61E-2</v>
      </c>
      <c r="F103" s="68">
        <v>26178.95</v>
      </c>
      <c r="G103">
        <v>1.4999999999999999E-2</v>
      </c>
    </row>
    <row r="104" spans="2:7" x14ac:dyDescent="0.3">
      <c r="B104" s="67">
        <v>45564</v>
      </c>
      <c r="C104">
        <v>476.36</v>
      </c>
      <c r="D104">
        <v>-3.6600000000000001E-2</v>
      </c>
      <c r="F104" s="68">
        <v>25014.6</v>
      </c>
      <c r="G104">
        <v>-4.4499999999999998E-2</v>
      </c>
    </row>
    <row r="105" spans="2:7" x14ac:dyDescent="0.3">
      <c r="B105" s="67">
        <v>45571</v>
      </c>
      <c r="C105">
        <v>461.84</v>
      </c>
      <c r="D105">
        <v>-3.0499999999999999E-2</v>
      </c>
      <c r="F105" s="68">
        <v>24964.25</v>
      </c>
      <c r="G105">
        <v>-2E-3</v>
      </c>
    </row>
    <row r="106" spans="2:7" x14ac:dyDescent="0.3">
      <c r="B106" s="67">
        <v>45578</v>
      </c>
      <c r="C106">
        <v>460.42</v>
      </c>
      <c r="D106">
        <v>-3.0999999999999999E-3</v>
      </c>
      <c r="F106" s="68">
        <v>24854.05</v>
      </c>
      <c r="G106">
        <v>-4.4000000000000003E-3</v>
      </c>
    </row>
    <row r="107" spans="2:7" x14ac:dyDescent="0.3">
      <c r="B107" s="67">
        <v>45585</v>
      </c>
      <c r="C107">
        <v>456.26</v>
      </c>
      <c r="D107">
        <v>-8.9999999999999993E-3</v>
      </c>
      <c r="F107" s="68">
        <v>24180.799999999999</v>
      </c>
      <c r="G107">
        <v>-2.7099999999999999E-2</v>
      </c>
    </row>
    <row r="108" spans="2:7" x14ac:dyDescent="0.3">
      <c r="B108" s="67">
        <v>45592</v>
      </c>
      <c r="C108">
        <v>463.83</v>
      </c>
      <c r="D108">
        <v>1.66E-2</v>
      </c>
      <c r="F108" s="68">
        <v>24304.35</v>
      </c>
      <c r="G108">
        <v>5.1000000000000004E-3</v>
      </c>
    </row>
    <row r="109" spans="2:7" x14ac:dyDescent="0.3">
      <c r="B109" s="67">
        <v>45599</v>
      </c>
      <c r="C109">
        <v>452.24</v>
      </c>
      <c r="D109">
        <v>-2.5000000000000001E-2</v>
      </c>
      <c r="F109" s="68">
        <v>24148.2</v>
      </c>
      <c r="G109">
        <v>-6.4000000000000003E-3</v>
      </c>
    </row>
    <row r="110" spans="2:7" x14ac:dyDescent="0.3">
      <c r="B110" s="67">
        <v>45606</v>
      </c>
      <c r="C110">
        <v>440.8</v>
      </c>
      <c r="D110">
        <v>-2.53E-2</v>
      </c>
      <c r="F110" s="68">
        <v>23532.7</v>
      </c>
      <c r="G110">
        <v>-2.5499999999999998E-2</v>
      </c>
    </row>
    <row r="111" spans="2:7" x14ac:dyDescent="0.3">
      <c r="B111" s="67">
        <v>45613</v>
      </c>
      <c r="C111">
        <v>449.02</v>
      </c>
      <c r="D111">
        <v>1.8700000000000001E-2</v>
      </c>
      <c r="F111" s="68">
        <v>23907.25</v>
      </c>
      <c r="G111">
        <v>1.5900000000000001E-2</v>
      </c>
    </row>
    <row r="112" spans="2:7" x14ac:dyDescent="0.3">
      <c r="B112" s="67">
        <v>45620</v>
      </c>
      <c r="C112">
        <v>451.01</v>
      </c>
      <c r="D112">
        <v>4.4000000000000003E-3</v>
      </c>
      <c r="F112" s="68">
        <v>24131.1</v>
      </c>
      <c r="G112">
        <v>9.4000000000000004E-3</v>
      </c>
    </row>
    <row r="113" spans="2:7" x14ac:dyDescent="0.3">
      <c r="B113" s="67">
        <v>45627</v>
      </c>
      <c r="C113">
        <v>445.71</v>
      </c>
      <c r="D113">
        <v>-1.17E-2</v>
      </c>
      <c r="F113" s="68">
        <v>24677.8</v>
      </c>
      <c r="G113">
        <v>2.2700000000000001E-2</v>
      </c>
    </row>
    <row r="114" spans="2:7" x14ac:dyDescent="0.3">
      <c r="B114" s="67">
        <v>45634</v>
      </c>
      <c r="C114">
        <v>444.63</v>
      </c>
      <c r="D114">
        <v>-2.3999999999999998E-3</v>
      </c>
      <c r="F114" s="68">
        <v>24768.3</v>
      </c>
      <c r="G114">
        <v>3.7000000000000002E-3</v>
      </c>
    </row>
    <row r="115" spans="2:7" x14ac:dyDescent="0.3">
      <c r="B115" s="67">
        <v>45641</v>
      </c>
      <c r="C115">
        <v>439.57</v>
      </c>
      <c r="D115">
        <v>-1.14E-2</v>
      </c>
      <c r="F115" s="68">
        <v>23587.5</v>
      </c>
      <c r="G115">
        <v>-4.7699999999999999E-2</v>
      </c>
    </row>
    <row r="116" spans="2:7" x14ac:dyDescent="0.3">
      <c r="B116" s="67">
        <v>45648</v>
      </c>
      <c r="C116">
        <v>452.76</v>
      </c>
      <c r="D116">
        <v>0.03</v>
      </c>
      <c r="F116" s="68">
        <v>23813.4</v>
      </c>
      <c r="G116">
        <v>9.5999999999999992E-3</v>
      </c>
    </row>
    <row r="117" spans="2:7" x14ac:dyDescent="0.3">
      <c r="B117" s="67">
        <v>45655</v>
      </c>
      <c r="C117">
        <v>455.6</v>
      </c>
      <c r="D117">
        <v>6.3E-3</v>
      </c>
      <c r="F117" s="68">
        <v>24004.75</v>
      </c>
      <c r="G117">
        <v>8.0000000000000002E-3</v>
      </c>
    </row>
    <row r="118" spans="2:7" x14ac:dyDescent="0.3">
      <c r="B118" s="67">
        <v>45662</v>
      </c>
      <c r="C118">
        <v>444.9</v>
      </c>
      <c r="D118">
        <v>-2.35E-2</v>
      </c>
      <c r="F118" s="68">
        <v>23431.5</v>
      </c>
      <c r="G118">
        <v>-2.3900000000000001E-2</v>
      </c>
    </row>
    <row r="119" spans="2:7" x14ac:dyDescent="0.3">
      <c r="B119" s="67">
        <v>45669</v>
      </c>
      <c r="C119">
        <v>440.2</v>
      </c>
      <c r="D119">
        <v>-1.06E-2</v>
      </c>
      <c r="F119" s="68">
        <v>23203.200000000001</v>
      </c>
      <c r="G119">
        <v>-9.7000000000000003E-3</v>
      </c>
    </row>
    <row r="120" spans="2:7" x14ac:dyDescent="0.3">
      <c r="B120" s="67">
        <v>45676</v>
      </c>
      <c r="C120">
        <v>441.6</v>
      </c>
      <c r="D120">
        <v>3.2000000000000002E-3</v>
      </c>
      <c r="F120" s="68">
        <v>23092.2</v>
      </c>
      <c r="G120">
        <v>-4.7999999999999996E-3</v>
      </c>
    </row>
    <row r="121" spans="2:7" x14ac:dyDescent="0.3">
      <c r="B121" s="67">
        <v>45683</v>
      </c>
      <c r="C121">
        <v>447.5</v>
      </c>
      <c r="D121">
        <v>1.34E-2</v>
      </c>
      <c r="F121" s="68">
        <v>23508.400000000001</v>
      </c>
      <c r="G121">
        <v>1.7999999999999999E-2</v>
      </c>
    </row>
    <row r="122" spans="2:7" x14ac:dyDescent="0.3">
      <c r="B122" s="67">
        <v>45690</v>
      </c>
      <c r="C122">
        <v>430.85</v>
      </c>
      <c r="D122">
        <v>-3.7199999999999997E-2</v>
      </c>
      <c r="F122" s="68">
        <v>23559.95</v>
      </c>
      <c r="G122">
        <v>2.2000000000000001E-3</v>
      </c>
    </row>
    <row r="123" spans="2:7" x14ac:dyDescent="0.3">
      <c r="B123" s="67">
        <v>45697</v>
      </c>
      <c r="C123">
        <v>410.25</v>
      </c>
      <c r="D123">
        <v>-4.7800000000000002E-2</v>
      </c>
      <c r="F123" s="68">
        <v>22929.25</v>
      </c>
      <c r="G123">
        <v>-2.6800000000000001E-2</v>
      </c>
    </row>
    <row r="124" spans="2:7" x14ac:dyDescent="0.3">
      <c r="B124" s="67">
        <v>45704</v>
      </c>
      <c r="C124">
        <v>400.9</v>
      </c>
      <c r="D124">
        <v>-2.2800000000000001E-2</v>
      </c>
      <c r="F124" s="68">
        <v>22795.9</v>
      </c>
      <c r="G124">
        <v>-5.7999999999999996E-3</v>
      </c>
    </row>
    <row r="125" spans="2:7" x14ac:dyDescent="0.3">
      <c r="B125" s="67">
        <v>45711</v>
      </c>
      <c r="C125">
        <v>395</v>
      </c>
      <c r="D125">
        <v>-1.47E-2</v>
      </c>
      <c r="F125" s="68">
        <v>22124.7</v>
      </c>
      <c r="G125">
        <v>-2.9399999999999999E-2</v>
      </c>
    </row>
    <row r="126" spans="2:7" x14ac:dyDescent="0.3">
      <c r="B126" s="67">
        <v>45718</v>
      </c>
      <c r="C126">
        <v>403.9</v>
      </c>
      <c r="D126">
        <v>2.2499999999999999E-2</v>
      </c>
      <c r="F126" s="68">
        <v>22552.5</v>
      </c>
      <c r="G126">
        <v>1.9300000000000001E-2</v>
      </c>
    </row>
    <row r="127" spans="2:7" x14ac:dyDescent="0.3">
      <c r="B127" s="67">
        <v>45725</v>
      </c>
      <c r="C127">
        <v>412.05</v>
      </c>
      <c r="D127">
        <v>2.0199999999999999E-2</v>
      </c>
      <c r="F127" s="68">
        <v>22397.200000000001</v>
      </c>
      <c r="G127">
        <v>-6.8999999999999999E-3</v>
      </c>
    </row>
    <row r="128" spans="2:7" x14ac:dyDescent="0.3">
      <c r="B128" s="67">
        <v>45732</v>
      </c>
      <c r="C128">
        <v>405.55</v>
      </c>
      <c r="D128">
        <v>-1.5800000000000002E-2</v>
      </c>
      <c r="F128" s="68">
        <v>23350.400000000001</v>
      </c>
      <c r="G128">
        <v>4.2599999999999999E-2</v>
      </c>
    </row>
    <row r="129" spans="2:7" x14ac:dyDescent="0.3">
      <c r="B129" s="67">
        <v>45739</v>
      </c>
      <c r="C129">
        <v>409.75</v>
      </c>
      <c r="D129">
        <v>1.04E-2</v>
      </c>
      <c r="F129" s="68">
        <v>23519.35</v>
      </c>
      <c r="G129">
        <v>7.1999999999999998E-3</v>
      </c>
    </row>
    <row r="130" spans="2:7" x14ac:dyDescent="0.3">
      <c r="B130" s="67">
        <v>45746</v>
      </c>
      <c r="C130">
        <v>409.7</v>
      </c>
      <c r="D130">
        <v>-1E-4</v>
      </c>
      <c r="F130" s="68">
        <v>22904.45</v>
      </c>
      <c r="G130">
        <v>-2.6100000000000002E-2</v>
      </c>
    </row>
    <row r="131" spans="2:7" x14ac:dyDescent="0.3">
      <c r="B131" s="67">
        <v>45753</v>
      </c>
      <c r="C131">
        <v>421.55</v>
      </c>
      <c r="D131">
        <v>2.8899999999999999E-2</v>
      </c>
      <c r="F131" s="68">
        <v>22828.55</v>
      </c>
      <c r="G131">
        <v>-3.3E-3</v>
      </c>
    </row>
    <row r="132" spans="2:7" x14ac:dyDescent="0.3">
      <c r="B132" s="67">
        <v>45760</v>
      </c>
      <c r="C132">
        <v>427.25</v>
      </c>
      <c r="D132">
        <v>1.35E-2</v>
      </c>
      <c r="F132" s="68">
        <v>23851.65</v>
      </c>
      <c r="G132">
        <v>4.48E-2</v>
      </c>
    </row>
    <row r="133" spans="2:7" x14ac:dyDescent="0.3">
      <c r="B133" s="67">
        <v>45767</v>
      </c>
      <c r="C133">
        <v>427.8</v>
      </c>
      <c r="D133">
        <v>1.2999999999999999E-3</v>
      </c>
      <c r="F133" s="68">
        <v>24039.35</v>
      </c>
      <c r="G133">
        <v>7.9000000000000008E-3</v>
      </c>
    </row>
    <row r="134" spans="2:7" x14ac:dyDescent="0.3">
      <c r="B134" s="67">
        <v>45774</v>
      </c>
      <c r="C134">
        <v>430.25</v>
      </c>
      <c r="D134">
        <v>5.7000000000000002E-3</v>
      </c>
      <c r="F134" s="68">
        <v>24346.7</v>
      </c>
      <c r="G134">
        <v>1.2800000000000001E-2</v>
      </c>
    </row>
    <row r="135" spans="2:7" x14ac:dyDescent="0.3">
      <c r="B135" s="67">
        <v>45781</v>
      </c>
      <c r="C135">
        <v>423.55</v>
      </c>
      <c r="D135">
        <v>-1.5599999999999999E-2</v>
      </c>
      <c r="F135" s="68">
        <v>24008</v>
      </c>
      <c r="G135">
        <v>-1.3899999999999999E-2</v>
      </c>
    </row>
    <row r="136" spans="2:7" x14ac:dyDescent="0.3">
      <c r="B136" s="67">
        <v>45788</v>
      </c>
      <c r="C136">
        <v>435.7</v>
      </c>
      <c r="D136">
        <v>2.87E-2</v>
      </c>
      <c r="F136" s="68">
        <v>25019.8</v>
      </c>
      <c r="G136">
        <v>4.2099999999999999E-2</v>
      </c>
    </row>
    <row r="137" spans="2:7" x14ac:dyDescent="0.3">
      <c r="B137" s="67">
        <v>45795</v>
      </c>
      <c r="C137">
        <v>436.3</v>
      </c>
      <c r="D137">
        <v>1.4E-3</v>
      </c>
      <c r="F137" s="68">
        <v>24853.15</v>
      </c>
      <c r="G137">
        <v>-6.7000000000000002E-3</v>
      </c>
    </row>
    <row r="138" spans="2:7" x14ac:dyDescent="0.3">
      <c r="B138" s="67">
        <v>45802</v>
      </c>
      <c r="C138">
        <v>418.05</v>
      </c>
      <c r="D138">
        <v>-4.1799999999999997E-2</v>
      </c>
      <c r="F138" s="68">
        <v>24750.7</v>
      </c>
      <c r="G138">
        <v>-4.1000000000000003E-3</v>
      </c>
    </row>
    <row r="139" spans="2:7" x14ac:dyDescent="0.3">
      <c r="B139" s="67">
        <v>45809</v>
      </c>
      <c r="C139">
        <v>421.05</v>
      </c>
      <c r="D139">
        <v>7.1999999999999998E-3</v>
      </c>
      <c r="F139" s="68">
        <v>25003.05</v>
      </c>
      <c r="G139">
        <v>1.0200000000000001E-2</v>
      </c>
    </row>
    <row r="140" spans="2:7" x14ac:dyDescent="0.3">
      <c r="B140" s="67">
        <v>45816</v>
      </c>
      <c r="C140">
        <v>413.9</v>
      </c>
      <c r="D140">
        <v>-1.7000000000000001E-2</v>
      </c>
      <c r="F140" s="68">
        <v>24718.6</v>
      </c>
      <c r="G140">
        <v>-1.14E-2</v>
      </c>
    </row>
    <row r="141" spans="2:7" x14ac:dyDescent="0.3">
      <c r="B141" s="67">
        <v>45823</v>
      </c>
      <c r="C141">
        <v>418.55</v>
      </c>
      <c r="D141">
        <v>1.12E-2</v>
      </c>
      <c r="F141" s="68">
        <v>25112.400000000001</v>
      </c>
      <c r="G141">
        <v>1.5900000000000001E-2</v>
      </c>
    </row>
    <row r="142" spans="2:7" x14ac:dyDescent="0.3">
      <c r="B142" s="67">
        <v>45830</v>
      </c>
      <c r="C142">
        <v>418.65</v>
      </c>
      <c r="D142">
        <v>2.0000000000000001E-4</v>
      </c>
      <c r="F142" s="68">
        <v>25637.8</v>
      </c>
      <c r="G142">
        <v>2.0899999999999998E-2</v>
      </c>
    </row>
    <row r="143" spans="2:7" x14ac:dyDescent="0.3">
      <c r="B143" s="67">
        <v>45837</v>
      </c>
      <c r="C143">
        <v>412.55</v>
      </c>
      <c r="D143">
        <v>-1.46E-2</v>
      </c>
      <c r="F143" s="68">
        <v>25461</v>
      </c>
      <c r="G143">
        <v>-6.8999999999999999E-3</v>
      </c>
    </row>
    <row r="144" spans="2:7" x14ac:dyDescent="0.3">
      <c r="B144" s="67">
        <v>45844</v>
      </c>
      <c r="C144">
        <v>416.8</v>
      </c>
      <c r="D144">
        <v>1.03E-2</v>
      </c>
      <c r="F144" s="68">
        <v>25149.85</v>
      </c>
      <c r="G144">
        <v>-1.2200000000000001E-2</v>
      </c>
    </row>
    <row r="145" spans="2:7" x14ac:dyDescent="0.3">
      <c r="B145" s="67">
        <v>45851</v>
      </c>
      <c r="C145">
        <v>422.75</v>
      </c>
      <c r="D145">
        <v>1.43E-2</v>
      </c>
      <c r="F145" s="68">
        <v>24968.400000000001</v>
      </c>
      <c r="G145">
        <v>-7.1999999999999998E-3</v>
      </c>
    </row>
    <row r="146" spans="2:7" x14ac:dyDescent="0.3">
      <c r="B146" s="67">
        <v>45858</v>
      </c>
      <c r="C146">
        <v>409.4</v>
      </c>
      <c r="D146">
        <v>-3.1600000000000003E-2</v>
      </c>
      <c r="F146" s="68">
        <v>24837</v>
      </c>
      <c r="G146">
        <v>-5.3E-3</v>
      </c>
    </row>
    <row r="147" spans="2:7" x14ac:dyDescent="0.3">
      <c r="B147" s="67">
        <v>45865</v>
      </c>
      <c r="C147">
        <v>416.45</v>
      </c>
      <c r="D147">
        <v>1.72E-2</v>
      </c>
      <c r="F147" s="68">
        <v>24565.35</v>
      </c>
      <c r="G147">
        <v>-1.09E-2</v>
      </c>
    </row>
    <row r="148" spans="2:7" x14ac:dyDescent="0.3">
      <c r="B148" s="67">
        <v>45872</v>
      </c>
      <c r="C148">
        <v>414.5</v>
      </c>
      <c r="D148">
        <v>-4.7000000000000002E-3</v>
      </c>
      <c r="F148" s="68">
        <v>24363.3</v>
      </c>
      <c r="G148">
        <v>-8.2000000000000007E-3</v>
      </c>
    </row>
    <row r="149" spans="2:7" x14ac:dyDescent="0.3">
      <c r="B149" s="67">
        <v>45879</v>
      </c>
      <c r="C149">
        <v>411.45</v>
      </c>
      <c r="D149">
        <v>-7.4000000000000003E-3</v>
      </c>
      <c r="F149" s="68">
        <v>24631.3</v>
      </c>
      <c r="G149">
        <v>1.0999999999999999E-2</v>
      </c>
    </row>
    <row r="150" spans="2:7" x14ac:dyDescent="0.3">
      <c r="B150" s="67">
        <v>45886</v>
      </c>
      <c r="C150">
        <v>398.3</v>
      </c>
      <c r="D150">
        <v>-3.2000000000000001E-2</v>
      </c>
      <c r="F150" s="68">
        <v>24870.1</v>
      </c>
      <c r="G150">
        <v>9.7000000000000003E-3</v>
      </c>
    </row>
    <row r="151" spans="2:7" x14ac:dyDescent="0.3">
      <c r="B151" s="67">
        <v>45893</v>
      </c>
      <c r="C151">
        <v>409.75</v>
      </c>
      <c r="D151">
        <v>2.87E-2</v>
      </c>
      <c r="F151" s="68">
        <v>24426.85</v>
      </c>
      <c r="G151">
        <v>-1.78E-2</v>
      </c>
    </row>
    <row r="152" spans="2:7" x14ac:dyDescent="0.3">
      <c r="B152" s="67">
        <v>45900</v>
      </c>
      <c r="C152">
        <v>407.35</v>
      </c>
      <c r="D152">
        <v>-5.8999999999999999E-3</v>
      </c>
      <c r="F152" s="68">
        <v>24741</v>
      </c>
      <c r="G152">
        <v>1.29E-2</v>
      </c>
    </row>
    <row r="153" spans="2:7" x14ac:dyDescent="0.3">
      <c r="B153" s="67">
        <v>45907</v>
      </c>
      <c r="C153">
        <v>413.75</v>
      </c>
      <c r="D153">
        <v>1.5699999999999999E-2</v>
      </c>
      <c r="F153" s="68">
        <v>25114</v>
      </c>
      <c r="G153">
        <v>1.5100000000000001E-2</v>
      </c>
    </row>
    <row r="154" spans="2:7" x14ac:dyDescent="0.3">
      <c r="B154" s="67">
        <v>45914</v>
      </c>
      <c r="C154">
        <v>410.65</v>
      </c>
      <c r="D154">
        <v>-7.4999999999999997E-3</v>
      </c>
      <c r="F154" s="68">
        <v>25327.05</v>
      </c>
      <c r="G154">
        <v>8.5000000000000006E-3</v>
      </c>
    </row>
    <row r="155" spans="2:7" x14ac:dyDescent="0.3">
      <c r="B155" s="67">
        <v>45921</v>
      </c>
      <c r="C155">
        <v>405.1</v>
      </c>
      <c r="D155">
        <v>-1.35E-2</v>
      </c>
      <c r="F155" s="68">
        <v>24654.7</v>
      </c>
      <c r="G155">
        <v>-2.6499999999999999E-2</v>
      </c>
    </row>
    <row r="156" spans="2:7" x14ac:dyDescent="0.3">
      <c r="B156" s="67">
        <v>45928</v>
      </c>
      <c r="C156">
        <v>404.3</v>
      </c>
      <c r="D156">
        <v>-2E-3</v>
      </c>
      <c r="F156" s="68">
        <v>24894.25</v>
      </c>
      <c r="G156">
        <v>9.7000000000000003E-3</v>
      </c>
    </row>
    <row r="157" spans="2:7" x14ac:dyDescent="0.3">
      <c r="B157" s="67">
        <v>45935</v>
      </c>
      <c r="C157">
        <v>402.8</v>
      </c>
      <c r="D157">
        <v>-3.7000000000000002E-3</v>
      </c>
      <c r="F157" s="68">
        <v>25285.35</v>
      </c>
      <c r="G157">
        <v>1.5699999999999999E-2</v>
      </c>
    </row>
    <row r="158" spans="2:7" x14ac:dyDescent="0.3">
      <c r="B158" s="67">
        <v>45942</v>
      </c>
      <c r="C158">
        <v>412.15</v>
      </c>
      <c r="D158">
        <v>2.3199999999999998E-2</v>
      </c>
      <c r="F158" s="68">
        <v>25709.85</v>
      </c>
      <c r="G158">
        <v>1.6799999999999999E-2</v>
      </c>
    </row>
    <row r="159" spans="2:7" x14ac:dyDescent="0.3">
      <c r="B159" s="67">
        <v>45949</v>
      </c>
      <c r="C159">
        <v>416.8</v>
      </c>
      <c r="D159">
        <v>1.1299999999999999E-2</v>
      </c>
      <c r="F159" s="68">
        <v>25795.15</v>
      </c>
      <c r="G159">
        <v>3.3E-3</v>
      </c>
    </row>
    <row r="160" spans="2:7" x14ac:dyDescent="0.3">
      <c r="B160" s="67">
        <v>45956</v>
      </c>
      <c r="C160">
        <v>420.35</v>
      </c>
      <c r="D160">
        <v>8.5000000000000006E-3</v>
      </c>
      <c r="F160" s="68">
        <v>25722.1</v>
      </c>
      <c r="G160">
        <v>-2.8E-3</v>
      </c>
    </row>
    <row r="161" spans="2:7" x14ac:dyDescent="0.3">
      <c r="B161" s="67">
        <v>45963</v>
      </c>
      <c r="C161">
        <v>404.05</v>
      </c>
      <c r="D161">
        <v>-3.8800000000000001E-2</v>
      </c>
      <c r="F161" s="68">
        <v>25492.3</v>
      </c>
      <c r="G161">
        <v>-8.8999999999999999E-3</v>
      </c>
    </row>
    <row r="162" spans="2:7" x14ac:dyDescent="0.3">
      <c r="B162" s="67">
        <v>45970</v>
      </c>
      <c r="C162">
        <v>408.15</v>
      </c>
      <c r="D162">
        <v>1.01E-2</v>
      </c>
      <c r="F162" s="68">
        <v>25910.05</v>
      </c>
      <c r="G162">
        <v>1.6400000000000001E-2</v>
      </c>
    </row>
    <row r="163" spans="2:7" x14ac:dyDescent="0.3">
      <c r="B163" s="67">
        <v>45977</v>
      </c>
      <c r="C163">
        <v>405.45</v>
      </c>
      <c r="D163">
        <v>-6.6E-3</v>
      </c>
      <c r="F163" s="68">
        <v>26192.15</v>
      </c>
      <c r="G163">
        <v>1.09E-2</v>
      </c>
    </row>
  </sheetData>
  <mergeCells count="4">
    <mergeCell ref="I5:J5"/>
    <mergeCell ref="C5:D5"/>
    <mergeCell ref="F5:G5"/>
    <mergeCell ref="B3:J3"/>
  </mergeCells>
  <pageMargins left="0.25" right="0.25" top="0.75" bottom="0.75" header="0.3" footer="0.3"/>
  <pageSetup orientation="portrait" r:id="rId1"/>
  <headerFooter>
    <oddHeader>&amp;L&amp;"-,Bold"&amp;8&amp;K07-048ITC Ltd
NSE: ITC(INE154A01025)
401.25 INR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38BA-F890-497C-A459-607483ACEACF}">
  <dimension ref="A1:M131"/>
  <sheetViews>
    <sheetView showGridLines="0" view="pageLayout" zoomScale="102" zoomScaleNormal="71" zoomScalePageLayoutView="102" workbookViewId="0">
      <selection activeCell="A131" sqref="A131:L131"/>
    </sheetView>
  </sheetViews>
  <sheetFormatPr defaultRowHeight="10.199999999999999" x14ac:dyDescent="0.2"/>
  <cols>
    <col min="1" max="1" width="0.6640625" style="124" customWidth="1"/>
    <col min="2" max="2" width="23.109375" style="124" customWidth="1"/>
    <col min="3" max="12" width="7.6640625" style="124" customWidth="1"/>
    <col min="13" max="16384" width="8.88671875" style="124"/>
  </cols>
  <sheetData>
    <row r="1" spans="1:12" x14ac:dyDescent="0.2">
      <c r="A1" s="236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3" spans="1:12" x14ac:dyDescent="0.2">
      <c r="B3" s="255" t="s">
        <v>801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12" x14ac:dyDescent="0.2"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</row>
    <row r="6" spans="1:12" x14ac:dyDescent="0.2">
      <c r="B6" s="147" t="s">
        <v>269</v>
      </c>
      <c r="C6" s="180">
        <f>'Data Sheet'!B16</f>
        <v>42460</v>
      </c>
      <c r="D6" s="180">
        <f>'Data Sheet'!C16</f>
        <v>42825</v>
      </c>
      <c r="E6" s="180">
        <f>'Data Sheet'!D16</f>
        <v>43190</v>
      </c>
      <c r="F6" s="180">
        <f>'Data Sheet'!E16</f>
        <v>43555</v>
      </c>
      <c r="G6" s="180">
        <f>'Data Sheet'!F16</f>
        <v>43921</v>
      </c>
      <c r="H6" s="180">
        <f>'Data Sheet'!G16</f>
        <v>44286</v>
      </c>
      <c r="I6" s="180">
        <f>'Data Sheet'!H16</f>
        <v>44651</v>
      </c>
      <c r="J6" s="180">
        <f>'Data Sheet'!I16</f>
        <v>45016</v>
      </c>
      <c r="K6" s="180">
        <f>'Data Sheet'!J16</f>
        <v>45382</v>
      </c>
      <c r="L6" s="180">
        <f>'Data Sheet'!K16</f>
        <v>45747</v>
      </c>
    </row>
    <row r="8" spans="1:12" x14ac:dyDescent="0.2">
      <c r="B8" s="181" t="s">
        <v>270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</row>
    <row r="9" spans="1:12" x14ac:dyDescent="0.2">
      <c r="B9" s="153" t="str">
        <f>'Raw Data'!B36</f>
        <v>Inventories</v>
      </c>
      <c r="C9" s="175">
        <f>'Raw Data'!E36</f>
        <v>9062</v>
      </c>
      <c r="D9" s="175">
        <f>'Raw Data'!F36</f>
        <v>8116</v>
      </c>
      <c r="E9" s="175">
        <f>'Raw Data'!G36</f>
        <v>7495</v>
      </c>
      <c r="F9" s="175">
        <f>'Raw Data'!H36</f>
        <v>7860</v>
      </c>
      <c r="G9" s="175">
        <f>'Raw Data'!I36</f>
        <v>8879</v>
      </c>
      <c r="H9" s="175">
        <f>'Raw Data'!J36</f>
        <v>10397</v>
      </c>
      <c r="I9" s="175">
        <f>'Raw Data'!K36</f>
        <v>10864</v>
      </c>
      <c r="J9" s="175">
        <f>'Raw Data'!L36</f>
        <v>11771</v>
      </c>
      <c r="K9" s="175">
        <f>'Raw Data'!M36</f>
        <v>14153</v>
      </c>
      <c r="L9" s="175">
        <f>'Raw Data'!N36</f>
        <v>15638</v>
      </c>
    </row>
    <row r="10" spans="1:12" x14ac:dyDescent="0.2">
      <c r="B10" s="176" t="str">
        <f>'Raw Data'!B37</f>
        <v>Trade receivables</v>
      </c>
      <c r="C10" s="177">
        <f>'Raw Data'!E37</f>
        <v>1917</v>
      </c>
      <c r="D10" s="177">
        <f>'Raw Data'!F37</f>
        <v>2474</v>
      </c>
      <c r="E10" s="177">
        <f>'Raw Data'!G37</f>
        <v>2682</v>
      </c>
      <c r="F10" s="177">
        <f>'Raw Data'!H37</f>
        <v>4035</v>
      </c>
      <c r="G10" s="177">
        <f>'Raw Data'!I37</f>
        <v>2562</v>
      </c>
      <c r="H10" s="177">
        <f>'Raw Data'!J37</f>
        <v>2502</v>
      </c>
      <c r="I10" s="177">
        <f>'Raw Data'!K37</f>
        <v>2462</v>
      </c>
      <c r="J10" s="177">
        <f>'Raw Data'!L37</f>
        <v>2956</v>
      </c>
      <c r="K10" s="177">
        <f>'Raw Data'!M37</f>
        <v>4026</v>
      </c>
      <c r="L10" s="177">
        <f>'Raw Data'!N37</f>
        <v>4720</v>
      </c>
    </row>
    <row r="11" spans="1:12" x14ac:dyDescent="0.2">
      <c r="B11" s="176" t="str">
        <f>'Raw Data'!B39</f>
        <v>Loans n Advances</v>
      </c>
      <c r="C11" s="176">
        <f>'Raw Data'!E39</f>
        <v>14</v>
      </c>
      <c r="D11" s="176">
        <f>'Raw Data'!F39</f>
        <v>7</v>
      </c>
      <c r="E11" s="176">
        <f>'Raw Data'!G39</f>
        <v>74</v>
      </c>
      <c r="F11" s="176">
        <f>'Raw Data'!H39</f>
        <v>67</v>
      </c>
      <c r="G11" s="176">
        <f>'Raw Data'!I39</f>
        <v>6</v>
      </c>
      <c r="H11" s="176">
        <f>'Raw Data'!J39</f>
        <v>7</v>
      </c>
      <c r="I11" s="176">
        <f>'Raw Data'!K39</f>
        <v>11</v>
      </c>
      <c r="J11" s="176">
        <f>'Raw Data'!L39</f>
        <v>13</v>
      </c>
      <c r="K11" s="176">
        <f>'Raw Data'!M39</f>
        <v>31</v>
      </c>
      <c r="L11" s="176">
        <f>'Raw Data'!N39</f>
        <v>10</v>
      </c>
    </row>
    <row r="12" spans="1:12" x14ac:dyDescent="0.2">
      <c r="B12" s="150" t="str">
        <f>'Raw Data'!B40</f>
        <v>Other asset items</v>
      </c>
      <c r="C12" s="150">
        <f>'Raw Data'!E40</f>
        <v>5180</v>
      </c>
      <c r="D12" s="150">
        <f>'Raw Data'!F40</f>
        <v>5129</v>
      </c>
      <c r="E12" s="150">
        <f>'Raw Data'!G40</f>
        <v>7004</v>
      </c>
      <c r="F12" s="150">
        <f>'Raw Data'!H40</f>
        <v>7071</v>
      </c>
      <c r="G12" s="150">
        <f>'Raw Data'!I40</f>
        <v>4952</v>
      </c>
      <c r="H12" s="150">
        <f>'Raw Data'!J40</f>
        <v>4015</v>
      </c>
      <c r="I12" s="150">
        <f>'Raw Data'!K40</f>
        <v>6906</v>
      </c>
      <c r="J12" s="150">
        <f>'Raw Data'!L40</f>
        <v>7941</v>
      </c>
      <c r="K12" s="150">
        <f>'Raw Data'!M40</f>
        <v>4531</v>
      </c>
      <c r="L12" s="150">
        <f>'Raw Data'!N40</f>
        <v>5858</v>
      </c>
    </row>
    <row r="13" spans="1:12" x14ac:dyDescent="0.2">
      <c r="B13" s="178" t="s">
        <v>273</v>
      </c>
      <c r="C13" s="179">
        <f t="shared" ref="C13:L13" si="0">SUM(C9:C12)</f>
        <v>16173</v>
      </c>
      <c r="D13" s="179">
        <f t="shared" si="0"/>
        <v>15726</v>
      </c>
      <c r="E13" s="179">
        <f t="shared" si="0"/>
        <v>17255</v>
      </c>
      <c r="F13" s="179">
        <f t="shared" si="0"/>
        <v>19033</v>
      </c>
      <c r="G13" s="179">
        <f t="shared" si="0"/>
        <v>16399</v>
      </c>
      <c r="H13" s="179">
        <f t="shared" si="0"/>
        <v>16921</v>
      </c>
      <c r="I13" s="179">
        <f t="shared" si="0"/>
        <v>20243</v>
      </c>
      <c r="J13" s="179">
        <f t="shared" si="0"/>
        <v>22681</v>
      </c>
      <c r="K13" s="179">
        <f t="shared" si="0"/>
        <v>22741</v>
      </c>
      <c r="L13" s="179">
        <f t="shared" si="0"/>
        <v>26226</v>
      </c>
    </row>
    <row r="15" spans="1:12" x14ac:dyDescent="0.2">
      <c r="B15" s="181" t="s">
        <v>274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</row>
    <row r="16" spans="1:12" x14ac:dyDescent="0.2">
      <c r="B16" s="124" t="str">
        <f>'Raw Data'!B14</f>
        <v>Trade Payables</v>
      </c>
      <c r="C16" s="182">
        <f>'Raw Data'!E14</f>
        <v>2339</v>
      </c>
      <c r="D16" s="182">
        <f>'Raw Data'!F14</f>
        <v>2659</v>
      </c>
      <c r="E16" s="182">
        <f>'Raw Data'!G14</f>
        <v>3496</v>
      </c>
      <c r="F16" s="182">
        <f>'Raw Data'!H14</f>
        <v>3510</v>
      </c>
      <c r="G16" s="182">
        <f>'Raw Data'!I14</f>
        <v>3630</v>
      </c>
      <c r="H16" s="182">
        <f>'Raw Data'!J14</f>
        <v>4319</v>
      </c>
      <c r="I16" s="182">
        <f>'Raw Data'!K14</f>
        <v>4417</v>
      </c>
      <c r="J16" s="182">
        <f>'Raw Data'!L14</f>
        <v>4659</v>
      </c>
      <c r="K16" s="182">
        <f>'Raw Data'!M14</f>
        <v>4798</v>
      </c>
      <c r="L16" s="182">
        <f>'Raw Data'!N14</f>
        <v>4807</v>
      </c>
    </row>
    <row r="17" spans="2:12" x14ac:dyDescent="0.2">
      <c r="B17" s="176" t="str">
        <f>'Raw Data'!B15</f>
        <v>Advance from Customers</v>
      </c>
      <c r="C17" s="177">
        <f>'Raw Data'!E15</f>
        <v>805</v>
      </c>
      <c r="D17" s="177">
        <f>'Raw Data'!F15</f>
        <v>495</v>
      </c>
      <c r="E17" s="177">
        <f>'Raw Data'!G15</f>
        <v>461</v>
      </c>
      <c r="F17" s="177">
        <f>'Raw Data'!H15</f>
        <v>430</v>
      </c>
      <c r="G17" s="177">
        <f>'Raw Data'!I15</f>
        <v>703</v>
      </c>
      <c r="H17" s="177">
        <f>'Raw Data'!J15</f>
        <v>811</v>
      </c>
      <c r="I17" s="177">
        <f>'Raw Data'!K15</f>
        <v>1278</v>
      </c>
      <c r="J17" s="177">
        <f>'Raw Data'!L15</f>
        <v>1295</v>
      </c>
      <c r="K17" s="177">
        <f>'Raw Data'!M15</f>
        <v>886</v>
      </c>
      <c r="L17" s="177">
        <f>'Raw Data'!N15</f>
        <v>1264</v>
      </c>
    </row>
    <row r="18" spans="2:12" x14ac:dyDescent="0.2">
      <c r="B18" s="176" t="str">
        <f>'Raw Data'!B16</f>
        <v>Other liability items</v>
      </c>
      <c r="C18" s="177">
        <f>'Raw Data'!E16</f>
        <v>5483</v>
      </c>
      <c r="D18" s="177">
        <f>'Raw Data'!F16</f>
        <v>5991</v>
      </c>
      <c r="E18" s="177">
        <f>'Raw Data'!G16</f>
        <v>7404</v>
      </c>
      <c r="F18" s="177">
        <f>'Raw Data'!H16</f>
        <v>8301</v>
      </c>
      <c r="G18" s="177">
        <f>'Raw Data'!I16</f>
        <v>7050</v>
      </c>
      <c r="H18" s="177">
        <f>'Raw Data'!J16</f>
        <v>7666</v>
      </c>
      <c r="I18" s="177">
        <f>'Raw Data'!K16</f>
        <v>8429</v>
      </c>
      <c r="J18" s="177">
        <f>'Raw Data'!L16</f>
        <v>10032</v>
      </c>
      <c r="K18" s="177">
        <f>'Raw Data'!M16</f>
        <v>10877</v>
      </c>
      <c r="L18" s="177">
        <f>'Raw Data'!N16</f>
        <v>11249</v>
      </c>
    </row>
    <row r="19" spans="2:12" x14ac:dyDescent="0.2">
      <c r="B19" s="176" t="s">
        <v>275</v>
      </c>
      <c r="C19" s="177">
        <f t="shared" ref="C19:L19" si="1">SUM(C16:C18)</f>
        <v>8627</v>
      </c>
      <c r="D19" s="177">
        <f t="shared" si="1"/>
        <v>9145</v>
      </c>
      <c r="E19" s="177">
        <f t="shared" si="1"/>
        <v>11361</v>
      </c>
      <c r="F19" s="177">
        <f t="shared" si="1"/>
        <v>12241</v>
      </c>
      <c r="G19" s="177">
        <f t="shared" si="1"/>
        <v>11383</v>
      </c>
      <c r="H19" s="177">
        <f t="shared" si="1"/>
        <v>12796</v>
      </c>
      <c r="I19" s="177">
        <f t="shared" si="1"/>
        <v>14124</v>
      </c>
      <c r="J19" s="177">
        <f t="shared" si="1"/>
        <v>15986</v>
      </c>
      <c r="K19" s="177">
        <f t="shared" si="1"/>
        <v>16561</v>
      </c>
      <c r="L19" s="177">
        <f t="shared" si="1"/>
        <v>17320</v>
      </c>
    </row>
    <row r="20" spans="2:12" x14ac:dyDescent="0.2">
      <c r="B20" s="183" t="s">
        <v>276</v>
      </c>
      <c r="C20" s="179">
        <f t="shared" ref="C20:L20" si="2">C13-C19</f>
        <v>7546</v>
      </c>
      <c r="D20" s="179">
        <f t="shared" si="2"/>
        <v>6581</v>
      </c>
      <c r="E20" s="179">
        <f t="shared" si="2"/>
        <v>5894</v>
      </c>
      <c r="F20" s="179">
        <f t="shared" si="2"/>
        <v>6792</v>
      </c>
      <c r="G20" s="179">
        <f t="shared" si="2"/>
        <v>5016</v>
      </c>
      <c r="H20" s="179">
        <f t="shared" si="2"/>
        <v>4125</v>
      </c>
      <c r="I20" s="179">
        <f t="shared" si="2"/>
        <v>6119</v>
      </c>
      <c r="J20" s="179">
        <f t="shared" si="2"/>
        <v>6695</v>
      </c>
      <c r="K20" s="179">
        <f t="shared" si="2"/>
        <v>6180</v>
      </c>
      <c r="L20" s="179">
        <f t="shared" si="2"/>
        <v>8906</v>
      </c>
    </row>
    <row r="21" spans="2:12" x14ac:dyDescent="0.2">
      <c r="B21" s="137"/>
      <c r="C21" s="184"/>
      <c r="D21" s="184"/>
      <c r="E21" s="184"/>
      <c r="F21" s="184"/>
      <c r="G21" s="184"/>
      <c r="H21" s="184"/>
      <c r="I21" s="184"/>
      <c r="J21" s="184"/>
      <c r="K21" s="184"/>
      <c r="L21" s="184"/>
    </row>
    <row r="24" spans="2:12" x14ac:dyDescent="0.2">
      <c r="B24" s="181" t="s">
        <v>277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</row>
    <row r="25" spans="2:12" x14ac:dyDescent="0.2">
      <c r="B25" s="185" t="str">
        <f>'Raw Data'!B20</f>
        <v>Land</v>
      </c>
      <c r="C25" s="186">
        <f>'Raw Data'!E20</f>
        <v>1615</v>
      </c>
      <c r="D25" s="186">
        <f>'Raw Data'!F20</f>
        <v>1673</v>
      </c>
      <c r="E25" s="186">
        <f>'Raw Data'!G20</f>
        <v>1685</v>
      </c>
      <c r="F25" s="186">
        <f>'Raw Data'!H20</f>
        <v>2021</v>
      </c>
      <c r="G25" s="186">
        <f>'Raw Data'!I20</f>
        <v>2797</v>
      </c>
      <c r="H25" s="186">
        <f>'Raw Data'!J20</f>
        <v>2889</v>
      </c>
      <c r="I25" s="186">
        <f>'Raw Data'!K20</f>
        <v>2829</v>
      </c>
      <c r="J25" s="186">
        <f>'Raw Data'!L20</f>
        <v>2830</v>
      </c>
      <c r="K25" s="186">
        <f>'Raw Data'!M20</f>
        <v>2865</v>
      </c>
      <c r="L25" s="186">
        <f>'Raw Data'!N20</f>
        <v>1588</v>
      </c>
    </row>
    <row r="26" spans="2:12" x14ac:dyDescent="0.2">
      <c r="B26" s="176" t="str">
        <f>'Raw Data'!B21</f>
        <v>Building</v>
      </c>
      <c r="C26" s="177">
        <f>'Raw Data'!E21</f>
        <v>4219</v>
      </c>
      <c r="D26" s="177">
        <f>'Raw Data'!F21</f>
        <v>4716</v>
      </c>
      <c r="E26" s="177">
        <f>'Raw Data'!G21</f>
        <v>5331</v>
      </c>
      <c r="F26" s="177">
        <f>'Raw Data'!H21</f>
        <v>6996</v>
      </c>
      <c r="G26" s="177">
        <f>'Raw Data'!I21</f>
        <v>8161</v>
      </c>
      <c r="H26" s="177">
        <f>'Raw Data'!J21</f>
        <v>8387</v>
      </c>
      <c r="I26" s="177">
        <f>'Raw Data'!K21</f>
        <v>9100</v>
      </c>
      <c r="J26" s="177">
        <f>'Raw Data'!L21</f>
        <v>9789</v>
      </c>
      <c r="K26" s="177">
        <f>'Raw Data'!M21</f>
        <v>10944</v>
      </c>
      <c r="L26" s="177">
        <f>'Raw Data'!N21</f>
        <v>7550</v>
      </c>
    </row>
    <row r="27" spans="2:12" x14ac:dyDescent="0.2">
      <c r="B27" s="176" t="str">
        <f>'Raw Data'!B22</f>
        <v>Plant Machinery</v>
      </c>
      <c r="C27" s="177">
        <f>'Raw Data'!E22</f>
        <v>9112</v>
      </c>
      <c r="D27" s="177">
        <f>'Raw Data'!F22</f>
        <v>10384</v>
      </c>
      <c r="E27" s="177">
        <f>'Raw Data'!G22</f>
        <v>11453</v>
      </c>
      <c r="F27" s="177">
        <f>'Raw Data'!H22</f>
        <v>13316</v>
      </c>
      <c r="G27" s="177">
        <f>'Raw Data'!I22</f>
        <v>14625</v>
      </c>
      <c r="H27" s="177">
        <f>'Raw Data'!J22</f>
        <v>15307</v>
      </c>
      <c r="I27" s="177">
        <f>'Raw Data'!K22</f>
        <v>16912</v>
      </c>
      <c r="J27" s="177">
        <f>'Raw Data'!L22</f>
        <v>18480</v>
      </c>
      <c r="K27" s="177">
        <f>'Raw Data'!M22</f>
        <v>20718</v>
      </c>
      <c r="L27" s="177">
        <f>'Raw Data'!N22</f>
        <v>19423</v>
      </c>
    </row>
    <row r="28" spans="2:12" x14ac:dyDescent="0.2">
      <c r="B28" s="176" t="str">
        <f>'Raw Data'!B23</f>
        <v>Equipments</v>
      </c>
      <c r="C28" s="177">
        <f>'Raw Data'!E23</f>
        <v>27</v>
      </c>
      <c r="D28" s="177">
        <f>'Raw Data'!F23</f>
        <v>32</v>
      </c>
      <c r="E28" s="177">
        <f>'Raw Data'!G23</f>
        <v>32</v>
      </c>
      <c r="F28" s="177">
        <f>'Raw Data'!H23</f>
        <v>34</v>
      </c>
      <c r="G28" s="177">
        <f>'Raw Data'!I23</f>
        <v>40</v>
      </c>
      <c r="H28" s="177">
        <f>'Raw Data'!J23</f>
        <v>41</v>
      </c>
      <c r="I28" s="177">
        <f>'Raw Data'!K23</f>
        <v>44</v>
      </c>
      <c r="J28" s="177">
        <f>'Raw Data'!L23</f>
        <v>44</v>
      </c>
      <c r="K28" s="177">
        <f>'Raw Data'!M23</f>
        <v>53</v>
      </c>
      <c r="L28" s="177">
        <f>'Raw Data'!N23</f>
        <v>63</v>
      </c>
    </row>
    <row r="29" spans="2:12" x14ac:dyDescent="0.2">
      <c r="B29" s="176" t="str">
        <f>'Raw Data'!B24</f>
        <v>Furniture n fittings</v>
      </c>
      <c r="C29" s="177">
        <f>'Raw Data'!E24</f>
        <v>413</v>
      </c>
      <c r="D29" s="177">
        <f>'Raw Data'!F24</f>
        <v>459</v>
      </c>
      <c r="E29" s="177">
        <f>'Raw Data'!G24</f>
        <v>497</v>
      </c>
      <c r="F29" s="177">
        <f>'Raw Data'!H24</f>
        <v>644</v>
      </c>
      <c r="G29" s="177">
        <f>'Raw Data'!I24</f>
        <v>810</v>
      </c>
      <c r="H29" s="177">
        <f>'Raw Data'!J24</f>
        <v>833</v>
      </c>
      <c r="I29" s="177">
        <f>'Raw Data'!K24</f>
        <v>907</v>
      </c>
      <c r="J29" s="177">
        <f>'Raw Data'!L24</f>
        <v>1000</v>
      </c>
      <c r="K29" s="177">
        <f>'Raw Data'!M24</f>
        <v>1068</v>
      </c>
      <c r="L29" s="177">
        <f>'Raw Data'!N24</f>
        <v>282</v>
      </c>
    </row>
    <row r="30" spans="2:12" x14ac:dyDescent="0.2">
      <c r="B30" s="176" t="str">
        <f>'Raw Data'!B25</f>
        <v>Railway sidings</v>
      </c>
      <c r="C30" s="177">
        <f>'Raw Data'!E25</f>
        <v>2</v>
      </c>
      <c r="D30" s="177">
        <f>'Raw Data'!F25</f>
        <v>2</v>
      </c>
      <c r="E30" s="177">
        <f>'Raw Data'!G25</f>
        <v>2</v>
      </c>
      <c r="F30" s="177">
        <f>'Raw Data'!H25</f>
        <v>2</v>
      </c>
      <c r="G30" s="177">
        <f>'Raw Data'!I25</f>
        <v>2</v>
      </c>
      <c r="H30" s="177">
        <f>'Raw Data'!J25</f>
        <v>2</v>
      </c>
      <c r="I30" s="177">
        <f>'Raw Data'!K25</f>
        <v>2</v>
      </c>
      <c r="J30" s="177">
        <f>'Raw Data'!L25</f>
        <v>2</v>
      </c>
      <c r="K30" s="177">
        <f>'Raw Data'!M25</f>
        <v>2</v>
      </c>
      <c r="L30" s="177">
        <f>'Raw Data'!N25</f>
        <v>2</v>
      </c>
    </row>
    <row r="31" spans="2:12" x14ac:dyDescent="0.2">
      <c r="B31" s="176" t="str">
        <f>'Raw Data'!B26</f>
        <v>Vehicles</v>
      </c>
      <c r="C31" s="177">
        <f>'Raw Data'!E26</f>
        <v>107</v>
      </c>
      <c r="D31" s="177">
        <f>'Raw Data'!F26</f>
        <v>128</v>
      </c>
      <c r="E31" s="177">
        <f>'Raw Data'!G26</f>
        <v>140</v>
      </c>
      <c r="F31" s="177">
        <f>'Raw Data'!H26</f>
        <v>161</v>
      </c>
      <c r="G31" s="177">
        <f>'Raw Data'!I26</f>
        <v>184</v>
      </c>
      <c r="H31" s="177">
        <f>'Raw Data'!J26</f>
        <v>180</v>
      </c>
      <c r="I31" s="177">
        <f>'Raw Data'!K26</f>
        <v>179</v>
      </c>
      <c r="J31" s="177">
        <f>'Raw Data'!L26</f>
        <v>189</v>
      </c>
      <c r="K31" s="177">
        <f>'Raw Data'!M26</f>
        <v>192</v>
      </c>
      <c r="L31" s="177">
        <f>'Raw Data'!N26</f>
        <v>141</v>
      </c>
    </row>
    <row r="32" spans="2:12" x14ac:dyDescent="0.2">
      <c r="B32" s="176" t="str">
        <f>'Raw Data'!B27</f>
        <v>Intangible Assets</v>
      </c>
      <c r="C32" s="177">
        <f>'Raw Data'!E27</f>
        <v>563</v>
      </c>
      <c r="D32" s="177">
        <f>'Raw Data'!F27</f>
        <v>563</v>
      </c>
      <c r="E32" s="177">
        <f>'Raw Data'!G27</f>
        <v>570</v>
      </c>
      <c r="F32" s="177">
        <f>'Raw Data'!H27</f>
        <v>684</v>
      </c>
      <c r="G32" s="177">
        <f>'Raw Data'!I27</f>
        <v>684</v>
      </c>
      <c r="H32" s="177">
        <f>'Raw Data'!J27</f>
        <v>2734</v>
      </c>
      <c r="I32" s="177">
        <f>'Raw Data'!K27</f>
        <v>2744</v>
      </c>
      <c r="J32" s="177">
        <f>'Raw Data'!L27</f>
        <v>3490</v>
      </c>
      <c r="K32" s="177">
        <f>'Raw Data'!M27</f>
        <v>3505</v>
      </c>
      <c r="L32" s="177">
        <f>'Raw Data'!N27</f>
        <v>3622</v>
      </c>
    </row>
    <row r="33" spans="2:13" x14ac:dyDescent="0.2">
      <c r="B33" s="176" t="str">
        <f>'Raw Data'!B28</f>
        <v>Other fixed assets</v>
      </c>
      <c r="C33" s="177">
        <f>'Raw Data'!E28</f>
        <v>117</v>
      </c>
      <c r="D33" s="177">
        <f>'Raw Data'!F28</f>
        <v>138</v>
      </c>
      <c r="E33" s="177">
        <f>'Raw Data'!G28</f>
        <v>212</v>
      </c>
      <c r="F33" s="177">
        <f>'Raw Data'!H28</f>
        <v>234</v>
      </c>
      <c r="G33" s="177">
        <f>'Raw Data'!I28</f>
        <v>663</v>
      </c>
      <c r="H33" s="177">
        <f>'Raw Data'!J28</f>
        <v>716</v>
      </c>
      <c r="I33" s="177">
        <f>'Raw Data'!K28</f>
        <v>719</v>
      </c>
      <c r="J33" s="177">
        <f>'Raw Data'!L28</f>
        <v>786</v>
      </c>
      <c r="K33" s="177">
        <f>'Raw Data'!M28</f>
        <v>841</v>
      </c>
      <c r="L33" s="177">
        <f>'Raw Data'!N28</f>
        <v>967</v>
      </c>
    </row>
    <row r="34" spans="2:13" x14ac:dyDescent="0.2">
      <c r="B34" s="176" t="str">
        <f>'Raw Data'!B29</f>
        <v>Gross Block</v>
      </c>
      <c r="C34" s="177">
        <f t="shared" ref="C34:L34" si="3">SUM(C25:C33)</f>
        <v>16175</v>
      </c>
      <c r="D34" s="177">
        <f t="shared" si="3"/>
        <v>18095</v>
      </c>
      <c r="E34" s="177">
        <f t="shared" si="3"/>
        <v>19922</v>
      </c>
      <c r="F34" s="177">
        <f t="shared" si="3"/>
        <v>24092</v>
      </c>
      <c r="G34" s="177">
        <f t="shared" si="3"/>
        <v>27966</v>
      </c>
      <c r="H34" s="177">
        <f t="shared" si="3"/>
        <v>31089</v>
      </c>
      <c r="I34" s="177">
        <f t="shared" si="3"/>
        <v>33436</v>
      </c>
      <c r="J34" s="177">
        <f t="shared" si="3"/>
        <v>36610</v>
      </c>
      <c r="K34" s="177">
        <f t="shared" si="3"/>
        <v>40188</v>
      </c>
      <c r="L34" s="177">
        <f t="shared" si="3"/>
        <v>33638</v>
      </c>
    </row>
    <row r="35" spans="2:13" x14ac:dyDescent="0.2">
      <c r="B35" s="150" t="str">
        <f>'Raw Data'!B30</f>
        <v>Accumulated Depreciation</v>
      </c>
      <c r="C35" s="187">
        <f>'Raw Data'!E30</f>
        <v>1069</v>
      </c>
      <c r="D35" s="187">
        <f>'Raw Data'!F30</f>
        <v>2201</v>
      </c>
      <c r="E35" s="187">
        <f>'Raw Data'!G30</f>
        <v>3396</v>
      </c>
      <c r="F35" s="187">
        <f>'Raw Data'!H30</f>
        <v>4716</v>
      </c>
      <c r="G35" s="187">
        <f>'Raw Data'!I30</f>
        <v>6252</v>
      </c>
      <c r="H35" s="187">
        <f>'Raw Data'!J30</f>
        <v>7790</v>
      </c>
      <c r="I35" s="187">
        <f>'Raw Data'!K30</f>
        <v>9204</v>
      </c>
      <c r="J35" s="187">
        <f>'Raw Data'!L30</f>
        <v>10757</v>
      </c>
      <c r="K35" s="187">
        <f>'Raw Data'!M30</f>
        <v>12368</v>
      </c>
      <c r="L35" s="187">
        <f>'Raw Data'!N30</f>
        <v>11683</v>
      </c>
      <c r="M35" s="182"/>
    </row>
    <row r="36" spans="2:13" x14ac:dyDescent="0.2">
      <c r="B36" s="183" t="s">
        <v>278</v>
      </c>
      <c r="C36" s="179">
        <f t="shared" ref="C36:L36" si="4">C34-C35</f>
        <v>15106</v>
      </c>
      <c r="D36" s="179">
        <f t="shared" si="4"/>
        <v>15894</v>
      </c>
      <c r="E36" s="179">
        <f t="shared" si="4"/>
        <v>16526</v>
      </c>
      <c r="F36" s="179">
        <f t="shared" si="4"/>
        <v>19376</v>
      </c>
      <c r="G36" s="179">
        <f t="shared" si="4"/>
        <v>21714</v>
      </c>
      <c r="H36" s="179">
        <f t="shared" si="4"/>
        <v>23299</v>
      </c>
      <c r="I36" s="179">
        <f t="shared" si="4"/>
        <v>24232</v>
      </c>
      <c r="J36" s="179">
        <f t="shared" si="4"/>
        <v>25853</v>
      </c>
      <c r="K36" s="179">
        <f t="shared" si="4"/>
        <v>27820</v>
      </c>
      <c r="L36" s="179">
        <f t="shared" si="4"/>
        <v>21955</v>
      </c>
    </row>
    <row r="37" spans="2:13" x14ac:dyDescent="0.2">
      <c r="B37" s="137"/>
      <c r="C37" s="184"/>
      <c r="D37" s="184"/>
      <c r="E37" s="184"/>
      <c r="F37" s="184"/>
      <c r="G37" s="184"/>
      <c r="H37" s="184"/>
      <c r="I37" s="184"/>
      <c r="J37" s="184"/>
      <c r="K37" s="184"/>
      <c r="L37" s="184"/>
    </row>
    <row r="38" spans="2:13" x14ac:dyDescent="0.2">
      <c r="B38" s="137"/>
      <c r="C38" s="184"/>
      <c r="D38" s="184"/>
      <c r="E38" s="184"/>
      <c r="F38" s="184"/>
      <c r="G38" s="184"/>
      <c r="H38" s="184"/>
      <c r="I38" s="184"/>
      <c r="J38" s="184"/>
      <c r="K38" s="184"/>
      <c r="L38" s="184"/>
    </row>
    <row r="40" spans="2:13" x14ac:dyDescent="0.2">
      <c r="B40" s="183" t="s">
        <v>279</v>
      </c>
      <c r="C40" s="179">
        <f t="shared" ref="C40:L40" si="5">C36+C20</f>
        <v>22652</v>
      </c>
      <c r="D40" s="179">
        <f t="shared" si="5"/>
        <v>22475</v>
      </c>
      <c r="E40" s="179">
        <f t="shared" si="5"/>
        <v>22420</v>
      </c>
      <c r="F40" s="179">
        <f t="shared" si="5"/>
        <v>26168</v>
      </c>
      <c r="G40" s="179">
        <f t="shared" si="5"/>
        <v>26730</v>
      </c>
      <c r="H40" s="179">
        <f t="shared" si="5"/>
        <v>27424</v>
      </c>
      <c r="I40" s="179">
        <f t="shared" si="5"/>
        <v>30351</v>
      </c>
      <c r="J40" s="179">
        <f t="shared" si="5"/>
        <v>32548</v>
      </c>
      <c r="K40" s="179">
        <f t="shared" si="5"/>
        <v>34000</v>
      </c>
      <c r="L40" s="179">
        <f t="shared" si="5"/>
        <v>30861</v>
      </c>
    </row>
    <row r="41" spans="2:13" x14ac:dyDescent="0.2">
      <c r="B41" s="181" t="s">
        <v>280</v>
      </c>
      <c r="C41" s="181">
        <f>'Historical Financial Statemen'!C19-'Historical Financial Statemen'!C25</f>
        <v>11580.220000000003</v>
      </c>
      <c r="D41" s="181">
        <f>'Historical Financial Statemen'!D19-'Historical Financial Statemen'!D25</f>
        <v>13743.229999999996</v>
      </c>
      <c r="E41" s="181">
        <f>'Historical Financial Statemen'!E19-'Historical Financial Statemen'!E25</f>
        <v>15100.020000000002</v>
      </c>
      <c r="F41" s="181">
        <f>'Historical Financial Statemen'!F19-'Historical Financial Statemen'!F25</f>
        <v>14653.960000000003</v>
      </c>
      <c r="G41" s="181">
        <f>'Historical Financial Statemen'!G19-'Historical Financial Statemen'!G25</f>
        <v>13875.049999999996</v>
      </c>
      <c r="H41" s="181">
        <f>'Historical Financial Statemen'!H19-'Historical Financial Statemen'!H25</f>
        <v>11551.699999999993</v>
      </c>
      <c r="I41" s="181">
        <f>'Historical Financial Statemen'!I19-'Historical Financial Statemen'!I25</f>
        <v>15609.02</v>
      </c>
      <c r="J41" s="181">
        <f>'Historical Financial Statemen'!J19-'Historical Financial Statemen'!J25</f>
        <v>21080.429999999993</v>
      </c>
      <c r="K41" s="181">
        <f>'Historical Financial Statemen'!K19-'Historical Financial Statemen'!K25</f>
        <v>19603.490000000009</v>
      </c>
      <c r="L41" s="181">
        <f>'Historical Financial Statemen'!L19-'Historical Financial Statemen'!L25</f>
        <v>4946.9500000000007</v>
      </c>
    </row>
    <row r="42" spans="2:13" x14ac:dyDescent="0.2"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</row>
    <row r="43" spans="2:13" x14ac:dyDescent="0.2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</row>
    <row r="45" spans="2:13" x14ac:dyDescent="0.2">
      <c r="B45" s="188" t="s">
        <v>281</v>
      </c>
      <c r="C45" s="189">
        <f>C41/C40</f>
        <v>0.51122285007946333</v>
      </c>
      <c r="D45" s="189">
        <f t="shared" ref="D45:L45" si="6">D41/D40</f>
        <v>0.6114896551724136</v>
      </c>
      <c r="E45" s="189">
        <f t="shared" si="6"/>
        <v>0.67350669045495104</v>
      </c>
      <c r="F45" s="189">
        <f t="shared" si="6"/>
        <v>0.55999541424640797</v>
      </c>
      <c r="G45" s="189">
        <f t="shared" si="6"/>
        <v>0.51908155630377839</v>
      </c>
      <c r="H45" s="189">
        <f t="shared" si="6"/>
        <v>0.42122593348891457</v>
      </c>
      <c r="I45" s="189">
        <f t="shared" si="6"/>
        <v>0.51428354914170871</v>
      </c>
      <c r="J45" s="189">
        <f t="shared" si="6"/>
        <v>0.64767205358240121</v>
      </c>
      <c r="K45" s="189">
        <f t="shared" si="6"/>
        <v>0.57657323529411786</v>
      </c>
      <c r="L45" s="189">
        <f t="shared" si="6"/>
        <v>0.16029778685071777</v>
      </c>
    </row>
    <row r="51" spans="2:12" x14ac:dyDescent="0.2">
      <c r="B51" s="147" t="s">
        <v>282</v>
      </c>
      <c r="C51" s="180">
        <f>'Data Sheet'!B16</f>
        <v>42460</v>
      </c>
      <c r="D51" s="180">
        <f>'Data Sheet'!C16</f>
        <v>42825</v>
      </c>
      <c r="E51" s="180">
        <f>'Data Sheet'!D16</f>
        <v>43190</v>
      </c>
      <c r="F51" s="180">
        <f>'Data Sheet'!E16</f>
        <v>43555</v>
      </c>
      <c r="G51" s="180">
        <f>'Data Sheet'!F16</f>
        <v>43921</v>
      </c>
      <c r="H51" s="180">
        <f>'Data Sheet'!G16</f>
        <v>44286</v>
      </c>
      <c r="I51" s="180">
        <f>'Data Sheet'!H16</f>
        <v>44651</v>
      </c>
      <c r="J51" s="180">
        <f>'Data Sheet'!I16</f>
        <v>45016</v>
      </c>
      <c r="K51" s="180">
        <f>'Data Sheet'!J16</f>
        <v>45382</v>
      </c>
      <c r="L51" s="180">
        <f>'Data Sheet'!K16</f>
        <v>45747</v>
      </c>
    </row>
    <row r="52" spans="2:12" x14ac:dyDescent="0.2">
      <c r="C52" s="190"/>
      <c r="D52" s="190"/>
      <c r="E52" s="190"/>
      <c r="F52" s="190"/>
      <c r="G52" s="190"/>
      <c r="H52" s="190"/>
      <c r="I52" s="190"/>
      <c r="J52" s="190"/>
      <c r="K52" s="190"/>
      <c r="L52" s="190"/>
    </row>
    <row r="53" spans="2:12" x14ac:dyDescent="0.2">
      <c r="B53" s="153" t="s">
        <v>283</v>
      </c>
      <c r="C53" s="191">
        <f>-('Raw Data'!D57+'Raw Data'!D58)</f>
        <v>3291</v>
      </c>
      <c r="D53" s="191">
        <f>-('Raw Data'!E57+'Raw Data'!E58)</f>
        <v>2340</v>
      </c>
      <c r="E53" s="191">
        <f>-('Raw Data'!F57+'Raw Data'!F58)</f>
        <v>3072</v>
      </c>
      <c r="F53" s="191">
        <f>-('Raw Data'!G57+'Raw Data'!G58)</f>
        <v>2798</v>
      </c>
      <c r="G53" s="191">
        <f>-('Raw Data'!H57+'Raw Data'!H58)</f>
        <v>3141</v>
      </c>
      <c r="H53" s="191">
        <f>-('Raw Data'!I57+'Raw Data'!I58)</f>
        <v>2414</v>
      </c>
      <c r="I53" s="191">
        <f>-('Raw Data'!J57+'Raw Data'!J58)</f>
        <v>1834</v>
      </c>
      <c r="J53" s="191">
        <f>-('Raw Data'!K57+'Raw Data'!K58)</f>
        <v>2009</v>
      </c>
      <c r="K53" s="191">
        <f>-('Raw Data'!L57+'Raw Data'!L58)</f>
        <v>2694</v>
      </c>
      <c r="L53" s="191">
        <f>-('Raw Data'!M57+'Raw Data'!M58)</f>
        <v>3456</v>
      </c>
    </row>
    <row r="54" spans="2:12" x14ac:dyDescent="0.2">
      <c r="B54" s="176" t="s">
        <v>288</v>
      </c>
      <c r="C54" s="176"/>
      <c r="D54" s="177">
        <f>D20-C20</f>
        <v>-965</v>
      </c>
      <c r="E54" s="177">
        <f t="shared" ref="E54:L54" si="7">E20-D20</f>
        <v>-687</v>
      </c>
      <c r="F54" s="177">
        <f t="shared" si="7"/>
        <v>898</v>
      </c>
      <c r="G54" s="177">
        <f t="shared" si="7"/>
        <v>-1776</v>
      </c>
      <c r="H54" s="177">
        <f t="shared" si="7"/>
        <v>-891</v>
      </c>
      <c r="I54" s="177">
        <f t="shared" si="7"/>
        <v>1994</v>
      </c>
      <c r="J54" s="177">
        <f t="shared" si="7"/>
        <v>576</v>
      </c>
      <c r="K54" s="177">
        <f t="shared" si="7"/>
        <v>-515</v>
      </c>
      <c r="L54" s="177">
        <f t="shared" si="7"/>
        <v>2726</v>
      </c>
    </row>
    <row r="55" spans="2:12" x14ac:dyDescent="0.2"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</row>
    <row r="56" spans="2:12" x14ac:dyDescent="0.2">
      <c r="B56" s="176" t="s">
        <v>280</v>
      </c>
      <c r="C56" s="176">
        <f>C41</f>
        <v>11580.220000000003</v>
      </c>
      <c r="D56" s="176">
        <f t="shared" ref="D56:L56" si="8">D41</f>
        <v>13743.229999999996</v>
      </c>
      <c r="E56" s="176">
        <f t="shared" si="8"/>
        <v>15100.020000000002</v>
      </c>
      <c r="F56" s="176">
        <f t="shared" si="8"/>
        <v>14653.960000000003</v>
      </c>
      <c r="G56" s="176">
        <f t="shared" si="8"/>
        <v>13875.049999999996</v>
      </c>
      <c r="H56" s="176">
        <f t="shared" si="8"/>
        <v>11551.699999999993</v>
      </c>
      <c r="I56" s="176">
        <f t="shared" si="8"/>
        <v>15609.02</v>
      </c>
      <c r="J56" s="176">
        <f t="shared" si="8"/>
        <v>21080.429999999993</v>
      </c>
      <c r="K56" s="176">
        <f t="shared" si="8"/>
        <v>19603.490000000009</v>
      </c>
      <c r="L56" s="176">
        <f t="shared" si="8"/>
        <v>4946.9500000000007</v>
      </c>
    </row>
    <row r="57" spans="2:12" x14ac:dyDescent="0.2">
      <c r="B57" s="176" t="s">
        <v>289</v>
      </c>
      <c r="C57" s="192">
        <v>0.25</v>
      </c>
      <c r="D57" s="192">
        <v>0.25</v>
      </c>
      <c r="E57" s="192">
        <v>0.25</v>
      </c>
      <c r="F57" s="192">
        <v>0.25</v>
      </c>
      <c r="G57" s="192">
        <v>0.25</v>
      </c>
      <c r="H57" s="192">
        <v>0.25</v>
      </c>
      <c r="I57" s="192">
        <v>0.25</v>
      </c>
      <c r="J57" s="192">
        <v>0.25</v>
      </c>
      <c r="K57" s="192">
        <v>0.25</v>
      </c>
      <c r="L57" s="192">
        <v>0.25</v>
      </c>
    </row>
    <row r="58" spans="2:12" x14ac:dyDescent="0.2">
      <c r="B58" s="176" t="s">
        <v>290</v>
      </c>
      <c r="C58" s="176">
        <f>C56*(1-C57)</f>
        <v>8685.1650000000027</v>
      </c>
      <c r="D58" s="176">
        <f t="shared" ref="D58:L58" si="9">D56*(1-D57)</f>
        <v>10307.422499999997</v>
      </c>
      <c r="E58" s="176">
        <f t="shared" si="9"/>
        <v>11325.015000000001</v>
      </c>
      <c r="F58" s="176">
        <f t="shared" si="9"/>
        <v>10990.470000000001</v>
      </c>
      <c r="G58" s="176">
        <f t="shared" si="9"/>
        <v>10406.287499999997</v>
      </c>
      <c r="H58" s="176">
        <f t="shared" si="9"/>
        <v>8663.7749999999942</v>
      </c>
      <c r="I58" s="176">
        <f t="shared" si="9"/>
        <v>11706.764999999999</v>
      </c>
      <c r="J58" s="176">
        <f t="shared" si="9"/>
        <v>15810.322499999995</v>
      </c>
      <c r="K58" s="176">
        <f t="shared" si="9"/>
        <v>14702.617500000008</v>
      </c>
      <c r="L58" s="176">
        <f t="shared" si="9"/>
        <v>3710.2125000000005</v>
      </c>
    </row>
    <row r="59" spans="2:12" x14ac:dyDescent="0.2"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</row>
    <row r="60" spans="2:12" x14ac:dyDescent="0.2">
      <c r="B60" s="183" t="s">
        <v>295</v>
      </c>
      <c r="C60" s="183"/>
      <c r="D60" s="179">
        <f>D53+D54</f>
        <v>1375</v>
      </c>
      <c r="E60" s="179">
        <f t="shared" ref="E60:K60" si="10">E53+E54</f>
        <v>2385</v>
      </c>
      <c r="F60" s="179">
        <f t="shared" si="10"/>
        <v>3696</v>
      </c>
      <c r="G60" s="179">
        <f t="shared" si="10"/>
        <v>1365</v>
      </c>
      <c r="H60" s="179">
        <f t="shared" si="10"/>
        <v>1523</v>
      </c>
      <c r="I60" s="179">
        <f t="shared" si="10"/>
        <v>3828</v>
      </c>
      <c r="J60" s="179">
        <f t="shared" si="10"/>
        <v>2585</v>
      </c>
      <c r="K60" s="179">
        <f t="shared" si="10"/>
        <v>2179</v>
      </c>
      <c r="L60" s="179">
        <f>L53+L54</f>
        <v>6182</v>
      </c>
    </row>
    <row r="61" spans="2:12" x14ac:dyDescent="0.2">
      <c r="B61" s="137" t="s">
        <v>291</v>
      </c>
      <c r="C61" s="137"/>
      <c r="D61" s="193">
        <f>D60/D58</f>
        <v>0.13339901415703107</v>
      </c>
      <c r="E61" s="193">
        <f t="shared" ref="E61:K61" si="11">E60/E58</f>
        <v>0.21059574755530122</v>
      </c>
      <c r="F61" s="193">
        <f t="shared" si="11"/>
        <v>0.33629135059738113</v>
      </c>
      <c r="G61" s="193">
        <f t="shared" si="11"/>
        <v>0.13117069848396948</v>
      </c>
      <c r="H61" s="193">
        <f t="shared" si="11"/>
        <v>0.17578942204754869</v>
      </c>
      <c r="I61" s="193">
        <f t="shared" si="11"/>
        <v>0.32699041964197628</v>
      </c>
      <c r="J61" s="193">
        <f t="shared" si="11"/>
        <v>0.16350077615431316</v>
      </c>
      <c r="K61" s="193">
        <f t="shared" si="11"/>
        <v>0.1482049029705084</v>
      </c>
      <c r="L61" s="193">
        <f>L60/L58</f>
        <v>1.6662118409659821</v>
      </c>
    </row>
    <row r="63" spans="2:12" x14ac:dyDescent="0.2">
      <c r="I63" s="137"/>
      <c r="J63" s="183" t="s">
        <v>292</v>
      </c>
      <c r="K63" s="183"/>
      <c r="L63" s="194">
        <f>AVERAGE(E61:M61)</f>
        <v>0.39484439480212252</v>
      </c>
    </row>
    <row r="64" spans="2:12" x14ac:dyDescent="0.2">
      <c r="I64" s="137"/>
      <c r="J64" s="181" t="s">
        <v>293</v>
      </c>
      <c r="K64" s="181"/>
      <c r="L64" s="195">
        <f>MEDIAN(E61:M61)</f>
        <v>0.19319258480142495</v>
      </c>
    </row>
    <row r="65" spans="2:12" x14ac:dyDescent="0.2">
      <c r="I65" s="137"/>
      <c r="J65" s="137"/>
      <c r="K65" s="137"/>
      <c r="L65" s="196"/>
    </row>
    <row r="71" spans="2:12" x14ac:dyDescent="0.2">
      <c r="B71" s="147" t="s">
        <v>294</v>
      </c>
      <c r="C71" s="180">
        <f>'Data Sheet'!B16</f>
        <v>42460</v>
      </c>
      <c r="D71" s="180">
        <f>'Data Sheet'!C16</f>
        <v>42825</v>
      </c>
      <c r="E71" s="180">
        <f>'Data Sheet'!D16</f>
        <v>43190</v>
      </c>
      <c r="F71" s="180">
        <f>'Data Sheet'!E16</f>
        <v>43555</v>
      </c>
      <c r="G71" s="180">
        <f>'Data Sheet'!F16</f>
        <v>43921</v>
      </c>
      <c r="H71" s="180">
        <f>'Data Sheet'!G16</f>
        <v>44286</v>
      </c>
      <c r="I71" s="180">
        <f>'Data Sheet'!H16</f>
        <v>44651</v>
      </c>
      <c r="J71" s="180">
        <f>'Data Sheet'!I16</f>
        <v>45016</v>
      </c>
      <c r="K71" s="180">
        <f>'Data Sheet'!J16</f>
        <v>45382</v>
      </c>
      <c r="L71" s="180">
        <f>'Data Sheet'!K16</f>
        <v>45747</v>
      </c>
    </row>
    <row r="73" spans="2:12" x14ac:dyDescent="0.2">
      <c r="B73" s="153" t="s">
        <v>291</v>
      </c>
      <c r="C73" s="153"/>
      <c r="D73" s="157">
        <f>D61</f>
        <v>0.13339901415703107</v>
      </c>
      <c r="E73" s="157">
        <f t="shared" ref="E73:L73" si="12">E61</f>
        <v>0.21059574755530122</v>
      </c>
      <c r="F73" s="157">
        <f t="shared" si="12"/>
        <v>0.33629135059738113</v>
      </c>
      <c r="G73" s="157">
        <f t="shared" si="12"/>
        <v>0.13117069848396948</v>
      </c>
      <c r="H73" s="157">
        <f t="shared" si="12"/>
        <v>0.17578942204754869</v>
      </c>
      <c r="I73" s="157">
        <f t="shared" si="12"/>
        <v>0.32699041964197628</v>
      </c>
      <c r="J73" s="157">
        <f t="shared" si="12"/>
        <v>0.16350077615431316</v>
      </c>
      <c r="K73" s="157">
        <f t="shared" si="12"/>
        <v>0.1482049029705084</v>
      </c>
      <c r="L73" s="157">
        <f t="shared" si="12"/>
        <v>1.6662118409659821</v>
      </c>
    </row>
    <row r="74" spans="2:12" x14ac:dyDescent="0.2">
      <c r="B74" s="150" t="s">
        <v>281</v>
      </c>
      <c r="C74" s="150"/>
      <c r="D74" s="155">
        <f>D45</f>
        <v>0.6114896551724136</v>
      </c>
      <c r="E74" s="155">
        <f t="shared" ref="E74:L74" si="13">E45</f>
        <v>0.67350669045495104</v>
      </c>
      <c r="F74" s="155">
        <f t="shared" si="13"/>
        <v>0.55999541424640797</v>
      </c>
      <c r="G74" s="155">
        <f t="shared" si="13"/>
        <v>0.51908155630377839</v>
      </c>
      <c r="H74" s="155">
        <f t="shared" si="13"/>
        <v>0.42122593348891457</v>
      </c>
      <c r="I74" s="155">
        <f t="shared" si="13"/>
        <v>0.51428354914170871</v>
      </c>
      <c r="J74" s="155">
        <f t="shared" si="13"/>
        <v>0.64767205358240121</v>
      </c>
      <c r="K74" s="155">
        <f t="shared" si="13"/>
        <v>0.57657323529411786</v>
      </c>
      <c r="L74" s="155">
        <f t="shared" si="13"/>
        <v>0.16029778685071777</v>
      </c>
    </row>
    <row r="76" spans="2:12" x14ac:dyDescent="0.2">
      <c r="B76" s="183" t="s">
        <v>296</v>
      </c>
      <c r="C76" s="183"/>
      <c r="D76" s="194">
        <f>D74*D73</f>
        <v>8.1572117167222846E-2</v>
      </c>
      <c r="E76" s="194">
        <f t="shared" ref="E76:L76" si="14">E74*E73</f>
        <v>0.14183764495985726</v>
      </c>
      <c r="F76" s="194">
        <f t="shared" si="14"/>
        <v>0.18832161418526447</v>
      </c>
      <c r="G76" s="194">
        <f t="shared" si="14"/>
        <v>6.8088290310512542E-2</v>
      </c>
      <c r="H76" s="194">
        <f t="shared" si="14"/>
        <v>7.4047063399455479E-2</v>
      </c>
      <c r="I76" s="194">
        <f t="shared" si="14"/>
        <v>0.16816579354881225</v>
      </c>
      <c r="J76" s="194">
        <f t="shared" si="14"/>
        <v>0.10589488345418049</v>
      </c>
      <c r="K76" s="194">
        <f t="shared" si="14"/>
        <v>8.5450980392156844E-2</v>
      </c>
      <c r="L76" s="194">
        <f t="shared" si="14"/>
        <v>0.26709007053130707</v>
      </c>
    </row>
    <row r="79" spans="2:12" x14ac:dyDescent="0.2">
      <c r="J79" s="183" t="s">
        <v>292</v>
      </c>
      <c r="K79" s="183"/>
      <c r="L79" s="194">
        <f>AVERAGE(D76:L76)</f>
        <v>0.13116316199430769</v>
      </c>
    </row>
    <row r="80" spans="2:12" x14ac:dyDescent="0.2">
      <c r="J80" s="181" t="s">
        <v>293</v>
      </c>
      <c r="K80" s="181"/>
      <c r="L80" s="195">
        <f>MEDIAN(E76:M76)</f>
        <v>0.12386626420701888</v>
      </c>
    </row>
    <row r="131" spans="1:12" x14ac:dyDescent="0.2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</row>
  </sheetData>
  <mergeCells count="1">
    <mergeCell ref="B3:L4"/>
  </mergeCells>
  <pageMargins left="0.25" right="0.25" top="0.75" bottom="0.75" header="0.3" footer="0.3"/>
  <pageSetup orientation="portrait" r:id="rId1"/>
  <headerFooter>
    <oddHeader>&amp;L&amp;"-,Bold"&amp;8&amp;K07-049ITC Ltd
NSE: ITC(INE154A01025)
401.25 INR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1882-4ACE-47A9-959F-4570E78AC029}">
  <dimension ref="A1:M65"/>
  <sheetViews>
    <sheetView showGridLines="0" view="pageLayout" zoomScale="68" zoomScaleNormal="81" zoomScalePageLayoutView="68" workbookViewId="0">
      <selection activeCell="M65" sqref="M65"/>
    </sheetView>
  </sheetViews>
  <sheetFormatPr defaultRowHeight="10.199999999999999" x14ac:dyDescent="0.2"/>
  <cols>
    <col min="1" max="1" width="2.77734375" style="124" customWidth="1"/>
    <col min="2" max="2" width="15.109375" style="124" customWidth="1"/>
    <col min="3" max="12" width="8.21875" style="124" customWidth="1"/>
    <col min="13" max="16384" width="8.88671875" style="124"/>
  </cols>
  <sheetData>
    <row r="1" spans="1:13" x14ac:dyDescent="0.2">
      <c r="A1" s="236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3" spans="1:13" x14ac:dyDescent="0.2">
      <c r="B3" s="256" t="str">
        <f>"Common Size Income Statement - "&amp;'Data Sheet'!B1</f>
        <v>Common Size Income Statement - ITC LTD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</row>
    <row r="5" spans="1:13" x14ac:dyDescent="0.2">
      <c r="B5" s="181" t="s">
        <v>237</v>
      </c>
      <c r="C5" s="197">
        <f>'Data Sheet'!B$16</f>
        <v>42460</v>
      </c>
      <c r="D5" s="197">
        <f>'Data Sheet'!C$16</f>
        <v>42825</v>
      </c>
      <c r="E5" s="197">
        <f>'Data Sheet'!D$16</f>
        <v>43190</v>
      </c>
      <c r="F5" s="197">
        <f>'Data Sheet'!E$16</f>
        <v>43555</v>
      </c>
      <c r="G5" s="197">
        <f>'Data Sheet'!F$16</f>
        <v>43921</v>
      </c>
      <c r="H5" s="197">
        <f>'Data Sheet'!G$16</f>
        <v>44286</v>
      </c>
      <c r="I5" s="197">
        <f>'Data Sheet'!H$16</f>
        <v>44651</v>
      </c>
      <c r="J5" s="197">
        <f>'Data Sheet'!I$16</f>
        <v>45016</v>
      </c>
      <c r="K5" s="197">
        <f>'Data Sheet'!J$16</f>
        <v>45382</v>
      </c>
      <c r="L5" s="197">
        <f>'Data Sheet'!K$16</f>
        <v>45747</v>
      </c>
    </row>
    <row r="6" spans="1:13" x14ac:dyDescent="0.2">
      <c r="B6" s="137"/>
      <c r="C6" s="198"/>
      <c r="D6" s="198"/>
      <c r="E6" s="198"/>
      <c r="F6" s="198"/>
      <c r="G6" s="198"/>
      <c r="H6" s="198"/>
      <c r="I6" s="198"/>
      <c r="J6" s="198"/>
      <c r="K6" s="198"/>
      <c r="L6" s="198"/>
    </row>
    <row r="7" spans="1:13" x14ac:dyDescent="0.2">
      <c r="B7" s="199" t="str">
        <f>'Data Sheet'!A17</f>
        <v>Sales</v>
      </c>
      <c r="C7" s="193">
        <f>'Data Sheet'!B17/'Data Sheet'!B$17</f>
        <v>1</v>
      </c>
      <c r="D7" s="193">
        <f>'Data Sheet'!C17/'Data Sheet'!C$17</f>
        <v>1</v>
      </c>
      <c r="E7" s="193">
        <f>'Data Sheet'!D17/'Data Sheet'!D$17</f>
        <v>1</v>
      </c>
      <c r="F7" s="193">
        <f>'Data Sheet'!E17/'Data Sheet'!E$17</f>
        <v>1</v>
      </c>
      <c r="G7" s="193">
        <f>'Data Sheet'!F17/'Data Sheet'!F$17</f>
        <v>1</v>
      </c>
      <c r="H7" s="193">
        <f>'Data Sheet'!G17/'Data Sheet'!G$17</f>
        <v>1</v>
      </c>
      <c r="I7" s="193">
        <f>'Data Sheet'!H17/'Data Sheet'!H$17</f>
        <v>1</v>
      </c>
      <c r="J7" s="193">
        <f>'Data Sheet'!I17/'Data Sheet'!I$17</f>
        <v>1</v>
      </c>
      <c r="K7" s="193">
        <f>'Data Sheet'!J17/'Data Sheet'!J$17</f>
        <v>1</v>
      </c>
      <c r="L7" s="193">
        <f>'Data Sheet'!K17/'Data Sheet'!K$17</f>
        <v>1</v>
      </c>
      <c r="M7" s="193"/>
    </row>
    <row r="8" spans="1:13" x14ac:dyDescent="0.2">
      <c r="B8" s="200" t="str">
        <f>'Data Sheet'!A18</f>
        <v>Raw Material Cost</v>
      </c>
      <c r="C8" s="132">
        <f>'Data Sheet'!B18/'Data Sheet'!B$17</f>
        <v>0.35119016332373104</v>
      </c>
      <c r="D8" s="132">
        <f>'Data Sheet'!C18/'Data Sheet'!C$17</f>
        <v>0.36140887026627638</v>
      </c>
      <c r="E8" s="132">
        <f>'Data Sheet'!D18/'Data Sheet'!D$17</f>
        <v>0.34126770411430057</v>
      </c>
      <c r="F8" s="132">
        <f>'Data Sheet'!E18/'Data Sheet'!E$17</f>
        <v>0.36457743323380137</v>
      </c>
      <c r="G8" s="132">
        <f>'Data Sheet'!F18/'Data Sheet'!F$17</f>
        <v>0.36544726723455434</v>
      </c>
      <c r="H8" s="132">
        <f>'Data Sheet'!G18/'Data Sheet'!G$17</f>
        <v>0.42179832695358777</v>
      </c>
      <c r="I8" s="132">
        <f>'Data Sheet'!H18/'Data Sheet'!H$17</f>
        <v>0.44638923800889574</v>
      </c>
      <c r="J8" s="132">
        <f>'Data Sheet'!I18/'Data Sheet'!I$17</f>
        <v>0.41405473255908887</v>
      </c>
      <c r="K8" s="132">
        <f>'Data Sheet'!J18/'Data Sheet'!J$17</f>
        <v>0.40258779596166394</v>
      </c>
      <c r="L8" s="132">
        <f>'Data Sheet'!K18/'Data Sheet'!K$17</f>
        <v>0.43418640224928956</v>
      </c>
    </row>
    <row r="9" spans="1:13" x14ac:dyDescent="0.2">
      <c r="B9" s="200" t="str">
        <f>'Data Sheet'!A19</f>
        <v>Change in Inventory</v>
      </c>
      <c r="C9" s="132">
        <f>'Data Sheet'!B19/'Data Sheet'!B$17</f>
        <v>4.9851883415280122E-3</v>
      </c>
      <c r="D9" s="132">
        <f>'Data Sheet'!C19/'Data Sheet'!C$17</f>
        <v>-1.3855582263208599E-2</v>
      </c>
      <c r="E9" s="132">
        <f>'Data Sheet'!D19/'Data Sheet'!D$17</f>
        <v>-2.3654432075903346E-2</v>
      </c>
      <c r="F9" s="132">
        <f>'Data Sheet'!E19/'Data Sheet'!E$17</f>
        <v>4.2033877828479265E-3</v>
      </c>
      <c r="G9" s="132">
        <f>'Data Sheet'!F19/'Data Sheet'!F$17</f>
        <v>1.4236945636261661E-2</v>
      </c>
      <c r="H9" s="132">
        <f>'Data Sheet'!G19/'Data Sheet'!G$17</f>
        <v>1.3099947317613884E-2</v>
      </c>
      <c r="I9" s="132">
        <f>'Data Sheet'!H19/'Data Sheet'!H$17</f>
        <v>1.1311818013624969E-2</v>
      </c>
      <c r="J9" s="132">
        <f>'Data Sheet'!I19/'Data Sheet'!I$17</f>
        <v>5.0563297326542671E-3</v>
      </c>
      <c r="K9" s="132">
        <f>'Data Sheet'!J19/'Data Sheet'!J$17</f>
        <v>5.4138009307551057E-3</v>
      </c>
      <c r="L9" s="132">
        <f>'Data Sheet'!K19/'Data Sheet'!K$17</f>
        <v>9.6338000943665004E-3</v>
      </c>
    </row>
    <row r="10" spans="1:13" x14ac:dyDescent="0.2">
      <c r="B10" s="200" t="str">
        <f>'Data Sheet'!A20</f>
        <v>Power and Fuel</v>
      </c>
      <c r="C10" s="132">
        <f>'Data Sheet'!B20/'Data Sheet'!B$17</f>
        <v>1.4591716187701094E-2</v>
      </c>
      <c r="D10" s="132">
        <f>'Data Sheet'!C20/'Data Sheet'!C$17</f>
        <v>1.366291304632479E-2</v>
      </c>
      <c r="E10" s="132">
        <f>'Data Sheet'!D20/'Data Sheet'!D$17</f>
        <v>1.5040643108899779E-2</v>
      </c>
      <c r="F10" s="132">
        <f>'Data Sheet'!E20/'Data Sheet'!E$17</f>
        <v>1.544758973909165E-2</v>
      </c>
      <c r="G10" s="132">
        <f>'Data Sheet'!F20/'Data Sheet'!F$17</f>
        <v>1.5810616813498098E-2</v>
      </c>
      <c r="H10" s="132">
        <f>'Data Sheet'!G20/'Data Sheet'!G$17</f>
        <v>1.4202115619058639E-2</v>
      </c>
      <c r="I10" s="132">
        <f>'Data Sheet'!H20/'Data Sheet'!H$17</f>
        <v>1.4671889670529284E-2</v>
      </c>
      <c r="J10" s="132">
        <f>'Data Sheet'!I20/'Data Sheet'!I$17</f>
        <v>1.7376718209484814E-2</v>
      </c>
      <c r="K10" s="132">
        <f>'Data Sheet'!J20/'Data Sheet'!J$17</f>
        <v>1.4027274946071023E-2</v>
      </c>
      <c r="L10" s="132">
        <f>'Data Sheet'!K20/'Data Sheet'!K$17</f>
        <v>1.2948841620671628E-2</v>
      </c>
    </row>
    <row r="11" spans="1:13" x14ac:dyDescent="0.2">
      <c r="B11" s="200" t="str">
        <f>'Data Sheet'!A21</f>
        <v>Other Mfr. Exp</v>
      </c>
      <c r="C11" s="132">
        <f>'Data Sheet'!B21/'Data Sheet'!B$17</f>
        <v>4.035481640432638E-2</v>
      </c>
      <c r="D11" s="132">
        <f>'Data Sheet'!C21/'Data Sheet'!C$17</f>
        <v>3.9373263872651262E-2</v>
      </c>
      <c r="E11" s="132">
        <f>'Data Sheet'!D21/'Data Sheet'!D$17</f>
        <v>3.9071609111752781E-2</v>
      </c>
      <c r="F11" s="132">
        <f>'Data Sheet'!E21/'Data Sheet'!E$17</f>
        <v>3.8705549365550963E-2</v>
      </c>
      <c r="G11" s="132">
        <f>'Data Sheet'!F21/'Data Sheet'!F$17</f>
        <v>3.8638972861663935E-2</v>
      </c>
      <c r="H11" s="132">
        <f>'Data Sheet'!G21/'Data Sheet'!G$17</f>
        <v>3.2222130865483298E-2</v>
      </c>
      <c r="I11" s="132">
        <f>'Data Sheet'!H21/'Data Sheet'!H$17</f>
        <v>3.1126792288308232E-2</v>
      </c>
      <c r="J11" s="132">
        <f>'Data Sheet'!I21/'Data Sheet'!I$17</f>
        <v>3.2823347978673707E-2</v>
      </c>
      <c r="K11" s="132">
        <f>'Data Sheet'!J21/'Data Sheet'!J$17</f>
        <v>3.2146292303738125E-2</v>
      </c>
      <c r="L11" s="132">
        <f>'Data Sheet'!K21/'Data Sheet'!K$17</f>
        <v>3.1137227849959922E-2</v>
      </c>
    </row>
    <row r="12" spans="1:13" x14ac:dyDescent="0.2">
      <c r="B12" s="200" t="str">
        <f>'Data Sheet'!A22</f>
        <v>Employee Cost</v>
      </c>
      <c r="C12" s="132">
        <f>'Data Sheet'!B22/'Data Sheet'!B$17</f>
        <v>8.779754083093276E-2</v>
      </c>
      <c r="D12" s="132">
        <f>'Data Sheet'!C22/'Data Sheet'!C$17</f>
        <v>8.4917788232213173E-2</v>
      </c>
      <c r="E12" s="132">
        <f>'Data Sheet'!D22/'Data Sheet'!D$17</f>
        <v>8.6559073708127279E-2</v>
      </c>
      <c r="F12" s="132">
        <f>'Data Sheet'!E22/'Data Sheet'!E$17</f>
        <v>8.6427726513138917E-2</v>
      </c>
      <c r="G12" s="132">
        <f>'Data Sheet'!F22/'Data Sheet'!F$17</f>
        <v>8.6980968945709156E-2</v>
      </c>
      <c r="H12" s="132">
        <f>'Data Sheet'!G22/'Data Sheet'!G$17</f>
        <v>9.0612283015056611E-2</v>
      </c>
      <c r="I12" s="132">
        <f>'Data Sheet'!H22/'Data Sheet'!H$17</f>
        <v>8.0642874032847811E-2</v>
      </c>
      <c r="J12" s="132">
        <f>'Data Sheet'!I22/'Data Sheet'!I$17</f>
        <v>8.0884073005510662E-2</v>
      </c>
      <c r="K12" s="132">
        <f>'Data Sheet'!J22/'Data Sheet'!J$17</f>
        <v>8.167777925965311E-2</v>
      </c>
      <c r="L12" s="132">
        <f>'Data Sheet'!K22/'Data Sheet'!K$17</f>
        <v>8.1910600353091084E-2</v>
      </c>
    </row>
    <row r="13" spans="1:13" x14ac:dyDescent="0.2">
      <c r="B13" s="200" t="str">
        <f>'Data Sheet'!A23</f>
        <v>Selling and admin</v>
      </c>
      <c r="C13" s="132">
        <f>'Data Sheet'!B23/'Data Sheet'!B$17</f>
        <v>0.10874079214943828</v>
      </c>
      <c r="D13" s="132">
        <f>'Data Sheet'!C23/'Data Sheet'!C$17</f>
        <v>9.7731460264312231E-2</v>
      </c>
      <c r="E13" s="132">
        <f>'Data Sheet'!D23/'Data Sheet'!D$17</f>
        <v>9.1023394356686257E-2</v>
      </c>
      <c r="F13" s="132">
        <f>'Data Sheet'!E23/'Data Sheet'!E$17</f>
        <v>9.4051086087218794E-2</v>
      </c>
      <c r="G13" s="132">
        <f>'Data Sheet'!F23/'Data Sheet'!F$17</f>
        <v>9.088558487234677E-2</v>
      </c>
      <c r="H13" s="132">
        <f>'Data Sheet'!G23/'Data Sheet'!G$17</f>
        <v>8.6012775732401917E-2</v>
      </c>
      <c r="I13" s="132">
        <f>'Data Sheet'!H23/'Data Sheet'!H$17</f>
        <v>8.0112405832412942E-2</v>
      </c>
      <c r="J13" s="132">
        <f>'Data Sheet'!I23/'Data Sheet'!I$17</f>
        <v>7.9020821350771431E-2</v>
      </c>
      <c r="K13" s="132">
        <f>'Data Sheet'!J23/'Data Sheet'!J$17</f>
        <v>7.8202536244364573E-2</v>
      </c>
      <c r="L13" s="132">
        <f>'Data Sheet'!K23/'Data Sheet'!K$17</f>
        <v>7.691228243463448E-2</v>
      </c>
    </row>
    <row r="14" spans="1:13" x14ac:dyDescent="0.2">
      <c r="B14" s="200" t="str">
        <f>'Data Sheet'!A24</f>
        <v>Other Expenses</v>
      </c>
      <c r="C14" s="132">
        <f>'Data Sheet'!B24/'Data Sheet'!B$17</f>
        <v>3.1534161221266538E-2</v>
      </c>
      <c r="D14" s="132">
        <f>'Data Sheet'!C24/'Data Sheet'!C$17</f>
        <v>2.7339153938963141E-2</v>
      </c>
      <c r="E14" s="132">
        <f>'Data Sheet'!D24/'Data Sheet'!D$17</f>
        <v>2.3153154024010712E-2</v>
      </c>
      <c r="F14" s="132">
        <f>'Data Sheet'!E24/'Data Sheet'!E$17</f>
        <v>2.1511357773484997E-2</v>
      </c>
      <c r="G14" s="132">
        <f>'Data Sheet'!F24/'Data Sheet'!F$17</f>
        <v>2.4806378916207884E-2</v>
      </c>
      <c r="H14" s="132">
        <f>'Data Sheet'!G24/'Data Sheet'!G$17</f>
        <v>2.1811725941964111E-2</v>
      </c>
      <c r="I14" s="132">
        <f>'Data Sheet'!H24/'Data Sheet'!H$17</f>
        <v>1.8302554525106464E-2</v>
      </c>
      <c r="J14" s="132">
        <f>'Data Sheet'!I24/'Data Sheet'!I$17</f>
        <v>1.8451465001706874E-2</v>
      </c>
      <c r="K14" s="132">
        <f>'Data Sheet'!J24/'Data Sheet'!J$17</f>
        <v>2.5996166162779982E-2</v>
      </c>
      <c r="L14" s="132">
        <f>'Data Sheet'!K24/'Data Sheet'!K$17</f>
        <v>2.9491390052538827E-2</v>
      </c>
    </row>
    <row r="15" spans="1:13" x14ac:dyDescent="0.2">
      <c r="B15" s="200" t="str">
        <f>'Data Sheet'!A25</f>
        <v>Other Income</v>
      </c>
      <c r="C15" s="132">
        <f>'Data Sheet'!B25/'Data Sheet'!B$17</f>
        <v>3.7842065110060448E-2</v>
      </c>
      <c r="D15" s="132">
        <f>'Data Sheet'!C25/'Data Sheet'!C$17</f>
        <v>4.1120614670919112E-2</v>
      </c>
      <c r="E15" s="132">
        <f>'Data Sheet'!D25/'Data Sheet'!D$17</f>
        <v>5.1550394555080051E-2</v>
      </c>
      <c r="F15" s="132">
        <f>'Data Sheet'!E25/'Data Sheet'!E$17</f>
        <v>4.3038023913323203E-2</v>
      </c>
      <c r="G15" s="132">
        <f>'Data Sheet'!F25/'Data Sheet'!F$17</f>
        <v>4.8945790146129507E-2</v>
      </c>
      <c r="H15" s="132">
        <f>'Data Sheet'!G25/'Data Sheet'!G$17</f>
        <v>5.2315944085615476E-2</v>
      </c>
      <c r="I15" s="132">
        <f>'Data Sheet'!H25/'Data Sheet'!H$17</f>
        <v>3.1490386438746173E-2</v>
      </c>
      <c r="J15" s="132">
        <f>'Data Sheet'!I25/'Data Sheet'!I$17</f>
        <v>2.957795672050224E-2</v>
      </c>
      <c r="K15" s="132">
        <f>'Data Sheet'!J25/'Data Sheet'!J$17</f>
        <v>4.9026275416247496E-2</v>
      </c>
      <c r="L15" s="132">
        <f>'Data Sheet'!K25/'Data Sheet'!K$17</f>
        <v>0.23624656049506038</v>
      </c>
    </row>
    <row r="16" spans="1:13" x14ac:dyDescent="0.2">
      <c r="B16" s="200" t="str">
        <f>'Data Sheet'!A26</f>
        <v>Depreciation</v>
      </c>
      <c r="C16" s="132">
        <f>'Data Sheet'!B26/'Data Sheet'!B$17</f>
        <v>2.7490234001240049E-2</v>
      </c>
      <c r="D16" s="132">
        <f>'Data Sheet'!C26/'Data Sheet'!C$17</f>
        <v>2.6954750792656124E-2</v>
      </c>
      <c r="E16" s="132">
        <f>'Data Sheet'!D26/'Data Sheet'!D$17</f>
        <v>2.845362855802696E-2</v>
      </c>
      <c r="F16" s="132">
        <f>'Data Sheet'!E26/'Data Sheet'!E$17</f>
        <v>2.8891645314253867E-2</v>
      </c>
      <c r="G16" s="132">
        <f>'Data Sheet'!F26/'Data Sheet'!F$17</f>
        <v>3.3306066085280348E-2</v>
      </c>
      <c r="H16" s="132">
        <f>'Data Sheet'!G26/'Data Sheet'!G$17</f>
        <v>3.3407941336792708E-2</v>
      </c>
      <c r="I16" s="132">
        <f>'Data Sheet'!H26/'Data Sheet'!H$17</f>
        <v>2.8566627762367396E-2</v>
      </c>
      <c r="J16" s="132">
        <f>'Data Sheet'!I26/'Data Sheet'!I$17</f>
        <v>2.550810410125463E-2</v>
      </c>
      <c r="K16" s="132">
        <f>'Data Sheet'!J26/'Data Sheet'!J$17</f>
        <v>2.2346631054552542E-2</v>
      </c>
      <c r="L16" s="132">
        <f>'Data Sheet'!K26/'Data Sheet'!K$17</f>
        <v>2.1856704707996222E-2</v>
      </c>
    </row>
    <row r="17" spans="2:12" x14ac:dyDescent="0.2">
      <c r="B17" s="200" t="str">
        <f>'Data Sheet'!A27</f>
        <v>Interest</v>
      </c>
      <c r="C17" s="132">
        <f>'Data Sheet'!B27/'Data Sheet'!B$17</f>
        <v>1.9935139989946953E-3</v>
      </c>
      <c r="D17" s="132">
        <f>'Data Sheet'!C27/'Data Sheet'!C$17</f>
        <v>1.146428604831695E-3</v>
      </c>
      <c r="E17" s="132">
        <f>'Data Sheet'!D27/'Data Sheet'!D$17</f>
        <v>2.647015094039118E-3</v>
      </c>
      <c r="F17" s="132">
        <f>'Data Sheet'!E27/'Data Sheet'!E$17</f>
        <v>1.4770504832685763E-3</v>
      </c>
      <c r="G17" s="132">
        <f>'Data Sheet'!F27/'Data Sheet'!F$17</f>
        <v>1.647778697934911E-3</v>
      </c>
      <c r="H17" s="132">
        <f>'Data Sheet'!G27/'Data Sheet'!G$17</f>
        <v>1.1768778123918311E-3</v>
      </c>
      <c r="I17" s="132">
        <f>'Data Sheet'!H27/'Data Sheet'!H$17</f>
        <v>9.8920694262006107E-4</v>
      </c>
      <c r="J17" s="132">
        <f>'Data Sheet'!I27/'Data Sheet'!I$17</f>
        <v>1.0966027031108574E-3</v>
      </c>
      <c r="K17" s="132">
        <f>'Data Sheet'!J27/'Data Sheet'!J$17</f>
        <v>5.7572329010477244E-4</v>
      </c>
      <c r="L17" s="132">
        <f>'Data Sheet'!K27/'Data Sheet'!K$17</f>
        <v>5.9822094984104534E-4</v>
      </c>
    </row>
    <row r="18" spans="2:12" x14ac:dyDescent="0.2">
      <c r="B18" s="200" t="str">
        <f>'Data Sheet'!A28</f>
        <v>Profit before tax</v>
      </c>
      <c r="C18" s="132">
        <f>'Data Sheet'!B28/'Data Sheet'!B$17</f>
        <v>0.37913431533395764</v>
      </c>
      <c r="D18" s="132">
        <f>'Data Sheet'!C28/'Data Sheet'!C$17</f>
        <v>0.37473040338948177</v>
      </c>
      <c r="E18" s="132">
        <f>'Data Sheet'!D28/'Data Sheet'!D$17</f>
        <v>0.40067974040333321</v>
      </c>
      <c r="F18" s="132">
        <f>'Data Sheet'!E28/'Data Sheet'!E$17</f>
        <v>0.39615197318636197</v>
      </c>
      <c r="G18" s="132">
        <f>'Data Sheet'!F28/'Data Sheet'!F$17</f>
        <v>0.40565910135519573</v>
      </c>
      <c r="H18" s="132">
        <f>'Data Sheet'!G28/'Data Sheet'!G$17</f>
        <v>0.36417171412649252</v>
      </c>
      <c r="I18" s="132">
        <f>'Data Sheet'!H28/'Data Sheet'!H$17</f>
        <v>0.34200061538928322</v>
      </c>
      <c r="J18" s="132">
        <f>'Data Sheet'!I28/'Data Sheet'!I$17</f>
        <v>0.36541842154355464</v>
      </c>
      <c r="K18" s="132">
        <f>'Data Sheet'!J28/'Data Sheet'!J$17</f>
        <v>0.39687987712407446</v>
      </c>
      <c r="L18" s="132">
        <f>'Data Sheet'!K28/'Data Sheet'!K$17</f>
        <v>0.5568386903714041</v>
      </c>
    </row>
    <row r="19" spans="2:12" x14ac:dyDescent="0.2">
      <c r="B19" s="200" t="str">
        <f>'Data Sheet'!A29</f>
        <v>Tax</v>
      </c>
      <c r="C19" s="132">
        <f>'Data Sheet'!B29/'Data Sheet'!B$17</f>
        <v>0.13671658318895902</v>
      </c>
      <c r="D19" s="132">
        <f>'Data Sheet'!C29/'Data Sheet'!C$17</f>
        <v>0.12974985736866226</v>
      </c>
      <c r="E19" s="132">
        <f>'Data Sheet'!D29/'Data Sheet'!D$17</f>
        <v>0.13616972013586523</v>
      </c>
      <c r="F19" s="132">
        <f>'Data Sheet'!E29/'Data Sheet'!E$17</f>
        <v>0.13061594660110823</v>
      </c>
      <c r="G19" s="132">
        <f>'Data Sheet'!F29/'Data Sheet'!F$17</f>
        <v>8.9937170591058102E-2</v>
      </c>
      <c r="H19" s="132">
        <f>'Data Sheet'!G29/'Data Sheet'!G$17</f>
        <v>9.2479208728831891E-2</v>
      </c>
      <c r="I19" s="132">
        <f>'Data Sheet'!H29/'Data Sheet'!H$17</f>
        <v>8.636127836075598E-2</v>
      </c>
      <c r="J19" s="132">
        <f>'Data Sheet'!I29/'Data Sheet'!I$17</f>
        <v>9.0785223655766301E-2</v>
      </c>
      <c r="K19" s="132">
        <f>'Data Sheet'!J29/'Data Sheet'!J$17</f>
        <v>9.1407075964560991E-2</v>
      </c>
      <c r="L19" s="132">
        <f>'Data Sheet'!K29/'Data Sheet'!K$17</f>
        <v>9.1478551004243847E-2</v>
      </c>
    </row>
    <row r="20" spans="2:12" x14ac:dyDescent="0.2">
      <c r="B20" s="200" t="str">
        <f>'Data Sheet'!A30</f>
        <v>Net profit</v>
      </c>
      <c r="C20" s="132">
        <f>'Data Sheet'!B30/'Data Sheet'!B$17</f>
        <v>0.23842687684507849</v>
      </c>
      <c r="D20" s="132">
        <f>'Data Sheet'!C30/'Data Sheet'!C$17</f>
        <v>0.2405896052151629</v>
      </c>
      <c r="E20" s="132">
        <f>'Data Sheet'!D30/'Data Sheet'!D$17</f>
        <v>0.25941254263049918</v>
      </c>
      <c r="F20" s="132">
        <f>'Data Sheet'!E30/'Data Sheet'!E$17</f>
        <v>0.26049729848707825</v>
      </c>
      <c r="G20" s="132">
        <f>'Data Sheet'!F30/'Data Sheet'!F$17</f>
        <v>0.30991987883622846</v>
      </c>
      <c r="H20" s="132">
        <f>'Data Sheet'!G30/'Data Sheet'!G$17</f>
        <v>0.26719186640802561</v>
      </c>
      <c r="I20" s="132">
        <f>'Data Sheet'!H30/'Data Sheet'!H$17</f>
        <v>0.25134430898478244</v>
      </c>
      <c r="J20" s="132">
        <f>'Data Sheet'!I30/'Data Sheet'!I$17</f>
        <v>0.27061368436652333</v>
      </c>
      <c r="K20" s="132">
        <f>'Data Sheet'!J30/'Data Sheet'!J$17</f>
        <v>0.30116584334261615</v>
      </c>
      <c r="L20" s="132">
        <f>'Data Sheet'!K30/'Data Sheet'!K$17</f>
        <v>0.46129964497060272</v>
      </c>
    </row>
    <row r="21" spans="2:12" x14ac:dyDescent="0.2">
      <c r="B21" s="200" t="s">
        <v>102</v>
      </c>
      <c r="C21" s="132">
        <f>'Data Sheet'!B33/'Data Sheet'!B$17</f>
        <v>0.40462720803427221</v>
      </c>
      <c r="D21" s="132">
        <f>'Data Sheet'!C33/'Data Sheet'!C$17</f>
        <v>0.39844064198131302</v>
      </c>
      <c r="E21" s="132">
        <f>'Data Sheet'!D33/'Data Sheet'!D$17</f>
        <v>0.42668290641843037</v>
      </c>
      <c r="F21" s="132">
        <f>'Data Sheet'!E33/'Data Sheet'!E$17</f>
        <v>0.42148194088570901</v>
      </c>
      <c r="G21" s="132">
        <f>'Data Sheet'!F33/'Data Sheet'!F$17</f>
        <v>0.43481089421050184</v>
      </c>
      <c r="H21" s="132">
        <f>'Data Sheet'!G33/'Data Sheet'!G$17</f>
        <v>0.39425589428604207</v>
      </c>
      <c r="I21" s="132">
        <f>'Data Sheet'!H33/'Data Sheet'!H$17</f>
        <v>0.36726142205052592</v>
      </c>
      <c r="J21" s="132">
        <f>'Data Sheet'!I33/'Data Sheet'!I$17</f>
        <v>0.38800361482665507</v>
      </c>
      <c r="K21" s="132">
        <f>'Data Sheet'!J33/'Data Sheet'!J$17</f>
        <v>0.41549527365183442</v>
      </c>
      <c r="L21" s="132">
        <f>'Data Sheet'!K33/'Data Sheet'!K$17</f>
        <v>0.57523312163268381</v>
      </c>
    </row>
    <row r="22" spans="2:12" x14ac:dyDescent="0.2">
      <c r="B22" s="200"/>
    </row>
    <row r="23" spans="2:12" x14ac:dyDescent="0.2">
      <c r="B23" s="200"/>
    </row>
    <row r="24" spans="2:12" x14ac:dyDescent="0.2">
      <c r="B24" s="200"/>
    </row>
    <row r="25" spans="2:12" x14ac:dyDescent="0.2">
      <c r="B25" s="200"/>
    </row>
    <row r="26" spans="2:12" x14ac:dyDescent="0.2">
      <c r="B26" s="200"/>
    </row>
    <row r="28" spans="2:12" x14ac:dyDescent="0.2">
      <c r="B28" s="256" t="str">
        <f>"Common Size Balance Sheet - "&amp;'Data Sheet'!B1</f>
        <v>Common Size Balance Sheet - ITC LTD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</row>
    <row r="30" spans="2:12" x14ac:dyDescent="0.2">
      <c r="B30" s="181" t="s">
        <v>237</v>
      </c>
      <c r="C30" s="197">
        <f>'Data Sheet'!B16</f>
        <v>42460</v>
      </c>
      <c r="D30" s="197">
        <f>'Data Sheet'!C16</f>
        <v>42825</v>
      </c>
      <c r="E30" s="197">
        <f>'Data Sheet'!D16</f>
        <v>43190</v>
      </c>
      <c r="F30" s="197">
        <f>'Data Sheet'!E16</f>
        <v>43555</v>
      </c>
      <c r="G30" s="197">
        <f>'Data Sheet'!F16</f>
        <v>43921</v>
      </c>
      <c r="H30" s="197">
        <f>'Data Sheet'!G16</f>
        <v>44286</v>
      </c>
      <c r="I30" s="197">
        <f>'Data Sheet'!H16</f>
        <v>44651</v>
      </c>
      <c r="J30" s="197">
        <f>'Data Sheet'!I16</f>
        <v>45016</v>
      </c>
      <c r="K30" s="197">
        <f>'Data Sheet'!J16</f>
        <v>45382</v>
      </c>
      <c r="L30" s="197">
        <f>'Data Sheet'!K16</f>
        <v>45747</v>
      </c>
    </row>
    <row r="31" spans="2:12" x14ac:dyDescent="0.2">
      <c r="B31" s="137"/>
      <c r="C31" s="198"/>
      <c r="D31" s="198"/>
      <c r="E31" s="198"/>
      <c r="F31" s="198"/>
      <c r="G31" s="198"/>
      <c r="H31" s="198"/>
      <c r="I31" s="198"/>
      <c r="J31" s="198"/>
      <c r="K31" s="198"/>
      <c r="L31" s="198"/>
    </row>
    <row r="32" spans="2:12" x14ac:dyDescent="0.2">
      <c r="B32" s="137" t="s">
        <v>249</v>
      </c>
      <c r="C32" s="193">
        <f>'Data Sheet'!B61/'Data Sheet'!B$61</f>
        <v>1</v>
      </c>
      <c r="D32" s="193">
        <f>'Data Sheet'!C61/'Data Sheet'!C$61</f>
        <v>1</v>
      </c>
      <c r="E32" s="193">
        <f>'Data Sheet'!D61/'Data Sheet'!D$61</f>
        <v>1</v>
      </c>
      <c r="F32" s="193">
        <f>'Data Sheet'!E61/'Data Sheet'!E$61</f>
        <v>1</v>
      </c>
      <c r="G32" s="193">
        <f>'Data Sheet'!F61/'Data Sheet'!F$61</f>
        <v>1</v>
      </c>
      <c r="H32" s="193">
        <f>'Data Sheet'!G61/'Data Sheet'!G$61</f>
        <v>1</v>
      </c>
      <c r="I32" s="193">
        <f>'Data Sheet'!H61/'Data Sheet'!H$61</f>
        <v>1</v>
      </c>
      <c r="J32" s="193">
        <f>'Data Sheet'!I61/'Data Sheet'!I$61</f>
        <v>1</v>
      </c>
      <c r="K32" s="193">
        <f>'Data Sheet'!J61/'Data Sheet'!J$61</f>
        <v>1</v>
      </c>
      <c r="L32" s="193">
        <f>'Data Sheet'!K61/'Data Sheet'!K$61</f>
        <v>1</v>
      </c>
    </row>
    <row r="33" spans="2:12" x14ac:dyDescent="0.2">
      <c r="B33" s="200" t="str">
        <f>'Data Sheet'!A57</f>
        <v>Equity Share Capital</v>
      </c>
      <c r="C33" s="132">
        <f>'Data Sheet'!B62/'Data Sheet'!B$61</f>
        <v>0.29247314784088857</v>
      </c>
      <c r="D33" s="132">
        <f>'Data Sheet'!C62/'Data Sheet'!C$61</f>
        <v>0.2843284019984858</v>
      </c>
      <c r="E33" s="132">
        <f>'Data Sheet'!D62/'Data Sheet'!D$61</f>
        <v>0.25721876786245768</v>
      </c>
      <c r="F33" s="132">
        <f>'Data Sheet'!E62/'Data Sheet'!E$61</f>
        <v>0.27006480711199926</v>
      </c>
      <c r="G33" s="132">
        <f>'Data Sheet'!F62/'Data Sheet'!F$61</f>
        <v>0.28085796606552127</v>
      </c>
      <c r="H33" s="132">
        <f>'Data Sheet'!G62/'Data Sheet'!G$61</f>
        <v>0.31586550897794441</v>
      </c>
      <c r="I33" s="132">
        <f>'Data Sheet'!H62/'Data Sheet'!H$61</f>
        <v>0.31389688224859258</v>
      </c>
      <c r="J33" s="132">
        <f>'Data Sheet'!I62/'Data Sheet'!I$61</f>
        <v>0.30118817265937603</v>
      </c>
      <c r="K33" s="132">
        <f>'Data Sheet'!J62/'Data Sheet'!J$61</f>
        <v>0.30320453708978479</v>
      </c>
      <c r="L33" s="132">
        <f>'Data Sheet'!K62/'Data Sheet'!K$61</f>
        <v>0.24947927734035433</v>
      </c>
    </row>
    <row r="34" spans="2:12" x14ac:dyDescent="0.2">
      <c r="B34" s="200" t="str">
        <f>'Data Sheet'!A58</f>
        <v>Reserves</v>
      </c>
      <c r="C34" s="132">
        <f>'Data Sheet'!B63/'Data Sheet'!B$61</f>
        <v>4.9557668784585257E-2</v>
      </c>
      <c r="D34" s="132">
        <f>'Data Sheet'!C63/'Data Sheet'!C$61</f>
        <v>6.6726334530268522E-2</v>
      </c>
      <c r="E34" s="132">
        <f>'Data Sheet'!D63/'Data Sheet'!D$61</f>
        <v>8.5744933755577443E-2</v>
      </c>
      <c r="F34" s="132">
        <f>'Data Sheet'!E63/'Data Sheet'!E$61</f>
        <v>5.7659260564401203E-2</v>
      </c>
      <c r="G34" s="132">
        <f>'Data Sheet'!F63/'Data Sheet'!F$61</f>
        <v>4.2121697176653962E-2</v>
      </c>
      <c r="H34" s="132">
        <f>'Data Sheet'!G63/'Data Sheet'!G$61</f>
        <v>5.4382438575741363E-2</v>
      </c>
      <c r="I34" s="132">
        <f>'Data Sheet'!H63/'Data Sheet'!H$61</f>
        <v>4.1783760354484591E-2</v>
      </c>
      <c r="J34" s="132">
        <f>'Data Sheet'!I63/'Data Sheet'!I$61</f>
        <v>3.4990870427174532E-2</v>
      </c>
      <c r="K34" s="132">
        <f>'Data Sheet'!J63/'Data Sheet'!J$61</f>
        <v>3.1178814388085879E-2</v>
      </c>
      <c r="L34" s="132">
        <f>'Data Sheet'!K63/'Data Sheet'!K$61</f>
        <v>1.2396324203689206E-2</v>
      </c>
    </row>
    <row r="35" spans="2:12" x14ac:dyDescent="0.2">
      <c r="B35" s="200" t="str">
        <f>'Data Sheet'!A59</f>
        <v>Borrowings</v>
      </c>
      <c r="C35" s="132">
        <f>'Data Sheet'!B64/'Data Sheet'!B$61</f>
        <v>0.22744017870591549</v>
      </c>
      <c r="D35" s="132">
        <f>'Data Sheet'!C64/'Data Sheet'!C$61</f>
        <v>0.31452430055142983</v>
      </c>
      <c r="E35" s="132">
        <f>'Data Sheet'!D64/'Data Sheet'!D$61</f>
        <v>0.34328390271117087</v>
      </c>
      <c r="F35" s="132">
        <f>'Data Sheet'!E64/'Data Sheet'!E$61</f>
        <v>0.34909151279414952</v>
      </c>
      <c r="G35" s="132">
        <f>'Data Sheet'!F64/'Data Sheet'!F$61</f>
        <v>0.37075503730076348</v>
      </c>
      <c r="H35" s="132">
        <f>'Data Sheet'!G64/'Data Sheet'!G$61</f>
        <v>0.33718294117359965</v>
      </c>
      <c r="I35" s="132">
        <f>'Data Sheet'!H64/'Data Sheet'!H$61</f>
        <v>0.3217913306929554</v>
      </c>
      <c r="J35" s="132">
        <f>'Data Sheet'!I64/'Data Sheet'!I$61</f>
        <v>0.34270873819889697</v>
      </c>
      <c r="K35" s="132">
        <f>'Data Sheet'!J64/'Data Sheet'!J$61</f>
        <v>0.33910271130502584</v>
      </c>
      <c r="L35" s="132">
        <f>'Data Sheet'!K64/'Data Sheet'!K$61</f>
        <v>0.39453130415316806</v>
      </c>
    </row>
    <row r="36" spans="2:12" x14ac:dyDescent="0.2">
      <c r="B36" s="200" t="str">
        <f>'Data Sheet'!A60</f>
        <v>Other Liabilities</v>
      </c>
      <c r="C36" s="132">
        <f>'Data Sheet'!B65/'Data Sheet'!B$61</f>
        <v>0.43052900466861077</v>
      </c>
      <c r="D36" s="132">
        <f>'Data Sheet'!C65/'Data Sheet'!C$61</f>
        <v>0.33442096291981582</v>
      </c>
      <c r="E36" s="132">
        <f>'Data Sheet'!D65/'Data Sheet'!D$61</f>
        <v>0.31375239567079405</v>
      </c>
      <c r="F36" s="132">
        <f>'Data Sheet'!E65/'Data Sheet'!E$61</f>
        <v>0.3231844195294501</v>
      </c>
      <c r="G36" s="132">
        <f>'Data Sheet'!F65/'Data Sheet'!F$61</f>
        <v>0.30626529945706127</v>
      </c>
      <c r="H36" s="132">
        <f>'Data Sheet'!G65/'Data Sheet'!G$61</f>
        <v>0.29256911127271468</v>
      </c>
      <c r="I36" s="132">
        <f>'Data Sheet'!H65/'Data Sheet'!H$61</f>
        <v>0.32252802670396735</v>
      </c>
      <c r="J36" s="132">
        <f>'Data Sheet'!I65/'Data Sheet'!I$61</f>
        <v>0.32111221871455237</v>
      </c>
      <c r="K36" s="132">
        <f>'Data Sheet'!J65/'Data Sheet'!J$61</f>
        <v>0.32651393721710353</v>
      </c>
      <c r="L36" s="132">
        <f>'Data Sheet'!K65/'Data Sheet'!K$61</f>
        <v>0.34359309430278845</v>
      </c>
    </row>
    <row r="37" spans="2:12" x14ac:dyDescent="0.2">
      <c r="C37" s="132"/>
      <c r="D37" s="132"/>
      <c r="E37" s="132"/>
      <c r="F37" s="132"/>
      <c r="G37" s="132"/>
      <c r="H37" s="132"/>
      <c r="I37" s="132"/>
      <c r="J37" s="132"/>
      <c r="K37" s="132"/>
      <c r="L37" s="132"/>
    </row>
    <row r="38" spans="2:12" x14ac:dyDescent="0.2">
      <c r="B38" s="137" t="s">
        <v>118</v>
      </c>
      <c r="C38" s="193">
        <f>'Data Sheet'!B66/'Data Sheet'!B$66</f>
        <v>1</v>
      </c>
      <c r="D38" s="193">
        <f>'Data Sheet'!C66/'Data Sheet'!C$66</f>
        <v>1</v>
      </c>
      <c r="E38" s="193">
        <f>'Data Sheet'!D66/'Data Sheet'!D$66</f>
        <v>1</v>
      </c>
      <c r="F38" s="193">
        <f>'Data Sheet'!E66/'Data Sheet'!E$66</f>
        <v>1</v>
      </c>
      <c r="G38" s="193">
        <f>'Data Sheet'!F66/'Data Sheet'!F$66</f>
        <v>1</v>
      </c>
      <c r="H38" s="193">
        <f>'Data Sheet'!G66/'Data Sheet'!G$66</f>
        <v>1</v>
      </c>
      <c r="I38" s="193">
        <f>'Data Sheet'!H66/'Data Sheet'!H$66</f>
        <v>1</v>
      </c>
      <c r="J38" s="193">
        <f>'Data Sheet'!I66/'Data Sheet'!I$66</f>
        <v>1</v>
      </c>
      <c r="K38" s="193">
        <f>'Data Sheet'!J66/'Data Sheet'!J$66</f>
        <v>1</v>
      </c>
      <c r="L38" s="193">
        <f>'Data Sheet'!K66/'Data Sheet'!K$66</f>
        <v>1</v>
      </c>
    </row>
    <row r="39" spans="2:12" x14ac:dyDescent="0.2">
      <c r="B39" s="200" t="str">
        <f>'Data Sheet'!A62</f>
        <v>Net Block</v>
      </c>
      <c r="C39" s="132">
        <f>'Data Sheet'!B62/'Data Sheet'!B$66</f>
        <v>0.29247314784088857</v>
      </c>
      <c r="D39" s="132">
        <f>'[1]Data Sheet'!C62/'[1]Data Sheet'!C$66</f>
        <v>0.2843284019984858</v>
      </c>
      <c r="E39" s="132">
        <f>'[1]Data Sheet'!D62/'[1]Data Sheet'!D$66</f>
        <v>0.25721876786245768</v>
      </c>
      <c r="F39" s="132">
        <f>'[1]Data Sheet'!E62/'[1]Data Sheet'!E$66</f>
        <v>0.27006480711199926</v>
      </c>
      <c r="G39" s="132">
        <f>'[1]Data Sheet'!F62/'[1]Data Sheet'!F$66</f>
        <v>0.28085796606552127</v>
      </c>
      <c r="H39" s="132">
        <f>'[1]Data Sheet'!G62/'[1]Data Sheet'!G$66</f>
        <v>0.31586550897794441</v>
      </c>
      <c r="I39" s="132">
        <f>'[1]Data Sheet'!H62/'[1]Data Sheet'!H$66</f>
        <v>0.31389688224859258</v>
      </c>
      <c r="J39" s="132">
        <f>'[1]Data Sheet'!I62/'[1]Data Sheet'!I$66</f>
        <v>0.30118817265937603</v>
      </c>
      <c r="K39" s="132">
        <f>'[1]Data Sheet'!J62/'[1]Data Sheet'!J$66</f>
        <v>0.30320453708978479</v>
      </c>
      <c r="L39" s="132">
        <f>'[1]Data Sheet'!K62/'[1]Data Sheet'!K$66</f>
        <v>0.24947927734035433</v>
      </c>
    </row>
    <row r="40" spans="2:12" x14ac:dyDescent="0.2">
      <c r="B40" s="200" t="str">
        <f>'Data Sheet'!A63</f>
        <v>Capital Work in Progress</v>
      </c>
      <c r="C40" s="132">
        <f>'Data Sheet'!B63/'Data Sheet'!B$66</f>
        <v>4.9557668784585257E-2</v>
      </c>
      <c r="D40" s="132">
        <f>'[1]Data Sheet'!C63/'[1]Data Sheet'!C$66</f>
        <v>6.6726334530268522E-2</v>
      </c>
      <c r="E40" s="132">
        <f>'[1]Data Sheet'!D63/'[1]Data Sheet'!D$66</f>
        <v>8.5744933755577443E-2</v>
      </c>
      <c r="F40" s="132">
        <f>'[1]Data Sheet'!E63/'[1]Data Sheet'!E$66</f>
        <v>5.7659260564401203E-2</v>
      </c>
      <c r="G40" s="132">
        <f>'[1]Data Sheet'!F63/'[1]Data Sheet'!F$66</f>
        <v>4.2121697176653962E-2</v>
      </c>
      <c r="H40" s="132">
        <f>'[1]Data Sheet'!G63/'[1]Data Sheet'!G$66</f>
        <v>5.4382438575741363E-2</v>
      </c>
      <c r="I40" s="132">
        <f>'[1]Data Sheet'!H63/'[1]Data Sheet'!H$66</f>
        <v>4.1783760354484591E-2</v>
      </c>
      <c r="J40" s="132">
        <f>'[1]Data Sheet'!I63/'[1]Data Sheet'!I$66</f>
        <v>3.4990870427174532E-2</v>
      </c>
      <c r="K40" s="132">
        <f>'[1]Data Sheet'!J63/'[1]Data Sheet'!J$66</f>
        <v>3.1178814388085879E-2</v>
      </c>
      <c r="L40" s="132">
        <f>'[1]Data Sheet'!K63/'[1]Data Sheet'!K$66</f>
        <v>1.2396324203689206E-2</v>
      </c>
    </row>
    <row r="41" spans="2:12" x14ac:dyDescent="0.2">
      <c r="B41" s="200" t="str">
        <f>'Data Sheet'!A64</f>
        <v>Investments</v>
      </c>
      <c r="C41" s="132">
        <f>'Data Sheet'!B64/'Data Sheet'!B$66</f>
        <v>0.22744017870591549</v>
      </c>
      <c r="D41" s="132">
        <f>'[1]Data Sheet'!C64/'[1]Data Sheet'!C$66</f>
        <v>0.31452430055142983</v>
      </c>
      <c r="E41" s="132">
        <f>'[1]Data Sheet'!D64/'[1]Data Sheet'!D$66</f>
        <v>0.34328390271117087</v>
      </c>
      <c r="F41" s="132">
        <f>'[1]Data Sheet'!E64/'[1]Data Sheet'!E$66</f>
        <v>0.34909151279414952</v>
      </c>
      <c r="G41" s="132">
        <f>'[1]Data Sheet'!F64/'[1]Data Sheet'!F$66</f>
        <v>0.37075503730076348</v>
      </c>
      <c r="H41" s="132">
        <f>'[1]Data Sheet'!G64/'[1]Data Sheet'!G$66</f>
        <v>0.33718294117359965</v>
      </c>
      <c r="I41" s="132">
        <f>'[1]Data Sheet'!H64/'[1]Data Sheet'!H$66</f>
        <v>0.3217913306929554</v>
      </c>
      <c r="J41" s="132">
        <f>'[1]Data Sheet'!I64/'[1]Data Sheet'!I$66</f>
        <v>0.34270873819889697</v>
      </c>
      <c r="K41" s="132">
        <f>'[1]Data Sheet'!J64/'[1]Data Sheet'!J$66</f>
        <v>0.33910271130502584</v>
      </c>
      <c r="L41" s="132">
        <f>'[1]Data Sheet'!K64/'[1]Data Sheet'!K$66</f>
        <v>0.39453130415316806</v>
      </c>
    </row>
    <row r="42" spans="2:12" x14ac:dyDescent="0.2">
      <c r="B42" s="200" t="str">
        <f>'Data Sheet'!A65</f>
        <v>Other Assets</v>
      </c>
      <c r="C42" s="132">
        <f>'Data Sheet'!B74/'Data Sheet'!B$66</f>
        <v>0.10057473823525198</v>
      </c>
      <c r="D42" s="132">
        <f>'[1]Data Sheet'!C74/'[1]Data Sheet'!C$66</f>
        <v>9.1877179850843468E-2</v>
      </c>
      <c r="E42" s="132">
        <f>'[1]Data Sheet'!D74/'[1]Data Sheet'!D$66</f>
        <v>0.11019073835850315</v>
      </c>
      <c r="F42" s="132">
        <f>'[1]Data Sheet'!E74/'[1]Data Sheet'!E$66</f>
        <v>9.9500495127896896E-2</v>
      </c>
      <c r="G42" s="132">
        <f>'Data Sheet'!F74/'Data Sheet'!F$66</f>
        <v>6.4136617482044828E-2</v>
      </c>
      <c r="H42" s="132">
        <f>'[1]Data Sheet'!G74/'[1]Data Sheet'!G$66</f>
        <v>5.4530891492983506E-2</v>
      </c>
      <c r="I42" s="132">
        <f>'[1]Data Sheet'!H74/'[1]Data Sheet'!H$66</f>
        <v>8.9608376183124464E-2</v>
      </c>
      <c r="J42" s="132">
        <f>'[1]Data Sheet'!I74/'[1]Data Sheet'!I$66</f>
        <v>9.2668775928872266E-2</v>
      </c>
      <c r="K42" s="132">
        <f>'Data Sheet'!J74/'Data Sheet'!J$66</f>
        <v>4.9726131741220564E-2</v>
      </c>
      <c r="L42" s="132">
        <f>'[1]Data Sheet'!K74/'[1]Data Sheet'!K$66</f>
        <v>6.6674431579940144E-2</v>
      </c>
    </row>
    <row r="43" spans="2:12" x14ac:dyDescent="0.2">
      <c r="B43" s="200" t="str">
        <f>'Data Sheet'!A66</f>
        <v>Total</v>
      </c>
      <c r="C43" s="132">
        <f>'Data Sheet'!B67/'Data Sheet'!B$66</f>
        <v>3.7117720469594793E-2</v>
      </c>
      <c r="D43" s="132">
        <f>'Data Sheet'!C67/'Data Sheet'!C$66</f>
        <v>4.4264120996838546E-2</v>
      </c>
      <c r="E43" s="132">
        <f>'Data Sheet'!D67/'Data Sheet'!D$66</f>
        <v>4.1753631021243798E-2</v>
      </c>
      <c r="F43" s="132">
        <f>'Data Sheet'!E67/'Data Sheet'!E$66</f>
        <v>5.6249428484128033E-2</v>
      </c>
      <c r="G43" s="132">
        <f>'Data Sheet'!F67/'Data Sheet'!F$66</f>
        <v>3.3145196495959491E-2</v>
      </c>
      <c r="H43" s="132">
        <f>'Data Sheet'!G67/'Data Sheet'!G$66</f>
        <v>3.3916407585822053E-2</v>
      </c>
      <c r="I43" s="132">
        <f>'Data Sheet'!H67/'Data Sheet'!H$66</f>
        <v>3.1891540522425897E-2</v>
      </c>
      <c r="J43" s="132">
        <f>'Data Sheet'!I67/'Data Sheet'!I$66</f>
        <v>3.4441767865581369E-2</v>
      </c>
      <c r="K43" s="132">
        <f>'Data Sheet'!J67/'Data Sheet'!J$66</f>
        <v>4.3876248624446439E-2</v>
      </c>
      <c r="L43" s="132">
        <f>'Data Sheet'!K67/'Data Sheet'!K$66</f>
        <v>5.3630968140750232E-2</v>
      </c>
    </row>
    <row r="44" spans="2:12" x14ac:dyDescent="0.2">
      <c r="B44" s="200" t="str">
        <f>'Data Sheet'!A67</f>
        <v>Receivables</v>
      </c>
      <c r="C44" s="132">
        <f>'Data Sheet'!B68/'Data Sheet'!B$66</f>
        <v>0.17544752953166368</v>
      </c>
      <c r="D44" s="132">
        <f>'Data Sheet'!C68/'Data Sheet'!C$66</f>
        <v>0.14519398794096139</v>
      </c>
      <c r="E44" s="132">
        <f>'Data Sheet'!D68/'Data Sheet'!D$66</f>
        <v>0.11667165829608811</v>
      </c>
      <c r="F44" s="132">
        <f>'Data Sheet'!E68/'Data Sheet'!E$66</f>
        <v>0.10955764113932945</v>
      </c>
      <c r="G44" s="132">
        <f>'Data Sheet'!F68/'Data Sheet'!F$66</f>
        <v>0.11485246230310792</v>
      </c>
      <c r="H44" s="132">
        <f>'Data Sheet'!G68/'Data Sheet'!G$66</f>
        <v>0.14095787516289149</v>
      </c>
      <c r="I44" s="132">
        <f>'Data Sheet'!H68/'Data Sheet'!H$66</f>
        <v>0.14073458709399783</v>
      </c>
      <c r="J44" s="132">
        <f>'Data Sheet'!I68/'Data Sheet'!I$66</f>
        <v>0.13714352024024895</v>
      </c>
      <c r="K44" s="132">
        <f>'Data Sheet'!J68/'Data Sheet'!J$66</f>
        <v>0.1542481486087196</v>
      </c>
      <c r="L44" s="132">
        <f>'Data Sheet'!K68/'Data Sheet'!K$66</f>
        <v>0.17769409347667742</v>
      </c>
    </row>
    <row r="45" spans="2:12" x14ac:dyDescent="0.2">
      <c r="B45" s="200" t="str">
        <f>'Data Sheet'!A68</f>
        <v>Inventory</v>
      </c>
      <c r="C45" s="132">
        <f>'Data Sheet'!B69/'Data Sheet'!B$66</f>
        <v>0.11738901643210033</v>
      </c>
      <c r="D45" s="132">
        <f>'Data Sheet'!C69/'Data Sheet'!C$66</f>
        <v>5.3085674131172461E-2</v>
      </c>
      <c r="E45" s="132">
        <f>'Data Sheet'!D69/'Data Sheet'!D$66</f>
        <v>4.5136367994958973E-2</v>
      </c>
      <c r="F45" s="132">
        <f>'Data Sheet'!E69/'Data Sheet'!E$66</f>
        <v>5.7876854778095725E-2</v>
      </c>
      <c r="G45" s="132">
        <f>'Data Sheet'!F69/'Data Sheet'!F$66</f>
        <v>9.4131023175949013E-2</v>
      </c>
      <c r="H45" s="132">
        <f>'Data Sheet'!G69/'Data Sheet'!G$66</f>
        <v>6.3163937031017581E-2</v>
      </c>
      <c r="I45" s="132">
        <f>'Data Sheet'!H69/'Data Sheet'!H$66</f>
        <v>6.0293522904419167E-2</v>
      </c>
      <c r="J45" s="132">
        <f>'Data Sheet'!I69/'Data Sheet'!I$66</f>
        <v>5.6858154679849782E-2</v>
      </c>
      <c r="K45" s="132">
        <f>'Data Sheet'!J69/'Data Sheet'!J$66</f>
        <v>7.8663408242716906E-2</v>
      </c>
      <c r="L45" s="132">
        <f>'Data Sheet'!K69/'Data Sheet'!K$66</f>
        <v>4.5593601105420635E-2</v>
      </c>
    </row>
    <row r="65" spans="2:13" x14ac:dyDescent="0.2">
      <c r="B65" s="236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144"/>
    </row>
  </sheetData>
  <mergeCells count="2">
    <mergeCell ref="B3:L3"/>
    <mergeCell ref="B28:L28"/>
  </mergeCells>
  <pageMargins left="0.25" right="0.25" top="0.75" bottom="0.75" header="0.3" footer="0.3"/>
  <pageSetup orientation="portrait" r:id="rId1"/>
  <headerFooter>
    <oddHeader>&amp;L&amp;"-,Bold"&amp;8&amp;K07-049ITC Ltd
NSE: ITC(INE154A01025)
401.25 INR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D116-575C-4002-91A6-2EEDDA4994AB}">
  <dimension ref="A1:Z1000"/>
  <sheetViews>
    <sheetView topLeftCell="N1" zoomScale="82" zoomScaleNormal="34" workbookViewId="0">
      <selection activeCell="M5" sqref="M5"/>
    </sheetView>
  </sheetViews>
  <sheetFormatPr defaultRowHeight="14.4" x14ac:dyDescent="0.3"/>
  <cols>
    <col min="2" max="2" width="26.77734375" customWidth="1"/>
    <col min="10" max="10" width="11.6640625" customWidth="1"/>
    <col min="13" max="13" width="14.88671875" customWidth="1"/>
  </cols>
  <sheetData>
    <row r="1" spans="1:26" x14ac:dyDescent="0.3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1" x14ac:dyDescent="0.4">
      <c r="A2" s="92"/>
      <c r="B2" s="93" t="s">
        <v>297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x14ac:dyDescent="0.3">
      <c r="A3" s="92"/>
      <c r="B3" s="92" t="s">
        <v>298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 ht="43.2" x14ac:dyDescent="0.3">
      <c r="A4" s="92"/>
      <c r="B4" s="94" t="s">
        <v>299</v>
      </c>
      <c r="C4" s="94" t="s">
        <v>300</v>
      </c>
      <c r="D4" s="94" t="s">
        <v>301</v>
      </c>
      <c r="E4" s="94" t="s">
        <v>302</v>
      </c>
      <c r="F4" s="94" t="s">
        <v>303</v>
      </c>
      <c r="G4" s="94" t="s">
        <v>304</v>
      </c>
      <c r="H4" s="94" t="s">
        <v>305</v>
      </c>
      <c r="I4" s="94" t="s">
        <v>306</v>
      </c>
      <c r="J4" s="94" t="s">
        <v>307</v>
      </c>
      <c r="K4" s="94" t="s">
        <v>308</v>
      </c>
      <c r="L4" s="94" t="s">
        <v>291</v>
      </c>
      <c r="M4" s="94" t="s">
        <v>309</v>
      </c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x14ac:dyDescent="0.3">
      <c r="A5" s="92"/>
      <c r="B5" s="95" t="s">
        <v>310</v>
      </c>
      <c r="C5" s="96">
        <v>13</v>
      </c>
      <c r="D5" s="95" t="s">
        <v>311</v>
      </c>
      <c r="E5" s="95" t="s">
        <v>312</v>
      </c>
      <c r="F5" s="97">
        <v>1.9856</v>
      </c>
      <c r="G5" s="95" t="s">
        <v>313</v>
      </c>
      <c r="H5" s="95" t="s">
        <v>314</v>
      </c>
      <c r="I5" s="97">
        <v>0.11509999999999999</v>
      </c>
      <c r="J5" s="97">
        <v>0.92869999999999997</v>
      </c>
      <c r="K5" s="95">
        <v>4.3499999999999996</v>
      </c>
      <c r="L5" s="97">
        <v>0.2298</v>
      </c>
      <c r="M5" s="94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 x14ac:dyDescent="0.3">
      <c r="A6" s="92"/>
      <c r="B6" s="95" t="s">
        <v>315</v>
      </c>
      <c r="C6" s="96">
        <v>13</v>
      </c>
      <c r="D6" s="95" t="s">
        <v>316</v>
      </c>
      <c r="E6" s="95" t="s">
        <v>317</v>
      </c>
      <c r="F6" s="97">
        <v>0.78180000000000005</v>
      </c>
      <c r="G6" s="95" t="s">
        <v>318</v>
      </c>
      <c r="H6" s="95" t="s">
        <v>319</v>
      </c>
      <c r="I6" s="97">
        <v>1.1299999999999999E-2</v>
      </c>
      <c r="J6" s="97">
        <v>8.5900000000000004E-2</v>
      </c>
      <c r="K6" s="95">
        <v>2.4</v>
      </c>
      <c r="L6" s="97">
        <v>0.41689999999999999</v>
      </c>
      <c r="M6" s="95" t="e">
        <v>#REF!</v>
      </c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x14ac:dyDescent="0.3">
      <c r="A7" s="92"/>
      <c r="B7" s="95" t="s">
        <v>320</v>
      </c>
      <c r="C7" s="96">
        <v>6</v>
      </c>
      <c r="D7" s="95" t="s">
        <v>321</v>
      </c>
      <c r="E7" s="95" t="s">
        <v>322</v>
      </c>
      <c r="F7" s="97">
        <v>0.57550000000000001</v>
      </c>
      <c r="G7" s="95" t="s">
        <v>318</v>
      </c>
      <c r="H7" s="95" t="s">
        <v>318</v>
      </c>
      <c r="I7" s="97">
        <v>-5.2400000000000002E-2</v>
      </c>
      <c r="J7" s="97">
        <v>-30.164000000000001</v>
      </c>
      <c r="K7" s="95">
        <v>0.99</v>
      </c>
      <c r="L7" s="97">
        <v>1.0076000000000001</v>
      </c>
      <c r="M7" s="95" t="e">
        <v>#REF!</v>
      </c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ht="28.8" x14ac:dyDescent="0.3">
      <c r="A8" s="92"/>
      <c r="B8" s="95" t="s">
        <v>323</v>
      </c>
      <c r="C8" s="96">
        <v>323</v>
      </c>
      <c r="D8" s="95" t="s">
        <v>324</v>
      </c>
      <c r="E8" s="95" t="s">
        <v>325</v>
      </c>
      <c r="F8" s="97">
        <v>1.2716000000000001</v>
      </c>
      <c r="G8" s="95" t="s">
        <v>326</v>
      </c>
      <c r="H8" s="95" t="s">
        <v>327</v>
      </c>
      <c r="I8" s="97">
        <v>4.4999999999999997E-3</v>
      </c>
      <c r="J8" s="97">
        <v>0.13250000000000001</v>
      </c>
      <c r="K8" s="95">
        <v>2.82</v>
      </c>
      <c r="L8" s="97">
        <v>0.35399999999999998</v>
      </c>
      <c r="M8" s="95" t="e">
        <v>#REF!</v>
      </c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 ht="28.8" x14ac:dyDescent="0.3">
      <c r="A9" s="92"/>
      <c r="B9" s="95" t="s">
        <v>328</v>
      </c>
      <c r="C9" s="96">
        <v>12</v>
      </c>
      <c r="D9" s="95" t="s">
        <v>329</v>
      </c>
      <c r="E9" s="95" t="s">
        <v>330</v>
      </c>
      <c r="F9" s="97">
        <v>0.504</v>
      </c>
      <c r="G9" s="95" t="s">
        <v>331</v>
      </c>
      <c r="H9" s="95" t="s">
        <v>332</v>
      </c>
      <c r="I9" s="97">
        <v>-2.3699999999999999E-2</v>
      </c>
      <c r="J9" s="97">
        <v>-0.48880000000000001</v>
      </c>
      <c r="K9" s="95">
        <v>1.17</v>
      </c>
      <c r="L9" s="97">
        <v>0.85499999999999998</v>
      </c>
      <c r="M9" s="95" t="e">
        <v>#REF!</v>
      </c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 ht="28.8" x14ac:dyDescent="0.3">
      <c r="A10" s="92"/>
      <c r="B10" s="95" t="s">
        <v>333</v>
      </c>
      <c r="C10" s="96">
        <v>107</v>
      </c>
      <c r="D10" s="95" t="s">
        <v>334</v>
      </c>
      <c r="E10" s="95" t="s">
        <v>335</v>
      </c>
      <c r="F10" s="97">
        <v>1.1894</v>
      </c>
      <c r="G10" s="95" t="s">
        <v>336</v>
      </c>
      <c r="H10" s="95" t="s">
        <v>337</v>
      </c>
      <c r="I10" s="97">
        <v>1.26E-2</v>
      </c>
      <c r="J10" s="97">
        <v>0.25409999999999999</v>
      </c>
      <c r="K10" s="95">
        <v>1.94</v>
      </c>
      <c r="L10" s="97">
        <v>0.51680000000000004</v>
      </c>
      <c r="M10" s="95" t="e">
        <v>#REF!</v>
      </c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 ht="28.8" x14ac:dyDescent="0.3">
      <c r="A11" s="92"/>
      <c r="B11" s="95" t="s">
        <v>338</v>
      </c>
      <c r="C11" s="96">
        <v>32</v>
      </c>
      <c r="D11" s="95" t="s">
        <v>339</v>
      </c>
      <c r="E11" s="95" t="s">
        <v>340</v>
      </c>
      <c r="F11" s="95" t="s">
        <v>341</v>
      </c>
      <c r="G11" s="95" t="s">
        <v>342</v>
      </c>
      <c r="H11" s="95" t="s">
        <v>318</v>
      </c>
      <c r="I11" s="97">
        <v>2.86E-2</v>
      </c>
      <c r="J11" s="97">
        <v>95.335899999999995</v>
      </c>
      <c r="K11" s="95">
        <v>0.44</v>
      </c>
      <c r="L11" s="97">
        <v>2.2858999999999998</v>
      </c>
      <c r="M11" s="95" t="e">
        <v>#REF!</v>
      </c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 x14ac:dyDescent="0.3">
      <c r="A12" s="92"/>
      <c r="B12" s="95" t="s">
        <v>343</v>
      </c>
      <c r="C12" s="96">
        <v>5</v>
      </c>
      <c r="D12" s="95" t="s">
        <v>344</v>
      </c>
      <c r="E12" s="95" t="s">
        <v>318</v>
      </c>
      <c r="F12" s="95" t="s">
        <v>341</v>
      </c>
      <c r="G12" s="95" t="s">
        <v>318</v>
      </c>
      <c r="H12" s="95" t="s">
        <v>318</v>
      </c>
      <c r="I12" s="97">
        <v>4.0500000000000001E-2</v>
      </c>
      <c r="J12" s="97">
        <v>14.611599999999999</v>
      </c>
      <c r="K12" s="95">
        <v>0.53</v>
      </c>
      <c r="L12" s="97">
        <v>1.9044000000000001</v>
      </c>
      <c r="M12" s="95" t="e">
        <v>#REF!</v>
      </c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 x14ac:dyDescent="0.3">
      <c r="A13" s="92"/>
      <c r="B13" s="95" t="s">
        <v>345</v>
      </c>
      <c r="C13" s="96">
        <v>19</v>
      </c>
      <c r="D13" s="95" t="s">
        <v>346</v>
      </c>
      <c r="E13" s="95" t="s">
        <v>347</v>
      </c>
      <c r="F13" s="97">
        <v>1.4121999999999999</v>
      </c>
      <c r="G13" s="95" t="s">
        <v>348</v>
      </c>
      <c r="H13" s="95" t="s">
        <v>349</v>
      </c>
      <c r="I13" s="97">
        <v>1.9800000000000002E-2</v>
      </c>
      <c r="J13" s="97">
        <v>0.23780000000000001</v>
      </c>
      <c r="K13" s="95">
        <v>1.88</v>
      </c>
      <c r="L13" s="97">
        <v>0.53269999999999995</v>
      </c>
      <c r="M13" s="95" t="e">
        <v>#REF!</v>
      </c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 x14ac:dyDescent="0.3">
      <c r="A14" s="92"/>
      <c r="B14" s="95" t="s">
        <v>350</v>
      </c>
      <c r="C14" s="96">
        <v>5</v>
      </c>
      <c r="D14" s="95" t="s">
        <v>351</v>
      </c>
      <c r="E14" s="95" t="s">
        <v>352</v>
      </c>
      <c r="F14" s="97">
        <v>2.2700000000000001E-2</v>
      </c>
      <c r="G14" s="95" t="s">
        <v>318</v>
      </c>
      <c r="H14" s="95" t="s">
        <v>318</v>
      </c>
      <c r="I14" s="97">
        <v>-4.3499999999999997E-2</v>
      </c>
      <c r="J14" s="97">
        <v>-0.34010000000000001</v>
      </c>
      <c r="K14" s="95">
        <v>2</v>
      </c>
      <c r="L14" s="97">
        <v>0.49909999999999999</v>
      </c>
      <c r="M14" s="95" t="e">
        <v>#REF!</v>
      </c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 x14ac:dyDescent="0.3">
      <c r="A15" s="92"/>
      <c r="B15" s="95" t="s">
        <v>353</v>
      </c>
      <c r="C15" s="96">
        <v>17</v>
      </c>
      <c r="D15" s="95" t="s">
        <v>354</v>
      </c>
      <c r="E15" s="95" t="s">
        <v>355</v>
      </c>
      <c r="F15" s="97">
        <v>1.1020000000000001</v>
      </c>
      <c r="G15" s="95" t="s">
        <v>356</v>
      </c>
      <c r="H15" s="95" t="s">
        <v>357</v>
      </c>
      <c r="I15" s="97">
        <v>6.4999999999999997E-3</v>
      </c>
      <c r="J15" s="97">
        <v>4.8500000000000001E-2</v>
      </c>
      <c r="K15" s="95">
        <v>1.0900000000000001</v>
      </c>
      <c r="L15" s="97">
        <v>0.91920000000000002</v>
      </c>
      <c r="M15" s="95" t="e">
        <v>#REF!</v>
      </c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 ht="28.8" x14ac:dyDescent="0.3">
      <c r="A16" s="92"/>
      <c r="B16" s="95" t="s">
        <v>358</v>
      </c>
      <c r="C16" s="96">
        <v>174</v>
      </c>
      <c r="D16" s="95" t="s">
        <v>359</v>
      </c>
      <c r="E16" s="95" t="s">
        <v>360</v>
      </c>
      <c r="F16" s="97">
        <v>1.6182000000000001</v>
      </c>
      <c r="G16" s="95" t="s">
        <v>361</v>
      </c>
      <c r="H16" s="95" t="s">
        <v>362</v>
      </c>
      <c r="I16" s="97">
        <v>5.7000000000000002E-3</v>
      </c>
      <c r="J16" s="97">
        <v>2.6059000000000001</v>
      </c>
      <c r="K16" s="95">
        <v>0.8</v>
      </c>
      <c r="L16" s="97">
        <v>1.2566999999999999</v>
      </c>
      <c r="M16" s="95" t="e">
        <v>#REF!</v>
      </c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 x14ac:dyDescent="0.3">
      <c r="A17" s="92"/>
      <c r="B17" s="95" t="s">
        <v>363</v>
      </c>
      <c r="C17" s="96">
        <v>48</v>
      </c>
      <c r="D17" s="95" t="s">
        <v>364</v>
      </c>
      <c r="E17" s="95" t="s">
        <v>365</v>
      </c>
      <c r="F17" s="97">
        <v>2.2262</v>
      </c>
      <c r="G17" s="95" t="s">
        <v>366</v>
      </c>
      <c r="H17" s="95" t="s">
        <v>367</v>
      </c>
      <c r="I17" s="97">
        <v>3.0599999999999999E-2</v>
      </c>
      <c r="J17" s="97">
        <v>0.55020000000000002</v>
      </c>
      <c r="K17" s="95">
        <v>2.0099999999999998</v>
      </c>
      <c r="L17" s="97">
        <v>0.49740000000000001</v>
      </c>
      <c r="M17" s="95" t="e">
        <v>#REF!</v>
      </c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 x14ac:dyDescent="0.3">
      <c r="A18" s="92"/>
      <c r="B18" s="95" t="s">
        <v>368</v>
      </c>
      <c r="C18" s="96">
        <v>58</v>
      </c>
      <c r="D18" s="95" t="s">
        <v>369</v>
      </c>
      <c r="E18" s="95" t="s">
        <v>370</v>
      </c>
      <c r="F18" s="97">
        <v>1.1295999999999999</v>
      </c>
      <c r="G18" s="95" t="s">
        <v>371</v>
      </c>
      <c r="H18" s="95" t="s">
        <v>372</v>
      </c>
      <c r="I18" s="97">
        <v>-1.6000000000000001E-3</v>
      </c>
      <c r="J18" s="97">
        <v>-2.2100000000000002E-2</v>
      </c>
      <c r="K18" s="95">
        <v>4.08</v>
      </c>
      <c r="L18" s="97">
        <v>0.24529999999999999</v>
      </c>
      <c r="M18" s="95" t="e">
        <v>#REF!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 x14ac:dyDescent="0.3">
      <c r="A19" s="92"/>
      <c r="B19" s="95" t="s">
        <v>373</v>
      </c>
      <c r="C19" s="96">
        <v>8</v>
      </c>
      <c r="D19" s="95" t="s">
        <v>374</v>
      </c>
      <c r="E19" s="95" t="s">
        <v>375</v>
      </c>
      <c r="F19" s="97">
        <v>0.76100000000000001</v>
      </c>
      <c r="G19" s="95" t="s">
        <v>376</v>
      </c>
      <c r="H19" s="95" t="s">
        <v>318</v>
      </c>
      <c r="I19" s="97">
        <v>-5.0299999999999997E-2</v>
      </c>
      <c r="J19" s="97">
        <v>-0.91369999999999996</v>
      </c>
      <c r="K19" s="95">
        <v>0.98</v>
      </c>
      <c r="L19" s="97">
        <v>1.0202</v>
      </c>
      <c r="M19" s="95" t="e">
        <v>#REF!</v>
      </c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 ht="28.8" x14ac:dyDescent="0.3">
      <c r="A20" s="92"/>
      <c r="B20" s="95" t="s">
        <v>377</v>
      </c>
      <c r="C20" s="96">
        <v>128</v>
      </c>
      <c r="D20" s="95" t="s">
        <v>378</v>
      </c>
      <c r="E20" s="95" t="s">
        <v>379</v>
      </c>
      <c r="F20" s="97">
        <v>2.2109000000000001</v>
      </c>
      <c r="G20" s="95" t="s">
        <v>380</v>
      </c>
      <c r="H20" s="95" t="s">
        <v>381</v>
      </c>
      <c r="I20" s="97">
        <v>3.6499999999999998E-2</v>
      </c>
      <c r="J20" s="97">
        <v>0.36159999999999998</v>
      </c>
      <c r="K20" s="95">
        <v>1.48</v>
      </c>
      <c r="L20" s="97">
        <v>0.67430000000000001</v>
      </c>
      <c r="M20" s="95" t="e">
        <v>#REF!</v>
      </c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 x14ac:dyDescent="0.3">
      <c r="A21" s="92"/>
      <c r="B21" s="95" t="s">
        <v>382</v>
      </c>
      <c r="C21" s="96">
        <v>10</v>
      </c>
      <c r="D21" s="95" t="s">
        <v>383</v>
      </c>
      <c r="E21" s="95" t="s">
        <v>384</v>
      </c>
      <c r="F21" s="97">
        <v>3.6067999999999998</v>
      </c>
      <c r="G21" s="95" t="s">
        <v>385</v>
      </c>
      <c r="H21" s="95" t="s">
        <v>386</v>
      </c>
      <c r="I21" s="97">
        <v>6.88E-2</v>
      </c>
      <c r="J21" s="97">
        <v>0.69799999999999995</v>
      </c>
      <c r="K21" s="95">
        <v>1.94</v>
      </c>
      <c r="L21" s="97">
        <v>0.51559999999999995</v>
      </c>
      <c r="M21" s="95" t="e">
        <v>#REF!</v>
      </c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28.8" x14ac:dyDescent="0.3">
      <c r="A22" s="92"/>
      <c r="B22" s="95" t="s">
        <v>387</v>
      </c>
      <c r="C22" s="96">
        <v>167</v>
      </c>
      <c r="D22" s="95" t="s">
        <v>388</v>
      </c>
      <c r="E22" s="95" t="s">
        <v>389</v>
      </c>
      <c r="F22" s="97">
        <v>1.8420000000000001</v>
      </c>
      <c r="G22" s="95" t="s">
        <v>390</v>
      </c>
      <c r="H22" s="95" t="s">
        <v>391</v>
      </c>
      <c r="I22" s="97">
        <v>2.2499999999999999E-2</v>
      </c>
      <c r="J22" s="97">
        <v>0.23449999999999999</v>
      </c>
      <c r="K22" s="95">
        <v>2.0299999999999998</v>
      </c>
      <c r="L22" s="97">
        <v>0.4914</v>
      </c>
      <c r="M22" s="95" t="e">
        <v>#REF!</v>
      </c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 ht="28.8" x14ac:dyDescent="0.3">
      <c r="A23" s="92"/>
      <c r="B23" s="95" t="s">
        <v>392</v>
      </c>
      <c r="C23" s="96">
        <v>2</v>
      </c>
      <c r="D23" s="95" t="s">
        <v>393</v>
      </c>
      <c r="E23" s="95" t="s">
        <v>394</v>
      </c>
      <c r="F23" s="97">
        <v>3.2869000000000002</v>
      </c>
      <c r="G23" s="95" t="s">
        <v>318</v>
      </c>
      <c r="H23" s="95" t="s">
        <v>395</v>
      </c>
      <c r="I23" s="97">
        <v>8.2900000000000001E-2</v>
      </c>
      <c r="J23" s="97">
        <v>0.433</v>
      </c>
      <c r="K23" s="95">
        <v>4.04</v>
      </c>
      <c r="L23" s="97">
        <v>0.24759999999999999</v>
      </c>
      <c r="M23" s="95" t="e">
        <v>#REF!</v>
      </c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28.8" x14ac:dyDescent="0.3">
      <c r="A24" s="92"/>
      <c r="B24" s="95" t="s">
        <v>396</v>
      </c>
      <c r="C24" s="96">
        <v>132</v>
      </c>
      <c r="D24" s="95" t="s">
        <v>397</v>
      </c>
      <c r="E24" s="95" t="s">
        <v>398</v>
      </c>
      <c r="F24" s="97">
        <v>0.67200000000000004</v>
      </c>
      <c r="G24" s="95" t="s">
        <v>399</v>
      </c>
      <c r="H24" s="95" t="s">
        <v>400</v>
      </c>
      <c r="I24" s="97">
        <v>1.18E-2</v>
      </c>
      <c r="J24" s="97">
        <v>8.9800000000000005E-2</v>
      </c>
      <c r="K24" s="95">
        <v>2.36</v>
      </c>
      <c r="L24" s="97">
        <v>0.42309999999999998</v>
      </c>
      <c r="M24" s="95" t="e">
        <v>#REF!</v>
      </c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 x14ac:dyDescent="0.3">
      <c r="A25" s="92"/>
      <c r="B25" s="95" t="s">
        <v>401</v>
      </c>
      <c r="C25" s="96">
        <v>6</v>
      </c>
      <c r="D25" s="95" t="s">
        <v>402</v>
      </c>
      <c r="E25" s="95" t="s">
        <v>403</v>
      </c>
      <c r="F25" s="97">
        <v>1.2366999999999999</v>
      </c>
      <c r="G25" s="95" t="s">
        <v>318</v>
      </c>
      <c r="H25" s="95" t="s">
        <v>318</v>
      </c>
      <c r="I25" s="97">
        <v>4.5999999999999999E-3</v>
      </c>
      <c r="J25" s="97">
        <v>0.13669999999999999</v>
      </c>
      <c r="K25" s="95">
        <v>1.82</v>
      </c>
      <c r="L25" s="97">
        <v>0.55100000000000005</v>
      </c>
      <c r="M25" s="95" t="e">
        <v>#REF!</v>
      </c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 ht="28.8" x14ac:dyDescent="0.3">
      <c r="A26" s="92"/>
      <c r="B26" s="95" t="s">
        <v>404</v>
      </c>
      <c r="C26" s="96">
        <v>92</v>
      </c>
      <c r="D26" s="95" t="s">
        <v>405</v>
      </c>
      <c r="E26" s="95" t="s">
        <v>406</v>
      </c>
      <c r="F26" s="97">
        <v>1.8812</v>
      </c>
      <c r="G26" s="95" t="s">
        <v>407</v>
      </c>
      <c r="H26" s="95" t="s">
        <v>408</v>
      </c>
      <c r="I26" s="97">
        <v>4.1099999999999998E-2</v>
      </c>
      <c r="J26" s="97">
        <v>0.48170000000000002</v>
      </c>
      <c r="K26" s="95">
        <v>0.95</v>
      </c>
      <c r="L26" s="97">
        <v>1.0471999999999999</v>
      </c>
      <c r="M26" s="95" t="e">
        <v>#REF!</v>
      </c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 x14ac:dyDescent="0.3">
      <c r="A27" s="92"/>
      <c r="B27" s="95" t="s">
        <v>409</v>
      </c>
      <c r="C27" s="96">
        <v>13</v>
      </c>
      <c r="D27" s="95" t="s">
        <v>410</v>
      </c>
      <c r="E27" s="95" t="s">
        <v>411</v>
      </c>
      <c r="F27" s="97">
        <v>0.74070000000000003</v>
      </c>
      <c r="G27" s="95" t="s">
        <v>412</v>
      </c>
      <c r="H27" s="95" t="s">
        <v>413</v>
      </c>
      <c r="I27" s="97">
        <v>-6.1999999999999998E-3</v>
      </c>
      <c r="J27" s="97">
        <v>-8.6900000000000005E-2</v>
      </c>
      <c r="K27" s="95">
        <v>0.61</v>
      </c>
      <c r="L27" s="97">
        <v>1.6486000000000001</v>
      </c>
      <c r="M27" s="95" t="e">
        <v>#REF!</v>
      </c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 x14ac:dyDescent="0.3">
      <c r="A28" s="92"/>
      <c r="B28" s="95" t="s">
        <v>414</v>
      </c>
      <c r="C28" s="96">
        <v>8</v>
      </c>
      <c r="D28" s="95" t="s">
        <v>415</v>
      </c>
      <c r="E28" s="95" t="s">
        <v>416</v>
      </c>
      <c r="F28" s="97">
        <v>1.9708000000000001</v>
      </c>
      <c r="G28" s="95" t="s">
        <v>417</v>
      </c>
      <c r="H28" s="95" t="s">
        <v>418</v>
      </c>
      <c r="I28" s="97">
        <v>5.1999999999999998E-3</v>
      </c>
      <c r="J28" s="97">
        <v>6.7799999999999999E-2</v>
      </c>
      <c r="K28" s="95">
        <v>0.81</v>
      </c>
      <c r="L28" s="97">
        <v>1.2327999999999999</v>
      </c>
      <c r="M28" s="95" t="e">
        <v>#REF!</v>
      </c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 ht="28.8" x14ac:dyDescent="0.3">
      <c r="A29" s="92"/>
      <c r="B29" s="95" t="s">
        <v>419</v>
      </c>
      <c r="C29" s="96">
        <v>156</v>
      </c>
      <c r="D29" s="95" t="s">
        <v>420</v>
      </c>
      <c r="E29" s="95" t="s">
        <v>421</v>
      </c>
      <c r="F29" s="97">
        <v>1.397</v>
      </c>
      <c r="G29" s="95" t="s">
        <v>422</v>
      </c>
      <c r="H29" s="95" t="s">
        <v>423</v>
      </c>
      <c r="I29" s="97">
        <v>3.1800000000000002E-2</v>
      </c>
      <c r="J29" s="97">
        <v>0.29199999999999998</v>
      </c>
      <c r="K29" s="95">
        <v>0.93</v>
      </c>
      <c r="L29" s="97">
        <v>1.0765</v>
      </c>
      <c r="M29" s="95" t="e">
        <v>#REF!</v>
      </c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 x14ac:dyDescent="0.3">
      <c r="A30" s="92"/>
      <c r="B30" s="95" t="s">
        <v>424</v>
      </c>
      <c r="C30" s="96">
        <v>26</v>
      </c>
      <c r="D30" s="95" t="s">
        <v>425</v>
      </c>
      <c r="E30" s="95" t="s">
        <v>426</v>
      </c>
      <c r="F30" s="97">
        <v>0.51659999999999995</v>
      </c>
      <c r="G30" s="95" t="s">
        <v>427</v>
      </c>
      <c r="H30" s="95" t="s">
        <v>428</v>
      </c>
      <c r="I30" s="97">
        <v>-2.5700000000000001E-2</v>
      </c>
      <c r="J30" s="95" t="s">
        <v>341</v>
      </c>
      <c r="K30" s="95">
        <v>0.47</v>
      </c>
      <c r="L30" s="97">
        <v>2.1480999999999999</v>
      </c>
      <c r="M30" s="95" t="e">
        <v>#REF!</v>
      </c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x14ac:dyDescent="0.3">
      <c r="A31" s="92"/>
      <c r="B31" s="95" t="s">
        <v>429</v>
      </c>
      <c r="C31" s="96">
        <v>102</v>
      </c>
      <c r="D31" s="95" t="s">
        <v>430</v>
      </c>
      <c r="E31" s="95" t="s">
        <v>431</v>
      </c>
      <c r="F31" s="97">
        <v>1.5809</v>
      </c>
      <c r="G31" s="95" t="s">
        <v>361</v>
      </c>
      <c r="H31" s="95" t="s">
        <v>432</v>
      </c>
      <c r="I31" s="97">
        <v>1.32E-2</v>
      </c>
      <c r="J31" s="97">
        <v>0.28989999999999999</v>
      </c>
      <c r="K31" s="95">
        <v>1.53</v>
      </c>
      <c r="L31" s="97">
        <v>0.65280000000000005</v>
      </c>
      <c r="M31" s="95" t="e">
        <v>#REF!</v>
      </c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 ht="28.8" x14ac:dyDescent="0.3">
      <c r="A32" s="92"/>
      <c r="B32" s="95" t="s">
        <v>433</v>
      </c>
      <c r="C32" s="96">
        <v>8</v>
      </c>
      <c r="D32" s="95" t="s">
        <v>434</v>
      </c>
      <c r="E32" s="95" t="s">
        <v>435</v>
      </c>
      <c r="F32" s="97">
        <v>4.0468000000000002</v>
      </c>
      <c r="G32" s="95" t="s">
        <v>318</v>
      </c>
      <c r="H32" s="95" t="s">
        <v>436</v>
      </c>
      <c r="I32" s="97">
        <v>2.4899999999999999E-2</v>
      </c>
      <c r="J32" s="97">
        <v>1.2335</v>
      </c>
      <c r="K32" s="95">
        <v>8.0299999999999994</v>
      </c>
      <c r="L32" s="97">
        <v>0.1246</v>
      </c>
      <c r="M32" s="95" t="e">
        <v>#REF!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 x14ac:dyDescent="0.3">
      <c r="A33" s="92"/>
      <c r="B33" s="95" t="s">
        <v>437</v>
      </c>
      <c r="C33" s="96">
        <v>27</v>
      </c>
      <c r="D33" s="95" t="s">
        <v>438</v>
      </c>
      <c r="E33" s="95" t="s">
        <v>439</v>
      </c>
      <c r="F33" s="97">
        <v>1.9321999999999999</v>
      </c>
      <c r="G33" s="95" t="s">
        <v>440</v>
      </c>
      <c r="H33" s="95" t="s">
        <v>441</v>
      </c>
      <c r="I33" s="97">
        <v>4.8800000000000003E-2</v>
      </c>
      <c r="J33" s="97">
        <v>0.76100000000000001</v>
      </c>
      <c r="K33" s="95">
        <v>2.4300000000000002</v>
      </c>
      <c r="L33" s="97">
        <v>0.41210000000000002</v>
      </c>
      <c r="M33" s="95" t="e">
        <v>#REF!</v>
      </c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 ht="28.8" x14ac:dyDescent="0.3">
      <c r="A34" s="92"/>
      <c r="B34" s="95" t="s">
        <v>442</v>
      </c>
      <c r="C34" s="96">
        <v>144</v>
      </c>
      <c r="D34" s="95" t="s">
        <v>443</v>
      </c>
      <c r="E34" s="95" t="s">
        <v>444</v>
      </c>
      <c r="F34" s="97">
        <v>1.4735</v>
      </c>
      <c r="G34" s="95" t="s">
        <v>445</v>
      </c>
      <c r="H34" s="95" t="s">
        <v>446</v>
      </c>
      <c r="I34" s="97">
        <v>1.2200000000000001E-2</v>
      </c>
      <c r="J34" s="97">
        <v>0.19</v>
      </c>
      <c r="K34" s="95">
        <v>0.98</v>
      </c>
      <c r="L34" s="97">
        <v>1.0209999999999999</v>
      </c>
      <c r="M34" s="95" t="e">
        <v>#REF!</v>
      </c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 x14ac:dyDescent="0.3">
      <c r="A35" s="92"/>
      <c r="B35" s="95" t="s">
        <v>447</v>
      </c>
      <c r="C35" s="96">
        <v>60</v>
      </c>
      <c r="D35" s="95" t="s">
        <v>448</v>
      </c>
      <c r="E35" s="95" t="s">
        <v>449</v>
      </c>
      <c r="F35" s="97">
        <v>0.45269999999999999</v>
      </c>
      <c r="G35" s="95" t="s">
        <v>450</v>
      </c>
      <c r="H35" s="95" t="s">
        <v>451</v>
      </c>
      <c r="I35" s="97">
        <v>-6.3299999999999995E-2</v>
      </c>
      <c r="J35" s="97">
        <v>-0.90139999999999998</v>
      </c>
      <c r="K35" s="95">
        <v>0.68</v>
      </c>
      <c r="L35" s="97">
        <v>1.4706999999999999</v>
      </c>
      <c r="M35" s="95" t="e">
        <v>#REF!</v>
      </c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 ht="28.8" x14ac:dyDescent="0.3">
      <c r="A36" s="92"/>
      <c r="B36" s="95" t="s">
        <v>452</v>
      </c>
      <c r="C36" s="96">
        <v>10</v>
      </c>
      <c r="D36" s="95" t="s">
        <v>453</v>
      </c>
      <c r="E36" s="95" t="s">
        <v>454</v>
      </c>
      <c r="F36" s="97">
        <v>4.5278999999999998</v>
      </c>
      <c r="G36" s="95" t="s">
        <v>318</v>
      </c>
      <c r="H36" s="95" t="s">
        <v>455</v>
      </c>
      <c r="I36" s="97">
        <v>4.7199999999999999E-2</v>
      </c>
      <c r="J36" s="97">
        <v>0.31869999999999998</v>
      </c>
      <c r="K36" s="95">
        <v>5.27</v>
      </c>
      <c r="L36" s="97">
        <v>0.18970000000000001</v>
      </c>
      <c r="M36" s="95" t="e">
        <v>#REF!</v>
      </c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 x14ac:dyDescent="0.3">
      <c r="A37" s="92"/>
      <c r="B37" s="95" t="s">
        <v>456</v>
      </c>
      <c r="C37" s="96">
        <v>57</v>
      </c>
      <c r="D37" s="95" t="s">
        <v>457</v>
      </c>
      <c r="E37" s="95" t="s">
        <v>458</v>
      </c>
      <c r="F37" s="97">
        <v>1.3572</v>
      </c>
      <c r="G37" s="95" t="s">
        <v>459</v>
      </c>
      <c r="H37" s="95" t="s">
        <v>460</v>
      </c>
      <c r="I37" s="97">
        <v>7.7000000000000002E-3</v>
      </c>
      <c r="J37" s="97">
        <v>0.13950000000000001</v>
      </c>
      <c r="K37" s="95">
        <v>1.5</v>
      </c>
      <c r="L37" s="97">
        <v>0.66700000000000004</v>
      </c>
      <c r="M37" s="95" t="e">
        <v>#REF!</v>
      </c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 ht="28.8" x14ac:dyDescent="0.3">
      <c r="A38" s="92"/>
      <c r="B38" s="95" t="s">
        <v>461</v>
      </c>
      <c r="C38" s="96">
        <v>254</v>
      </c>
      <c r="D38" s="95" t="s">
        <v>462</v>
      </c>
      <c r="E38" s="95" t="s">
        <v>463</v>
      </c>
      <c r="F38" s="97">
        <v>1.4598</v>
      </c>
      <c r="G38" s="95" t="s">
        <v>464</v>
      </c>
      <c r="H38" s="95" t="s">
        <v>465</v>
      </c>
      <c r="I38" s="97">
        <v>1.14E-2</v>
      </c>
      <c r="J38" s="97">
        <v>0.1943</v>
      </c>
      <c r="K38" s="95">
        <v>0.1</v>
      </c>
      <c r="L38" s="97">
        <v>9.6510999999999996</v>
      </c>
      <c r="M38" s="95" t="e">
        <v>#REF!</v>
      </c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 ht="28.8" x14ac:dyDescent="0.3">
      <c r="A39" s="92"/>
      <c r="B39" s="95" t="s">
        <v>466</v>
      </c>
      <c r="C39" s="96">
        <v>185</v>
      </c>
      <c r="D39" s="95" t="s">
        <v>467</v>
      </c>
      <c r="E39" s="95" t="s">
        <v>468</v>
      </c>
      <c r="F39" s="97">
        <v>1.8692</v>
      </c>
      <c r="G39" s="95" t="s">
        <v>469</v>
      </c>
      <c r="H39" s="95" t="s">
        <v>470</v>
      </c>
      <c r="I39" s="97">
        <v>1.6500000000000001E-2</v>
      </c>
      <c r="J39" s="97">
        <v>0.34670000000000001</v>
      </c>
      <c r="K39" s="95">
        <v>2.4</v>
      </c>
      <c r="L39" s="97">
        <v>0.41689999999999999</v>
      </c>
      <c r="M39" s="95" t="e">
        <v>#REF!</v>
      </c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 x14ac:dyDescent="0.3">
      <c r="A40" s="92"/>
      <c r="B40" s="95" t="s">
        <v>471</v>
      </c>
      <c r="C40" s="96">
        <v>32</v>
      </c>
      <c r="D40" s="95" t="s">
        <v>472</v>
      </c>
      <c r="E40" s="95" t="s">
        <v>473</v>
      </c>
      <c r="F40" s="97">
        <v>1.3893</v>
      </c>
      <c r="G40" s="95" t="s">
        <v>318</v>
      </c>
      <c r="H40" s="95" t="s">
        <v>417</v>
      </c>
      <c r="I40" s="97">
        <v>1.9E-3</v>
      </c>
      <c r="J40" s="97">
        <v>0.27850000000000003</v>
      </c>
      <c r="K40" s="95">
        <v>6.25</v>
      </c>
      <c r="L40" s="97">
        <v>0.15989999999999999</v>
      </c>
      <c r="M40" s="95" t="e">
        <v>#REF!</v>
      </c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x14ac:dyDescent="0.3">
      <c r="A41" s="92"/>
      <c r="B41" s="95" t="s">
        <v>474</v>
      </c>
      <c r="C41" s="96">
        <v>38</v>
      </c>
      <c r="D41" s="95" t="s">
        <v>475</v>
      </c>
      <c r="E41" s="95" t="s">
        <v>476</v>
      </c>
      <c r="F41" s="97">
        <v>1.6359999999999999</v>
      </c>
      <c r="G41" s="95" t="s">
        <v>477</v>
      </c>
      <c r="H41" s="95" t="s">
        <v>478</v>
      </c>
      <c r="I41" s="97">
        <v>5.6800000000000003E-2</v>
      </c>
      <c r="J41" s="97">
        <v>1.2294</v>
      </c>
      <c r="K41" s="95">
        <v>2.84</v>
      </c>
      <c r="L41" s="97">
        <v>0.35170000000000001</v>
      </c>
      <c r="M41" s="95" t="e">
        <v>#REF!</v>
      </c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 ht="28.8" x14ac:dyDescent="0.3">
      <c r="A42" s="92"/>
      <c r="B42" s="95" t="s">
        <v>479</v>
      </c>
      <c r="C42" s="96">
        <v>18</v>
      </c>
      <c r="D42" s="95" t="s">
        <v>480</v>
      </c>
      <c r="E42" s="95" t="s">
        <v>481</v>
      </c>
      <c r="F42" s="97">
        <v>5.4242999999999997</v>
      </c>
      <c r="G42" s="95" t="s">
        <v>482</v>
      </c>
      <c r="H42" s="95" t="s">
        <v>483</v>
      </c>
      <c r="I42" s="97">
        <v>0.62219999999999998</v>
      </c>
      <c r="J42" s="97">
        <v>1.7376</v>
      </c>
      <c r="K42" s="95">
        <v>0.18</v>
      </c>
      <c r="L42" s="97">
        <v>5.6205999999999996</v>
      </c>
      <c r="M42" s="95" t="e">
        <v>#REF!</v>
      </c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 x14ac:dyDescent="0.3">
      <c r="A43" s="92"/>
      <c r="B43" s="95" t="s">
        <v>484</v>
      </c>
      <c r="C43" s="96">
        <v>13</v>
      </c>
      <c r="D43" s="95" t="s">
        <v>485</v>
      </c>
      <c r="E43" s="95" t="s">
        <v>486</v>
      </c>
      <c r="F43" s="97">
        <v>3.3713000000000002</v>
      </c>
      <c r="G43" s="95" t="s">
        <v>318</v>
      </c>
      <c r="H43" s="95" t="s">
        <v>487</v>
      </c>
      <c r="I43" s="97">
        <v>9.3899999999999997E-2</v>
      </c>
      <c r="J43" s="97">
        <v>1.0785</v>
      </c>
      <c r="K43" s="95">
        <v>1.01</v>
      </c>
      <c r="L43" s="97">
        <v>0.98970000000000002</v>
      </c>
      <c r="M43" s="95" t="e">
        <v>#REF!</v>
      </c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x14ac:dyDescent="0.3">
      <c r="A44" s="92"/>
      <c r="B44" s="95" t="s">
        <v>488</v>
      </c>
      <c r="C44" s="96">
        <v>30</v>
      </c>
      <c r="D44" s="95" t="s">
        <v>489</v>
      </c>
      <c r="E44" s="95" t="s">
        <v>490</v>
      </c>
      <c r="F44" s="97">
        <v>1.2045999999999999</v>
      </c>
      <c r="G44" s="95" t="s">
        <v>491</v>
      </c>
      <c r="H44" s="95" t="s">
        <v>455</v>
      </c>
      <c r="I44" s="97">
        <v>0.21149999999999999</v>
      </c>
      <c r="J44" s="97">
        <v>1.5988</v>
      </c>
      <c r="K44" s="95">
        <v>2.2599999999999998</v>
      </c>
      <c r="L44" s="97">
        <v>0.44269999999999998</v>
      </c>
      <c r="M44" s="95" t="e">
        <v>#REF!</v>
      </c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28.8" x14ac:dyDescent="0.3">
      <c r="A45" s="92"/>
      <c r="B45" s="95" t="s">
        <v>492</v>
      </c>
      <c r="C45" s="96">
        <v>14</v>
      </c>
      <c r="D45" s="95" t="s">
        <v>493</v>
      </c>
      <c r="E45" s="95" t="s">
        <v>494</v>
      </c>
      <c r="F45" s="97">
        <v>1.8834</v>
      </c>
      <c r="G45" s="95" t="s">
        <v>318</v>
      </c>
      <c r="H45" s="95" t="s">
        <v>495</v>
      </c>
      <c r="I45" s="97">
        <v>5.28E-2</v>
      </c>
      <c r="J45" s="97">
        <v>0.27450000000000002</v>
      </c>
      <c r="K45" s="95">
        <v>0.84</v>
      </c>
      <c r="L45" s="97">
        <v>1.1878</v>
      </c>
      <c r="M45" s="95" t="e">
        <v>#REF!</v>
      </c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x14ac:dyDescent="0.3">
      <c r="A46" s="92"/>
      <c r="B46" s="95" t="s">
        <v>496</v>
      </c>
      <c r="C46" s="96">
        <v>1</v>
      </c>
      <c r="D46" s="95" t="s">
        <v>318</v>
      </c>
      <c r="E46" s="95" t="s">
        <v>318</v>
      </c>
      <c r="F46" s="95" t="s">
        <v>341</v>
      </c>
      <c r="G46" s="95" t="s">
        <v>318</v>
      </c>
      <c r="H46" s="95" t="s">
        <v>318</v>
      </c>
      <c r="I46" s="97">
        <v>0</v>
      </c>
      <c r="J46" s="97">
        <v>0</v>
      </c>
      <c r="K46" s="95">
        <v>0.39</v>
      </c>
      <c r="L46" s="97">
        <v>2.5518999999999998</v>
      </c>
      <c r="M46" s="95" t="e">
        <v>#REF!</v>
      </c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x14ac:dyDescent="0.3">
      <c r="A47" s="92"/>
      <c r="B47" s="95" t="s">
        <v>497</v>
      </c>
      <c r="C47" s="96">
        <v>24</v>
      </c>
      <c r="D47" s="95" t="s">
        <v>498</v>
      </c>
      <c r="E47" s="95" t="s">
        <v>499</v>
      </c>
      <c r="F47" s="97">
        <v>1.4157</v>
      </c>
      <c r="G47" s="95" t="s">
        <v>500</v>
      </c>
      <c r="H47" s="95" t="s">
        <v>501</v>
      </c>
      <c r="I47" s="97">
        <v>2.9000000000000001E-2</v>
      </c>
      <c r="J47" s="97">
        <v>0.27600000000000002</v>
      </c>
      <c r="K47" s="95">
        <v>1.56</v>
      </c>
      <c r="L47" s="97">
        <v>0.63949999999999996</v>
      </c>
      <c r="M47" s="95" t="e">
        <v>#REF!</v>
      </c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 x14ac:dyDescent="0.3">
      <c r="A48" s="92"/>
      <c r="B48" s="95" t="s">
        <v>502</v>
      </c>
      <c r="C48" s="96">
        <v>57</v>
      </c>
      <c r="D48" s="95" t="s">
        <v>503</v>
      </c>
      <c r="E48" s="95" t="s">
        <v>504</v>
      </c>
      <c r="F48" s="97">
        <v>0.68130000000000002</v>
      </c>
      <c r="G48" s="95" t="s">
        <v>505</v>
      </c>
      <c r="H48" s="95" t="s">
        <v>506</v>
      </c>
      <c r="I48" s="97">
        <v>-2.4199999999999999E-2</v>
      </c>
      <c r="J48" s="97">
        <v>-0.28820000000000001</v>
      </c>
      <c r="K48" s="95">
        <v>0.55000000000000004</v>
      </c>
      <c r="L48" s="97">
        <v>1.8318000000000001</v>
      </c>
      <c r="M48" s="95" t="e">
        <v>#REF!</v>
      </c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 x14ac:dyDescent="0.3">
      <c r="A49" s="92"/>
      <c r="B49" s="95" t="s">
        <v>507</v>
      </c>
      <c r="C49" s="96">
        <v>36</v>
      </c>
      <c r="D49" s="95" t="s">
        <v>508</v>
      </c>
      <c r="E49" s="95" t="s">
        <v>509</v>
      </c>
      <c r="F49" s="97">
        <v>1.2067000000000001</v>
      </c>
      <c r="G49" s="95" t="s">
        <v>510</v>
      </c>
      <c r="H49" s="95" t="s">
        <v>451</v>
      </c>
      <c r="I49" s="97">
        <v>5.3E-3</v>
      </c>
      <c r="J49" s="97">
        <v>3.4599999999999999E-2</v>
      </c>
      <c r="K49" s="95">
        <v>1.85</v>
      </c>
      <c r="L49" s="97">
        <v>0.54149999999999998</v>
      </c>
      <c r="M49" s="95" t="e">
        <v>#REF!</v>
      </c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 x14ac:dyDescent="0.3">
      <c r="A50" s="92"/>
      <c r="B50" s="95" t="s">
        <v>511</v>
      </c>
      <c r="C50" s="96">
        <v>24</v>
      </c>
      <c r="D50" s="95" t="s">
        <v>512</v>
      </c>
      <c r="E50" s="95" t="s">
        <v>513</v>
      </c>
      <c r="F50" s="97">
        <v>1.2703</v>
      </c>
      <c r="G50" s="95" t="s">
        <v>514</v>
      </c>
      <c r="H50" s="95" t="s">
        <v>515</v>
      </c>
      <c r="I50" s="97">
        <v>5.4399999999999997E-2</v>
      </c>
      <c r="J50" s="95" t="s">
        <v>341</v>
      </c>
      <c r="K50" s="95">
        <v>2.02</v>
      </c>
      <c r="L50" s="97">
        <v>0.496</v>
      </c>
      <c r="M50" s="95" t="e">
        <v>#REF!</v>
      </c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x14ac:dyDescent="0.3">
      <c r="A51" s="92"/>
      <c r="B51" s="95" t="s">
        <v>516</v>
      </c>
      <c r="C51" s="96">
        <v>2</v>
      </c>
      <c r="D51" s="95" t="s">
        <v>517</v>
      </c>
      <c r="E51" s="95" t="s">
        <v>518</v>
      </c>
      <c r="F51" s="97">
        <v>1.0561</v>
      </c>
      <c r="G51" s="95" t="s">
        <v>318</v>
      </c>
      <c r="H51" s="95" t="s">
        <v>318</v>
      </c>
      <c r="I51" s="97">
        <v>5.9999999999999995E-4</v>
      </c>
      <c r="J51" s="95" t="s">
        <v>341</v>
      </c>
      <c r="K51" s="95">
        <v>2.02</v>
      </c>
      <c r="L51" s="97">
        <v>0.49440000000000001</v>
      </c>
      <c r="M51" s="95" t="e">
        <v>#REF!</v>
      </c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 ht="43.2" x14ac:dyDescent="0.3">
      <c r="A52" s="92"/>
      <c r="B52" s="95" t="s">
        <v>519</v>
      </c>
      <c r="C52" s="96">
        <v>7</v>
      </c>
      <c r="D52" s="95" t="s">
        <v>520</v>
      </c>
      <c r="E52" s="95" t="s">
        <v>521</v>
      </c>
      <c r="F52" s="95" t="s">
        <v>341</v>
      </c>
      <c r="G52" s="95" t="s">
        <v>318</v>
      </c>
      <c r="H52" s="95" t="s">
        <v>318</v>
      </c>
      <c r="I52" s="97">
        <v>1.5900000000000001E-2</v>
      </c>
      <c r="J52" s="97">
        <v>1.083</v>
      </c>
      <c r="K52" s="95">
        <v>27.66</v>
      </c>
      <c r="L52" s="97">
        <v>3.6200000000000003E-2</v>
      </c>
      <c r="M52" s="95" t="e">
        <v>#REF!</v>
      </c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spans="1:26" x14ac:dyDescent="0.3">
      <c r="A53" s="92"/>
      <c r="B53" s="95" t="s">
        <v>522</v>
      </c>
      <c r="C53" s="96">
        <v>2</v>
      </c>
      <c r="D53" s="95" t="s">
        <v>523</v>
      </c>
      <c r="E53" s="95" t="s">
        <v>524</v>
      </c>
      <c r="F53" s="97">
        <v>2.5667</v>
      </c>
      <c r="G53" s="95" t="s">
        <v>318</v>
      </c>
      <c r="H53" s="95" t="s">
        <v>318</v>
      </c>
      <c r="I53" s="97">
        <v>1.8E-3</v>
      </c>
      <c r="J53" s="97">
        <v>2.3699999999999999E-2</v>
      </c>
      <c r="K53" s="95">
        <v>1.2</v>
      </c>
      <c r="L53" s="97">
        <v>0.83530000000000004</v>
      </c>
      <c r="M53" s="95" t="e">
        <v>#REF!</v>
      </c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spans="1:26" ht="28.8" x14ac:dyDescent="0.3">
      <c r="A54" s="92"/>
      <c r="B54" s="95" t="s">
        <v>525</v>
      </c>
      <c r="C54" s="96">
        <v>96</v>
      </c>
      <c r="D54" s="95" t="s">
        <v>526</v>
      </c>
      <c r="E54" s="95" t="s">
        <v>527</v>
      </c>
      <c r="F54" s="97">
        <v>0.81279999999999997</v>
      </c>
      <c r="G54" s="95" t="s">
        <v>417</v>
      </c>
      <c r="H54" s="95" t="s">
        <v>515</v>
      </c>
      <c r="I54" s="97">
        <v>-6.1999999999999998E-3</v>
      </c>
      <c r="J54" s="97">
        <v>-3.2300000000000002E-2</v>
      </c>
      <c r="K54" s="95">
        <v>0.24</v>
      </c>
      <c r="L54" s="97">
        <v>4.1669</v>
      </c>
      <c r="M54" s="95" t="e">
        <v>#REF!</v>
      </c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spans="1:26" x14ac:dyDescent="0.3">
      <c r="A55" s="92"/>
      <c r="B55" s="95" t="s">
        <v>528</v>
      </c>
      <c r="C55" s="96">
        <v>149</v>
      </c>
      <c r="D55" s="95" t="s">
        <v>529</v>
      </c>
      <c r="E55" s="95" t="s">
        <v>530</v>
      </c>
      <c r="F55" s="97">
        <v>1.2905</v>
      </c>
      <c r="G55" s="95" t="s">
        <v>531</v>
      </c>
      <c r="H55" s="95" t="s">
        <v>532</v>
      </c>
      <c r="I55" s="97">
        <v>-6.4999999999999997E-3</v>
      </c>
      <c r="J55" s="97">
        <v>-8.1100000000000005E-2</v>
      </c>
      <c r="K55" s="95">
        <v>1.75</v>
      </c>
      <c r="L55" s="97">
        <v>0.57169999999999999</v>
      </c>
      <c r="M55" s="95" t="e">
        <v>#REF!</v>
      </c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spans="1:26" ht="28.8" x14ac:dyDescent="0.3">
      <c r="A56" s="92"/>
      <c r="B56" s="95" t="s">
        <v>533</v>
      </c>
      <c r="C56" s="96">
        <v>39</v>
      </c>
      <c r="D56" s="95" t="s">
        <v>534</v>
      </c>
      <c r="E56" s="95" t="s">
        <v>535</v>
      </c>
      <c r="F56" s="97">
        <v>1.2931999999999999</v>
      </c>
      <c r="G56" s="95" t="s">
        <v>536</v>
      </c>
      <c r="H56" s="95" t="s">
        <v>537</v>
      </c>
      <c r="I56" s="97">
        <v>1.4999999999999999E-2</v>
      </c>
      <c r="J56" s="97">
        <v>0.12189999999999999</v>
      </c>
      <c r="K56" s="95">
        <v>1.51</v>
      </c>
      <c r="L56" s="97">
        <v>0.66269999999999996</v>
      </c>
      <c r="M56" s="95" t="e">
        <v>#REF!</v>
      </c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spans="1:26" x14ac:dyDescent="0.3">
      <c r="A57" s="92"/>
      <c r="B57" s="95" t="s">
        <v>538</v>
      </c>
      <c r="C57" s="96">
        <v>13</v>
      </c>
      <c r="D57" s="95" t="s">
        <v>539</v>
      </c>
      <c r="E57" s="95" t="s">
        <v>540</v>
      </c>
      <c r="F57" s="97">
        <v>1.2927</v>
      </c>
      <c r="G57" s="95" t="s">
        <v>318</v>
      </c>
      <c r="H57" s="95" t="s">
        <v>357</v>
      </c>
      <c r="I57" s="97">
        <v>1.04E-2</v>
      </c>
      <c r="J57" s="97">
        <v>0.16320000000000001</v>
      </c>
      <c r="K57" s="95">
        <v>1.98</v>
      </c>
      <c r="L57" s="97">
        <v>0.50409999999999999</v>
      </c>
      <c r="M57" s="95" t="e">
        <v>#REF!</v>
      </c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1:26" ht="28.8" x14ac:dyDescent="0.3">
      <c r="A58" s="92"/>
      <c r="B58" s="95" t="s">
        <v>541</v>
      </c>
      <c r="C58" s="96">
        <v>1</v>
      </c>
      <c r="D58" s="95" t="s">
        <v>542</v>
      </c>
      <c r="E58" s="95" t="s">
        <v>543</v>
      </c>
      <c r="F58" s="97">
        <v>1.7503</v>
      </c>
      <c r="G58" s="95" t="s">
        <v>318</v>
      </c>
      <c r="H58" s="95" t="s">
        <v>544</v>
      </c>
      <c r="I58" s="97">
        <v>3.1099999999999999E-2</v>
      </c>
      <c r="J58" s="97">
        <v>0.44890000000000002</v>
      </c>
      <c r="K58" s="95">
        <v>1.59</v>
      </c>
      <c r="L58" s="97">
        <v>0.63070000000000004</v>
      </c>
      <c r="M58" s="95" t="e">
        <v>#REF!</v>
      </c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spans="1:26" ht="28.8" x14ac:dyDescent="0.3">
      <c r="A59" s="92"/>
      <c r="B59" s="95" t="s">
        <v>545</v>
      </c>
      <c r="C59" s="96">
        <v>6</v>
      </c>
      <c r="D59" s="95" t="s">
        <v>546</v>
      </c>
      <c r="E59" s="95" t="s">
        <v>547</v>
      </c>
      <c r="F59" s="97">
        <v>2.758</v>
      </c>
      <c r="G59" s="95" t="s">
        <v>318</v>
      </c>
      <c r="H59" s="95" t="s">
        <v>548</v>
      </c>
      <c r="I59" s="97">
        <v>0.1298</v>
      </c>
      <c r="J59" s="97">
        <v>0.55510000000000004</v>
      </c>
      <c r="K59" s="95">
        <v>0.77</v>
      </c>
      <c r="L59" s="97">
        <v>1.3053999999999999</v>
      </c>
      <c r="M59" s="95" t="e">
        <v>#REF!</v>
      </c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spans="1:26" x14ac:dyDescent="0.3">
      <c r="A60" s="92"/>
      <c r="B60" s="95" t="s">
        <v>549</v>
      </c>
      <c r="C60" s="96">
        <v>11</v>
      </c>
      <c r="D60" s="95" t="s">
        <v>550</v>
      </c>
      <c r="E60" s="95" t="s">
        <v>551</v>
      </c>
      <c r="F60" s="97">
        <v>0.56899999999999995</v>
      </c>
      <c r="G60" s="95" t="s">
        <v>552</v>
      </c>
      <c r="H60" s="95" t="s">
        <v>318</v>
      </c>
      <c r="I60" s="97">
        <v>-1.2699999999999999E-2</v>
      </c>
      <c r="J60" s="97">
        <v>-0.13730000000000001</v>
      </c>
      <c r="K60" s="95">
        <v>2.4700000000000002</v>
      </c>
      <c r="L60" s="97">
        <v>0.4047</v>
      </c>
      <c r="M60" s="95" t="e">
        <v>#REF!</v>
      </c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spans="1:26" ht="28.8" x14ac:dyDescent="0.3">
      <c r="A61" s="92"/>
      <c r="B61" s="95" t="s">
        <v>553</v>
      </c>
      <c r="C61" s="96">
        <v>22</v>
      </c>
      <c r="D61" s="95" t="s">
        <v>554</v>
      </c>
      <c r="E61" s="95" t="s">
        <v>555</v>
      </c>
      <c r="F61" s="97">
        <v>2.8673999999999999</v>
      </c>
      <c r="G61" s="95" t="s">
        <v>556</v>
      </c>
      <c r="H61" s="95" t="s">
        <v>557</v>
      </c>
      <c r="I61" s="97">
        <v>4.3099999999999999E-2</v>
      </c>
      <c r="J61" s="97">
        <v>1.2697000000000001</v>
      </c>
      <c r="K61" s="95">
        <v>1.72</v>
      </c>
      <c r="L61" s="97">
        <v>0.58240000000000003</v>
      </c>
      <c r="M61" s="95" t="e">
        <v>#REF!</v>
      </c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spans="1:26" x14ac:dyDescent="0.3">
      <c r="A62" s="92"/>
      <c r="B62" s="95" t="s">
        <v>558</v>
      </c>
      <c r="C62" s="96">
        <v>79</v>
      </c>
      <c r="D62" s="95" t="s">
        <v>559</v>
      </c>
      <c r="E62" s="95" t="s">
        <v>560</v>
      </c>
      <c r="F62" s="97">
        <v>2.0594999999999999</v>
      </c>
      <c r="G62" s="95" t="s">
        <v>561</v>
      </c>
      <c r="H62" s="95" t="s">
        <v>562</v>
      </c>
      <c r="I62" s="97">
        <v>3.95E-2</v>
      </c>
      <c r="J62" s="97">
        <v>0.6905</v>
      </c>
      <c r="K62" s="95">
        <v>1.48</v>
      </c>
      <c r="L62" s="97">
        <v>0.67630000000000001</v>
      </c>
      <c r="M62" s="95" t="e">
        <v>#REF!</v>
      </c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spans="1:26" x14ac:dyDescent="0.3">
      <c r="A63" s="92"/>
      <c r="B63" s="95" t="s">
        <v>563</v>
      </c>
      <c r="C63" s="96">
        <v>50</v>
      </c>
      <c r="D63" s="95" t="s">
        <v>564</v>
      </c>
      <c r="E63" s="95" t="s">
        <v>565</v>
      </c>
      <c r="F63" s="97">
        <v>1.9156</v>
      </c>
      <c r="G63" s="95" t="s">
        <v>566</v>
      </c>
      <c r="H63" s="95" t="s">
        <v>567</v>
      </c>
      <c r="I63" s="97">
        <v>3.5099999999999999E-2</v>
      </c>
      <c r="J63" s="97">
        <v>0.3674</v>
      </c>
      <c r="K63" s="95">
        <v>1.21</v>
      </c>
      <c r="L63" s="97">
        <v>0.82440000000000002</v>
      </c>
      <c r="M63" s="95" t="e">
        <v>#REF!</v>
      </c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spans="1:26" ht="28.8" x14ac:dyDescent="0.3">
      <c r="A64" s="92"/>
      <c r="B64" s="95" t="s">
        <v>568</v>
      </c>
      <c r="C64" s="96">
        <v>30</v>
      </c>
      <c r="D64" s="95" t="s">
        <v>569</v>
      </c>
      <c r="E64" s="95" t="s">
        <v>570</v>
      </c>
      <c r="F64" s="97">
        <v>1.5841000000000001</v>
      </c>
      <c r="G64" s="95" t="s">
        <v>571</v>
      </c>
      <c r="H64" s="95" t="s">
        <v>572</v>
      </c>
      <c r="I64" s="97">
        <v>4.9599999999999998E-2</v>
      </c>
      <c r="J64" s="97">
        <v>0.3352</v>
      </c>
      <c r="K64" s="95">
        <v>0.54</v>
      </c>
      <c r="L64" s="97">
        <v>1.8438000000000001</v>
      </c>
      <c r="M64" s="95" t="e">
        <v>#REF!</v>
      </c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spans="1:26" x14ac:dyDescent="0.3">
      <c r="A65" s="92"/>
      <c r="B65" s="95" t="s">
        <v>573</v>
      </c>
      <c r="C65" s="96">
        <v>1</v>
      </c>
      <c r="D65" s="95" t="s">
        <v>357</v>
      </c>
      <c r="E65" s="95" t="s">
        <v>318</v>
      </c>
      <c r="F65" s="97">
        <v>12.666700000000001</v>
      </c>
      <c r="G65" s="95" t="s">
        <v>318</v>
      </c>
      <c r="H65" s="95" t="s">
        <v>318</v>
      </c>
      <c r="I65" s="97">
        <v>8.75</v>
      </c>
      <c r="J65" s="95" t="s">
        <v>341</v>
      </c>
      <c r="K65" s="95">
        <v>0</v>
      </c>
      <c r="L65" s="97">
        <v>1457.25</v>
      </c>
      <c r="M65" s="95" t="e">
        <v>#REF!</v>
      </c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spans="1:26" x14ac:dyDescent="0.3">
      <c r="A66" s="92"/>
      <c r="B66" s="95" t="s">
        <v>574</v>
      </c>
      <c r="C66" s="96">
        <v>25</v>
      </c>
      <c r="D66" s="95" t="s">
        <v>575</v>
      </c>
      <c r="E66" s="95" t="s">
        <v>576</v>
      </c>
      <c r="F66" s="97">
        <v>0.33789999999999998</v>
      </c>
      <c r="G66" s="95" t="s">
        <v>577</v>
      </c>
      <c r="H66" s="95" t="s">
        <v>578</v>
      </c>
      <c r="I66" s="97">
        <v>-3.15E-2</v>
      </c>
      <c r="J66" s="97">
        <v>-0.4728</v>
      </c>
      <c r="K66" s="95">
        <v>0.8</v>
      </c>
      <c r="L66" s="97">
        <v>1.2572000000000001</v>
      </c>
      <c r="M66" s="95" t="e">
        <v>#REF!</v>
      </c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x14ac:dyDescent="0.3">
      <c r="A67" s="92"/>
      <c r="B67" s="95" t="s">
        <v>579</v>
      </c>
      <c r="C67" s="96">
        <v>4</v>
      </c>
      <c r="D67" s="95" t="s">
        <v>367</v>
      </c>
      <c r="E67" s="95" t="s">
        <v>580</v>
      </c>
      <c r="F67" s="97">
        <v>2.2000000000000001E-3</v>
      </c>
      <c r="G67" s="95" t="s">
        <v>581</v>
      </c>
      <c r="H67" s="95" t="s">
        <v>318</v>
      </c>
      <c r="I67" s="97">
        <v>-5.5500000000000001E-2</v>
      </c>
      <c r="J67" s="97">
        <v>-0.1196</v>
      </c>
      <c r="K67" s="95">
        <v>0.1</v>
      </c>
      <c r="L67" s="97">
        <v>9.6137999999999995</v>
      </c>
      <c r="M67" s="95" t="e">
        <v>#REF!</v>
      </c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spans="1:26" x14ac:dyDescent="0.3">
      <c r="A68" s="92"/>
      <c r="B68" s="95" t="s">
        <v>582</v>
      </c>
      <c r="C68" s="96">
        <v>137</v>
      </c>
      <c r="D68" s="95" t="s">
        <v>583</v>
      </c>
      <c r="E68" s="95" t="s">
        <v>584</v>
      </c>
      <c r="F68" s="97">
        <v>3.4603000000000002</v>
      </c>
      <c r="G68" s="95" t="s">
        <v>585</v>
      </c>
      <c r="H68" s="95" t="s">
        <v>586</v>
      </c>
      <c r="I68" s="97">
        <v>6.5699999999999995E-2</v>
      </c>
      <c r="J68" s="97">
        <v>0.46039999999999998</v>
      </c>
      <c r="K68" s="95">
        <v>0.36</v>
      </c>
      <c r="L68" s="97">
        <v>2.8132999999999999</v>
      </c>
      <c r="M68" s="95" t="e">
        <v>#REF!</v>
      </c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spans="1:26" ht="28.8" x14ac:dyDescent="0.3">
      <c r="A69" s="92"/>
      <c r="B69" s="95" t="s">
        <v>587</v>
      </c>
      <c r="C69" s="96">
        <v>15</v>
      </c>
      <c r="D69" s="95" t="s">
        <v>588</v>
      </c>
      <c r="E69" s="95" t="s">
        <v>589</v>
      </c>
      <c r="F69" s="97">
        <v>0.47739999999999999</v>
      </c>
      <c r="G69" s="95" t="s">
        <v>590</v>
      </c>
      <c r="H69" s="95" t="s">
        <v>591</v>
      </c>
      <c r="I69" s="97">
        <v>3.7199999999999997E-2</v>
      </c>
      <c r="J69" s="97">
        <v>0.191</v>
      </c>
      <c r="K69" s="95">
        <v>0.18</v>
      </c>
      <c r="L69" s="97">
        <v>5.4531999999999998</v>
      </c>
      <c r="M69" s="95" t="e">
        <v>#REF!</v>
      </c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spans="1:26" ht="28.8" x14ac:dyDescent="0.3">
      <c r="A70" s="92"/>
      <c r="B70" s="95" t="s">
        <v>592</v>
      </c>
      <c r="C70" s="96">
        <v>30</v>
      </c>
      <c r="D70" s="95" t="s">
        <v>593</v>
      </c>
      <c r="E70" s="95" t="s">
        <v>594</v>
      </c>
      <c r="F70" s="97">
        <v>0.1011</v>
      </c>
      <c r="G70" s="95" t="s">
        <v>318</v>
      </c>
      <c r="H70" s="95" t="s">
        <v>483</v>
      </c>
      <c r="I70" s="97">
        <v>-0.12139999999999999</v>
      </c>
      <c r="J70" s="97">
        <v>-0.35089999999999999</v>
      </c>
      <c r="K70" s="95">
        <v>0.22</v>
      </c>
      <c r="L70" s="97">
        <v>4.4969000000000001</v>
      </c>
      <c r="M70" s="95" t="e">
        <v>#REF!</v>
      </c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x14ac:dyDescent="0.3">
      <c r="A71" s="92"/>
      <c r="B71" s="95" t="s">
        <v>595</v>
      </c>
      <c r="C71" s="96">
        <v>11</v>
      </c>
      <c r="D71" s="95" t="s">
        <v>596</v>
      </c>
      <c r="E71" s="95" t="s">
        <v>597</v>
      </c>
      <c r="F71" s="97">
        <v>0.19</v>
      </c>
      <c r="G71" s="95" t="s">
        <v>318</v>
      </c>
      <c r="H71" s="95" t="s">
        <v>318</v>
      </c>
      <c r="I71" s="97">
        <v>-0.13900000000000001</v>
      </c>
      <c r="J71" s="97">
        <v>-0.87939999999999996</v>
      </c>
      <c r="K71" s="95">
        <v>0.4</v>
      </c>
      <c r="L71" s="97">
        <v>2.5287000000000002</v>
      </c>
      <c r="M71" s="95" t="e">
        <v>#REF!</v>
      </c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x14ac:dyDescent="0.3">
      <c r="A72" s="92"/>
      <c r="B72" s="95" t="s">
        <v>598</v>
      </c>
      <c r="C72" s="96">
        <v>1</v>
      </c>
      <c r="D72" s="95" t="s">
        <v>599</v>
      </c>
      <c r="E72" s="95" t="s">
        <v>515</v>
      </c>
      <c r="F72" s="97">
        <v>3.1</v>
      </c>
      <c r="G72" s="95" t="s">
        <v>318</v>
      </c>
      <c r="H72" s="95" t="s">
        <v>318</v>
      </c>
      <c r="I72" s="97">
        <v>2.9999999999999997E-4</v>
      </c>
      <c r="J72" s="97">
        <v>3.3999999999999998E-3</v>
      </c>
      <c r="K72" s="95">
        <v>1.08</v>
      </c>
      <c r="L72" s="97">
        <v>0.92200000000000004</v>
      </c>
      <c r="M72" s="95" t="e">
        <v>#REF!</v>
      </c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x14ac:dyDescent="0.3">
      <c r="A73" s="92"/>
      <c r="B73" s="95" t="s">
        <v>600</v>
      </c>
      <c r="C73" s="96">
        <v>13</v>
      </c>
      <c r="D73" s="95" t="s">
        <v>601</v>
      </c>
      <c r="E73" s="95" t="s">
        <v>602</v>
      </c>
      <c r="F73" s="97">
        <v>1.2049000000000001</v>
      </c>
      <c r="G73" s="95" t="s">
        <v>603</v>
      </c>
      <c r="H73" s="95" t="s">
        <v>318</v>
      </c>
      <c r="I73" s="97">
        <v>6.9800000000000001E-2</v>
      </c>
      <c r="J73" s="97">
        <v>0.88380000000000003</v>
      </c>
      <c r="K73" s="95">
        <v>1.1200000000000001</v>
      </c>
      <c r="L73" s="97">
        <v>0.89590000000000003</v>
      </c>
      <c r="M73" s="95" t="e">
        <v>#REF!</v>
      </c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x14ac:dyDescent="0.3">
      <c r="A74" s="92"/>
      <c r="B74" s="95" t="s">
        <v>604</v>
      </c>
      <c r="C74" s="96">
        <v>4</v>
      </c>
      <c r="D74" s="95" t="s">
        <v>605</v>
      </c>
      <c r="E74" s="95" t="s">
        <v>606</v>
      </c>
      <c r="F74" s="97">
        <v>0.70579999999999998</v>
      </c>
      <c r="G74" s="95" t="s">
        <v>318</v>
      </c>
      <c r="H74" s="95" t="s">
        <v>318</v>
      </c>
      <c r="I74" s="97">
        <v>-4.1000000000000003E-3</v>
      </c>
      <c r="J74" s="97">
        <v>-0.29759999999999998</v>
      </c>
      <c r="K74" s="95">
        <v>3.91</v>
      </c>
      <c r="L74" s="97">
        <v>0.2555</v>
      </c>
      <c r="M74" s="95" t="e">
        <v>#REF!</v>
      </c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x14ac:dyDescent="0.3">
      <c r="A75" s="92"/>
      <c r="B75" s="95" t="s">
        <v>607</v>
      </c>
      <c r="C75" s="96">
        <v>2</v>
      </c>
      <c r="D75" s="95" t="s">
        <v>608</v>
      </c>
      <c r="E75" s="95" t="s">
        <v>609</v>
      </c>
      <c r="F75" s="97">
        <v>0.81259999999999999</v>
      </c>
      <c r="G75" s="95" t="s">
        <v>318</v>
      </c>
      <c r="H75" s="95" t="s">
        <v>318</v>
      </c>
      <c r="I75" s="97">
        <v>-2.7000000000000001E-3</v>
      </c>
      <c r="J75" s="97">
        <v>-0.47389999999999999</v>
      </c>
      <c r="K75" s="95">
        <v>3.93</v>
      </c>
      <c r="L75" s="97">
        <v>0.25430000000000003</v>
      </c>
      <c r="M75" s="95" t="e">
        <v>#REF!</v>
      </c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ht="28.8" x14ac:dyDescent="0.3">
      <c r="A76" s="92"/>
      <c r="B76" s="95" t="s">
        <v>610</v>
      </c>
      <c r="C76" s="96">
        <v>239</v>
      </c>
      <c r="D76" s="95" t="s">
        <v>611</v>
      </c>
      <c r="E76" s="95" t="s">
        <v>612</v>
      </c>
      <c r="F76" s="97">
        <v>6.9481000000000002</v>
      </c>
      <c r="G76" s="95" t="s">
        <v>613</v>
      </c>
      <c r="H76" s="95" t="s">
        <v>614</v>
      </c>
      <c r="I76" s="97">
        <v>8.6400000000000005E-2</v>
      </c>
      <c r="J76" s="97">
        <v>3.0137999999999998</v>
      </c>
      <c r="K76" s="95">
        <v>1.85</v>
      </c>
      <c r="L76" s="97">
        <v>0.54069999999999996</v>
      </c>
      <c r="M76" s="95" t="e">
        <v>#REF!</v>
      </c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x14ac:dyDescent="0.3">
      <c r="A77" s="92"/>
      <c r="B77" s="95" t="s">
        <v>615</v>
      </c>
      <c r="C77" s="96">
        <v>5</v>
      </c>
      <c r="D77" s="95" t="s">
        <v>616</v>
      </c>
      <c r="E77" s="95" t="s">
        <v>617</v>
      </c>
      <c r="F77" s="97">
        <v>0.1222</v>
      </c>
      <c r="G77" s="95" t="s">
        <v>318</v>
      </c>
      <c r="H77" s="95" t="s">
        <v>318</v>
      </c>
      <c r="I77" s="97">
        <v>-0.1182</v>
      </c>
      <c r="J77" s="95" t="s">
        <v>341</v>
      </c>
      <c r="K77" s="95">
        <v>0.78</v>
      </c>
      <c r="L77" s="97">
        <v>1.2788999999999999</v>
      </c>
      <c r="M77" s="95" t="e">
        <v>#REF!</v>
      </c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x14ac:dyDescent="0.3">
      <c r="A78" s="92"/>
      <c r="B78" s="95" t="s">
        <v>618</v>
      </c>
      <c r="C78" s="96">
        <v>5</v>
      </c>
      <c r="D78" s="95" t="s">
        <v>619</v>
      </c>
      <c r="E78" s="95" t="s">
        <v>620</v>
      </c>
      <c r="F78" s="97">
        <v>4.0045999999999999</v>
      </c>
      <c r="G78" s="95" t="s">
        <v>318</v>
      </c>
      <c r="H78" s="95" t="s">
        <v>318</v>
      </c>
      <c r="I78" s="97">
        <v>4.4900000000000002E-2</v>
      </c>
      <c r="J78" s="97">
        <v>0.77380000000000004</v>
      </c>
      <c r="K78" s="95">
        <v>2.83</v>
      </c>
      <c r="L78" s="97">
        <v>0.3533</v>
      </c>
      <c r="M78" s="95" t="e">
        <v>#REF!</v>
      </c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x14ac:dyDescent="0.3">
      <c r="A79" s="92"/>
      <c r="B79" s="95" t="s">
        <v>621</v>
      </c>
      <c r="C79" s="96">
        <v>13</v>
      </c>
      <c r="D79" s="95" t="s">
        <v>622</v>
      </c>
      <c r="E79" s="95" t="s">
        <v>623</v>
      </c>
      <c r="F79" s="97">
        <v>0.73819999999999997</v>
      </c>
      <c r="G79" s="95" t="s">
        <v>624</v>
      </c>
      <c r="H79" s="95" t="s">
        <v>625</v>
      </c>
      <c r="I79" s="97">
        <v>8.3000000000000001E-3</v>
      </c>
      <c r="J79" s="95" t="s">
        <v>341</v>
      </c>
      <c r="K79" s="95">
        <v>0.9</v>
      </c>
      <c r="L79" s="97">
        <v>1.1075999999999999</v>
      </c>
      <c r="M79" s="95" t="e">
        <v>#REF!</v>
      </c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x14ac:dyDescent="0.3">
      <c r="A80" s="92"/>
      <c r="B80" s="95" t="s">
        <v>626</v>
      </c>
      <c r="C80" s="96">
        <v>28</v>
      </c>
      <c r="D80" s="95" t="s">
        <v>627</v>
      </c>
      <c r="E80" s="95" t="s">
        <v>628</v>
      </c>
      <c r="F80" s="97">
        <v>0.62629999999999997</v>
      </c>
      <c r="G80" s="95" t="s">
        <v>629</v>
      </c>
      <c r="H80" s="95" t="s">
        <v>630</v>
      </c>
      <c r="I80" s="97">
        <v>-1.67E-2</v>
      </c>
      <c r="J80" s="97">
        <v>-0.73829999999999996</v>
      </c>
      <c r="K80" s="95">
        <v>1.57</v>
      </c>
      <c r="L80" s="97">
        <v>0.63770000000000004</v>
      </c>
      <c r="M80" s="95" t="e">
        <v>#REF!</v>
      </c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x14ac:dyDescent="0.3">
      <c r="A81" s="92"/>
      <c r="B81" s="95" t="s">
        <v>631</v>
      </c>
      <c r="C81" s="96">
        <v>16</v>
      </c>
      <c r="D81" s="95" t="s">
        <v>632</v>
      </c>
      <c r="E81" s="95" t="s">
        <v>633</v>
      </c>
      <c r="F81" s="97">
        <v>1.6975</v>
      </c>
      <c r="G81" s="95" t="s">
        <v>318</v>
      </c>
      <c r="H81" s="95" t="s">
        <v>634</v>
      </c>
      <c r="I81" s="97">
        <v>3.4200000000000001E-2</v>
      </c>
      <c r="J81" s="97">
        <v>0.8589</v>
      </c>
      <c r="K81" s="95">
        <v>1.32</v>
      </c>
      <c r="L81" s="97">
        <v>0.75729999999999997</v>
      </c>
      <c r="M81" s="95" t="e">
        <v>#REF!</v>
      </c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x14ac:dyDescent="0.3">
      <c r="A82" s="92"/>
      <c r="B82" s="95" t="s">
        <v>635</v>
      </c>
      <c r="C82" s="96">
        <v>8</v>
      </c>
      <c r="D82" s="95" t="s">
        <v>636</v>
      </c>
      <c r="E82" s="95" t="s">
        <v>637</v>
      </c>
      <c r="F82" s="97">
        <v>3.1017000000000001</v>
      </c>
      <c r="G82" s="95" t="s">
        <v>318</v>
      </c>
      <c r="H82" s="95" t="s">
        <v>638</v>
      </c>
      <c r="I82" s="97">
        <v>9.8900000000000002E-2</v>
      </c>
      <c r="J82" s="97">
        <v>6.4893999999999998</v>
      </c>
      <c r="K82" s="95">
        <v>0.91</v>
      </c>
      <c r="L82" s="97">
        <v>1.1020000000000001</v>
      </c>
      <c r="M82" s="95" t="e">
        <v>#REF!</v>
      </c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x14ac:dyDescent="0.3">
      <c r="A83" s="92"/>
      <c r="B83" s="95" t="s">
        <v>639</v>
      </c>
      <c r="C83" s="96">
        <v>1</v>
      </c>
      <c r="D83" s="95" t="s">
        <v>640</v>
      </c>
      <c r="E83" s="95" t="s">
        <v>641</v>
      </c>
      <c r="F83" s="97">
        <v>11.475099999999999</v>
      </c>
      <c r="G83" s="95" t="s">
        <v>318</v>
      </c>
      <c r="H83" s="95" t="s">
        <v>318</v>
      </c>
      <c r="I83" s="97">
        <v>0.64480000000000004</v>
      </c>
      <c r="J83" s="97">
        <v>3.1907999999999999</v>
      </c>
      <c r="K83" s="95">
        <v>0.84</v>
      </c>
      <c r="L83" s="97">
        <v>1.1840999999999999</v>
      </c>
      <c r="M83" s="95" t="e">
        <v>#REF!</v>
      </c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1:26" x14ac:dyDescent="0.3">
      <c r="A84" s="92"/>
      <c r="B84" s="95" t="s">
        <v>642</v>
      </c>
      <c r="C84" s="96">
        <v>20</v>
      </c>
      <c r="D84" s="95" t="s">
        <v>643</v>
      </c>
      <c r="E84" s="95" t="s">
        <v>644</v>
      </c>
      <c r="F84" s="97">
        <v>1.8583000000000001</v>
      </c>
      <c r="G84" s="95" t="s">
        <v>645</v>
      </c>
      <c r="H84" s="95" t="s">
        <v>318</v>
      </c>
      <c r="I84" s="97">
        <v>0.16689999999999999</v>
      </c>
      <c r="J84" s="97">
        <v>0.53800000000000003</v>
      </c>
      <c r="K84" s="95">
        <v>0.34</v>
      </c>
      <c r="L84" s="97">
        <v>2.9672000000000001</v>
      </c>
      <c r="M84" s="95" t="e">
        <v>#REF!</v>
      </c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1:26" x14ac:dyDescent="0.3">
      <c r="A85" s="92"/>
      <c r="B85" s="95" t="s">
        <v>646</v>
      </c>
      <c r="C85" s="96">
        <v>12</v>
      </c>
      <c r="D85" s="95" t="s">
        <v>647</v>
      </c>
      <c r="E85" s="95" t="s">
        <v>648</v>
      </c>
      <c r="F85" s="97">
        <v>0.85880000000000001</v>
      </c>
      <c r="G85" s="95" t="s">
        <v>318</v>
      </c>
      <c r="H85" s="95" t="s">
        <v>649</v>
      </c>
      <c r="I85" s="97">
        <v>-7.1999999999999998E-3</v>
      </c>
      <c r="J85" s="97">
        <v>-8.5500000000000007E-2</v>
      </c>
      <c r="K85" s="95">
        <v>1.61</v>
      </c>
      <c r="L85" s="97">
        <v>0.62170000000000003</v>
      </c>
      <c r="M85" s="95" t="e">
        <v>#REF!</v>
      </c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1:26" x14ac:dyDescent="0.3">
      <c r="A86" s="92"/>
      <c r="B86" s="95" t="s">
        <v>650</v>
      </c>
      <c r="C86" s="96">
        <v>7</v>
      </c>
      <c r="D86" s="95" t="s">
        <v>651</v>
      </c>
      <c r="E86" s="95" t="s">
        <v>652</v>
      </c>
      <c r="F86" s="97">
        <v>0.224</v>
      </c>
      <c r="G86" s="95" t="s">
        <v>653</v>
      </c>
      <c r="H86" s="95" t="s">
        <v>654</v>
      </c>
      <c r="I86" s="97">
        <v>-1.9699999999999999E-2</v>
      </c>
      <c r="J86" s="97">
        <v>-0.12659999999999999</v>
      </c>
      <c r="K86" s="95">
        <v>0.35</v>
      </c>
      <c r="L86" s="97">
        <v>2.8902999999999999</v>
      </c>
      <c r="M86" s="95" t="e">
        <v>#REF!</v>
      </c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1:26" x14ac:dyDescent="0.3">
      <c r="A87" s="92"/>
      <c r="B87" s="95" t="s">
        <v>655</v>
      </c>
      <c r="C87" s="96">
        <v>7</v>
      </c>
      <c r="D87" s="95" t="s">
        <v>656</v>
      </c>
      <c r="E87" s="95" t="s">
        <v>657</v>
      </c>
      <c r="F87" s="97">
        <v>1.0872999999999999</v>
      </c>
      <c r="G87" s="95" t="s">
        <v>318</v>
      </c>
      <c r="H87" s="95" t="s">
        <v>318</v>
      </c>
      <c r="I87" s="97">
        <v>7.1000000000000004E-3</v>
      </c>
      <c r="J87" s="97">
        <v>4.4400000000000002E-2</v>
      </c>
      <c r="K87" s="95">
        <v>2.85</v>
      </c>
      <c r="L87" s="97">
        <v>0.35060000000000002</v>
      </c>
      <c r="M87" s="95" t="e">
        <v>#REF!</v>
      </c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1:26" ht="28.8" x14ac:dyDescent="0.3">
      <c r="A88" s="92"/>
      <c r="B88" s="95" t="s">
        <v>658</v>
      </c>
      <c r="C88" s="96">
        <v>74</v>
      </c>
      <c r="D88" s="95" t="s">
        <v>659</v>
      </c>
      <c r="E88" s="95" t="s">
        <v>660</v>
      </c>
      <c r="F88" s="97">
        <v>0.90429999999999999</v>
      </c>
      <c r="G88" s="95" t="s">
        <v>661</v>
      </c>
      <c r="H88" s="95" t="s">
        <v>662</v>
      </c>
      <c r="I88" s="97">
        <v>4.4400000000000002E-2</v>
      </c>
      <c r="J88" s="97">
        <v>0.35780000000000001</v>
      </c>
      <c r="K88" s="95">
        <v>1.72</v>
      </c>
      <c r="L88" s="97">
        <v>0.5806</v>
      </c>
      <c r="M88" s="95" t="e">
        <v>#REF!</v>
      </c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1:26" ht="28.8" x14ac:dyDescent="0.3">
      <c r="A89" s="92"/>
      <c r="B89" s="95" t="s">
        <v>663</v>
      </c>
      <c r="C89" s="96">
        <v>157</v>
      </c>
      <c r="D89" s="95" t="s">
        <v>664</v>
      </c>
      <c r="E89" s="95" t="s">
        <v>665</v>
      </c>
      <c r="F89" s="97">
        <v>1.6604000000000001</v>
      </c>
      <c r="G89" s="95" t="s">
        <v>666</v>
      </c>
      <c r="H89" s="95" t="s">
        <v>667</v>
      </c>
      <c r="I89" s="97">
        <v>3.5900000000000001E-2</v>
      </c>
      <c r="J89" s="97">
        <v>0.38819999999999999</v>
      </c>
      <c r="K89" s="95">
        <v>1.42</v>
      </c>
      <c r="L89" s="97">
        <v>0.70299999999999996</v>
      </c>
      <c r="M89" s="95" t="e">
        <v>#REF!</v>
      </c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1:26" ht="28.8" x14ac:dyDescent="0.3">
      <c r="A90" s="92"/>
      <c r="B90" s="95" t="s">
        <v>668</v>
      </c>
      <c r="C90" s="96">
        <v>3</v>
      </c>
      <c r="D90" s="95" t="s">
        <v>669</v>
      </c>
      <c r="E90" s="95" t="s">
        <v>670</v>
      </c>
      <c r="F90" s="97">
        <v>0.53110000000000002</v>
      </c>
      <c r="G90" s="95" t="s">
        <v>318</v>
      </c>
      <c r="H90" s="95" t="s">
        <v>318</v>
      </c>
      <c r="I90" s="97">
        <v>-0.1595</v>
      </c>
      <c r="J90" s="97">
        <v>-1.84</v>
      </c>
      <c r="K90" s="95">
        <v>0.41</v>
      </c>
      <c r="L90" s="97">
        <v>2.4483999999999999</v>
      </c>
      <c r="M90" s="95" t="e">
        <v>#REF!</v>
      </c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1:26" x14ac:dyDescent="0.3">
      <c r="A91" s="92"/>
      <c r="B91" s="95" t="s">
        <v>671</v>
      </c>
      <c r="C91" s="96">
        <v>20</v>
      </c>
      <c r="D91" s="95" t="s">
        <v>672</v>
      </c>
      <c r="E91" s="95" t="s">
        <v>673</v>
      </c>
      <c r="F91" s="97">
        <v>1.3384</v>
      </c>
      <c r="G91" s="95" t="s">
        <v>674</v>
      </c>
      <c r="H91" s="95" t="s">
        <v>675</v>
      </c>
      <c r="I91" s="97">
        <v>4.2799999999999998E-2</v>
      </c>
      <c r="J91" s="97">
        <v>8.5531000000000006</v>
      </c>
      <c r="K91" s="95">
        <v>0.72</v>
      </c>
      <c r="L91" s="97">
        <v>1.3867</v>
      </c>
      <c r="M91" s="95" t="e">
        <v>#REF!</v>
      </c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1:26" ht="28.8" x14ac:dyDescent="0.3">
      <c r="A92" s="92"/>
      <c r="B92" s="95" t="s">
        <v>676</v>
      </c>
      <c r="C92" s="96">
        <v>13</v>
      </c>
      <c r="D92" s="95" t="s">
        <v>677</v>
      </c>
      <c r="E92" s="95" t="s">
        <v>678</v>
      </c>
      <c r="F92" s="97">
        <v>0.56859999999999999</v>
      </c>
      <c r="G92" s="95" t="s">
        <v>679</v>
      </c>
      <c r="H92" s="95" t="s">
        <v>680</v>
      </c>
      <c r="I92" s="97">
        <v>-6.8500000000000005E-2</v>
      </c>
      <c r="J92" s="97">
        <v>-0.51770000000000005</v>
      </c>
      <c r="K92" s="95">
        <v>1.98</v>
      </c>
      <c r="L92" s="97">
        <v>0.504</v>
      </c>
      <c r="M92" s="95" t="e">
        <v>#REF!</v>
      </c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x14ac:dyDescent="0.3">
      <c r="A93" s="92"/>
      <c r="B93" s="95" t="s">
        <v>681</v>
      </c>
      <c r="C93" s="96">
        <v>5</v>
      </c>
      <c r="D93" s="95" t="s">
        <v>682</v>
      </c>
      <c r="E93" s="95" t="s">
        <v>683</v>
      </c>
      <c r="F93" s="97">
        <v>1.6184000000000001</v>
      </c>
      <c r="G93" s="95" t="s">
        <v>684</v>
      </c>
      <c r="H93" s="95" t="s">
        <v>561</v>
      </c>
      <c r="I93" s="97">
        <v>1.7600000000000001E-2</v>
      </c>
      <c r="J93" s="97">
        <v>7.6100000000000001E-2</v>
      </c>
      <c r="K93" s="95">
        <v>1.08</v>
      </c>
      <c r="L93" s="97">
        <v>0.92679999999999996</v>
      </c>
      <c r="M93" s="95" t="e">
        <v>#REF!</v>
      </c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x14ac:dyDescent="0.3">
      <c r="A94" s="92"/>
      <c r="B94" s="95" t="s">
        <v>685</v>
      </c>
      <c r="C94" s="96">
        <v>38</v>
      </c>
      <c r="D94" s="95" t="s">
        <v>686</v>
      </c>
      <c r="E94" s="95" t="s">
        <v>687</v>
      </c>
      <c r="F94" s="97">
        <v>1.2316</v>
      </c>
      <c r="G94" s="95" t="s">
        <v>688</v>
      </c>
      <c r="H94" s="95" t="s">
        <v>689</v>
      </c>
      <c r="I94" s="97">
        <v>1.1599999999999999E-2</v>
      </c>
      <c r="J94" s="97">
        <v>0.30380000000000001</v>
      </c>
      <c r="K94" s="95">
        <v>1.58</v>
      </c>
      <c r="L94" s="97">
        <v>0.63249999999999995</v>
      </c>
      <c r="M94" s="95" t="e">
        <v>#REF!</v>
      </c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1:26" x14ac:dyDescent="0.3">
      <c r="A95" s="92"/>
      <c r="B95" s="95" t="s">
        <v>690</v>
      </c>
      <c r="C95" s="96">
        <v>1</v>
      </c>
      <c r="D95" s="95" t="s">
        <v>691</v>
      </c>
      <c r="E95" s="95" t="s">
        <v>692</v>
      </c>
      <c r="F95" s="97">
        <v>1.0235000000000001</v>
      </c>
      <c r="G95" s="95" t="s">
        <v>318</v>
      </c>
      <c r="H95" s="95" t="s">
        <v>318</v>
      </c>
      <c r="I95" s="97">
        <v>1.6000000000000001E-3</v>
      </c>
      <c r="J95" s="97">
        <v>1.32E-2</v>
      </c>
      <c r="K95" s="95">
        <v>0.85</v>
      </c>
      <c r="L95" s="97">
        <v>1.1706000000000001</v>
      </c>
      <c r="M95" s="95" t="e">
        <v>#REF!</v>
      </c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1:26" x14ac:dyDescent="0.3">
      <c r="A96" s="92"/>
      <c r="B96" s="95" t="s">
        <v>693</v>
      </c>
      <c r="C96" s="96">
        <v>12</v>
      </c>
      <c r="D96" s="95" t="s">
        <v>694</v>
      </c>
      <c r="E96" s="95" t="s">
        <v>695</v>
      </c>
      <c r="F96" s="97">
        <v>1.5823</v>
      </c>
      <c r="G96" s="95" t="s">
        <v>318</v>
      </c>
      <c r="H96" s="95" t="s">
        <v>318</v>
      </c>
      <c r="I96" s="97">
        <v>2.3900000000000001E-2</v>
      </c>
      <c r="J96" s="97">
        <v>0.39029999999999998</v>
      </c>
      <c r="K96" s="95">
        <v>2.44</v>
      </c>
      <c r="L96" s="97">
        <v>0.40960000000000002</v>
      </c>
      <c r="M96" s="95" t="e">
        <v>#REF!</v>
      </c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spans="1:26" x14ac:dyDescent="0.3">
      <c r="A97" s="92"/>
      <c r="B97" s="95" t="s">
        <v>696</v>
      </c>
      <c r="C97" s="96">
        <v>0</v>
      </c>
      <c r="D97" s="95" t="s">
        <v>318</v>
      </c>
      <c r="E97" s="95" t="s">
        <v>318</v>
      </c>
      <c r="F97" s="95" t="s">
        <v>341</v>
      </c>
      <c r="G97" s="95" t="s">
        <v>318</v>
      </c>
      <c r="H97" s="95" t="s">
        <v>318</v>
      </c>
      <c r="I97" s="95" t="s">
        <v>341</v>
      </c>
      <c r="J97" s="95" t="s">
        <v>341</v>
      </c>
      <c r="K97" s="95" t="s">
        <v>341</v>
      </c>
      <c r="L97" s="95" t="e">
        <v>#VALUE!</v>
      </c>
      <c r="M97" s="95" t="e">
        <v>#REF!</v>
      </c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1:26" ht="15" thickBot="1" x14ac:dyDescent="0.35">
      <c r="A98" s="92"/>
      <c r="B98" s="98" t="s">
        <v>697</v>
      </c>
      <c r="C98" s="99">
        <v>1</v>
      </c>
      <c r="D98" s="98" t="s">
        <v>698</v>
      </c>
      <c r="E98" s="98" t="s">
        <v>403</v>
      </c>
      <c r="F98" s="100">
        <v>0.2878</v>
      </c>
      <c r="G98" s="98" t="s">
        <v>318</v>
      </c>
      <c r="H98" s="98" t="s">
        <v>699</v>
      </c>
      <c r="I98" s="100">
        <v>1.1999999999999999E-3</v>
      </c>
      <c r="J98" s="100">
        <v>2.12E-2</v>
      </c>
      <c r="K98" s="98">
        <v>1.52</v>
      </c>
      <c r="L98" s="100">
        <v>0.66</v>
      </c>
      <c r="M98" s="95" t="e">
        <v>#REF!</v>
      </c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ht="29.4" thickBot="1" x14ac:dyDescent="0.35">
      <c r="A99" s="92"/>
      <c r="B99" s="101" t="s">
        <v>700</v>
      </c>
      <c r="C99" s="102">
        <v>4149</v>
      </c>
      <c r="D99" s="101" t="s">
        <v>701</v>
      </c>
      <c r="E99" s="101" t="s">
        <v>702</v>
      </c>
      <c r="F99" s="103">
        <v>1.6047</v>
      </c>
      <c r="G99" s="101" t="s">
        <v>703</v>
      </c>
      <c r="H99" s="101" t="s">
        <v>704</v>
      </c>
      <c r="I99" s="103">
        <v>2.4E-2</v>
      </c>
      <c r="J99" s="103">
        <v>0.35920000000000002</v>
      </c>
      <c r="K99" s="101">
        <v>0.93</v>
      </c>
      <c r="L99" s="103">
        <v>1.0753999999999999</v>
      </c>
      <c r="M99" s="98" t="e">
        <v>#REF!</v>
      </c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ht="29.4" thickBot="1" x14ac:dyDescent="0.35">
      <c r="A100" s="92"/>
      <c r="B100" s="104" t="s">
        <v>705</v>
      </c>
      <c r="C100" s="105">
        <v>3577</v>
      </c>
      <c r="D100" s="104" t="s">
        <v>706</v>
      </c>
      <c r="E100" s="104" t="s">
        <v>707</v>
      </c>
      <c r="F100" s="106">
        <v>1.5109999999999999</v>
      </c>
      <c r="G100" s="104" t="s">
        <v>708</v>
      </c>
      <c r="H100" s="104" t="s">
        <v>709</v>
      </c>
      <c r="I100" s="106">
        <v>2.52E-2</v>
      </c>
      <c r="J100" s="106">
        <v>0.32790000000000002</v>
      </c>
      <c r="K100" s="104">
        <v>1.29</v>
      </c>
      <c r="L100" s="106">
        <v>0.77249999999999996</v>
      </c>
      <c r="M100" s="101" t="e">
        <v>#REF!</v>
      </c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ht="15" thickBot="1" x14ac:dyDescent="0.35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104" t="e">
        <v>#REF!</v>
      </c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x14ac:dyDescent="0.3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x14ac:dyDescent="0.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1:26" x14ac:dyDescent="0.3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1:26" x14ac:dyDescent="0.3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x14ac:dyDescent="0.3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x14ac:dyDescent="0.3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x14ac:dyDescent="0.3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x14ac:dyDescent="0.3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x14ac:dyDescent="0.3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1:26" x14ac:dyDescent="0.3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x14ac:dyDescent="0.3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x14ac:dyDescent="0.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x14ac:dyDescent="0.3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x14ac:dyDescent="0.3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x14ac:dyDescent="0.3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x14ac:dyDescent="0.3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1:26" x14ac:dyDescent="0.3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1:26" x14ac:dyDescent="0.3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x14ac:dyDescent="0.3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x14ac:dyDescent="0.3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x14ac:dyDescent="0.3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x14ac:dyDescent="0.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x14ac:dyDescent="0.3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x14ac:dyDescent="0.3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x14ac:dyDescent="0.3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x14ac:dyDescent="0.3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1:26" x14ac:dyDescent="0.3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1:26" x14ac:dyDescent="0.3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x14ac:dyDescent="0.3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x14ac:dyDescent="0.3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x14ac:dyDescent="0.3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x14ac:dyDescent="0.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x14ac:dyDescent="0.3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1:26" x14ac:dyDescent="0.3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x14ac:dyDescent="0.3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x14ac:dyDescent="0.3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x14ac:dyDescent="0.3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x14ac:dyDescent="0.3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x14ac:dyDescent="0.3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x14ac:dyDescent="0.3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1:26" x14ac:dyDescent="0.3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1:26" x14ac:dyDescent="0.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x14ac:dyDescent="0.3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x14ac:dyDescent="0.3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x14ac:dyDescent="0.3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x14ac:dyDescent="0.3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x14ac:dyDescent="0.3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x14ac:dyDescent="0.3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x14ac:dyDescent="0.3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x14ac:dyDescent="0.3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x14ac:dyDescent="0.3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x14ac:dyDescent="0.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x14ac:dyDescent="0.3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1:26" x14ac:dyDescent="0.3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1:26" x14ac:dyDescent="0.3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1:26" x14ac:dyDescent="0.3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1:26" x14ac:dyDescent="0.3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spans="1:26" x14ac:dyDescent="0.3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1:26" x14ac:dyDescent="0.3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1:26" x14ac:dyDescent="0.3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1:26" x14ac:dyDescent="0.3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1:26" x14ac:dyDescent="0.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spans="1:26" x14ac:dyDescent="0.3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spans="1:26" x14ac:dyDescent="0.3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1:26" x14ac:dyDescent="0.3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1:26" x14ac:dyDescent="0.3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1:26" x14ac:dyDescent="0.3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1:26" x14ac:dyDescent="0.3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1:26" x14ac:dyDescent="0.3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1:26" x14ac:dyDescent="0.3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1:26" x14ac:dyDescent="0.3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spans="1:26" x14ac:dyDescent="0.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1:26" x14ac:dyDescent="0.3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1:26" x14ac:dyDescent="0.3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1:26" x14ac:dyDescent="0.3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1:26" x14ac:dyDescent="0.3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1:26" x14ac:dyDescent="0.3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1:26" x14ac:dyDescent="0.3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1:26" x14ac:dyDescent="0.3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spans="1:26" x14ac:dyDescent="0.3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1:26" x14ac:dyDescent="0.3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spans="1:26" x14ac:dyDescent="0.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spans="1:26" x14ac:dyDescent="0.3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1:26" x14ac:dyDescent="0.3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1:26" x14ac:dyDescent="0.3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1:26" x14ac:dyDescent="0.3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1:26" x14ac:dyDescent="0.3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1:26" x14ac:dyDescent="0.3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1:26" x14ac:dyDescent="0.3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1:26" x14ac:dyDescent="0.3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1:26" x14ac:dyDescent="0.3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1:26" x14ac:dyDescent="0.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1:26" x14ac:dyDescent="0.3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1:26" x14ac:dyDescent="0.3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1:26" x14ac:dyDescent="0.3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1:26" x14ac:dyDescent="0.3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1:26" x14ac:dyDescent="0.3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1:26" x14ac:dyDescent="0.3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spans="1:26" x14ac:dyDescent="0.3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1:26" x14ac:dyDescent="0.3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1:26" x14ac:dyDescent="0.3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1:26" x14ac:dyDescent="0.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1:26" x14ac:dyDescent="0.3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1:26" x14ac:dyDescent="0.3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1:26" x14ac:dyDescent="0.3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spans="1:26" x14ac:dyDescent="0.3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1:26" x14ac:dyDescent="0.3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1:26" x14ac:dyDescent="0.3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1:26" x14ac:dyDescent="0.3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1:26" x14ac:dyDescent="0.3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spans="1:26" x14ac:dyDescent="0.3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1:26" x14ac:dyDescent="0.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1:26" x14ac:dyDescent="0.3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1:26" x14ac:dyDescent="0.3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1:26" x14ac:dyDescent="0.3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1:26" x14ac:dyDescent="0.3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1:26" x14ac:dyDescent="0.3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1:26" x14ac:dyDescent="0.3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1:26" x14ac:dyDescent="0.3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1:26" x14ac:dyDescent="0.3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spans="1:26" x14ac:dyDescent="0.3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spans="1:26" x14ac:dyDescent="0.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spans="1:26" x14ac:dyDescent="0.3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spans="1:26" x14ac:dyDescent="0.3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spans="1:26" x14ac:dyDescent="0.3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spans="1:26" x14ac:dyDescent="0.3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spans="1:26" x14ac:dyDescent="0.3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spans="1:26" x14ac:dyDescent="0.3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spans="1:26" x14ac:dyDescent="0.3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spans="1:26" x14ac:dyDescent="0.3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spans="1:26" x14ac:dyDescent="0.3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spans="1:26" x14ac:dyDescent="0.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spans="1:26" x14ac:dyDescent="0.3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spans="1:26" x14ac:dyDescent="0.3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spans="1:26" x14ac:dyDescent="0.3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spans="1:26" x14ac:dyDescent="0.3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spans="1:26" x14ac:dyDescent="0.3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spans="1:26" x14ac:dyDescent="0.3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spans="1:26" x14ac:dyDescent="0.3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spans="1:26" x14ac:dyDescent="0.3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spans="1:26" x14ac:dyDescent="0.3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spans="1:26" x14ac:dyDescent="0.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spans="1:26" x14ac:dyDescent="0.3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spans="1:26" x14ac:dyDescent="0.3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spans="1:26" x14ac:dyDescent="0.3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spans="1:26" x14ac:dyDescent="0.3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spans="1:26" x14ac:dyDescent="0.3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spans="1:26" x14ac:dyDescent="0.3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spans="1:26" x14ac:dyDescent="0.3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spans="1:26" x14ac:dyDescent="0.3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spans="1:26" x14ac:dyDescent="0.3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spans="1:26" x14ac:dyDescent="0.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spans="1:26" x14ac:dyDescent="0.3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spans="1:26" x14ac:dyDescent="0.3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spans="1:26" x14ac:dyDescent="0.3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spans="1:26" x14ac:dyDescent="0.3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spans="1:26" x14ac:dyDescent="0.3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spans="1:26" x14ac:dyDescent="0.3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spans="1:26" x14ac:dyDescent="0.3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spans="1:26" x14ac:dyDescent="0.3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spans="1:26" x14ac:dyDescent="0.3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spans="1:26" x14ac:dyDescent="0.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spans="1:26" x14ac:dyDescent="0.3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spans="1:26" x14ac:dyDescent="0.3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spans="1:26" x14ac:dyDescent="0.3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spans="1:26" x14ac:dyDescent="0.3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spans="1:26" x14ac:dyDescent="0.3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spans="1:26" x14ac:dyDescent="0.3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spans="1:26" x14ac:dyDescent="0.3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spans="1:26" x14ac:dyDescent="0.3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spans="1:26" x14ac:dyDescent="0.3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spans="1:26" x14ac:dyDescent="0.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spans="1:26" x14ac:dyDescent="0.3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spans="1:26" x14ac:dyDescent="0.3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spans="1:26" x14ac:dyDescent="0.3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spans="1:26" x14ac:dyDescent="0.3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spans="1:26" x14ac:dyDescent="0.3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spans="1:26" x14ac:dyDescent="0.3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spans="1:26" x14ac:dyDescent="0.3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spans="1:26" x14ac:dyDescent="0.3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spans="1:26" x14ac:dyDescent="0.3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spans="1:26" x14ac:dyDescent="0.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spans="1:26" x14ac:dyDescent="0.3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spans="1:26" x14ac:dyDescent="0.3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spans="1:26" x14ac:dyDescent="0.3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spans="1:26" x14ac:dyDescent="0.3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spans="1:26" x14ac:dyDescent="0.3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spans="1:26" x14ac:dyDescent="0.3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spans="1:26" x14ac:dyDescent="0.3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spans="1:26" x14ac:dyDescent="0.3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spans="1:26" x14ac:dyDescent="0.3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spans="1:26" x14ac:dyDescent="0.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spans="1:26" x14ac:dyDescent="0.3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spans="1:26" x14ac:dyDescent="0.3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spans="1:26" x14ac:dyDescent="0.3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spans="1:26" x14ac:dyDescent="0.3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spans="1:26" x14ac:dyDescent="0.3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spans="1:26" x14ac:dyDescent="0.3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spans="1:26" x14ac:dyDescent="0.3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spans="1:26" x14ac:dyDescent="0.3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spans="1:26" x14ac:dyDescent="0.3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spans="1:26" x14ac:dyDescent="0.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spans="1:26" x14ac:dyDescent="0.3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spans="1:26" x14ac:dyDescent="0.3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spans="1:26" x14ac:dyDescent="0.3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spans="1:26" x14ac:dyDescent="0.3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spans="1:26" x14ac:dyDescent="0.3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spans="1:26" x14ac:dyDescent="0.3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spans="1:26" x14ac:dyDescent="0.3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spans="1:26" x14ac:dyDescent="0.3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spans="1:26" x14ac:dyDescent="0.3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spans="1:26" x14ac:dyDescent="0.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spans="1:26" x14ac:dyDescent="0.3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spans="1:26" x14ac:dyDescent="0.3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spans="1:26" x14ac:dyDescent="0.3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spans="1:26" x14ac:dyDescent="0.3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spans="1:26" x14ac:dyDescent="0.3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spans="1:26" x14ac:dyDescent="0.3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spans="1:26" x14ac:dyDescent="0.3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spans="1:26" x14ac:dyDescent="0.3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spans="1:26" x14ac:dyDescent="0.3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spans="1:26" x14ac:dyDescent="0.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spans="1:26" x14ac:dyDescent="0.3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spans="1:26" x14ac:dyDescent="0.3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spans="1:26" x14ac:dyDescent="0.3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spans="1:26" x14ac:dyDescent="0.3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spans="1:26" x14ac:dyDescent="0.3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spans="1:26" x14ac:dyDescent="0.3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spans="1:26" x14ac:dyDescent="0.3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spans="1:26" x14ac:dyDescent="0.3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spans="1:26" x14ac:dyDescent="0.3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spans="1:26" x14ac:dyDescent="0.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spans="1:26" x14ac:dyDescent="0.3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spans="1:26" x14ac:dyDescent="0.3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spans="1:26" x14ac:dyDescent="0.3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spans="1:26" x14ac:dyDescent="0.3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spans="1:26" x14ac:dyDescent="0.3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spans="1:26" x14ac:dyDescent="0.3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spans="1:26" x14ac:dyDescent="0.3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spans="1:26" x14ac:dyDescent="0.3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spans="1:26" x14ac:dyDescent="0.3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spans="1:26" x14ac:dyDescent="0.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spans="1:26" x14ac:dyDescent="0.3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spans="1:26" x14ac:dyDescent="0.3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spans="1:26" x14ac:dyDescent="0.3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spans="1:26" x14ac:dyDescent="0.3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spans="1:26" x14ac:dyDescent="0.3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spans="1:26" x14ac:dyDescent="0.3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spans="1:26" x14ac:dyDescent="0.3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spans="1:26" x14ac:dyDescent="0.3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spans="1:26" x14ac:dyDescent="0.3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spans="1:26" x14ac:dyDescent="0.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spans="1:26" x14ac:dyDescent="0.3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spans="1:26" x14ac:dyDescent="0.3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spans="1:26" x14ac:dyDescent="0.3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spans="1:26" x14ac:dyDescent="0.3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spans="1:26" x14ac:dyDescent="0.3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spans="1:26" x14ac:dyDescent="0.3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spans="1:26" x14ac:dyDescent="0.3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spans="1:26" x14ac:dyDescent="0.3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spans="1:26" x14ac:dyDescent="0.3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spans="1:26" x14ac:dyDescent="0.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spans="1:26" x14ac:dyDescent="0.3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spans="1:26" x14ac:dyDescent="0.3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spans="1:26" x14ac:dyDescent="0.3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spans="1:26" x14ac:dyDescent="0.3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spans="1:26" x14ac:dyDescent="0.3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spans="1:26" x14ac:dyDescent="0.3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spans="1:26" x14ac:dyDescent="0.3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spans="1:26" x14ac:dyDescent="0.3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spans="1:26" x14ac:dyDescent="0.3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spans="1:26" x14ac:dyDescent="0.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spans="1:26" x14ac:dyDescent="0.3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spans="1:26" x14ac:dyDescent="0.3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spans="1:26" x14ac:dyDescent="0.3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spans="1:26" x14ac:dyDescent="0.3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spans="1:26" x14ac:dyDescent="0.3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spans="1:26" x14ac:dyDescent="0.3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spans="1:26" x14ac:dyDescent="0.3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spans="1:26" x14ac:dyDescent="0.3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spans="1:26" x14ac:dyDescent="0.3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spans="1:26" x14ac:dyDescent="0.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spans="1:26" x14ac:dyDescent="0.3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spans="1:26" x14ac:dyDescent="0.3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spans="1:26" x14ac:dyDescent="0.3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spans="1:26" x14ac:dyDescent="0.3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spans="1:26" x14ac:dyDescent="0.3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spans="1:26" x14ac:dyDescent="0.3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spans="1:26" x14ac:dyDescent="0.3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spans="1:26" x14ac:dyDescent="0.3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spans="1:26" x14ac:dyDescent="0.3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spans="1:26" x14ac:dyDescent="0.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spans="1:26" x14ac:dyDescent="0.3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spans="1:26" x14ac:dyDescent="0.3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spans="1:26" x14ac:dyDescent="0.3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spans="1:26" x14ac:dyDescent="0.3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spans="1:26" x14ac:dyDescent="0.3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spans="1:26" x14ac:dyDescent="0.3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spans="1:26" x14ac:dyDescent="0.3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spans="1:26" x14ac:dyDescent="0.3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spans="1:26" x14ac:dyDescent="0.3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spans="1:26" x14ac:dyDescent="0.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spans="1:26" x14ac:dyDescent="0.3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spans="1:26" x14ac:dyDescent="0.3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spans="1:26" x14ac:dyDescent="0.3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spans="1:26" x14ac:dyDescent="0.3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spans="1:26" x14ac:dyDescent="0.3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spans="1:26" x14ac:dyDescent="0.3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spans="1:26" x14ac:dyDescent="0.3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spans="1:26" x14ac:dyDescent="0.3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spans="1:26" x14ac:dyDescent="0.3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spans="1:26" x14ac:dyDescent="0.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spans="1:26" x14ac:dyDescent="0.3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spans="1:26" x14ac:dyDescent="0.3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spans="1:26" x14ac:dyDescent="0.3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spans="1:26" x14ac:dyDescent="0.3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spans="1:26" x14ac:dyDescent="0.3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spans="1:26" x14ac:dyDescent="0.3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spans="1:26" x14ac:dyDescent="0.3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spans="1:26" x14ac:dyDescent="0.3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spans="1:26" x14ac:dyDescent="0.3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spans="1:26" x14ac:dyDescent="0.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spans="1:26" x14ac:dyDescent="0.3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spans="1:26" x14ac:dyDescent="0.3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spans="1:26" x14ac:dyDescent="0.3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spans="1:26" x14ac:dyDescent="0.3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spans="1:26" x14ac:dyDescent="0.3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spans="1:26" x14ac:dyDescent="0.3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spans="1:26" x14ac:dyDescent="0.3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spans="1:26" x14ac:dyDescent="0.3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spans="1:26" x14ac:dyDescent="0.3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spans="1:26" x14ac:dyDescent="0.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spans="1:26" x14ac:dyDescent="0.3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spans="1:26" x14ac:dyDescent="0.3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spans="1:26" x14ac:dyDescent="0.3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spans="1:26" x14ac:dyDescent="0.3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spans="1:26" x14ac:dyDescent="0.3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spans="1:26" x14ac:dyDescent="0.3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spans="1:26" x14ac:dyDescent="0.3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spans="1:26" x14ac:dyDescent="0.3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spans="1:26" x14ac:dyDescent="0.3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spans="1:26" x14ac:dyDescent="0.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spans="1:26" x14ac:dyDescent="0.3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spans="1:26" x14ac:dyDescent="0.3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spans="1:26" x14ac:dyDescent="0.3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spans="1:26" x14ac:dyDescent="0.3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spans="1:26" x14ac:dyDescent="0.3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spans="1:26" x14ac:dyDescent="0.3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spans="1:26" x14ac:dyDescent="0.3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spans="1:26" x14ac:dyDescent="0.3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spans="1:26" x14ac:dyDescent="0.3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spans="1:26" x14ac:dyDescent="0.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spans="1:26" x14ac:dyDescent="0.3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spans="1:26" x14ac:dyDescent="0.3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spans="1:26" x14ac:dyDescent="0.3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spans="1:26" x14ac:dyDescent="0.3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spans="1:26" x14ac:dyDescent="0.3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spans="1:26" x14ac:dyDescent="0.3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spans="1:26" x14ac:dyDescent="0.3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spans="1:26" x14ac:dyDescent="0.3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spans="1:26" x14ac:dyDescent="0.3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spans="1:26" x14ac:dyDescent="0.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spans="1:26" x14ac:dyDescent="0.3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spans="1:26" x14ac:dyDescent="0.3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spans="1:26" x14ac:dyDescent="0.3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spans="1:26" x14ac:dyDescent="0.3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spans="1:26" x14ac:dyDescent="0.3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spans="1:26" x14ac:dyDescent="0.3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spans="1:26" x14ac:dyDescent="0.3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spans="1:26" x14ac:dyDescent="0.3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spans="1:26" x14ac:dyDescent="0.3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spans="1:26" x14ac:dyDescent="0.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spans="1:26" x14ac:dyDescent="0.3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spans="1:26" x14ac:dyDescent="0.3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spans="1:26" x14ac:dyDescent="0.3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spans="1:26" x14ac:dyDescent="0.3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spans="1:26" x14ac:dyDescent="0.3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spans="1:26" x14ac:dyDescent="0.3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spans="1:26" x14ac:dyDescent="0.3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spans="1:26" x14ac:dyDescent="0.3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spans="1:26" x14ac:dyDescent="0.3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spans="1:26" x14ac:dyDescent="0.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spans="1:26" x14ac:dyDescent="0.3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spans="1:26" x14ac:dyDescent="0.3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spans="1:26" x14ac:dyDescent="0.3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spans="1:26" x14ac:dyDescent="0.3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spans="1:26" x14ac:dyDescent="0.3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spans="1:26" x14ac:dyDescent="0.3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spans="1:26" x14ac:dyDescent="0.3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spans="1:26" x14ac:dyDescent="0.3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spans="1:26" x14ac:dyDescent="0.3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spans="1:26" x14ac:dyDescent="0.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spans="1:26" x14ac:dyDescent="0.3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spans="1:26" x14ac:dyDescent="0.3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spans="1:26" x14ac:dyDescent="0.3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spans="1:26" x14ac:dyDescent="0.3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spans="1:26" x14ac:dyDescent="0.3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spans="1:26" x14ac:dyDescent="0.3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spans="1:26" x14ac:dyDescent="0.3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spans="1:26" x14ac:dyDescent="0.3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spans="1:26" x14ac:dyDescent="0.3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spans="1:26" x14ac:dyDescent="0.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spans="1:26" x14ac:dyDescent="0.3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spans="1:26" x14ac:dyDescent="0.3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spans="1:26" x14ac:dyDescent="0.3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spans="1:26" x14ac:dyDescent="0.3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spans="1:26" x14ac:dyDescent="0.3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spans="1:26" x14ac:dyDescent="0.3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spans="1:26" x14ac:dyDescent="0.3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spans="1:26" x14ac:dyDescent="0.3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spans="1:26" x14ac:dyDescent="0.3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spans="1:26" x14ac:dyDescent="0.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spans="1:26" x14ac:dyDescent="0.3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spans="1:26" x14ac:dyDescent="0.3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spans="1:26" x14ac:dyDescent="0.3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spans="1:26" x14ac:dyDescent="0.3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spans="1:26" x14ac:dyDescent="0.3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spans="1:26" x14ac:dyDescent="0.3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spans="1:26" x14ac:dyDescent="0.3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spans="1:26" x14ac:dyDescent="0.3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spans="1:26" x14ac:dyDescent="0.3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spans="1:26" x14ac:dyDescent="0.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spans="1:26" x14ac:dyDescent="0.3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spans="1:26" x14ac:dyDescent="0.3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spans="1:26" x14ac:dyDescent="0.3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spans="1:26" x14ac:dyDescent="0.3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spans="1:26" x14ac:dyDescent="0.3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spans="1:26" x14ac:dyDescent="0.3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spans="1:26" x14ac:dyDescent="0.3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spans="1:26" x14ac:dyDescent="0.3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spans="1:26" x14ac:dyDescent="0.3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spans="1:26" x14ac:dyDescent="0.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spans="1:26" x14ac:dyDescent="0.3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spans="1:26" x14ac:dyDescent="0.3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spans="1:26" x14ac:dyDescent="0.3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spans="1:26" x14ac:dyDescent="0.3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spans="1:26" x14ac:dyDescent="0.3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spans="1:26" x14ac:dyDescent="0.3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spans="1:26" x14ac:dyDescent="0.3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spans="1:26" x14ac:dyDescent="0.3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spans="1:26" x14ac:dyDescent="0.3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spans="1:26" x14ac:dyDescent="0.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spans="1:26" x14ac:dyDescent="0.3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spans="1:26" x14ac:dyDescent="0.3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spans="1:26" x14ac:dyDescent="0.3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spans="1:26" x14ac:dyDescent="0.3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spans="1:26" x14ac:dyDescent="0.3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spans="1:26" x14ac:dyDescent="0.3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spans="1:26" x14ac:dyDescent="0.3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spans="1:26" x14ac:dyDescent="0.3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spans="1:26" x14ac:dyDescent="0.3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spans="1:26" x14ac:dyDescent="0.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spans="1:26" x14ac:dyDescent="0.3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spans="1:26" x14ac:dyDescent="0.3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spans="1:26" x14ac:dyDescent="0.3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spans="1:26" x14ac:dyDescent="0.3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spans="1:26" x14ac:dyDescent="0.3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spans="1:26" x14ac:dyDescent="0.3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spans="1:26" x14ac:dyDescent="0.3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spans="1:26" x14ac:dyDescent="0.3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spans="1:26" x14ac:dyDescent="0.3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spans="1:26" x14ac:dyDescent="0.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spans="1:26" x14ac:dyDescent="0.3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spans="1:26" x14ac:dyDescent="0.3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spans="1:26" x14ac:dyDescent="0.3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spans="1:26" x14ac:dyDescent="0.3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spans="1:26" x14ac:dyDescent="0.3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spans="1:26" x14ac:dyDescent="0.3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spans="1:26" x14ac:dyDescent="0.3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spans="1:26" x14ac:dyDescent="0.3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spans="1:26" x14ac:dyDescent="0.3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spans="1:26" x14ac:dyDescent="0.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spans="1:26" x14ac:dyDescent="0.3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spans="1:26" x14ac:dyDescent="0.3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spans="1:26" x14ac:dyDescent="0.3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spans="1:26" x14ac:dyDescent="0.3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spans="1:26" x14ac:dyDescent="0.3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spans="1:26" x14ac:dyDescent="0.3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spans="1:26" x14ac:dyDescent="0.3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spans="1:26" x14ac:dyDescent="0.3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spans="1:26" x14ac:dyDescent="0.3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spans="1:26" x14ac:dyDescent="0.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spans="1:26" x14ac:dyDescent="0.3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spans="1:26" x14ac:dyDescent="0.3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spans="1:26" x14ac:dyDescent="0.3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spans="1:26" x14ac:dyDescent="0.3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spans="1:26" x14ac:dyDescent="0.3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spans="1:26" x14ac:dyDescent="0.3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spans="1:26" x14ac:dyDescent="0.3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spans="1:26" x14ac:dyDescent="0.3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spans="1:26" x14ac:dyDescent="0.3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spans="1:26" x14ac:dyDescent="0.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spans="1:26" x14ac:dyDescent="0.3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spans="1:26" x14ac:dyDescent="0.3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spans="1:26" x14ac:dyDescent="0.3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spans="1:26" x14ac:dyDescent="0.3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spans="1:26" x14ac:dyDescent="0.3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spans="1:26" x14ac:dyDescent="0.3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spans="1:26" x14ac:dyDescent="0.3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spans="1:26" x14ac:dyDescent="0.3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spans="1:26" x14ac:dyDescent="0.3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spans="1:26" x14ac:dyDescent="0.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spans="1:26" x14ac:dyDescent="0.3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spans="1:26" x14ac:dyDescent="0.3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spans="1:26" x14ac:dyDescent="0.3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spans="1:26" x14ac:dyDescent="0.3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spans="1:26" x14ac:dyDescent="0.3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spans="1:26" x14ac:dyDescent="0.3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spans="1:26" x14ac:dyDescent="0.3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spans="1:26" x14ac:dyDescent="0.3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spans="1:26" x14ac:dyDescent="0.3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spans="1:26" x14ac:dyDescent="0.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spans="1:26" x14ac:dyDescent="0.3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spans="1:26" x14ac:dyDescent="0.3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spans="1:26" x14ac:dyDescent="0.3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spans="1:26" x14ac:dyDescent="0.3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spans="1:26" x14ac:dyDescent="0.3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spans="1:26" x14ac:dyDescent="0.3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spans="1:26" x14ac:dyDescent="0.3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spans="1:26" x14ac:dyDescent="0.3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spans="1:26" x14ac:dyDescent="0.3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spans="1:26" x14ac:dyDescent="0.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spans="1:26" x14ac:dyDescent="0.3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spans="1:26" x14ac:dyDescent="0.3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spans="1:26" x14ac:dyDescent="0.3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spans="1:26" x14ac:dyDescent="0.3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spans="1:26" x14ac:dyDescent="0.3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spans="1:26" x14ac:dyDescent="0.3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spans="1:26" x14ac:dyDescent="0.3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spans="1:26" x14ac:dyDescent="0.3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spans="1:26" x14ac:dyDescent="0.3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spans="1:26" x14ac:dyDescent="0.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spans="1:26" x14ac:dyDescent="0.3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spans="1:26" x14ac:dyDescent="0.3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spans="1:26" x14ac:dyDescent="0.3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spans="1:26" x14ac:dyDescent="0.3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spans="1:26" x14ac:dyDescent="0.3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spans="1:26" x14ac:dyDescent="0.3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spans="1:26" x14ac:dyDescent="0.3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spans="1:26" x14ac:dyDescent="0.3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spans="1:26" x14ac:dyDescent="0.3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spans="1:26" x14ac:dyDescent="0.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spans="1:26" x14ac:dyDescent="0.3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spans="1:26" x14ac:dyDescent="0.3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spans="1:26" x14ac:dyDescent="0.3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spans="1:26" x14ac:dyDescent="0.3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spans="1:26" x14ac:dyDescent="0.3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spans="1:26" x14ac:dyDescent="0.3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spans="1:26" x14ac:dyDescent="0.3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spans="1:26" x14ac:dyDescent="0.3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spans="1:26" x14ac:dyDescent="0.3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spans="1:26" x14ac:dyDescent="0.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spans="1:26" x14ac:dyDescent="0.3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spans="1:26" x14ac:dyDescent="0.3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spans="1:26" x14ac:dyDescent="0.3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spans="1:26" x14ac:dyDescent="0.3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spans="1:26" x14ac:dyDescent="0.3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spans="1:26" x14ac:dyDescent="0.3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spans="1:26" x14ac:dyDescent="0.3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spans="1:26" x14ac:dyDescent="0.3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spans="1:26" x14ac:dyDescent="0.3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spans="1:26" x14ac:dyDescent="0.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spans="1:26" x14ac:dyDescent="0.3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spans="1:26" x14ac:dyDescent="0.3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spans="1:26" x14ac:dyDescent="0.3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spans="1:26" x14ac:dyDescent="0.3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spans="1:26" x14ac:dyDescent="0.3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spans="1:26" x14ac:dyDescent="0.3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spans="1:26" x14ac:dyDescent="0.3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spans="1:26" x14ac:dyDescent="0.3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spans="1:26" x14ac:dyDescent="0.3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spans="1:26" x14ac:dyDescent="0.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spans="1:26" x14ac:dyDescent="0.3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spans="1:26" x14ac:dyDescent="0.3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spans="1:26" x14ac:dyDescent="0.3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spans="1:26" x14ac:dyDescent="0.3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spans="1:26" x14ac:dyDescent="0.3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spans="1:26" x14ac:dyDescent="0.3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spans="1:26" x14ac:dyDescent="0.3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spans="1:26" x14ac:dyDescent="0.3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spans="1:26" x14ac:dyDescent="0.3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spans="1:26" x14ac:dyDescent="0.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spans="1:26" x14ac:dyDescent="0.3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spans="1:26" x14ac:dyDescent="0.3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spans="1:26" x14ac:dyDescent="0.3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spans="1:26" x14ac:dyDescent="0.3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spans="1:26" x14ac:dyDescent="0.3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spans="1:26" x14ac:dyDescent="0.3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spans="1:26" x14ac:dyDescent="0.3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spans="1:26" x14ac:dyDescent="0.3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spans="1:26" x14ac:dyDescent="0.3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spans="1:26" x14ac:dyDescent="0.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spans="1:26" x14ac:dyDescent="0.3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spans="1:26" x14ac:dyDescent="0.3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spans="1:26" x14ac:dyDescent="0.3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spans="1:26" x14ac:dyDescent="0.3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spans="1:26" x14ac:dyDescent="0.3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spans="1:26" x14ac:dyDescent="0.3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spans="1:26" x14ac:dyDescent="0.3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spans="1:26" x14ac:dyDescent="0.3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spans="1:26" x14ac:dyDescent="0.3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spans="1:26" x14ac:dyDescent="0.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spans="1:26" x14ac:dyDescent="0.3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spans="1:26" x14ac:dyDescent="0.3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spans="1:26" x14ac:dyDescent="0.3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spans="1:26" x14ac:dyDescent="0.3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spans="1:26" x14ac:dyDescent="0.3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spans="1:26" x14ac:dyDescent="0.3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spans="1:26" x14ac:dyDescent="0.3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spans="1:26" x14ac:dyDescent="0.3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spans="1:26" x14ac:dyDescent="0.3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spans="1:26" x14ac:dyDescent="0.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spans="1:26" x14ac:dyDescent="0.3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spans="1:26" x14ac:dyDescent="0.3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spans="1:26" x14ac:dyDescent="0.3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spans="1:26" x14ac:dyDescent="0.3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spans="1:26" x14ac:dyDescent="0.3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spans="1:26" x14ac:dyDescent="0.3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spans="1:26" x14ac:dyDescent="0.3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spans="1:26" x14ac:dyDescent="0.3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spans="1:26" x14ac:dyDescent="0.3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spans="1:26" x14ac:dyDescent="0.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spans="1:26" x14ac:dyDescent="0.3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spans="1:26" x14ac:dyDescent="0.3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spans="1:26" x14ac:dyDescent="0.3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spans="1:26" x14ac:dyDescent="0.3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spans="1:26" x14ac:dyDescent="0.3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spans="1:26" x14ac:dyDescent="0.3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spans="1:26" x14ac:dyDescent="0.3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spans="1:26" x14ac:dyDescent="0.3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spans="1:26" x14ac:dyDescent="0.3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spans="1:26" x14ac:dyDescent="0.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spans="1:26" x14ac:dyDescent="0.3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spans="1:26" x14ac:dyDescent="0.3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spans="1:26" x14ac:dyDescent="0.3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spans="1:26" x14ac:dyDescent="0.3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spans="1:26" x14ac:dyDescent="0.3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spans="1:26" x14ac:dyDescent="0.3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spans="1:26" x14ac:dyDescent="0.3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spans="1:26" x14ac:dyDescent="0.3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spans="1:26" x14ac:dyDescent="0.3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spans="1:26" x14ac:dyDescent="0.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spans="1:26" x14ac:dyDescent="0.3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spans="1:26" x14ac:dyDescent="0.3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spans="1:26" x14ac:dyDescent="0.3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spans="1:26" x14ac:dyDescent="0.3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spans="1:26" x14ac:dyDescent="0.3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spans="1:26" x14ac:dyDescent="0.3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spans="1:26" x14ac:dyDescent="0.3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spans="1:26" x14ac:dyDescent="0.3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spans="1:26" x14ac:dyDescent="0.3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spans="1:26" x14ac:dyDescent="0.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spans="1:26" x14ac:dyDescent="0.3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spans="1:26" x14ac:dyDescent="0.3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spans="1:26" x14ac:dyDescent="0.3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spans="1:26" x14ac:dyDescent="0.3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spans="1:26" x14ac:dyDescent="0.3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spans="1:26" x14ac:dyDescent="0.3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spans="1:26" x14ac:dyDescent="0.3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spans="1:26" x14ac:dyDescent="0.3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spans="1:26" x14ac:dyDescent="0.3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spans="1:26" x14ac:dyDescent="0.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spans="1:26" x14ac:dyDescent="0.3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spans="1:26" x14ac:dyDescent="0.3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spans="1:26" x14ac:dyDescent="0.3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spans="1:26" x14ac:dyDescent="0.3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spans="1:26" x14ac:dyDescent="0.3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spans="1:26" x14ac:dyDescent="0.3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spans="1:26" x14ac:dyDescent="0.3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spans="1:26" x14ac:dyDescent="0.3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spans="1:26" x14ac:dyDescent="0.3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spans="1:26" x14ac:dyDescent="0.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spans="1:26" x14ac:dyDescent="0.3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spans="1:26" x14ac:dyDescent="0.3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spans="1:26" x14ac:dyDescent="0.3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spans="1:26" x14ac:dyDescent="0.3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spans="1:26" x14ac:dyDescent="0.3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spans="1:26" x14ac:dyDescent="0.3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spans="1:26" x14ac:dyDescent="0.3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spans="1:26" x14ac:dyDescent="0.3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spans="1:26" x14ac:dyDescent="0.3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spans="1:26" x14ac:dyDescent="0.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spans="1:26" x14ac:dyDescent="0.3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spans="1:26" x14ac:dyDescent="0.3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spans="1:26" x14ac:dyDescent="0.3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spans="1:26" x14ac:dyDescent="0.3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spans="1:26" x14ac:dyDescent="0.3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spans="1:26" x14ac:dyDescent="0.3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spans="1:26" x14ac:dyDescent="0.3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spans="1:26" x14ac:dyDescent="0.3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spans="1:26" x14ac:dyDescent="0.3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spans="1:26" x14ac:dyDescent="0.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spans="1:26" x14ac:dyDescent="0.3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spans="1:26" x14ac:dyDescent="0.3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spans="1:26" x14ac:dyDescent="0.3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spans="1:26" x14ac:dyDescent="0.3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spans="1:26" x14ac:dyDescent="0.3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spans="1:26" x14ac:dyDescent="0.3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spans="1:26" x14ac:dyDescent="0.3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spans="1:26" x14ac:dyDescent="0.3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spans="1:26" x14ac:dyDescent="0.3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spans="1:26" x14ac:dyDescent="0.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spans="1:26" x14ac:dyDescent="0.3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spans="1:26" x14ac:dyDescent="0.3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spans="1:26" x14ac:dyDescent="0.3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spans="1:26" x14ac:dyDescent="0.3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spans="1:26" x14ac:dyDescent="0.3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spans="1:26" x14ac:dyDescent="0.3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spans="1:26" x14ac:dyDescent="0.3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spans="1:26" x14ac:dyDescent="0.3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spans="1:26" x14ac:dyDescent="0.3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spans="1:26" x14ac:dyDescent="0.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spans="1:26" x14ac:dyDescent="0.3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spans="1:26" x14ac:dyDescent="0.3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spans="1:26" x14ac:dyDescent="0.3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spans="1:26" x14ac:dyDescent="0.3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spans="1:26" x14ac:dyDescent="0.3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spans="1:26" x14ac:dyDescent="0.3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spans="1:26" x14ac:dyDescent="0.3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spans="1:26" x14ac:dyDescent="0.3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spans="1:26" x14ac:dyDescent="0.3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spans="1:26" x14ac:dyDescent="0.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spans="1:26" x14ac:dyDescent="0.3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spans="1:26" x14ac:dyDescent="0.3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spans="1:26" x14ac:dyDescent="0.3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spans="1:26" x14ac:dyDescent="0.3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spans="1:26" x14ac:dyDescent="0.3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spans="1:26" x14ac:dyDescent="0.3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spans="1:26" x14ac:dyDescent="0.3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spans="1:26" x14ac:dyDescent="0.3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spans="1:26" x14ac:dyDescent="0.3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spans="1:26" x14ac:dyDescent="0.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spans="1:26" x14ac:dyDescent="0.3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spans="1:26" x14ac:dyDescent="0.3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spans="1:26" x14ac:dyDescent="0.3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spans="1:26" x14ac:dyDescent="0.3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spans="1:26" x14ac:dyDescent="0.3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spans="1:26" x14ac:dyDescent="0.3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spans="1:26" x14ac:dyDescent="0.3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spans="1:26" x14ac:dyDescent="0.3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spans="1:26" x14ac:dyDescent="0.3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spans="1:26" x14ac:dyDescent="0.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spans="1:26" x14ac:dyDescent="0.3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spans="1:26" x14ac:dyDescent="0.3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spans="1:26" x14ac:dyDescent="0.3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spans="1:26" x14ac:dyDescent="0.3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spans="1:26" x14ac:dyDescent="0.3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spans="1:26" x14ac:dyDescent="0.3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spans="1:26" x14ac:dyDescent="0.3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spans="1:26" x14ac:dyDescent="0.3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spans="1:26" x14ac:dyDescent="0.3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spans="1:26" x14ac:dyDescent="0.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spans="1:26" x14ac:dyDescent="0.3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spans="1:26" x14ac:dyDescent="0.3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spans="1:26" x14ac:dyDescent="0.3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spans="1:26" x14ac:dyDescent="0.3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spans="1:26" x14ac:dyDescent="0.3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spans="1:26" x14ac:dyDescent="0.3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spans="1:26" x14ac:dyDescent="0.3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spans="1:26" x14ac:dyDescent="0.3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spans="1:26" x14ac:dyDescent="0.3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spans="1:26" x14ac:dyDescent="0.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spans="1:26" x14ac:dyDescent="0.3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spans="1:26" x14ac:dyDescent="0.3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spans="1:26" x14ac:dyDescent="0.3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spans="1:26" x14ac:dyDescent="0.3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spans="1:26" x14ac:dyDescent="0.3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spans="1:26" x14ac:dyDescent="0.3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spans="1:26" x14ac:dyDescent="0.3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spans="1:26" x14ac:dyDescent="0.3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spans="1:26" x14ac:dyDescent="0.3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spans="1:26" x14ac:dyDescent="0.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spans="1:26" x14ac:dyDescent="0.3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spans="1:26" x14ac:dyDescent="0.3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spans="1:26" x14ac:dyDescent="0.3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spans="1:26" x14ac:dyDescent="0.3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spans="1:26" x14ac:dyDescent="0.3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spans="1:26" x14ac:dyDescent="0.3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spans="1:26" x14ac:dyDescent="0.3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spans="1:26" x14ac:dyDescent="0.3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spans="1:26" x14ac:dyDescent="0.3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spans="1:26" x14ac:dyDescent="0.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spans="1:26" x14ac:dyDescent="0.3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spans="1:26" x14ac:dyDescent="0.3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spans="1:26" x14ac:dyDescent="0.3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spans="1:26" x14ac:dyDescent="0.3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spans="1:26" x14ac:dyDescent="0.3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spans="1:26" x14ac:dyDescent="0.3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spans="1:26" x14ac:dyDescent="0.3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spans="1:26" x14ac:dyDescent="0.3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spans="1:26" x14ac:dyDescent="0.3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spans="1:26" x14ac:dyDescent="0.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spans="1:26" x14ac:dyDescent="0.3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spans="1:26" x14ac:dyDescent="0.3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spans="1:26" x14ac:dyDescent="0.3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spans="1:26" x14ac:dyDescent="0.3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spans="1:26" x14ac:dyDescent="0.3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spans="1:26" x14ac:dyDescent="0.3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spans="1:26" x14ac:dyDescent="0.3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spans="1:26" x14ac:dyDescent="0.3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spans="1:26" x14ac:dyDescent="0.3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spans="1:26" x14ac:dyDescent="0.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spans="1:26" x14ac:dyDescent="0.3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spans="1:26" x14ac:dyDescent="0.3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spans="1:26" x14ac:dyDescent="0.3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spans="1:26" x14ac:dyDescent="0.3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spans="1:26" x14ac:dyDescent="0.3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spans="1:26" x14ac:dyDescent="0.3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spans="1:26" x14ac:dyDescent="0.3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spans="1:26" x14ac:dyDescent="0.3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spans="1:26" x14ac:dyDescent="0.3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spans="1:26" x14ac:dyDescent="0.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spans="1:26" x14ac:dyDescent="0.3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spans="1:26" x14ac:dyDescent="0.3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spans="1:26" x14ac:dyDescent="0.3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spans="1:26" x14ac:dyDescent="0.3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spans="1:26" x14ac:dyDescent="0.3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spans="1:26" x14ac:dyDescent="0.3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spans="1:26" x14ac:dyDescent="0.3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spans="1:26" x14ac:dyDescent="0.3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spans="1:26" x14ac:dyDescent="0.3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spans="1:26" x14ac:dyDescent="0.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spans="1:26" x14ac:dyDescent="0.3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spans="1:26" x14ac:dyDescent="0.3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spans="1:26" x14ac:dyDescent="0.3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spans="1:26" x14ac:dyDescent="0.3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spans="1:26" x14ac:dyDescent="0.3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spans="1:26" x14ac:dyDescent="0.3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spans="1:26" x14ac:dyDescent="0.3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spans="1:26" x14ac:dyDescent="0.3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spans="1:26" x14ac:dyDescent="0.3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spans="1:26" x14ac:dyDescent="0.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spans="1:26" x14ac:dyDescent="0.3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spans="1:26" x14ac:dyDescent="0.3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spans="1:26" x14ac:dyDescent="0.3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spans="1:26" x14ac:dyDescent="0.3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spans="1:26" x14ac:dyDescent="0.3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spans="1:26" x14ac:dyDescent="0.3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spans="1:26" x14ac:dyDescent="0.3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spans="1:26" x14ac:dyDescent="0.3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spans="1:26" x14ac:dyDescent="0.3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spans="1:26" x14ac:dyDescent="0.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spans="1:26" x14ac:dyDescent="0.3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spans="1:26" x14ac:dyDescent="0.3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spans="1:26" x14ac:dyDescent="0.3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spans="1:26" x14ac:dyDescent="0.3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spans="1:26" x14ac:dyDescent="0.3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spans="1:26" x14ac:dyDescent="0.3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spans="1:26" x14ac:dyDescent="0.3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spans="1:26" x14ac:dyDescent="0.3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spans="1:26" x14ac:dyDescent="0.3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spans="1:26" x14ac:dyDescent="0.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spans="1:26" x14ac:dyDescent="0.3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spans="1:26" x14ac:dyDescent="0.3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spans="1:26" x14ac:dyDescent="0.3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spans="1:26" x14ac:dyDescent="0.3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spans="1:26" x14ac:dyDescent="0.3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spans="1:26" x14ac:dyDescent="0.3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spans="1:26" x14ac:dyDescent="0.3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spans="1:26" x14ac:dyDescent="0.3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spans="1:26" x14ac:dyDescent="0.3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spans="1:26" x14ac:dyDescent="0.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spans="1:26" x14ac:dyDescent="0.3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spans="1:26" x14ac:dyDescent="0.3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spans="1:26" x14ac:dyDescent="0.3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spans="1:26" x14ac:dyDescent="0.3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spans="1:26" x14ac:dyDescent="0.3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spans="1:26" x14ac:dyDescent="0.3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spans="1:26" x14ac:dyDescent="0.3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spans="1:26" x14ac:dyDescent="0.3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spans="1:26" x14ac:dyDescent="0.3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spans="1:26" x14ac:dyDescent="0.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spans="1:26" x14ac:dyDescent="0.3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spans="1:26" x14ac:dyDescent="0.3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spans="1:26" x14ac:dyDescent="0.3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spans="1:26" x14ac:dyDescent="0.3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spans="1:26" x14ac:dyDescent="0.3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spans="1:26" x14ac:dyDescent="0.3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spans="1:26" x14ac:dyDescent="0.3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spans="1:26" x14ac:dyDescent="0.3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spans="1:26" x14ac:dyDescent="0.3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spans="1:26" x14ac:dyDescent="0.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spans="1:26" x14ac:dyDescent="0.3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spans="1:26" x14ac:dyDescent="0.3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spans="1:26" x14ac:dyDescent="0.3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spans="1:26" x14ac:dyDescent="0.3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spans="1:26" x14ac:dyDescent="0.3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spans="1:26" x14ac:dyDescent="0.3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spans="1:26" x14ac:dyDescent="0.3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spans="1:26" x14ac:dyDescent="0.3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spans="1:26" x14ac:dyDescent="0.3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spans="1:26" x14ac:dyDescent="0.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spans="1:26" x14ac:dyDescent="0.3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spans="1:26" x14ac:dyDescent="0.3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spans="1:26" x14ac:dyDescent="0.3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spans="1:26" x14ac:dyDescent="0.3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spans="1:26" x14ac:dyDescent="0.3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spans="1:26" x14ac:dyDescent="0.3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spans="1:26" x14ac:dyDescent="0.3">
      <c r="M1000" s="92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260B-4426-4287-9D56-B64B53D9640B}">
  <dimension ref="A1:AC63"/>
  <sheetViews>
    <sheetView showGridLines="0" view="pageLayout" topLeftCell="A19" zoomScale="102" zoomScaleNormal="54" zoomScalePageLayoutView="102" workbookViewId="0">
      <selection activeCell="A63" sqref="A63:N63"/>
    </sheetView>
  </sheetViews>
  <sheetFormatPr defaultRowHeight="10.199999999999999" x14ac:dyDescent="0.2"/>
  <cols>
    <col min="1" max="1" width="1.6640625" style="124" customWidth="1"/>
    <col min="2" max="2" width="8.88671875" style="124"/>
    <col min="3" max="3" width="6.6640625" style="124" customWidth="1"/>
    <col min="4" max="4" width="3.5546875" style="124" customWidth="1"/>
    <col min="5" max="14" width="8" style="124" customWidth="1"/>
    <col min="15" max="16384" width="8.88671875" style="124"/>
  </cols>
  <sheetData>
    <row r="1" spans="1:15" x14ac:dyDescent="0.2">
      <c r="A1" s="236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3" spans="1:15" ht="21" customHeight="1" x14ac:dyDescent="0.2">
      <c r="B3" s="255" t="s">
        <v>727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</row>
    <row r="4" spans="1:15" ht="21" customHeight="1" x14ac:dyDescent="0.2"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6" spans="1:15" x14ac:dyDescent="0.2">
      <c r="B6" s="256" t="s">
        <v>710</v>
      </c>
      <c r="C6" s="256"/>
      <c r="D6" s="256"/>
      <c r="E6" s="201">
        <f>'Data Sheet'!B16</f>
        <v>42460</v>
      </c>
      <c r="F6" s="201">
        <f>'Data Sheet'!C16</f>
        <v>42825</v>
      </c>
      <c r="G6" s="201">
        <f>'Data Sheet'!D16</f>
        <v>43190</v>
      </c>
      <c r="H6" s="201">
        <f>'Data Sheet'!E16</f>
        <v>43555</v>
      </c>
      <c r="I6" s="201">
        <f>'Data Sheet'!F16</f>
        <v>43921</v>
      </c>
      <c r="J6" s="201">
        <f>'Data Sheet'!G16</f>
        <v>44286</v>
      </c>
      <c r="K6" s="201">
        <f>'Data Sheet'!H16</f>
        <v>44651</v>
      </c>
      <c r="L6" s="201">
        <f>'Data Sheet'!I16</f>
        <v>45016</v>
      </c>
      <c r="M6" s="201">
        <f>'Data Sheet'!J16</f>
        <v>45382</v>
      </c>
      <c r="N6" s="201">
        <f>'Data Sheet'!K16</f>
        <v>45747</v>
      </c>
      <c r="O6" s="202"/>
    </row>
    <row r="8" spans="1:15" x14ac:dyDescent="0.2">
      <c r="B8" s="153" t="s">
        <v>280</v>
      </c>
      <c r="C8" s="153"/>
      <c r="D8" s="153"/>
      <c r="E8" s="153">
        <f>'Intrinsic Growth'!C41</f>
        <v>11580.220000000003</v>
      </c>
      <c r="F8" s="153">
        <f>'Intrinsic Growth'!D41</f>
        <v>13743.229999999996</v>
      </c>
      <c r="G8" s="153">
        <f>'Intrinsic Growth'!E41</f>
        <v>15100.020000000002</v>
      </c>
      <c r="H8" s="153">
        <f>'Intrinsic Growth'!F41</f>
        <v>14653.960000000003</v>
      </c>
      <c r="I8" s="153">
        <f>'Intrinsic Growth'!G41</f>
        <v>13875.049999999996</v>
      </c>
      <c r="J8" s="153">
        <f>'Intrinsic Growth'!H41</f>
        <v>11551.699999999993</v>
      </c>
      <c r="K8" s="153">
        <f>'Intrinsic Growth'!I41</f>
        <v>15609.02</v>
      </c>
      <c r="L8" s="153">
        <f>'Intrinsic Growth'!J41</f>
        <v>21080.429999999993</v>
      </c>
      <c r="M8" s="153">
        <f>'Intrinsic Growth'!K41</f>
        <v>19603.490000000009</v>
      </c>
      <c r="N8" s="153">
        <f>'Intrinsic Growth'!L41</f>
        <v>4946.9500000000007</v>
      </c>
    </row>
    <row r="9" spans="1:15" x14ac:dyDescent="0.2">
      <c r="B9" s="176" t="s">
        <v>212</v>
      </c>
      <c r="C9" s="176"/>
      <c r="D9" s="176"/>
      <c r="E9" s="192">
        <v>0.25</v>
      </c>
      <c r="F9" s="192">
        <v>0.25</v>
      </c>
      <c r="G9" s="192">
        <v>0.25</v>
      </c>
      <c r="H9" s="192">
        <v>0.25</v>
      </c>
      <c r="I9" s="192">
        <v>0.25</v>
      </c>
      <c r="J9" s="192">
        <v>0.25</v>
      </c>
      <c r="K9" s="192">
        <v>0.25</v>
      </c>
      <c r="L9" s="192">
        <v>0.25</v>
      </c>
      <c r="M9" s="192">
        <v>0.25</v>
      </c>
      <c r="N9" s="192">
        <v>0.25</v>
      </c>
    </row>
    <row r="10" spans="1:15" x14ac:dyDescent="0.2">
      <c r="B10" s="176" t="s">
        <v>290</v>
      </c>
      <c r="C10" s="176"/>
      <c r="D10" s="176"/>
      <c r="E10" s="176">
        <f>E8*(1-E9)</f>
        <v>8685.1650000000027</v>
      </c>
      <c r="F10" s="176">
        <f t="shared" ref="F10:N10" si="0">F8*(1-F9)</f>
        <v>10307.422499999997</v>
      </c>
      <c r="G10" s="176">
        <f t="shared" si="0"/>
        <v>11325.015000000001</v>
      </c>
      <c r="H10" s="176">
        <f t="shared" si="0"/>
        <v>10990.470000000001</v>
      </c>
      <c r="I10" s="176">
        <f t="shared" si="0"/>
        <v>10406.287499999997</v>
      </c>
      <c r="J10" s="176">
        <f t="shared" si="0"/>
        <v>8663.7749999999942</v>
      </c>
      <c r="K10" s="176">
        <f t="shared" si="0"/>
        <v>11706.764999999999</v>
      </c>
      <c r="L10" s="176">
        <f t="shared" si="0"/>
        <v>15810.322499999995</v>
      </c>
      <c r="M10" s="176">
        <f t="shared" si="0"/>
        <v>14702.617500000008</v>
      </c>
      <c r="N10" s="176">
        <f t="shared" si="0"/>
        <v>3710.2125000000005</v>
      </c>
    </row>
    <row r="11" spans="1:15" x14ac:dyDescent="0.2">
      <c r="B11" s="176" t="s">
        <v>291</v>
      </c>
      <c r="C11" s="176"/>
      <c r="D11" s="176"/>
      <c r="E11" s="192">
        <v>0.23949999999999999</v>
      </c>
      <c r="F11" s="192">
        <v>0.23949999999999999</v>
      </c>
      <c r="G11" s="192">
        <v>0.23949999999999999</v>
      </c>
      <c r="H11" s="192">
        <v>0.23949999999999999</v>
      </c>
      <c r="I11" s="192">
        <v>0.23949999999999999</v>
      </c>
      <c r="J11" s="192">
        <v>0.23949999999999999</v>
      </c>
      <c r="K11" s="192">
        <v>0.23949999999999999</v>
      </c>
      <c r="L11" s="192">
        <v>0.23949999999999999</v>
      </c>
      <c r="M11" s="192">
        <v>0.23949999999999999</v>
      </c>
      <c r="N11" s="192">
        <v>0.23949999999999999</v>
      </c>
    </row>
    <row r="12" spans="1:15" x14ac:dyDescent="0.2">
      <c r="B12" s="150" t="s">
        <v>711</v>
      </c>
      <c r="C12" s="150"/>
      <c r="D12" s="150"/>
      <c r="E12" s="150">
        <f>E10*(1-E11)</f>
        <v>6605.0679825000016</v>
      </c>
      <c r="F12" s="150">
        <f t="shared" ref="F12:N12" si="1">F10*(1-F11)</f>
        <v>7838.7948112499971</v>
      </c>
      <c r="G12" s="150">
        <f t="shared" si="1"/>
        <v>8612.6739075000005</v>
      </c>
      <c r="H12" s="150">
        <f t="shared" si="1"/>
        <v>8358.2524350000003</v>
      </c>
      <c r="I12" s="150">
        <f t="shared" si="1"/>
        <v>7913.9816437499967</v>
      </c>
      <c r="J12" s="150">
        <f t="shared" si="1"/>
        <v>6588.800887499995</v>
      </c>
      <c r="K12" s="150">
        <f t="shared" si="1"/>
        <v>8902.9947824999981</v>
      </c>
      <c r="L12" s="150">
        <f t="shared" si="1"/>
        <v>12023.750261249996</v>
      </c>
      <c r="M12" s="150">
        <f t="shared" si="1"/>
        <v>11181.340608750004</v>
      </c>
      <c r="N12" s="150">
        <f t="shared" si="1"/>
        <v>2821.6166062500001</v>
      </c>
    </row>
    <row r="14" spans="1:15" x14ac:dyDescent="0.2">
      <c r="B14" s="153" t="s">
        <v>712</v>
      </c>
      <c r="C14" s="153"/>
      <c r="D14" s="153"/>
      <c r="E14" s="153"/>
      <c r="F14" s="153">
        <v>0.5</v>
      </c>
      <c r="G14" s="153">
        <f>F14+1</f>
        <v>1.5</v>
      </c>
      <c r="H14" s="153">
        <f t="shared" ref="H14:N14" si="2">G14+1</f>
        <v>2.5</v>
      </c>
      <c r="I14" s="153">
        <f t="shared" si="2"/>
        <v>3.5</v>
      </c>
      <c r="J14" s="153">
        <f t="shared" si="2"/>
        <v>4.5</v>
      </c>
      <c r="K14" s="153">
        <f t="shared" si="2"/>
        <v>5.5</v>
      </c>
      <c r="L14" s="153">
        <f t="shared" si="2"/>
        <v>6.5</v>
      </c>
      <c r="M14" s="153">
        <f t="shared" si="2"/>
        <v>7.5</v>
      </c>
      <c r="N14" s="153">
        <f t="shared" si="2"/>
        <v>8.5</v>
      </c>
    </row>
    <row r="15" spans="1:15" x14ac:dyDescent="0.2">
      <c r="B15" s="150" t="s">
        <v>713</v>
      </c>
      <c r="C15" s="150"/>
      <c r="D15" s="150"/>
      <c r="E15" s="150"/>
      <c r="F15" s="150">
        <f>1/(1+WACC!$J$42)^'Equity Value'!F14</f>
        <v>0.93494029091182218</v>
      </c>
      <c r="G15" s="150">
        <f>1/(1+WACC!$J$42)^'Equity Value'!G14</f>
        <v>0.81724378746726667</v>
      </c>
      <c r="H15" s="150">
        <f>1/(1+WACC!$J$42)^'Equity Value'!H14</f>
        <v>0.71436370284402895</v>
      </c>
      <c r="I15" s="150">
        <f>1/(1+WACC!$J$42)^'Equity Value'!I14</f>
        <v>0.62443484767569679</v>
      </c>
      <c r="J15" s="150">
        <f>1/(1+WACC!$J$42)^'Equity Value'!J14</f>
        <v>0.54582683504134277</v>
      </c>
      <c r="K15" s="150">
        <f>1/(1+WACC!$J$42)^'Equity Value'!K14</f>
        <v>0.47711452197168047</v>
      </c>
      <c r="L15" s="150">
        <f>1/(1+WACC!$J$42)^'Equity Value'!L14</f>
        <v>0.41705217197506078</v>
      </c>
      <c r="M15" s="150">
        <f>1/(1+WACC!$J$42)^'Equity Value'!M14</f>
        <v>0.36455087015657756</v>
      </c>
      <c r="N15" s="150">
        <f>1/(1+WACC!$J$42)^'Equity Value'!N14</f>
        <v>0.31865878147222543</v>
      </c>
    </row>
    <row r="17" spans="2:29" x14ac:dyDescent="0.2">
      <c r="B17" s="188" t="s">
        <v>714</v>
      </c>
      <c r="C17" s="188"/>
      <c r="D17" s="188"/>
      <c r="E17" s="188"/>
      <c r="F17" s="188">
        <f>F15*F12</f>
        <v>7328.8051012281549</v>
      </c>
      <c r="G17" s="188">
        <f t="shared" ref="G17:N17" si="3">G15*G12</f>
        <v>7038.6542443858034</v>
      </c>
      <c r="H17" s="188">
        <f t="shared" si="3"/>
        <v>5970.8321587717219</v>
      </c>
      <c r="I17" s="188">
        <f t="shared" si="3"/>
        <v>4941.7659222232896</v>
      </c>
      <c r="J17" s="188">
        <f t="shared" si="3"/>
        <v>3596.3443351417127</v>
      </c>
      <c r="K17" s="188">
        <f t="shared" si="3"/>
        <v>4247.7480997688517</v>
      </c>
      <c r="L17" s="188">
        <f t="shared" si="3"/>
        <v>5014.5311617400148</v>
      </c>
      <c r="M17" s="188">
        <f t="shared" si="3"/>
        <v>4076.1674484368905</v>
      </c>
      <c r="N17" s="188">
        <f t="shared" si="3"/>
        <v>899.13290952942111</v>
      </c>
    </row>
    <row r="21" spans="2:29" x14ac:dyDescent="0.2">
      <c r="B21" s="183" t="s">
        <v>715</v>
      </c>
      <c r="C21" s="183"/>
      <c r="D21" s="183"/>
      <c r="E21" s="194">
        <v>0.13100000000000001</v>
      </c>
    </row>
    <row r="22" spans="2:29" x14ac:dyDescent="0.2">
      <c r="B22" s="137" t="s">
        <v>716</v>
      </c>
      <c r="C22" s="137"/>
      <c r="D22" s="137"/>
      <c r="E22" s="196">
        <v>4.5600000000000002E-2</v>
      </c>
    </row>
    <row r="23" spans="2:29" x14ac:dyDescent="0.2">
      <c r="B23" s="181" t="s">
        <v>717</v>
      </c>
      <c r="C23" s="181"/>
      <c r="D23" s="181"/>
      <c r="E23" s="195">
        <f>WACC!J42</f>
        <v>0.14401639418919365</v>
      </c>
    </row>
    <row r="27" spans="2:29" x14ac:dyDescent="0.2">
      <c r="X27" s="137"/>
    </row>
    <row r="28" spans="2:29" x14ac:dyDescent="0.2">
      <c r="B28" s="257" t="s">
        <v>719</v>
      </c>
      <c r="C28" s="257"/>
      <c r="D28" s="257"/>
      <c r="E28" s="257"/>
      <c r="I28" s="147" t="s">
        <v>769</v>
      </c>
      <c r="J28" s="147"/>
      <c r="K28" s="147"/>
      <c r="L28" s="147"/>
      <c r="M28" s="147"/>
      <c r="N28" s="147"/>
      <c r="X28" s="205"/>
      <c r="Y28" s="137"/>
      <c r="Z28" s="196"/>
      <c r="AA28" s="196"/>
      <c r="AB28" s="137"/>
      <c r="AC28" s="137"/>
    </row>
    <row r="29" spans="2:29" x14ac:dyDescent="0.2">
      <c r="B29" s="153" t="s">
        <v>718</v>
      </c>
      <c r="C29" s="153"/>
      <c r="D29" s="153"/>
      <c r="E29" s="153">
        <f>F12</f>
        <v>7838.7948112499971</v>
      </c>
      <c r="I29" s="203">
        <f>E40</f>
        <v>68494.923482821396</v>
      </c>
      <c r="J29" s="204">
        <v>0.12</v>
      </c>
      <c r="K29" s="204">
        <v>0.13</v>
      </c>
      <c r="L29" s="204">
        <f>E30</f>
        <v>0.14401639418919365</v>
      </c>
      <c r="M29" s="204">
        <v>0.15</v>
      </c>
      <c r="N29" s="204">
        <v>0.16</v>
      </c>
    </row>
    <row r="30" spans="2:29" x14ac:dyDescent="0.2">
      <c r="B30" s="176" t="s">
        <v>717</v>
      </c>
      <c r="C30" s="176"/>
      <c r="D30" s="176"/>
      <c r="E30" s="192">
        <f>E23</f>
        <v>0.14401639418919365</v>
      </c>
      <c r="I30" s="206">
        <v>0.02</v>
      </c>
      <c r="J30" s="153">
        <f t="dataTable" ref="J30:N34" dt2D="1" dtr="1" r1="E30" r2="E31" ca="1"/>
        <v>68092.989408863141</v>
      </c>
      <c r="K30" s="153">
        <v>65822.170497259751</v>
      </c>
      <c r="L30" s="153">
        <v>65822.170497259751</v>
      </c>
      <c r="M30" s="153">
        <v>62328.602940946847</v>
      </c>
      <c r="N30" s="153">
        <v>60956.129972395342</v>
      </c>
      <c r="X30" s="137"/>
    </row>
    <row r="31" spans="2:29" x14ac:dyDescent="0.2">
      <c r="B31" s="150" t="s">
        <v>716</v>
      </c>
      <c r="C31" s="150"/>
      <c r="D31" s="150"/>
      <c r="E31" s="155">
        <f>E22</f>
        <v>4.5600000000000002E-2</v>
      </c>
      <c r="I31" s="207">
        <v>0.03</v>
      </c>
      <c r="J31" s="176">
        <v>70868.434745267281</v>
      </c>
      <c r="K31" s="176">
        <v>68092.989408863141</v>
      </c>
      <c r="L31" s="176">
        <v>68092.989408863141</v>
      </c>
      <c r="M31" s="176">
        <v>63929.821404256931</v>
      </c>
      <c r="N31" s="176">
        <v>62328.602940946847</v>
      </c>
      <c r="X31" s="196"/>
    </row>
    <row r="32" spans="2:29" x14ac:dyDescent="0.2">
      <c r="B32" s="188" t="s">
        <v>720</v>
      </c>
      <c r="C32" s="188"/>
      <c r="D32" s="188"/>
      <c r="E32" s="188">
        <f>E29/(E30-E31)</f>
        <v>79649.278718552305</v>
      </c>
      <c r="I32" s="207">
        <f>E31</f>
        <v>4.5600000000000002E-2</v>
      </c>
      <c r="J32" s="176">
        <v>70868.434745267281</v>
      </c>
      <c r="K32" s="176">
        <v>68092.989408863141</v>
      </c>
      <c r="L32" s="176">
        <v>68092.989408863141</v>
      </c>
      <c r="M32" s="176">
        <v>63929.821404256931</v>
      </c>
      <c r="N32" s="176">
        <v>62328.602940946847</v>
      </c>
      <c r="X32" s="137"/>
    </row>
    <row r="33" spans="2:24" x14ac:dyDescent="0.2">
      <c r="I33" s="207">
        <v>0.05</v>
      </c>
      <c r="J33" s="176">
        <v>78798.278563564832</v>
      </c>
      <c r="K33" s="176">
        <v>74337.741415772456</v>
      </c>
      <c r="L33" s="176">
        <v>74337.741415772456</v>
      </c>
      <c r="M33" s="176">
        <v>68092.989408863141</v>
      </c>
      <c r="N33" s="176">
        <v>65822.170497259751</v>
      </c>
      <c r="X33" s="137"/>
    </row>
    <row r="34" spans="2:24" x14ac:dyDescent="0.2">
      <c r="I34" s="208">
        <v>0.06</v>
      </c>
      <c r="J34" s="150">
        <v>84745.661427287996</v>
      </c>
      <c r="K34" s="150">
        <v>78798.278563564818</v>
      </c>
      <c r="L34" s="150">
        <v>78798.278563564818</v>
      </c>
      <c r="M34" s="150">
        <v>70868.434745267281</v>
      </c>
      <c r="N34" s="150">
        <v>68092.989408863141</v>
      </c>
    </row>
    <row r="37" spans="2:24" x14ac:dyDescent="0.2">
      <c r="B37" s="147" t="s">
        <v>721</v>
      </c>
      <c r="C37" s="147"/>
      <c r="D37" s="147"/>
      <c r="E37" s="147"/>
    </row>
    <row r="38" spans="2:24" x14ac:dyDescent="0.2">
      <c r="B38" s="153" t="s">
        <v>714</v>
      </c>
      <c r="C38" s="153"/>
      <c r="D38" s="153"/>
      <c r="E38" s="153">
        <f>SUM(F17:N17)</f>
        <v>43113.981381225865</v>
      </c>
    </row>
    <row r="39" spans="2:24" x14ac:dyDescent="0.2">
      <c r="B39" s="176" t="s">
        <v>722</v>
      </c>
      <c r="C39" s="176"/>
      <c r="D39" s="176"/>
      <c r="E39" s="176">
        <f>E32*N15</f>
        <v>25380.942101595534</v>
      </c>
    </row>
    <row r="40" spans="2:24" x14ac:dyDescent="0.2">
      <c r="B40" s="209" t="s">
        <v>723</v>
      </c>
      <c r="C40" s="209"/>
      <c r="D40" s="209"/>
      <c r="E40" s="209">
        <f>E38+E39</f>
        <v>68494.923482821396</v>
      </c>
      <c r="I40" s="147" t="s">
        <v>770</v>
      </c>
      <c r="J40" s="147"/>
      <c r="K40" s="147"/>
      <c r="L40" s="147"/>
      <c r="M40" s="147"/>
      <c r="N40" s="147"/>
    </row>
    <row r="41" spans="2:24" x14ac:dyDescent="0.2">
      <c r="I41" s="210">
        <f>E48</f>
        <v>57.750071594085036</v>
      </c>
      <c r="J41" s="204">
        <v>0.12</v>
      </c>
      <c r="K41" s="204">
        <v>0.13</v>
      </c>
      <c r="L41" s="204">
        <f>E30</f>
        <v>0.14401639418919365</v>
      </c>
      <c r="M41" s="204">
        <v>0.15</v>
      </c>
      <c r="N41" s="204">
        <v>0.16</v>
      </c>
    </row>
    <row r="42" spans="2:24" x14ac:dyDescent="0.2">
      <c r="B42" s="153" t="s">
        <v>724</v>
      </c>
      <c r="C42" s="153"/>
      <c r="D42" s="153"/>
      <c r="E42" s="153">
        <f>'Data Sheet'!K69</f>
        <v>4012.36</v>
      </c>
      <c r="I42" s="207">
        <v>0.02</v>
      </c>
      <c r="J42" s="176">
        <f t="dataTable" ref="J42:N46" dt2D="1" dtr="1" r1="E30" r2="E31"/>
        <v>57.429247397830125</v>
      </c>
      <c r="K42" s="176">
        <v>55.616677378620238</v>
      </c>
      <c r="L42" s="176">
        <v>55.616677378620238</v>
      </c>
      <c r="M42" s="176">
        <v>52.828108118297344</v>
      </c>
      <c r="N42" s="176">
        <v>51.732598766027628</v>
      </c>
    </row>
    <row r="43" spans="2:24" x14ac:dyDescent="0.2">
      <c r="B43" s="150" t="s">
        <v>220</v>
      </c>
      <c r="C43" s="150"/>
      <c r="D43" s="150"/>
      <c r="E43" s="150">
        <f>'Raw Data'!O8+'Raw Data'!O9</f>
        <v>157</v>
      </c>
      <c r="I43" s="207">
        <v>0.03</v>
      </c>
      <c r="J43" s="176">
        <v>59.644610754642201</v>
      </c>
      <c r="K43" s="176">
        <v>57.429247397830125</v>
      </c>
      <c r="L43" s="176">
        <v>57.429247397830125</v>
      </c>
      <c r="M43" s="176">
        <v>54.106202362612009</v>
      </c>
      <c r="N43" s="176">
        <v>52.828108118297344</v>
      </c>
    </row>
    <row r="44" spans="2:24" x14ac:dyDescent="0.2">
      <c r="I44" s="207">
        <f>E31</f>
        <v>4.5600000000000002E-2</v>
      </c>
      <c r="J44" s="176">
        <v>59.644610754642201</v>
      </c>
      <c r="K44" s="176">
        <v>57.429247397830125</v>
      </c>
      <c r="L44" s="176">
        <v>57.429247397830125</v>
      </c>
      <c r="M44" s="176">
        <v>54.106202362612009</v>
      </c>
      <c r="N44" s="176">
        <v>52.828108118297344</v>
      </c>
    </row>
    <row r="45" spans="2:24" x14ac:dyDescent="0.2">
      <c r="B45" s="153" t="s">
        <v>725</v>
      </c>
      <c r="C45" s="153"/>
      <c r="D45" s="153"/>
      <c r="E45" s="153">
        <f>E40+E42-E43</f>
        <v>72350.283482821396</v>
      </c>
      <c r="I45" s="207">
        <v>0.05</v>
      </c>
      <c r="J45" s="176">
        <v>65.974220345533851</v>
      </c>
      <c r="K45" s="176">
        <v>62.41381495065729</v>
      </c>
      <c r="L45" s="176">
        <v>62.41381495065729</v>
      </c>
      <c r="M45" s="176">
        <v>57.429247397830125</v>
      </c>
      <c r="N45" s="176">
        <v>55.616677378620238</v>
      </c>
    </row>
    <row r="46" spans="2:24" x14ac:dyDescent="0.2">
      <c r="B46" s="150" t="s">
        <v>726</v>
      </c>
      <c r="C46" s="150"/>
      <c r="D46" s="150"/>
      <c r="E46" s="211">
        <f>'Data Sheet'!B6</f>
        <v>1252.8172084592145</v>
      </c>
      <c r="I46" s="208">
        <v>0.06</v>
      </c>
      <c r="J46" s="150">
        <v>70.721427538702585</v>
      </c>
      <c r="K46" s="150">
        <v>65.974220345533837</v>
      </c>
      <c r="L46" s="150">
        <v>65.974220345533837</v>
      </c>
      <c r="M46" s="150">
        <v>59.644610754642201</v>
      </c>
      <c r="N46" s="150">
        <v>57.429247397830125</v>
      </c>
    </row>
    <row r="48" spans="2:24" x14ac:dyDescent="0.2">
      <c r="B48" s="188" t="s">
        <v>727</v>
      </c>
      <c r="C48" s="188"/>
      <c r="D48" s="188"/>
      <c r="E48" s="212">
        <f>E45/E46</f>
        <v>57.750071594085036</v>
      </c>
    </row>
    <row r="63" spans="1:14" x14ac:dyDescent="0.2">
      <c r="A63" s="236"/>
      <c r="B63" s="236"/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</row>
  </sheetData>
  <mergeCells count="3">
    <mergeCell ref="B6:D6"/>
    <mergeCell ref="B28:E28"/>
    <mergeCell ref="B3:N4"/>
  </mergeCells>
  <pageMargins left="0.25" right="0.25" top="0.75" bottom="0.75" header="0.3" footer="0.3"/>
  <pageSetup orientation="portrait" r:id="rId1"/>
  <headerFooter>
    <oddHeader>&amp;L&amp;"-,Bold"&amp;8&amp;K07-049ITC Ltd
NSE: ITC(INE154A01025)
401.25 INR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F137-231E-4BEA-8B29-C30E1A2EB9A8}">
  <dimension ref="B2:M8"/>
  <sheetViews>
    <sheetView workbookViewId="0">
      <selection activeCell="M3" sqref="M3:M8"/>
    </sheetView>
  </sheetViews>
  <sheetFormatPr defaultRowHeight="14.4" x14ac:dyDescent="0.3"/>
  <cols>
    <col min="3" max="3" width="15.33203125" customWidth="1"/>
  </cols>
  <sheetData>
    <row r="2" spans="2:13" ht="42" thickBot="1" x14ac:dyDescent="0.35">
      <c r="B2" s="113" t="s">
        <v>728</v>
      </c>
      <c r="C2" s="114" t="s">
        <v>729</v>
      </c>
      <c r="D2" s="115" t="s">
        <v>730</v>
      </c>
      <c r="E2" s="115" t="s">
        <v>731</v>
      </c>
      <c r="F2" s="115" t="s">
        <v>732</v>
      </c>
      <c r="G2" s="115" t="s">
        <v>733</v>
      </c>
      <c r="H2" s="115" t="s">
        <v>734</v>
      </c>
      <c r="I2" s="115" t="s">
        <v>735</v>
      </c>
      <c r="J2" s="115" t="s">
        <v>736</v>
      </c>
      <c r="K2" s="115" t="s">
        <v>737</v>
      </c>
      <c r="L2" s="115" t="s">
        <v>756</v>
      </c>
      <c r="M2" s="122" t="s">
        <v>746</v>
      </c>
    </row>
    <row r="3" spans="2:13" x14ac:dyDescent="0.3">
      <c r="B3" s="73">
        <v>1</v>
      </c>
      <c r="C3" s="116" t="s">
        <v>191</v>
      </c>
      <c r="D3" s="74">
        <v>2451.6999999999998</v>
      </c>
      <c r="E3" s="74">
        <v>234.96</v>
      </c>
      <c r="F3" s="74">
        <v>1775</v>
      </c>
      <c r="G3" s="74">
        <v>7554</v>
      </c>
      <c r="H3" s="74">
        <v>573299.16</v>
      </c>
      <c r="I3" s="74">
        <v>64243</v>
      </c>
      <c r="J3" s="74">
        <v>36.64</v>
      </c>
      <c r="K3" s="74">
        <v>575966.16</v>
      </c>
      <c r="L3" s="74">
        <v>10926</v>
      </c>
      <c r="M3">
        <f>F3-G3</f>
        <v>-5779</v>
      </c>
    </row>
    <row r="4" spans="2:13" x14ac:dyDescent="0.3">
      <c r="B4" s="117">
        <v>2</v>
      </c>
      <c r="C4" s="119" t="s">
        <v>189</v>
      </c>
      <c r="D4" s="120">
        <v>404.3</v>
      </c>
      <c r="E4" s="120">
        <v>1252.8800000000001</v>
      </c>
      <c r="F4" s="120">
        <v>362.97</v>
      </c>
      <c r="G4" s="120">
        <v>4012.36</v>
      </c>
      <c r="H4" s="120">
        <v>502917.53</v>
      </c>
      <c r="I4" s="120">
        <v>78551.59</v>
      </c>
      <c r="J4" s="120">
        <v>17.260000000000002</v>
      </c>
      <c r="K4" s="120">
        <v>506600.92</v>
      </c>
      <c r="L4" s="120">
        <v>35351.019999999997</v>
      </c>
      <c r="M4">
        <f t="shared" ref="M4:M8" si="0">F4-G4</f>
        <v>-3649.3900000000003</v>
      </c>
    </row>
    <row r="5" spans="2:13" x14ac:dyDescent="0.3">
      <c r="B5" s="73">
        <v>3</v>
      </c>
      <c r="C5" s="116" t="s">
        <v>738</v>
      </c>
      <c r="D5" s="74">
        <v>538.25</v>
      </c>
      <c r="E5" s="74">
        <v>11.95</v>
      </c>
      <c r="F5" s="74">
        <v>900.81</v>
      </c>
      <c r="G5" s="74">
        <v>83.62</v>
      </c>
      <c r="H5" s="74">
        <v>7262.89</v>
      </c>
      <c r="I5" s="74">
        <v>3846.38</v>
      </c>
      <c r="J5" s="74">
        <v>21.83</v>
      </c>
      <c r="K5" s="74">
        <v>6439.44</v>
      </c>
      <c r="L5" s="74">
        <v>126.41</v>
      </c>
      <c r="M5">
        <f t="shared" si="0"/>
        <v>817.18999999999994</v>
      </c>
    </row>
    <row r="6" spans="2:13" x14ac:dyDescent="0.3">
      <c r="B6" s="76">
        <v>4</v>
      </c>
      <c r="C6" s="119" t="s">
        <v>739</v>
      </c>
      <c r="D6" s="80">
        <v>243.8</v>
      </c>
      <c r="E6" s="80">
        <v>5.12</v>
      </c>
      <c r="F6" s="80">
        <v>492.54</v>
      </c>
      <c r="G6" s="80">
        <v>31.38</v>
      </c>
      <c r="H6" s="80">
        <v>1704.16</v>
      </c>
      <c r="I6" s="80">
        <v>1990.76</v>
      </c>
      <c r="J6" s="80">
        <v>10.43</v>
      </c>
      <c r="K6" s="80">
        <v>1249.6400000000001</v>
      </c>
      <c r="L6" s="80">
        <v>20.079999999999998</v>
      </c>
      <c r="M6">
        <f t="shared" si="0"/>
        <v>461.16</v>
      </c>
    </row>
    <row r="7" spans="2:13" x14ac:dyDescent="0.3">
      <c r="B7" s="73">
        <v>5</v>
      </c>
      <c r="C7" s="116" t="s">
        <v>740</v>
      </c>
      <c r="D7" s="74">
        <v>3.99</v>
      </c>
      <c r="E7" s="74">
        <v>143</v>
      </c>
      <c r="F7" s="74">
        <v>199.76</v>
      </c>
      <c r="G7" s="74">
        <v>3.38</v>
      </c>
      <c r="H7" s="74">
        <v>758.36</v>
      </c>
      <c r="I7" s="74">
        <v>202.35</v>
      </c>
      <c r="J7" s="74">
        <v>13.38</v>
      </c>
      <c r="K7" s="74">
        <v>570.57000000000005</v>
      </c>
      <c r="L7" s="74">
        <v>12.64</v>
      </c>
      <c r="M7">
        <f t="shared" si="0"/>
        <v>196.38</v>
      </c>
    </row>
    <row r="8" spans="2:13" x14ac:dyDescent="0.3">
      <c r="B8" s="121"/>
      <c r="C8" s="118" t="s">
        <v>741</v>
      </c>
      <c r="D8" s="120">
        <v>404.3</v>
      </c>
      <c r="E8" s="120">
        <v>143</v>
      </c>
      <c r="F8" s="120">
        <v>492.54</v>
      </c>
      <c r="G8" s="120">
        <v>83.62</v>
      </c>
      <c r="H8" s="120">
        <v>7262.89</v>
      </c>
      <c r="I8" s="120">
        <v>3846.38</v>
      </c>
      <c r="J8" s="120">
        <v>17.260000000000002</v>
      </c>
      <c r="K8" s="120">
        <v>6439.44</v>
      </c>
      <c r="L8" s="120">
        <v>126.41</v>
      </c>
      <c r="M8">
        <f t="shared" si="0"/>
        <v>408.92</v>
      </c>
    </row>
  </sheetData>
  <hyperlinks>
    <hyperlink ref="C3" r:id="rId1" display="https://www.screener.in/company/HINDUNILVR/consolidated/" xr:uid="{CD1C7DA9-67D9-469F-9677-51520461CE52}"/>
    <hyperlink ref="C4" r:id="rId2" display="https://www.screener.in/company/ITC/consolidated/" xr:uid="{6AC1361D-A45A-4299-9E56-729947A521BF}"/>
    <hyperlink ref="C5" r:id="rId3" display="https://www.screener.in/company/HNDFDS/consolidated/" xr:uid="{9D49144B-B546-488B-A5EB-4748D4C1BF80}"/>
    <hyperlink ref="C6" r:id="rId4" display="https://www.screener.in/company/GODAVARIB/consolidated/" xr:uid="{06A0D739-987C-491B-A89D-12E166C36F99}"/>
    <hyperlink ref="C7" r:id="rId5" display="https://www.screener.in/company/DAVANGERE/" xr:uid="{C3716A87-DE77-4BE1-A2E7-BF60D6FDFF4B}"/>
  </hyperlinks>
  <pageMargins left="0.7" right="0.7" top="0.75" bottom="0.75" header="0.3" footer="0.3"/>
  <pageSetup orientation="portrait" r:id="rId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BA3F-EF61-46D3-B53E-8EC9D2505689}">
  <dimension ref="A1:T45"/>
  <sheetViews>
    <sheetView showGridLines="0" view="pageLayout" zoomScale="70" zoomScaleNormal="97" zoomScalePageLayoutView="70" workbookViewId="0">
      <selection activeCell="A45" sqref="A45:P45"/>
    </sheetView>
  </sheetViews>
  <sheetFormatPr defaultRowHeight="14.4" x14ac:dyDescent="0.3"/>
  <cols>
    <col min="1" max="1" width="1.33203125" customWidth="1"/>
    <col min="2" max="2" width="15.21875" style="124" customWidth="1"/>
    <col min="3" max="8" width="6.5546875" style="124" customWidth="1"/>
    <col min="9" max="9" width="3" style="124" customWidth="1"/>
    <col min="10" max="12" width="6.5546875" style="124" customWidth="1"/>
    <col min="13" max="13" width="3.5546875" style="124" customWidth="1"/>
    <col min="14" max="16" width="6.5546875" style="124" customWidth="1"/>
  </cols>
  <sheetData>
    <row r="1" spans="1:16" ht="9.6" customHeight="1" x14ac:dyDescent="0.3">
      <c r="A1" s="239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3" spans="1:16" ht="14.4" customHeight="1" x14ac:dyDescent="0.3">
      <c r="B3" s="259" t="s">
        <v>757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</row>
    <row r="4" spans="1:16" x14ac:dyDescent="0.3"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x14ac:dyDescent="0.3">
      <c r="B5" s="213"/>
      <c r="C5" s="213"/>
      <c r="D5" s="213"/>
      <c r="E5" s="213"/>
      <c r="F5" s="213"/>
    </row>
    <row r="6" spans="1:16" x14ac:dyDescent="0.3">
      <c r="B6" s="147"/>
      <c r="C6" s="258" t="s">
        <v>753</v>
      </c>
      <c r="D6" s="258"/>
      <c r="E6" s="258"/>
      <c r="F6" s="258"/>
      <c r="G6" s="258"/>
      <c r="H6" s="258"/>
      <c r="I6" s="147"/>
      <c r="J6" s="258" t="s">
        <v>754</v>
      </c>
      <c r="K6" s="258"/>
      <c r="L6" s="258"/>
      <c r="M6" s="147"/>
      <c r="N6" s="258" t="s">
        <v>755</v>
      </c>
      <c r="O6" s="258"/>
      <c r="P6" s="258"/>
    </row>
    <row r="7" spans="1:16" s="92" customFormat="1" ht="31.8" x14ac:dyDescent="0.3">
      <c r="B7" s="214" t="s">
        <v>742</v>
      </c>
      <c r="C7" s="214" t="s">
        <v>743</v>
      </c>
      <c r="D7" s="214" t="s">
        <v>744</v>
      </c>
      <c r="E7" s="214" t="s">
        <v>745</v>
      </c>
      <c r="F7" s="214" t="s">
        <v>727</v>
      </c>
      <c r="G7" s="214" t="s">
        <v>746</v>
      </c>
      <c r="H7" s="214" t="s">
        <v>747</v>
      </c>
      <c r="I7" s="214"/>
      <c r="J7" s="214" t="s">
        <v>748</v>
      </c>
      <c r="K7" s="214" t="s">
        <v>102</v>
      </c>
      <c r="L7" s="214" t="s">
        <v>749</v>
      </c>
      <c r="M7" s="214"/>
      <c r="N7" s="214" t="s">
        <v>750</v>
      </c>
      <c r="O7" s="214" t="s">
        <v>751</v>
      </c>
      <c r="P7" s="214" t="s">
        <v>752</v>
      </c>
    </row>
    <row r="8" spans="1:16" s="92" customFormat="1" ht="6" customHeight="1" x14ac:dyDescent="0.3"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</row>
    <row r="9" spans="1:16" x14ac:dyDescent="0.3">
      <c r="B9" s="153" t="str">
        <f>Sheet2!C3</f>
        <v>Hind. Unilever</v>
      </c>
      <c r="C9" s="153"/>
      <c r="D9" s="153">
        <f>Sheet2!D3</f>
        <v>2451.6999999999998</v>
      </c>
      <c r="E9" s="153">
        <f>Sheet2!E3</f>
        <v>234.96</v>
      </c>
      <c r="F9" s="153">
        <f>Comps_Val!D9*Comps_Val!E9</f>
        <v>576051.43200000003</v>
      </c>
      <c r="G9" s="153">
        <f>Sheet2!M3</f>
        <v>-5779</v>
      </c>
      <c r="H9" s="153">
        <f>F9+G9</f>
        <v>570272.43200000003</v>
      </c>
      <c r="I9" s="153"/>
      <c r="J9" s="153">
        <f>Sheet2!I3</f>
        <v>64243</v>
      </c>
      <c r="K9" s="153">
        <f>1/Sheet2!J3*Sheet2!H3</f>
        <v>15646.811135371181</v>
      </c>
      <c r="L9" s="153">
        <f>Sheet2!L3</f>
        <v>10926</v>
      </c>
      <c r="M9" s="153"/>
      <c r="N9" s="216">
        <f>H9/J9</f>
        <v>8.87680263997634</v>
      </c>
      <c r="O9" s="216">
        <f>H9/K9</f>
        <v>36.446559434135573</v>
      </c>
      <c r="P9" s="216">
        <f>F9/L9</f>
        <v>52.722993959362988</v>
      </c>
    </row>
    <row r="10" spans="1:16" s="2" customFormat="1" x14ac:dyDescent="0.3">
      <c r="B10" s="217" t="str">
        <f>Sheet2!C4</f>
        <v>ITC</v>
      </c>
      <c r="C10" s="217"/>
      <c r="D10" s="217">
        <f>Sheet2!D4</f>
        <v>404.3</v>
      </c>
      <c r="E10" s="217">
        <f>Sheet2!E4</f>
        <v>1252.8800000000001</v>
      </c>
      <c r="F10" s="217">
        <f>Comps_Val!D10*Comps_Val!E10</f>
        <v>506539.38400000008</v>
      </c>
      <c r="G10" s="217">
        <f>Sheet2!M4</f>
        <v>-3649.3900000000003</v>
      </c>
      <c r="H10" s="217">
        <f t="shared" ref="H10:H13" si="0">F10+G10</f>
        <v>502889.99400000006</v>
      </c>
      <c r="I10" s="217"/>
      <c r="J10" s="217">
        <f>Sheet2!I4</f>
        <v>78551.59</v>
      </c>
      <c r="K10" s="217">
        <f>1/Sheet2!J4*Sheet2!H4</f>
        <v>29137.747972190034</v>
      </c>
      <c r="L10" s="217">
        <f>Sheet2!L4</f>
        <v>35351.019999999997</v>
      </c>
      <c r="M10" s="217"/>
      <c r="N10" s="218">
        <f t="shared" ref="N10:N13" si="1">H10/J10</f>
        <v>6.40203456098088</v>
      </c>
      <c r="O10" s="218">
        <f t="shared" ref="O10:O13" si="2">H10/K10</f>
        <v>17.259054971577548</v>
      </c>
      <c r="P10" s="218">
        <f t="shared" ref="P10:P13" si="3">F10/L10</f>
        <v>14.328847767334581</v>
      </c>
    </row>
    <row r="11" spans="1:16" x14ac:dyDescent="0.3">
      <c r="B11" s="176" t="str">
        <f>Sheet2!C5</f>
        <v>Hindustan Foods</v>
      </c>
      <c r="C11" s="176"/>
      <c r="D11" s="176">
        <f>Sheet2!D5</f>
        <v>538.25</v>
      </c>
      <c r="E11" s="176">
        <f>Sheet2!E5</f>
        <v>11.95</v>
      </c>
      <c r="F11" s="176">
        <f>Comps_Val!D11*Comps_Val!E11</f>
        <v>6432.0874999999996</v>
      </c>
      <c r="G11" s="176">
        <f>Sheet2!M5</f>
        <v>817.18999999999994</v>
      </c>
      <c r="H11" s="176">
        <f t="shared" si="0"/>
        <v>7249.2774999999992</v>
      </c>
      <c r="I11" s="176"/>
      <c r="J11" s="176">
        <f>Sheet2!I5</f>
        <v>3846.38</v>
      </c>
      <c r="K11" s="176">
        <f>1/Sheet2!J5*Sheet2!H5</f>
        <v>332.70224461749888</v>
      </c>
      <c r="L11" s="176">
        <f>Sheet2!L5</f>
        <v>126.41</v>
      </c>
      <c r="M11" s="176"/>
      <c r="N11" s="219">
        <f t="shared" si="1"/>
        <v>1.8847013295618216</v>
      </c>
      <c r="O11" s="219">
        <f t="shared" si="2"/>
        <v>21.789085037085783</v>
      </c>
      <c r="P11" s="219">
        <f t="shared" si="3"/>
        <v>50.882742662764024</v>
      </c>
    </row>
    <row r="12" spans="1:16" x14ac:dyDescent="0.3">
      <c r="B12" s="176" t="str">
        <f>Sheet2!C6</f>
        <v>Godavari Bioref.</v>
      </c>
      <c r="C12" s="176"/>
      <c r="D12" s="176">
        <f>Sheet2!D6</f>
        <v>243.8</v>
      </c>
      <c r="E12" s="176">
        <f>Sheet2!E6</f>
        <v>5.12</v>
      </c>
      <c r="F12" s="176">
        <f>Comps_Val!D12*Comps_Val!E12</f>
        <v>1248.2560000000001</v>
      </c>
      <c r="G12" s="176">
        <f>Sheet2!M6</f>
        <v>461.16</v>
      </c>
      <c r="H12" s="176">
        <f t="shared" si="0"/>
        <v>1709.4160000000002</v>
      </c>
      <c r="I12" s="176"/>
      <c r="J12" s="176">
        <f>Sheet2!I6</f>
        <v>1990.76</v>
      </c>
      <c r="K12" s="176">
        <f>1/Sheet2!J6*Sheet2!H6</f>
        <v>163.3902205177373</v>
      </c>
      <c r="L12" s="176">
        <f>Sheet2!L6</f>
        <v>20.079999999999998</v>
      </c>
      <c r="M12" s="176"/>
      <c r="N12" s="219">
        <f t="shared" si="1"/>
        <v>0.85867507886435335</v>
      </c>
      <c r="O12" s="219">
        <f t="shared" si="2"/>
        <v>10.462168387944795</v>
      </c>
      <c r="P12" s="219">
        <f t="shared" si="3"/>
        <v>62.164143426294828</v>
      </c>
    </row>
    <row r="13" spans="1:16" ht="12.6" customHeight="1" x14ac:dyDescent="0.3">
      <c r="B13" s="150" t="str">
        <f>Sheet2!C7</f>
        <v>Davangere Sugar</v>
      </c>
      <c r="C13" s="150"/>
      <c r="D13" s="150">
        <f>Sheet2!D7</f>
        <v>3.99</v>
      </c>
      <c r="E13" s="150">
        <f>Sheet2!E7</f>
        <v>143</v>
      </c>
      <c r="F13" s="150">
        <f>Comps_Val!D13*Comps_Val!E13</f>
        <v>570.57000000000005</v>
      </c>
      <c r="G13" s="150">
        <f>Sheet2!M7</f>
        <v>196.38</v>
      </c>
      <c r="H13" s="150">
        <f t="shared" si="0"/>
        <v>766.95</v>
      </c>
      <c r="I13" s="150"/>
      <c r="J13" s="150">
        <f>Sheet2!I7</f>
        <v>202.35</v>
      </c>
      <c r="K13" s="150">
        <f>1/Sheet2!J7*Sheet2!H7</f>
        <v>56.678624813153952</v>
      </c>
      <c r="L13" s="150">
        <f>Sheet2!L7</f>
        <v>12.64</v>
      </c>
      <c r="M13" s="150"/>
      <c r="N13" s="220">
        <f t="shared" si="1"/>
        <v>3.7902149740548556</v>
      </c>
      <c r="O13" s="220">
        <f t="shared" si="2"/>
        <v>13.531556252966931</v>
      </c>
      <c r="P13" s="220">
        <f t="shared" si="3"/>
        <v>45.140031645569621</v>
      </c>
    </row>
    <row r="14" spans="1:16" ht="20.399999999999999" customHeight="1" x14ac:dyDescent="0.3"/>
    <row r="15" spans="1:16" x14ac:dyDescent="0.3">
      <c r="B15" s="221" t="s">
        <v>758</v>
      </c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2">
        <f>MAX(N9:N13)</f>
        <v>8.87680263997634</v>
      </c>
      <c r="O15" s="222">
        <f t="shared" ref="O15:P15" si="4">MAX(O9:O13)</f>
        <v>36.446559434135573</v>
      </c>
      <c r="P15" s="222">
        <f t="shared" si="4"/>
        <v>62.164143426294828</v>
      </c>
    </row>
    <row r="16" spans="1:16" x14ac:dyDescent="0.3">
      <c r="B16" s="223" t="s">
        <v>759</v>
      </c>
      <c r="C16" s="223"/>
      <c r="D16" s="223"/>
      <c r="E16" s="223"/>
      <c r="F16" s="223"/>
      <c r="G16" s="223"/>
      <c r="H16" s="223"/>
      <c r="I16" s="223"/>
      <c r="J16" s="223"/>
      <c r="K16" s="223"/>
      <c r="L16" s="223"/>
      <c r="M16" s="223"/>
      <c r="N16" s="224">
        <f>QUARTILE(N9:N13,3)</f>
        <v>6.40203456098088</v>
      </c>
      <c r="O16" s="224">
        <f t="shared" ref="O16:P16" si="5">QUARTILE(O9:O13,3)</f>
        <v>21.789085037085783</v>
      </c>
      <c r="P16" s="224">
        <f t="shared" si="5"/>
        <v>52.722993959362988</v>
      </c>
    </row>
    <row r="17" spans="2:20" x14ac:dyDescent="0.3">
      <c r="B17" s="225" t="s">
        <v>760</v>
      </c>
      <c r="C17" s="223"/>
      <c r="D17" s="223"/>
      <c r="E17" s="223"/>
      <c r="F17" s="223"/>
      <c r="G17" s="223"/>
      <c r="H17" s="223"/>
      <c r="I17" s="223"/>
      <c r="J17" s="223"/>
      <c r="K17" s="223"/>
      <c r="L17" s="223"/>
      <c r="M17" s="223"/>
      <c r="N17" s="226">
        <f>AVERAGE(N9:N13)</f>
        <v>4.3624857166876501</v>
      </c>
      <c r="O17" s="226">
        <f t="shared" ref="O17:P17" si="6">AVERAGE(O9:O13)</f>
        <v>19.897684816742128</v>
      </c>
      <c r="P17" s="226">
        <f t="shared" si="6"/>
        <v>45.047751892265211</v>
      </c>
    </row>
    <row r="18" spans="2:20" x14ac:dyDescent="0.3">
      <c r="B18" s="225" t="s">
        <v>197</v>
      </c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23"/>
      <c r="N18" s="226">
        <f>MEDIAN(N9:N13)</f>
        <v>3.7902149740548556</v>
      </c>
      <c r="O18" s="226">
        <f t="shared" ref="O18:P18" si="7">MEDIAN(O9:O13)</f>
        <v>17.259054971577548</v>
      </c>
      <c r="P18" s="226">
        <f t="shared" si="7"/>
        <v>50.882742662764024</v>
      </c>
    </row>
    <row r="19" spans="2:20" x14ac:dyDescent="0.3">
      <c r="B19" s="223" t="s">
        <v>761</v>
      </c>
      <c r="C19" s="223"/>
      <c r="D19" s="223"/>
      <c r="E19" s="223"/>
      <c r="F19" s="223"/>
      <c r="G19" s="223"/>
      <c r="H19" s="223"/>
      <c r="I19" s="223"/>
      <c r="J19" s="223"/>
      <c r="K19" s="223"/>
      <c r="L19" s="223"/>
      <c r="M19" s="223"/>
      <c r="N19" s="224">
        <f>QUARTILE(N9:N13,1)</f>
        <v>1.8847013295618216</v>
      </c>
      <c r="O19" s="224">
        <f t="shared" ref="O19:P19" si="8">QUARTILE(O9:O13,1)</f>
        <v>13.531556252966931</v>
      </c>
      <c r="P19" s="224">
        <f t="shared" si="8"/>
        <v>45.140031645569621</v>
      </c>
    </row>
    <row r="20" spans="2:20" x14ac:dyDescent="0.3">
      <c r="B20" s="227" t="s">
        <v>762</v>
      </c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8">
        <f>MIN(N9:N13)</f>
        <v>0.85867507886435335</v>
      </c>
      <c r="O20" s="228">
        <f t="shared" ref="O20:P20" si="9">MIN(O9:O13)</f>
        <v>10.462168387944795</v>
      </c>
      <c r="P20" s="228">
        <f t="shared" si="9"/>
        <v>14.328847767334581</v>
      </c>
    </row>
    <row r="21" spans="2:20" ht="23.4" customHeight="1" x14ac:dyDescent="0.3"/>
    <row r="22" spans="2:20" ht="21.6" x14ac:dyDescent="0.3">
      <c r="B22" s="257" t="s">
        <v>763</v>
      </c>
      <c r="C22" s="257"/>
      <c r="D22" s="257"/>
      <c r="E22" s="257"/>
      <c r="F22" s="147"/>
      <c r="G22" s="214"/>
      <c r="H22" s="147"/>
      <c r="I22" s="147"/>
      <c r="J22" s="147"/>
      <c r="K22" s="147"/>
      <c r="L22" s="147"/>
      <c r="M22" s="147"/>
      <c r="N22" s="214" t="s">
        <v>750</v>
      </c>
      <c r="O22" s="214" t="s">
        <v>751</v>
      </c>
      <c r="P22" s="214" t="s">
        <v>752</v>
      </c>
      <c r="T22" t="s">
        <v>768</v>
      </c>
    </row>
    <row r="23" spans="2:20" x14ac:dyDescent="0.3">
      <c r="B23" s="153" t="s">
        <v>764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>
        <f>N18*J10</f>
        <v>297727.41265381762</v>
      </c>
      <c r="O23" s="153">
        <f>O18*K10</f>
        <v>502889.99400000001</v>
      </c>
      <c r="P23" s="153">
        <f>P25+P24</f>
        <v>1795107.4635262243</v>
      </c>
    </row>
    <row r="24" spans="2:20" x14ac:dyDescent="0.3">
      <c r="B24" s="176" t="s">
        <v>746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>
        <f>G10</f>
        <v>-3649.3900000000003</v>
      </c>
      <c r="O24" s="176">
        <f>N24</f>
        <v>-3649.3900000000003</v>
      </c>
      <c r="P24" s="176">
        <f>O24</f>
        <v>-3649.3900000000003</v>
      </c>
    </row>
    <row r="25" spans="2:20" x14ac:dyDescent="0.3">
      <c r="B25" s="176" t="s">
        <v>765</v>
      </c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>
        <f>N24+N23</f>
        <v>294078.02265381761</v>
      </c>
      <c r="O25" s="176">
        <f>O24+O23</f>
        <v>499240.60399999999</v>
      </c>
      <c r="P25" s="176">
        <f>P18*L10</f>
        <v>1798756.8535262241</v>
      </c>
    </row>
    <row r="26" spans="2:20" x14ac:dyDescent="0.3">
      <c r="B26" s="150" t="s">
        <v>766</v>
      </c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>
        <f>$E$10</f>
        <v>1252.8800000000001</v>
      </c>
      <c r="O26" s="150">
        <f t="shared" ref="O26:P26" si="10">$E$10</f>
        <v>1252.8800000000001</v>
      </c>
      <c r="P26" s="150">
        <f t="shared" si="10"/>
        <v>1252.8800000000001</v>
      </c>
    </row>
    <row r="27" spans="2:20" x14ac:dyDescent="0.3">
      <c r="B27" s="188" t="s">
        <v>767</v>
      </c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188">
        <f>N25/N26</f>
        <v>234.72161951169912</v>
      </c>
      <c r="O27" s="188">
        <f>O25/O26</f>
        <v>398.47439818657807</v>
      </c>
      <c r="P27" s="188">
        <f>P25/P26</f>
        <v>1435.6976354688588</v>
      </c>
    </row>
    <row r="30" spans="2:20" ht="10.8" customHeight="1" x14ac:dyDescent="0.3"/>
    <row r="45" spans="1:16" ht="10.8" customHeight="1" x14ac:dyDescent="0.3">
      <c r="A45" s="239"/>
      <c r="B45" s="236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</row>
  </sheetData>
  <mergeCells count="5">
    <mergeCell ref="C6:H6"/>
    <mergeCell ref="J6:L6"/>
    <mergeCell ref="N6:P6"/>
    <mergeCell ref="B22:E22"/>
    <mergeCell ref="B3:P4"/>
  </mergeCells>
  <pageMargins left="0.25" right="0.25" top="0.75" bottom="0.75" header="0.3" footer="0.3"/>
  <pageSetup orientation="portrait" r:id="rId1"/>
  <headerFooter>
    <oddHeader>&amp;L&amp;"-,Bold"&amp;8&amp;K07-049ITC Ltd
NSE: ITC(INE154A01025)
401.25 INR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697B-09D6-4652-B8BB-6C14D8BA6419}">
  <dimension ref="A1:L45"/>
  <sheetViews>
    <sheetView showGridLines="0" view="pageLayout" zoomScale="70" zoomScaleNormal="100" zoomScalePageLayoutView="70" workbookViewId="0">
      <selection activeCell="L45" sqref="L45"/>
    </sheetView>
  </sheetViews>
  <sheetFormatPr defaultRowHeight="14.4" x14ac:dyDescent="0.3"/>
  <cols>
    <col min="1" max="1" width="2" customWidth="1"/>
  </cols>
  <sheetData>
    <row r="1" spans="1:12" ht="10.199999999999999" customHeight="1" x14ac:dyDescent="0.3">
      <c r="A1" s="239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3" spans="1:12" ht="21" customHeight="1" x14ac:dyDescent="0.3">
      <c r="B3" s="255" t="s">
        <v>771</v>
      </c>
      <c r="C3" s="255"/>
      <c r="D3" s="255"/>
      <c r="E3" s="255"/>
      <c r="F3" s="255"/>
    </row>
    <row r="4" spans="1:12" ht="21" customHeight="1" x14ac:dyDescent="0.3">
      <c r="B4" s="255"/>
      <c r="C4" s="255"/>
      <c r="D4" s="255"/>
      <c r="E4" s="255"/>
      <c r="F4" s="255"/>
    </row>
    <row r="5" spans="1:12" ht="10.8" customHeight="1" x14ac:dyDescent="0.4">
      <c r="B5" s="240"/>
      <c r="C5" s="240"/>
      <c r="D5" s="240"/>
      <c r="E5" s="240"/>
      <c r="F5" s="240"/>
    </row>
    <row r="6" spans="1:12" x14ac:dyDescent="0.3">
      <c r="B6" s="2"/>
      <c r="C6" s="2" t="s">
        <v>772</v>
      </c>
      <c r="D6" s="123" t="s">
        <v>762</v>
      </c>
      <c r="E6" s="2" t="s">
        <v>773</v>
      </c>
      <c r="F6" s="123" t="s">
        <v>758</v>
      </c>
    </row>
    <row r="7" spans="1:12" x14ac:dyDescent="0.3">
      <c r="B7" s="2" t="s">
        <v>774</v>
      </c>
      <c r="C7">
        <f>D7</f>
        <v>234.72161951169912</v>
      </c>
      <c r="D7">
        <f>Comps_Val!N27</f>
        <v>234.72161951169912</v>
      </c>
      <c r="E7">
        <f>F7</f>
        <v>1435.6976354688588</v>
      </c>
      <c r="F7">
        <f>Comps_Val!P27</f>
        <v>1435.6976354688588</v>
      </c>
    </row>
    <row r="8" spans="1:12" x14ac:dyDescent="0.3">
      <c r="B8" s="2" t="s">
        <v>775</v>
      </c>
      <c r="C8">
        <f t="shared" ref="C8:C11" si="0">D8</f>
        <v>57.429247397830125</v>
      </c>
      <c r="D8">
        <f>'Equity Value'!J42</f>
        <v>57.429247397830125</v>
      </c>
      <c r="E8">
        <f t="shared" ref="E8:E11" si="1">F8</f>
        <v>70.721427538702585</v>
      </c>
      <c r="F8">
        <f>'Equity Value'!J46</f>
        <v>70.721427538702585</v>
      </c>
    </row>
    <row r="9" spans="1:12" x14ac:dyDescent="0.3">
      <c r="B9" s="2" t="s">
        <v>776</v>
      </c>
      <c r="C9">
        <f t="shared" si="0"/>
        <v>55.616677378620238</v>
      </c>
      <c r="D9">
        <f>'Equity Value'!L42</f>
        <v>55.616677378620238</v>
      </c>
      <c r="E9">
        <f t="shared" si="1"/>
        <v>65.974220345533837</v>
      </c>
      <c r="F9">
        <f>'Equity Value'!L46</f>
        <v>65.974220345533837</v>
      </c>
    </row>
    <row r="10" spans="1:12" x14ac:dyDescent="0.3">
      <c r="B10" s="2" t="s">
        <v>777</v>
      </c>
      <c r="C10">
        <f t="shared" si="0"/>
        <v>51.732598766027628</v>
      </c>
      <c r="D10">
        <f>'Equity Value'!N42</f>
        <v>51.732598766027628</v>
      </c>
      <c r="E10">
        <f t="shared" si="1"/>
        <v>57.429247397830125</v>
      </c>
      <c r="F10">
        <f>'Equity Value'!N46</f>
        <v>57.429247397830125</v>
      </c>
    </row>
    <row r="11" spans="1:12" x14ac:dyDescent="0.3">
      <c r="B11" s="2" t="s">
        <v>778</v>
      </c>
      <c r="C11">
        <f t="shared" si="0"/>
        <v>390.15</v>
      </c>
      <c r="D11">
        <v>390.15</v>
      </c>
      <c r="E11">
        <f t="shared" si="1"/>
        <v>491</v>
      </c>
      <c r="F11">
        <v>491</v>
      </c>
    </row>
    <row r="36" spans="1:12" ht="10.8" customHeight="1" x14ac:dyDescent="0.3">
      <c r="A36" s="27"/>
    </row>
    <row r="45" spans="1:12" ht="10.199999999999999" customHeight="1" x14ac:dyDescent="0.3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</row>
  </sheetData>
  <mergeCells count="1">
    <mergeCell ref="B3:F4"/>
  </mergeCells>
  <pageMargins left="0.25" right="0.25" top="0.75" bottom="0.75" header="0.3" footer="0.3"/>
  <pageSetup orientation="portrait" r:id="rId1"/>
  <headerFooter>
    <oddHeader>&amp;L&amp;"-,Bold"&amp;8&amp;K07-043ITC Ltd
NSE: ITC(INE154A01025)
401.25 INR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9A9C-6BD4-4FAC-9624-1A26D84138D4}">
  <dimension ref="A1:M4966"/>
  <sheetViews>
    <sheetView showGridLines="0" view="pageLayout" topLeftCell="B1" zoomScale="73" zoomScaleNormal="73" zoomScalePageLayoutView="73" workbookViewId="0">
      <selection activeCell="B61" sqref="B1:M61"/>
    </sheetView>
  </sheetViews>
  <sheetFormatPr defaultRowHeight="10.199999999999999" x14ac:dyDescent="0.2"/>
  <cols>
    <col min="1" max="1" width="3" style="124" hidden="1" customWidth="1"/>
    <col min="2" max="7" width="7.6640625" style="124" customWidth="1"/>
    <col min="8" max="8" width="6" style="124" customWidth="1"/>
    <col min="9" max="13" width="7.21875" style="124" customWidth="1"/>
    <col min="14" max="14" width="9.33203125" style="124" customWidth="1"/>
    <col min="15" max="16384" width="8.88671875" style="124"/>
  </cols>
  <sheetData>
    <row r="1" spans="2:13" x14ac:dyDescent="0.2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</row>
    <row r="3" spans="2:13" ht="25.8" customHeight="1" x14ac:dyDescent="0.2">
      <c r="B3" s="262" t="s">
        <v>800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</row>
    <row r="4" spans="2:13" customFormat="1" ht="25.8" customHeight="1" x14ac:dyDescent="0.3"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</row>
    <row r="6" spans="2:13" ht="30.6" customHeight="1" x14ac:dyDescent="0.2">
      <c r="B6" s="147" t="s">
        <v>228</v>
      </c>
      <c r="C6" s="147" t="s">
        <v>58</v>
      </c>
      <c r="D6" s="147" t="s">
        <v>779</v>
      </c>
      <c r="E6" s="147" t="s">
        <v>780</v>
      </c>
      <c r="F6" s="147" t="s">
        <v>792</v>
      </c>
      <c r="G6" s="237" t="s">
        <v>793</v>
      </c>
      <c r="I6" s="261" t="s">
        <v>781</v>
      </c>
      <c r="J6" s="261"/>
      <c r="K6" s="261"/>
      <c r="L6" s="261"/>
    </row>
    <row r="7" spans="2:13" x14ac:dyDescent="0.2">
      <c r="B7" s="230">
        <v>45989</v>
      </c>
      <c r="C7" s="124">
        <v>404.25</v>
      </c>
      <c r="F7" s="124">
        <v>1</v>
      </c>
      <c r="G7" s="238">
        <f t="shared" ref="G7:G70" ca="1" si="0">_xlfn.NORM.INV(RAND(),$L$8,$L$9)</f>
        <v>-6.6607715919352467E-3</v>
      </c>
      <c r="I7" s="156"/>
    </row>
    <row r="8" spans="2:13" x14ac:dyDescent="0.2">
      <c r="B8" s="230">
        <v>45988</v>
      </c>
      <c r="C8" s="124">
        <v>404.3</v>
      </c>
      <c r="D8" s="156">
        <f t="shared" ref="D8:D71" si="1">(C8-C7)/C7</f>
        <v>1.2368583797158037E-4</v>
      </c>
      <c r="E8" s="156">
        <v>0.14268142681426801</v>
      </c>
      <c r="F8" s="124">
        <v>2</v>
      </c>
      <c r="G8" s="238">
        <f t="shared" ca="1" si="0"/>
        <v>1.2548738808392242E-2</v>
      </c>
      <c r="I8" s="157" t="s">
        <v>782</v>
      </c>
      <c r="J8" s="153"/>
      <c r="K8" s="153"/>
      <c r="L8" s="157">
        <f>AVERAGE(D8:D4966)</f>
        <v>-2.9269988451688806E-4</v>
      </c>
    </row>
    <row r="9" spans="2:13" x14ac:dyDescent="0.2">
      <c r="B9" s="230">
        <v>45987</v>
      </c>
      <c r="C9" s="124">
        <v>402.3</v>
      </c>
      <c r="D9" s="156">
        <f t="shared" si="1"/>
        <v>-4.9468216670789013E-3</v>
      </c>
      <c r="E9" s="156">
        <v>0.13739468567725202</v>
      </c>
      <c r="F9" s="124">
        <v>3</v>
      </c>
      <c r="G9" s="238">
        <f t="shared" ca="1" si="0"/>
        <v>9.226733533767564E-3</v>
      </c>
      <c r="I9" s="192" t="s">
        <v>783</v>
      </c>
      <c r="J9" s="176"/>
      <c r="K9" s="176"/>
      <c r="L9" s="192">
        <f>_xlfn.STDEV.S(D8:D4966)</f>
        <v>1.7240357824647393E-2</v>
      </c>
    </row>
    <row r="10" spans="2:13" x14ac:dyDescent="0.2">
      <c r="B10" s="230">
        <v>45986</v>
      </c>
      <c r="C10" s="124">
        <v>400.8</v>
      </c>
      <c r="D10" s="156">
        <f t="shared" si="1"/>
        <v>-3.7285607755406414E-3</v>
      </c>
      <c r="E10" s="156">
        <v>0.12740693196405645</v>
      </c>
      <c r="F10" s="124">
        <v>4</v>
      </c>
      <c r="G10" s="238">
        <f t="shared" ca="1" si="0"/>
        <v>-2.6640745965925115E-2</v>
      </c>
      <c r="I10" s="192" t="s">
        <v>784</v>
      </c>
      <c r="J10" s="176"/>
      <c r="K10" s="176"/>
      <c r="L10" s="192">
        <f>MIN(D8:D4966)</f>
        <v>-0.10010214504596526</v>
      </c>
    </row>
    <row r="11" spans="2:13" x14ac:dyDescent="0.2">
      <c r="B11" s="230">
        <v>45985</v>
      </c>
      <c r="C11" s="124">
        <v>403.55</v>
      </c>
      <c r="D11" s="156">
        <f t="shared" si="1"/>
        <v>6.8612774451097805E-3</v>
      </c>
      <c r="E11" s="156">
        <v>0.10357908626092684</v>
      </c>
      <c r="F11" s="124">
        <v>5</v>
      </c>
      <c r="G11" s="238">
        <f t="shared" ca="1" si="0"/>
        <v>1.3994800823926859E-2</v>
      </c>
      <c r="I11" s="192" t="s">
        <v>785</v>
      </c>
      <c r="J11" s="176"/>
      <c r="K11" s="176"/>
      <c r="L11" s="192">
        <f>MAX(D8:D4966)</f>
        <v>0.14268142681426801</v>
      </c>
    </row>
    <row r="12" spans="2:13" x14ac:dyDescent="0.2">
      <c r="B12" s="230">
        <v>45982</v>
      </c>
      <c r="C12" s="124">
        <v>407.85</v>
      </c>
      <c r="D12" s="156">
        <f t="shared" si="1"/>
        <v>1.0655433031842427E-2</v>
      </c>
      <c r="E12" s="156">
        <v>0.10186757215619695</v>
      </c>
      <c r="F12" s="124">
        <v>6</v>
      </c>
      <c r="G12" s="238">
        <f t="shared" ca="1" si="0"/>
        <v>-1.5415730930091754E-2</v>
      </c>
      <c r="I12" s="155" t="s">
        <v>786</v>
      </c>
      <c r="J12" s="150"/>
      <c r="K12" s="150"/>
      <c r="L12" s="150">
        <v>404.25</v>
      </c>
    </row>
    <row r="13" spans="2:13" x14ac:dyDescent="0.2">
      <c r="B13" s="230">
        <v>45981</v>
      </c>
      <c r="C13" s="124">
        <v>405.45</v>
      </c>
      <c r="D13" s="156">
        <f t="shared" si="1"/>
        <v>-5.8845163663112272E-3</v>
      </c>
      <c r="E13" s="156">
        <v>8.9539155117715763E-2</v>
      </c>
      <c r="F13" s="124">
        <v>7</v>
      </c>
      <c r="G13" s="238">
        <f t="shared" ca="1" si="0"/>
        <v>4.1248884915496865E-3</v>
      </c>
      <c r="I13" s="156"/>
    </row>
    <row r="14" spans="2:13" x14ac:dyDescent="0.2">
      <c r="B14" s="230">
        <v>45980</v>
      </c>
      <c r="C14" s="124">
        <v>403.55</v>
      </c>
      <c r="D14" s="156">
        <f t="shared" si="1"/>
        <v>-4.6861511900357072E-3</v>
      </c>
      <c r="E14" s="156">
        <v>8.5537779185807045E-2</v>
      </c>
      <c r="F14" s="124">
        <v>8</v>
      </c>
      <c r="G14" s="238">
        <f t="shared" ca="1" si="0"/>
        <v>1.2506867843048842E-2</v>
      </c>
      <c r="I14" s="156"/>
    </row>
    <row r="15" spans="2:13" x14ac:dyDescent="0.2">
      <c r="B15" s="230">
        <v>45979</v>
      </c>
      <c r="C15" s="124">
        <v>405.85</v>
      </c>
      <c r="D15" s="156">
        <f t="shared" si="1"/>
        <v>5.699417668194799E-3</v>
      </c>
      <c r="E15" s="156">
        <v>7.802071346375139E-2</v>
      </c>
      <c r="F15" s="124">
        <v>9</v>
      </c>
      <c r="G15" s="238">
        <f t="shared" ca="1" si="0"/>
        <v>1.3514591690667807E-2</v>
      </c>
      <c r="I15" s="231" t="s">
        <v>787</v>
      </c>
      <c r="J15" s="188" t="s">
        <v>788</v>
      </c>
      <c r="K15" s="232" t="s">
        <v>789</v>
      </c>
      <c r="L15" s="232" t="s">
        <v>790</v>
      </c>
      <c r="M15" s="232" t="s">
        <v>791</v>
      </c>
    </row>
    <row r="16" spans="2:13" x14ac:dyDescent="0.2">
      <c r="B16" s="230">
        <v>45978</v>
      </c>
      <c r="C16" s="124">
        <v>407.1</v>
      </c>
      <c r="D16" s="156">
        <f t="shared" si="1"/>
        <v>3.0799556486386594E-3</v>
      </c>
      <c r="E16" s="156">
        <v>7.3744292237442943E-2</v>
      </c>
      <c r="F16" s="124">
        <v>10</v>
      </c>
      <c r="G16" s="238">
        <f t="shared" ca="1" si="0"/>
        <v>1.7401755130500841E-2</v>
      </c>
      <c r="I16" s="157">
        <v>0.05</v>
      </c>
      <c r="J16" s="157">
        <f>100%-I16</f>
        <v>0.95</v>
      </c>
      <c r="K16" s="157">
        <f ca="1">_xlfn.PERCENTILE.INC(G8:G4966,I16)</f>
        <v>-2.8685536391923894E-2</v>
      </c>
      <c r="L16" s="233">
        <f ca="1">$L$12*(100%-K16)</f>
        <v>415.84612808643521</v>
      </c>
      <c r="M16" s="233">
        <f ca="1">$L$12-L16</f>
        <v>-11.596128086435215</v>
      </c>
    </row>
    <row r="17" spans="2:13" x14ac:dyDescent="0.2">
      <c r="B17" s="230">
        <v>45975</v>
      </c>
      <c r="C17" s="124">
        <v>408.15</v>
      </c>
      <c r="D17" s="156">
        <f t="shared" si="1"/>
        <v>2.5792188651435873E-3</v>
      </c>
      <c r="E17" s="156">
        <v>7.1438880069274041E-2</v>
      </c>
      <c r="F17" s="124">
        <v>11</v>
      </c>
      <c r="G17" s="238">
        <f t="shared" ca="1" si="0"/>
        <v>9.1497059881633681E-3</v>
      </c>
      <c r="I17" s="192">
        <v>0.01</v>
      </c>
      <c r="J17" s="192">
        <f t="shared" ref="J17:J19" si="2">100%-I17</f>
        <v>0.99</v>
      </c>
      <c r="K17" s="157">
        <f ca="1">_xlfn.PERCENTILE.INC(G9:G4967,I17)</f>
        <v>-3.9790571719445264E-2</v>
      </c>
      <c r="L17" s="234">
        <f ca="1">$L$12*(100%-K17)</f>
        <v>420.33533861758576</v>
      </c>
      <c r="M17" s="234">
        <f ca="1">$L$12-L17</f>
        <v>-16.085338617585762</v>
      </c>
    </row>
    <row r="18" spans="2:13" x14ac:dyDescent="0.2">
      <c r="B18" s="230">
        <v>45974</v>
      </c>
      <c r="C18" s="124">
        <v>405.7</v>
      </c>
      <c r="D18" s="156">
        <f t="shared" si="1"/>
        <v>-6.0026950875903193E-3</v>
      </c>
      <c r="E18" s="156">
        <v>6.8813131313131298E-2</v>
      </c>
      <c r="F18" s="124">
        <v>12</v>
      </c>
      <c r="G18" s="238">
        <f t="shared" ca="1" si="0"/>
        <v>-9.2220918304015912E-3</v>
      </c>
      <c r="I18" s="192">
        <v>5.0000000000000001E-3</v>
      </c>
      <c r="J18" s="192">
        <f t="shared" si="2"/>
        <v>0.995</v>
      </c>
      <c r="K18" s="157">
        <f ca="1">_xlfn.PERCENTILE.INC(G10:G4968,I18)</f>
        <v>-4.3640912649888404E-2</v>
      </c>
      <c r="L18" s="234">
        <f ca="1">$L$12*(100%-K18)</f>
        <v>421.8918389387174</v>
      </c>
      <c r="M18" s="234">
        <f ca="1">$L$12-L18</f>
        <v>-17.641838938717399</v>
      </c>
    </row>
    <row r="19" spans="2:13" x14ac:dyDescent="0.2">
      <c r="B19" s="230">
        <v>45973</v>
      </c>
      <c r="C19" s="124">
        <v>407</v>
      </c>
      <c r="D19" s="156">
        <f t="shared" si="1"/>
        <v>3.2043381809218918E-3</v>
      </c>
      <c r="E19" s="156">
        <v>6.78490074845427E-2</v>
      </c>
      <c r="F19" s="124">
        <v>13</v>
      </c>
      <c r="G19" s="238">
        <f t="shared" ca="1" si="0"/>
        <v>-2.6279722189054555E-3</v>
      </c>
      <c r="I19" s="155">
        <v>0.1</v>
      </c>
      <c r="J19" s="155">
        <f t="shared" si="2"/>
        <v>0.9</v>
      </c>
      <c r="K19" s="155">
        <f ca="1">_xlfn.PERCENTILE.INC(G11:G4969,I19)</f>
        <v>-2.2138356496694853E-2</v>
      </c>
      <c r="L19" s="235">
        <f ca="1">$L$12*(100%-K19)</f>
        <v>413.19943061378888</v>
      </c>
      <c r="M19" s="235">
        <f ca="1">$L$12-L19</f>
        <v>-8.9494306137888771</v>
      </c>
    </row>
    <row r="20" spans="2:13" x14ac:dyDescent="0.2">
      <c r="B20" s="230">
        <v>45972</v>
      </c>
      <c r="C20" s="124">
        <v>406.85</v>
      </c>
      <c r="D20" s="156">
        <f t="shared" si="1"/>
        <v>-3.685503685503127E-4</v>
      </c>
      <c r="E20" s="156">
        <v>6.74933929660501E-2</v>
      </c>
      <c r="F20" s="124">
        <v>14</v>
      </c>
      <c r="G20" s="238">
        <f t="shared" ca="1" si="0"/>
        <v>5.2306140490739138E-2</v>
      </c>
      <c r="I20" s="156"/>
    </row>
    <row r="21" spans="2:13" x14ac:dyDescent="0.2">
      <c r="B21" s="230">
        <v>45971</v>
      </c>
      <c r="C21" s="124">
        <v>405.55</v>
      </c>
      <c r="D21" s="156">
        <f t="shared" si="1"/>
        <v>-3.19528081602559E-3</v>
      </c>
      <c r="E21" s="156">
        <v>6.7116542039029725E-2</v>
      </c>
      <c r="F21" s="124">
        <v>15</v>
      </c>
      <c r="G21" s="238">
        <f t="shared" ca="1" si="0"/>
        <v>-3.3311472743809731E-2</v>
      </c>
      <c r="I21" s="156"/>
    </row>
    <row r="22" spans="2:13" x14ac:dyDescent="0.2">
      <c r="B22" s="230">
        <v>45968</v>
      </c>
      <c r="C22" s="124">
        <v>404.05</v>
      </c>
      <c r="D22" s="156">
        <f t="shared" si="1"/>
        <v>-3.6986808038466279E-3</v>
      </c>
      <c r="E22" s="156">
        <v>6.6410204494837033E-2</v>
      </c>
      <c r="F22" s="124">
        <v>16</v>
      </c>
      <c r="G22" s="238">
        <f t="shared" ca="1" si="0"/>
        <v>5.3700186685160098E-3</v>
      </c>
      <c r="I22" s="156"/>
    </row>
    <row r="23" spans="2:13" x14ac:dyDescent="0.2">
      <c r="B23" s="230">
        <v>45967</v>
      </c>
      <c r="C23" s="124">
        <v>407.5</v>
      </c>
      <c r="D23" s="156">
        <f t="shared" si="1"/>
        <v>8.5385472095037464E-3</v>
      </c>
      <c r="E23" s="156">
        <v>6.598259514222625E-2</v>
      </c>
      <c r="F23" s="124">
        <v>17</v>
      </c>
      <c r="G23" s="238">
        <f t="shared" ca="1" si="0"/>
        <v>6.6104813622318761E-3</v>
      </c>
      <c r="I23" s="156"/>
    </row>
    <row r="24" spans="2:13" x14ac:dyDescent="0.2">
      <c r="B24" s="230">
        <v>45965</v>
      </c>
      <c r="C24" s="124">
        <v>408.9</v>
      </c>
      <c r="D24" s="156">
        <f t="shared" si="1"/>
        <v>3.4355828220858338E-3</v>
      </c>
      <c r="E24" s="156">
        <v>6.5852490421455939E-2</v>
      </c>
      <c r="F24" s="124">
        <v>18</v>
      </c>
      <c r="G24" s="238">
        <f t="shared" ca="1" si="0"/>
        <v>-1.0732544617453233E-2</v>
      </c>
      <c r="I24" s="156"/>
    </row>
    <row r="25" spans="2:13" x14ac:dyDescent="0.2">
      <c r="B25" s="230">
        <v>45964</v>
      </c>
      <c r="C25" s="124">
        <v>413.95</v>
      </c>
      <c r="D25" s="156">
        <f t="shared" si="1"/>
        <v>1.2350207874786039E-2</v>
      </c>
      <c r="E25" s="156">
        <v>6.5512916980185618E-2</v>
      </c>
      <c r="F25" s="124">
        <v>19</v>
      </c>
      <c r="G25" s="238">
        <f t="shared" ca="1" si="0"/>
        <v>-2.0884032882492451E-2</v>
      </c>
      <c r="I25" s="156"/>
    </row>
    <row r="26" spans="2:13" x14ac:dyDescent="0.2">
      <c r="B26" s="230">
        <v>45961</v>
      </c>
      <c r="C26" s="124">
        <v>420.35</v>
      </c>
      <c r="D26" s="156">
        <f t="shared" si="1"/>
        <v>1.5460804444981361E-2</v>
      </c>
      <c r="E26" s="156">
        <v>6.4701170512389911E-2</v>
      </c>
      <c r="F26" s="124">
        <v>20</v>
      </c>
      <c r="G26" s="238">
        <f t="shared" ca="1" si="0"/>
        <v>1.8195826028192308E-2</v>
      </c>
      <c r="I26" s="156"/>
    </row>
    <row r="27" spans="2:13" x14ac:dyDescent="0.2">
      <c r="B27" s="230">
        <v>45960</v>
      </c>
      <c r="C27" s="124">
        <v>418.75</v>
      </c>
      <c r="D27" s="156">
        <f t="shared" si="1"/>
        <v>-3.8063518496491556E-3</v>
      </c>
      <c r="E27" s="156">
        <v>6.3012170877175991E-2</v>
      </c>
      <c r="F27" s="124">
        <v>21</v>
      </c>
      <c r="G27" s="238">
        <f t="shared" ca="1" si="0"/>
        <v>-1.2809693200707076E-2</v>
      </c>
      <c r="I27" s="156"/>
    </row>
    <row r="28" spans="2:13" x14ac:dyDescent="0.2">
      <c r="B28" s="230">
        <v>45959</v>
      </c>
      <c r="C28" s="124">
        <v>421.6</v>
      </c>
      <c r="D28" s="156">
        <f t="shared" si="1"/>
        <v>6.8059701492537853E-3</v>
      </c>
      <c r="E28" s="156">
        <v>6.2552406506791822E-2</v>
      </c>
      <c r="F28" s="124">
        <v>22</v>
      </c>
      <c r="G28" s="238">
        <f t="shared" ca="1" si="0"/>
        <v>-1.3747319024639954E-3</v>
      </c>
      <c r="I28" s="156"/>
    </row>
    <row r="29" spans="2:13" x14ac:dyDescent="0.2">
      <c r="B29" s="230">
        <v>45958</v>
      </c>
      <c r="C29" s="124">
        <v>417.9</v>
      </c>
      <c r="D29" s="156">
        <f t="shared" si="1"/>
        <v>-8.7760910815940351E-3</v>
      </c>
      <c r="E29" s="156">
        <v>6.2544547398432029E-2</v>
      </c>
      <c r="F29" s="124">
        <v>23</v>
      </c>
      <c r="G29" s="238">
        <f t="shared" ca="1" si="0"/>
        <v>1.8326051017470882E-2</v>
      </c>
      <c r="I29" s="156"/>
    </row>
    <row r="30" spans="2:13" x14ac:dyDescent="0.2">
      <c r="B30" s="230">
        <v>45957</v>
      </c>
      <c r="C30" s="124">
        <v>420.65</v>
      </c>
      <c r="D30" s="156">
        <f t="shared" si="1"/>
        <v>6.580521655898541E-3</v>
      </c>
      <c r="E30" s="156">
        <v>6.1556414557654426E-2</v>
      </c>
      <c r="F30" s="124">
        <v>24</v>
      </c>
      <c r="G30" s="238">
        <f t="shared" ca="1" si="0"/>
        <v>-3.5901488597807452E-2</v>
      </c>
      <c r="I30" s="156"/>
    </row>
    <row r="31" spans="2:13" x14ac:dyDescent="0.2">
      <c r="B31" s="230">
        <v>45954</v>
      </c>
      <c r="C31" s="124">
        <v>416.8</v>
      </c>
      <c r="D31" s="156">
        <f t="shared" si="1"/>
        <v>-9.1525020801140281E-3</v>
      </c>
      <c r="E31" s="156">
        <v>6.1325232580216382E-2</v>
      </c>
      <c r="F31" s="124">
        <v>25</v>
      </c>
      <c r="G31" s="238">
        <f t="shared" ca="1" si="0"/>
        <v>7.0073311728744373E-3</v>
      </c>
      <c r="I31" s="156"/>
    </row>
    <row r="32" spans="2:13" x14ac:dyDescent="0.2">
      <c r="B32" s="230">
        <v>45953</v>
      </c>
      <c r="C32" s="124">
        <v>415.95</v>
      </c>
      <c r="D32" s="156">
        <f t="shared" si="1"/>
        <v>-2.0393474088292291E-3</v>
      </c>
      <c r="E32" s="156">
        <v>6.1012812690665039E-2</v>
      </c>
      <c r="F32" s="124">
        <v>26</v>
      </c>
      <c r="G32" s="238">
        <f t="shared" ca="1" si="0"/>
        <v>-1.7853326701711175E-2</v>
      </c>
      <c r="I32" s="156"/>
    </row>
    <row r="33" spans="2:9" x14ac:dyDescent="0.2">
      <c r="B33" s="230">
        <v>45951</v>
      </c>
      <c r="C33" s="124">
        <v>412.85</v>
      </c>
      <c r="D33" s="156">
        <f t="shared" si="1"/>
        <v>-7.4528188484191994E-3</v>
      </c>
      <c r="E33" s="156">
        <v>6.0689879596485467E-2</v>
      </c>
      <c r="F33" s="124">
        <v>27</v>
      </c>
      <c r="G33" s="238">
        <f t="shared" ca="1" si="0"/>
        <v>1.7579818709786948E-2</v>
      </c>
      <c r="I33" s="156"/>
    </row>
    <row r="34" spans="2:9" x14ac:dyDescent="0.2">
      <c r="B34" s="230">
        <v>45950</v>
      </c>
      <c r="C34" s="124">
        <v>413.05</v>
      </c>
      <c r="D34" s="156">
        <f t="shared" si="1"/>
        <v>4.8443744701462665E-4</v>
      </c>
      <c r="E34" s="156">
        <v>5.9306974677920898E-2</v>
      </c>
      <c r="F34" s="124">
        <v>28</v>
      </c>
      <c r="G34" s="238">
        <f t="shared" ca="1" si="0"/>
        <v>7.5536458434618788E-3</v>
      </c>
      <c r="I34" s="156"/>
    </row>
    <row r="35" spans="2:9" x14ac:dyDescent="0.2">
      <c r="B35" s="230">
        <v>45947</v>
      </c>
      <c r="C35" s="124">
        <v>412.15</v>
      </c>
      <c r="D35" s="156">
        <f t="shared" si="1"/>
        <v>-2.1789129645322213E-3</v>
      </c>
      <c r="E35" s="156">
        <v>5.9239006607427661E-2</v>
      </c>
      <c r="F35" s="124">
        <v>29</v>
      </c>
      <c r="G35" s="238">
        <f t="shared" ca="1" si="0"/>
        <v>-2.6582404629928577E-3</v>
      </c>
      <c r="I35" s="156"/>
    </row>
    <row r="36" spans="2:9" x14ac:dyDescent="0.2">
      <c r="B36" s="230">
        <v>45946</v>
      </c>
      <c r="C36" s="124">
        <v>405.15</v>
      </c>
      <c r="D36" s="156">
        <f t="shared" si="1"/>
        <v>-1.6984107727769017E-2</v>
      </c>
      <c r="E36" s="156">
        <v>5.8804981869777659E-2</v>
      </c>
      <c r="F36" s="124">
        <v>30</v>
      </c>
      <c r="G36" s="238">
        <f t="shared" ca="1" si="0"/>
        <v>-1.2157034234074485E-3</v>
      </c>
      <c r="I36" s="156"/>
    </row>
    <row r="37" spans="2:9" x14ac:dyDescent="0.2">
      <c r="B37" s="230">
        <v>45945</v>
      </c>
      <c r="C37" s="124">
        <v>399.9</v>
      </c>
      <c r="D37" s="156">
        <f t="shared" si="1"/>
        <v>-1.295816364309515E-2</v>
      </c>
      <c r="E37" s="156">
        <v>5.8193502320599791E-2</v>
      </c>
      <c r="F37" s="124">
        <v>31</v>
      </c>
      <c r="G37" s="238">
        <f t="shared" ca="1" si="0"/>
        <v>-1.6938590541732045E-2</v>
      </c>
      <c r="I37" s="156"/>
    </row>
    <row r="38" spans="2:9" x14ac:dyDescent="0.2">
      <c r="B38" s="230">
        <v>45944</v>
      </c>
      <c r="C38" s="124">
        <v>396.8</v>
      </c>
      <c r="D38" s="156">
        <f t="shared" si="1"/>
        <v>-7.7519379844960389E-3</v>
      </c>
      <c r="E38" s="156">
        <v>5.7985587397352115E-2</v>
      </c>
      <c r="F38" s="124">
        <v>32</v>
      </c>
      <c r="G38" s="238">
        <f t="shared" ca="1" si="0"/>
        <v>-7.987778446446419E-3</v>
      </c>
      <c r="I38" s="156"/>
    </row>
    <row r="39" spans="2:9" x14ac:dyDescent="0.2">
      <c r="B39" s="230">
        <v>45943</v>
      </c>
      <c r="C39" s="124">
        <v>399.25</v>
      </c>
      <c r="D39" s="156">
        <f t="shared" si="1"/>
        <v>6.1743951612902937E-3</v>
      </c>
      <c r="E39" s="156">
        <v>5.6910569105691117E-2</v>
      </c>
      <c r="F39" s="124">
        <v>33</v>
      </c>
      <c r="G39" s="238">
        <f t="shared" ca="1" si="0"/>
        <v>7.0354470994286617E-3</v>
      </c>
    </row>
    <row r="40" spans="2:9" x14ac:dyDescent="0.2">
      <c r="B40" s="230">
        <v>45940</v>
      </c>
      <c r="C40" s="124">
        <v>402.8</v>
      </c>
      <c r="D40" s="156">
        <f t="shared" si="1"/>
        <v>8.8916718847839981E-3</v>
      </c>
      <c r="E40" s="156">
        <v>5.572161498996199E-2</v>
      </c>
      <c r="F40" s="124">
        <v>34</v>
      </c>
      <c r="G40" s="238">
        <f t="shared" ca="1" si="0"/>
        <v>3.2978753136117957E-2</v>
      </c>
    </row>
    <row r="41" spans="2:9" x14ac:dyDescent="0.2">
      <c r="B41" s="230">
        <v>45939</v>
      </c>
      <c r="C41" s="124">
        <v>399.9</v>
      </c>
      <c r="D41" s="156">
        <f t="shared" si="1"/>
        <v>-7.1996027805363311E-3</v>
      </c>
      <c r="E41" s="156">
        <v>5.5713704758031717E-2</v>
      </c>
      <c r="F41" s="124">
        <v>35</v>
      </c>
      <c r="G41" s="238">
        <f t="shared" ca="1" si="0"/>
        <v>-1.6430810172554825E-2</v>
      </c>
    </row>
    <row r="42" spans="2:9" x14ac:dyDescent="0.2">
      <c r="B42" s="230">
        <v>45938</v>
      </c>
      <c r="C42" s="124">
        <v>399.75</v>
      </c>
      <c r="D42" s="156">
        <f t="shared" si="1"/>
        <v>-3.7509377344330399E-4</v>
      </c>
      <c r="E42" s="156">
        <v>5.5693069306930756E-2</v>
      </c>
      <c r="F42" s="124">
        <v>36</v>
      </c>
      <c r="G42" s="238">
        <f t="shared" ca="1" si="0"/>
        <v>-6.4657509563358093E-3</v>
      </c>
      <c r="I42" s="156"/>
    </row>
    <row r="43" spans="2:9" x14ac:dyDescent="0.2">
      <c r="B43" s="230">
        <v>45937</v>
      </c>
      <c r="C43" s="124">
        <v>399.8</v>
      </c>
      <c r="D43" s="156">
        <f t="shared" si="1"/>
        <v>1.250781738586901E-4</v>
      </c>
      <c r="E43" s="156">
        <v>5.5048597258180884E-2</v>
      </c>
      <c r="F43" s="124">
        <v>37</v>
      </c>
      <c r="G43" s="238">
        <f t="shared" ca="1" si="0"/>
        <v>2.5944661224108063E-2</v>
      </c>
      <c r="I43" s="156"/>
    </row>
    <row r="44" spans="2:9" x14ac:dyDescent="0.2">
      <c r="B44" s="230">
        <v>45936</v>
      </c>
      <c r="C44" s="124">
        <v>400.75</v>
      </c>
      <c r="D44" s="156">
        <f t="shared" si="1"/>
        <v>2.376188094046995E-3</v>
      </c>
      <c r="E44" s="156">
        <v>5.496761964934456E-2</v>
      </c>
      <c r="F44" s="124">
        <v>38</v>
      </c>
      <c r="G44" s="238">
        <f t="shared" ca="1" si="0"/>
        <v>2.9706793327258776E-3</v>
      </c>
      <c r="I44" s="156"/>
    </row>
    <row r="45" spans="2:9" x14ac:dyDescent="0.2">
      <c r="B45" s="230">
        <v>45933</v>
      </c>
      <c r="C45" s="124">
        <v>404.3</v>
      </c>
      <c r="D45" s="156">
        <f t="shared" si="1"/>
        <v>8.8583905177791918E-3</v>
      </c>
      <c r="E45" s="156">
        <v>5.4913294797687889E-2</v>
      </c>
      <c r="F45" s="124">
        <v>39</v>
      </c>
      <c r="G45" s="238">
        <f t="shared" ca="1" si="0"/>
        <v>-2.2234580806311202E-2</v>
      </c>
      <c r="I45" s="156"/>
    </row>
    <row r="46" spans="2:9" x14ac:dyDescent="0.2">
      <c r="B46" s="230">
        <v>45931</v>
      </c>
      <c r="C46" s="124">
        <v>405.6</v>
      </c>
      <c r="D46" s="156">
        <f t="shared" si="1"/>
        <v>3.2154340836013143E-3</v>
      </c>
      <c r="E46" s="156">
        <v>5.4667145809001831E-2</v>
      </c>
      <c r="F46" s="124">
        <v>40</v>
      </c>
      <c r="G46" s="238">
        <f t="shared" ca="1" si="0"/>
        <v>-1.3549055334652408E-4</v>
      </c>
      <c r="I46" s="156"/>
    </row>
    <row r="47" spans="2:9" x14ac:dyDescent="0.2">
      <c r="B47" s="230">
        <v>45930</v>
      </c>
      <c r="C47" s="124">
        <v>401.55</v>
      </c>
      <c r="D47" s="156">
        <f t="shared" si="1"/>
        <v>-9.9852071005917427E-3</v>
      </c>
      <c r="E47" s="156">
        <v>5.4160235723305736E-2</v>
      </c>
      <c r="F47" s="124">
        <v>41</v>
      </c>
      <c r="G47" s="238">
        <f t="shared" ca="1" si="0"/>
        <v>9.7274957692825483E-3</v>
      </c>
      <c r="I47" s="156"/>
    </row>
    <row r="48" spans="2:9" x14ac:dyDescent="0.2">
      <c r="B48" s="230">
        <v>45929</v>
      </c>
      <c r="C48" s="124">
        <v>407.25</v>
      </c>
      <c r="D48" s="156">
        <f t="shared" si="1"/>
        <v>1.419499439671271E-2</v>
      </c>
      <c r="E48" s="156">
        <v>5.3504707816469863E-2</v>
      </c>
      <c r="F48" s="124">
        <v>42</v>
      </c>
      <c r="G48" s="238">
        <f t="shared" ca="1" si="0"/>
        <v>2.2609730244692676E-3</v>
      </c>
      <c r="I48" s="156"/>
    </row>
    <row r="49" spans="2:13" x14ac:dyDescent="0.2">
      <c r="B49" s="230">
        <v>45926</v>
      </c>
      <c r="C49" s="124">
        <v>405.1</v>
      </c>
      <c r="D49" s="156">
        <f t="shared" si="1"/>
        <v>-5.2793124616328478E-3</v>
      </c>
      <c r="E49" s="156">
        <v>5.2953156822810522E-2</v>
      </c>
      <c r="F49" s="124">
        <v>43</v>
      </c>
      <c r="G49" s="238">
        <f t="shared" ca="1" si="0"/>
        <v>-5.4684389719611556E-3</v>
      </c>
      <c r="I49" s="156"/>
    </row>
    <row r="50" spans="2:13" x14ac:dyDescent="0.2">
      <c r="B50" s="230">
        <v>45925</v>
      </c>
      <c r="C50" s="124">
        <v>400.1</v>
      </c>
      <c r="D50" s="156">
        <f t="shared" si="1"/>
        <v>-1.2342631449024932E-2</v>
      </c>
      <c r="E50" s="156">
        <v>5.2733345051854452E-2</v>
      </c>
      <c r="F50" s="124">
        <v>44</v>
      </c>
      <c r="G50" s="238">
        <f t="shared" ca="1" si="0"/>
        <v>3.7286443468952213E-2</v>
      </c>
      <c r="I50" s="156"/>
    </row>
    <row r="51" spans="2:13" x14ac:dyDescent="0.2">
      <c r="B51" s="230">
        <v>45924</v>
      </c>
      <c r="C51" s="124">
        <v>401</v>
      </c>
      <c r="D51" s="156">
        <f t="shared" si="1"/>
        <v>2.2494376405897956E-3</v>
      </c>
      <c r="E51" s="156">
        <v>5.2401746724890876E-2</v>
      </c>
      <c r="F51" s="124">
        <v>45</v>
      </c>
      <c r="G51" s="238">
        <f t="shared" ca="1" si="0"/>
        <v>-8.8388494285802817E-3</v>
      </c>
      <c r="I51" s="156"/>
    </row>
    <row r="52" spans="2:13" x14ac:dyDescent="0.2">
      <c r="B52" s="230">
        <v>45923</v>
      </c>
      <c r="C52" s="124">
        <v>403.2</v>
      </c>
      <c r="D52" s="156">
        <f t="shared" si="1"/>
        <v>5.4862842892767797E-3</v>
      </c>
      <c r="E52" s="156">
        <v>5.2253429131286666E-2</v>
      </c>
      <c r="F52" s="124">
        <v>46</v>
      </c>
      <c r="G52" s="238">
        <f t="shared" ca="1" si="0"/>
        <v>-1.3853650815919636E-2</v>
      </c>
      <c r="I52" s="156"/>
    </row>
    <row r="53" spans="2:13" x14ac:dyDescent="0.2">
      <c r="B53" s="230">
        <v>45922</v>
      </c>
      <c r="C53" s="124">
        <v>406.95</v>
      </c>
      <c r="D53" s="156">
        <f t="shared" si="1"/>
        <v>9.300595238095238E-3</v>
      </c>
      <c r="E53" s="156">
        <v>5.2176888204601903E-2</v>
      </c>
      <c r="F53" s="124">
        <v>47</v>
      </c>
      <c r="G53" s="238">
        <f t="shared" ca="1" si="0"/>
        <v>-1.8163964818230401E-2</v>
      </c>
      <c r="I53" s="156"/>
    </row>
    <row r="54" spans="2:13" x14ac:dyDescent="0.2">
      <c r="B54" s="230">
        <v>45919</v>
      </c>
      <c r="C54" s="124">
        <v>410.65</v>
      </c>
      <c r="D54" s="156">
        <f t="shared" si="1"/>
        <v>9.0920260474259464E-3</v>
      </c>
      <c r="E54" s="156">
        <v>5.1643192488262914E-2</v>
      </c>
      <c r="F54" s="124">
        <v>48</v>
      </c>
      <c r="G54" s="238">
        <f t="shared" ca="1" si="0"/>
        <v>1.2822751920246615E-2</v>
      </c>
      <c r="I54" s="156"/>
    </row>
    <row r="55" spans="2:13" x14ac:dyDescent="0.2">
      <c r="B55" s="230">
        <v>45918</v>
      </c>
      <c r="C55" s="124">
        <v>411.55</v>
      </c>
      <c r="D55" s="156">
        <f t="shared" si="1"/>
        <v>2.1916473882869453E-3</v>
      </c>
      <c r="E55" s="156">
        <v>5.0761421319797009E-2</v>
      </c>
      <c r="F55" s="124">
        <v>49</v>
      </c>
      <c r="G55" s="238">
        <f t="shared" ca="1" si="0"/>
        <v>3.596028842344568E-3</v>
      </c>
      <c r="I55" s="156"/>
    </row>
    <row r="56" spans="2:13" x14ac:dyDescent="0.2">
      <c r="B56" s="230">
        <v>45917</v>
      </c>
      <c r="C56" s="124">
        <v>409.3</v>
      </c>
      <c r="D56" s="156">
        <f t="shared" si="1"/>
        <v>-5.4671364354270443E-3</v>
      </c>
      <c r="E56" s="156">
        <v>5.0383351588170831E-2</v>
      </c>
      <c r="F56" s="124">
        <v>50</v>
      </c>
      <c r="G56" s="238">
        <f t="shared" ca="1" si="0"/>
        <v>-6.4187219355843709E-3</v>
      </c>
      <c r="I56" s="156"/>
    </row>
    <row r="57" spans="2:13" x14ac:dyDescent="0.2">
      <c r="B57" s="230">
        <v>45916</v>
      </c>
      <c r="C57" s="124">
        <v>413.1</v>
      </c>
      <c r="D57" s="156">
        <f t="shared" si="1"/>
        <v>9.2841436599071861E-3</v>
      </c>
      <c r="E57" s="156">
        <v>4.9040933359699362E-2</v>
      </c>
      <c r="F57" s="124">
        <v>51</v>
      </c>
      <c r="G57" s="238">
        <f t="shared" ca="1" si="0"/>
        <v>-7.8481370883907425E-3</v>
      </c>
      <c r="I57" s="156"/>
    </row>
    <row r="58" spans="2:13" x14ac:dyDescent="0.2">
      <c r="B58" s="230">
        <v>45915</v>
      </c>
      <c r="C58" s="124">
        <v>412.65</v>
      </c>
      <c r="D58" s="156">
        <f t="shared" si="1"/>
        <v>-1.0893246187364935E-3</v>
      </c>
      <c r="E58" s="156">
        <v>4.8531739053982857E-2</v>
      </c>
      <c r="F58" s="124">
        <v>52</v>
      </c>
      <c r="G58" s="238">
        <f t="shared" ca="1" si="0"/>
        <v>7.9446902492184539E-3</v>
      </c>
      <c r="I58" s="156"/>
    </row>
    <row r="59" spans="2:13" x14ac:dyDescent="0.2">
      <c r="B59" s="230">
        <v>45912</v>
      </c>
      <c r="C59" s="124">
        <v>413.75</v>
      </c>
      <c r="D59" s="156">
        <f t="shared" si="1"/>
        <v>2.6656973221859271E-3</v>
      </c>
      <c r="E59" s="156">
        <v>4.8032088242667401E-2</v>
      </c>
      <c r="F59" s="124">
        <v>53</v>
      </c>
      <c r="G59" s="238">
        <f t="shared" ca="1" si="0"/>
        <v>-1.0336559732853206E-2</v>
      </c>
      <c r="I59" s="156"/>
    </row>
    <row r="60" spans="2:13" x14ac:dyDescent="0.2">
      <c r="B60" s="230">
        <v>45911</v>
      </c>
      <c r="C60" s="124">
        <v>415.05</v>
      </c>
      <c r="D60" s="156">
        <f t="shared" si="1"/>
        <v>3.1419939577039548E-3</v>
      </c>
      <c r="E60" s="156">
        <v>4.707069008993859E-2</v>
      </c>
      <c r="F60" s="124">
        <v>54</v>
      </c>
      <c r="G60" s="238">
        <f t="shared" ca="1" si="0"/>
        <v>-7.9362067742258791E-3</v>
      </c>
      <c r="I60" s="156"/>
    </row>
    <row r="61" spans="2:13" x14ac:dyDescent="0.2">
      <c r="B61" s="243">
        <v>45910</v>
      </c>
      <c r="C61" s="236">
        <v>413.05</v>
      </c>
      <c r="D61" s="244">
        <f t="shared" si="1"/>
        <v>-4.8186965425852301E-3</v>
      </c>
      <c r="E61" s="244">
        <v>4.6898928024502212E-2</v>
      </c>
      <c r="F61" s="236">
        <v>55</v>
      </c>
      <c r="G61" s="245">
        <f t="shared" ca="1" si="0"/>
        <v>7.6993200665144189E-3</v>
      </c>
      <c r="H61" s="236"/>
      <c r="I61" s="244"/>
      <c r="J61" s="236"/>
      <c r="K61" s="236"/>
      <c r="L61" s="236"/>
      <c r="M61" s="236"/>
    </row>
    <row r="62" spans="2:13" x14ac:dyDescent="0.2">
      <c r="B62" s="230">
        <v>45909</v>
      </c>
      <c r="C62" s="124">
        <v>410.05</v>
      </c>
      <c r="D62" s="156">
        <f t="shared" si="1"/>
        <v>-7.2630432151071294E-3</v>
      </c>
      <c r="E62" s="156">
        <v>4.6828543111992013E-2</v>
      </c>
      <c r="F62" s="124">
        <v>56</v>
      </c>
      <c r="G62" s="238">
        <f t="shared" ca="1" si="0"/>
        <v>-5.0654262890201E-3</v>
      </c>
      <c r="I62" s="156"/>
    </row>
    <row r="63" spans="2:13" x14ac:dyDescent="0.2">
      <c r="B63" s="230">
        <v>45908</v>
      </c>
      <c r="C63" s="124">
        <v>407.55</v>
      </c>
      <c r="D63" s="156">
        <f t="shared" si="1"/>
        <v>-6.0968174612852089E-3</v>
      </c>
      <c r="E63" s="156">
        <v>4.6339704291381179E-2</v>
      </c>
      <c r="F63" s="124">
        <v>57</v>
      </c>
      <c r="G63" s="238">
        <f t="shared" ca="1" si="0"/>
        <v>1.2830940580971549E-3</v>
      </c>
      <c r="I63" s="156"/>
    </row>
    <row r="64" spans="2:13" x14ac:dyDescent="0.2">
      <c r="B64" s="230">
        <v>45905</v>
      </c>
      <c r="C64" s="124">
        <v>407.35</v>
      </c>
      <c r="D64" s="156">
        <f t="shared" si="1"/>
        <v>-4.9073733284256806E-4</v>
      </c>
      <c r="E64" s="156">
        <v>4.5963803504740011E-2</v>
      </c>
      <c r="F64" s="124">
        <v>58</v>
      </c>
      <c r="G64" s="238">
        <f t="shared" ca="1" si="0"/>
        <v>3.1824388210552326E-3</v>
      </c>
      <c r="I64" s="156"/>
    </row>
    <row r="65" spans="2:9" x14ac:dyDescent="0.2">
      <c r="B65" s="230">
        <v>45904</v>
      </c>
      <c r="C65" s="124">
        <v>415.9</v>
      </c>
      <c r="D65" s="156">
        <f t="shared" si="1"/>
        <v>2.098932122253579E-2</v>
      </c>
      <c r="E65" s="156">
        <v>4.5903954802259887E-2</v>
      </c>
      <c r="F65" s="124">
        <v>59</v>
      </c>
      <c r="G65" s="238">
        <f t="shared" ca="1" si="0"/>
        <v>-2.7726227197775059E-2</v>
      </c>
      <c r="I65" s="156"/>
    </row>
    <row r="66" spans="2:9" x14ac:dyDescent="0.2">
      <c r="B66" s="230">
        <v>45903</v>
      </c>
      <c r="C66" s="124">
        <v>411.75</v>
      </c>
      <c r="D66" s="156">
        <f t="shared" si="1"/>
        <v>-9.9783601827361807E-3</v>
      </c>
      <c r="E66" s="156">
        <v>4.5839718741548664E-2</v>
      </c>
      <c r="F66" s="124">
        <v>60</v>
      </c>
      <c r="G66" s="238">
        <f t="shared" ca="1" si="0"/>
        <v>-1.5442421736522984E-3</v>
      </c>
      <c r="I66" s="156"/>
    </row>
    <row r="67" spans="2:9" x14ac:dyDescent="0.2">
      <c r="B67" s="230">
        <v>45902</v>
      </c>
      <c r="C67" s="124">
        <v>406.75</v>
      </c>
      <c r="D67" s="156">
        <f t="shared" si="1"/>
        <v>-1.2143290831815421E-2</v>
      </c>
      <c r="E67" s="156">
        <v>4.5101454733769655E-2</v>
      </c>
      <c r="F67" s="124">
        <v>61</v>
      </c>
      <c r="G67" s="238">
        <f t="shared" ca="1" si="0"/>
        <v>1.6262980485512578E-2</v>
      </c>
      <c r="I67" s="156"/>
    </row>
    <row r="68" spans="2:9" x14ac:dyDescent="0.2">
      <c r="B68" s="230">
        <v>45901</v>
      </c>
      <c r="C68" s="124">
        <v>405.85</v>
      </c>
      <c r="D68" s="156">
        <f t="shared" si="1"/>
        <v>-2.212661339889311E-3</v>
      </c>
      <c r="E68" s="156">
        <v>4.489722322394514E-2</v>
      </c>
      <c r="F68" s="124">
        <v>62</v>
      </c>
      <c r="G68" s="238">
        <f t="shared" ca="1" si="0"/>
        <v>-3.0864101171553401E-3</v>
      </c>
      <c r="I68" s="156"/>
    </row>
    <row r="69" spans="2:9" x14ac:dyDescent="0.2">
      <c r="B69" s="230">
        <v>45898</v>
      </c>
      <c r="C69" s="124">
        <v>409.75</v>
      </c>
      <c r="D69" s="156">
        <f t="shared" si="1"/>
        <v>9.6094616237525615E-3</v>
      </c>
      <c r="E69" s="156">
        <v>4.4428390825356712E-2</v>
      </c>
      <c r="F69" s="124">
        <v>63</v>
      </c>
      <c r="G69" s="238">
        <f t="shared" ca="1" si="0"/>
        <v>-1.0403227881420231E-2</v>
      </c>
      <c r="I69" s="156"/>
    </row>
    <row r="70" spans="2:9" x14ac:dyDescent="0.2">
      <c r="B70" s="230">
        <v>45897</v>
      </c>
      <c r="C70" s="124">
        <v>400.9</v>
      </c>
      <c r="D70" s="156">
        <f t="shared" si="1"/>
        <v>-2.159853569249548E-2</v>
      </c>
      <c r="E70" s="156">
        <v>4.3849564788963735E-2</v>
      </c>
      <c r="F70" s="124">
        <v>64</v>
      </c>
      <c r="G70" s="238">
        <f t="shared" ca="1" si="0"/>
        <v>-6.1150145704409577E-3</v>
      </c>
      <c r="I70" s="156"/>
    </row>
    <row r="71" spans="2:9" x14ac:dyDescent="0.2">
      <c r="B71" s="230">
        <v>45895</v>
      </c>
      <c r="C71" s="124">
        <v>403.35</v>
      </c>
      <c r="D71" s="156">
        <f t="shared" si="1"/>
        <v>6.1112496882016606E-3</v>
      </c>
      <c r="E71" s="156">
        <v>4.3577483155835747E-2</v>
      </c>
      <c r="F71" s="124">
        <v>65</v>
      </c>
      <c r="G71" s="238">
        <f t="shared" ref="G71:G134" ca="1" si="3">_xlfn.NORM.INV(RAND(),$L$8,$L$9)</f>
        <v>8.8026309171612676E-3</v>
      </c>
      <c r="I71" s="156"/>
    </row>
    <row r="72" spans="2:9" x14ac:dyDescent="0.2">
      <c r="B72" s="230">
        <v>45894</v>
      </c>
      <c r="C72" s="124">
        <v>399.35</v>
      </c>
      <c r="D72" s="156">
        <f t="shared" ref="D72:D135" si="4">(C72-C71)/C71</f>
        <v>-9.9169455807611249E-3</v>
      </c>
      <c r="E72" s="156">
        <v>4.2984786283506285E-2</v>
      </c>
      <c r="F72" s="124">
        <v>66</v>
      </c>
      <c r="G72" s="238">
        <f t="shared" ca="1" si="3"/>
        <v>1.1833619273243254E-2</v>
      </c>
      <c r="I72" s="156"/>
    </row>
    <row r="73" spans="2:9" x14ac:dyDescent="0.2">
      <c r="B73" s="230">
        <v>45891</v>
      </c>
      <c r="C73" s="124">
        <v>398.3</v>
      </c>
      <c r="D73" s="156">
        <f t="shared" si="4"/>
        <v>-2.6292725679229029E-3</v>
      </c>
      <c r="E73" s="156">
        <v>4.2402826855123678E-2</v>
      </c>
      <c r="F73" s="124">
        <v>67</v>
      </c>
      <c r="G73" s="238">
        <f t="shared" ca="1" si="3"/>
        <v>-5.6999211875163758E-3</v>
      </c>
      <c r="I73" s="156"/>
    </row>
    <row r="74" spans="2:9" x14ac:dyDescent="0.2">
      <c r="B74" s="230">
        <v>45890</v>
      </c>
      <c r="C74" s="124">
        <v>405.55</v>
      </c>
      <c r="D74" s="156">
        <f t="shared" si="4"/>
        <v>1.8202360030128043E-2</v>
      </c>
      <c r="E74" s="156">
        <v>4.2380402946658305E-2</v>
      </c>
      <c r="F74" s="124">
        <v>68</v>
      </c>
      <c r="G74" s="238">
        <f t="shared" ca="1" si="3"/>
        <v>1.5114708023031508E-2</v>
      </c>
      <c r="I74" s="156"/>
    </row>
    <row r="75" spans="2:9" x14ac:dyDescent="0.2">
      <c r="B75" s="230">
        <v>45889</v>
      </c>
      <c r="C75" s="124">
        <v>406.05</v>
      </c>
      <c r="D75" s="156">
        <f t="shared" si="4"/>
        <v>1.2328936012822092E-3</v>
      </c>
      <c r="E75" s="156">
        <v>4.2228064410121599E-2</v>
      </c>
      <c r="F75" s="124">
        <v>69</v>
      </c>
      <c r="G75" s="238">
        <f t="shared" ca="1" si="3"/>
        <v>1.8682973356168739E-2</v>
      </c>
      <c r="I75" s="156"/>
    </row>
    <row r="76" spans="2:9" x14ac:dyDescent="0.2">
      <c r="B76" s="230">
        <v>45888</v>
      </c>
      <c r="C76" s="124">
        <v>409.1</v>
      </c>
      <c r="D76" s="156">
        <f t="shared" si="4"/>
        <v>7.5113902228789832E-3</v>
      </c>
      <c r="E76" s="156">
        <v>4.2220814861726831E-2</v>
      </c>
      <c r="F76" s="124">
        <v>70</v>
      </c>
      <c r="G76" s="238">
        <f t="shared" ca="1" si="3"/>
        <v>6.8784557454801632E-3</v>
      </c>
      <c r="I76" s="156"/>
    </row>
    <row r="77" spans="2:9" x14ac:dyDescent="0.2">
      <c r="B77" s="230">
        <v>45887</v>
      </c>
      <c r="C77" s="124">
        <v>406.3</v>
      </c>
      <c r="D77" s="156">
        <f t="shared" si="4"/>
        <v>-6.8442923490589372E-3</v>
      </c>
      <c r="E77" s="156">
        <v>4.2196588780439581E-2</v>
      </c>
      <c r="F77" s="124">
        <v>71</v>
      </c>
      <c r="G77" s="238">
        <f t="shared" ca="1" si="3"/>
        <v>-2.7418828008453867E-3</v>
      </c>
      <c r="I77" s="156"/>
    </row>
    <row r="78" spans="2:9" x14ac:dyDescent="0.2">
      <c r="B78" s="230">
        <v>45883</v>
      </c>
      <c r="C78" s="124">
        <v>411.45</v>
      </c>
      <c r="D78" s="156">
        <f t="shared" si="4"/>
        <v>1.2675363032242129E-2</v>
      </c>
      <c r="E78" s="156">
        <v>4.2035502958579857E-2</v>
      </c>
      <c r="F78" s="124">
        <v>72</v>
      </c>
      <c r="G78" s="238">
        <f t="shared" ca="1" si="3"/>
        <v>-1.8678892236014571E-2</v>
      </c>
      <c r="I78" s="156"/>
    </row>
    <row r="79" spans="2:9" x14ac:dyDescent="0.2">
      <c r="B79" s="230">
        <v>45882</v>
      </c>
      <c r="C79" s="124">
        <v>414.1</v>
      </c>
      <c r="D79" s="156">
        <f t="shared" si="4"/>
        <v>6.4406367723904099E-3</v>
      </c>
      <c r="E79" s="156">
        <v>4.1996134247056768E-2</v>
      </c>
      <c r="F79" s="124">
        <v>73</v>
      </c>
      <c r="G79" s="238">
        <f t="shared" ca="1" si="3"/>
        <v>1.7148968350127861E-2</v>
      </c>
      <c r="I79" s="156"/>
    </row>
    <row r="80" spans="2:9" x14ac:dyDescent="0.2">
      <c r="B80" s="230">
        <v>45881</v>
      </c>
      <c r="C80" s="124">
        <v>416.35</v>
      </c>
      <c r="D80" s="156">
        <f t="shared" si="4"/>
        <v>5.4334701762859209E-3</v>
      </c>
      <c r="E80" s="156">
        <v>4.1683286796968561E-2</v>
      </c>
      <c r="F80" s="124">
        <v>74</v>
      </c>
      <c r="G80" s="238">
        <f t="shared" ca="1" si="3"/>
        <v>-8.4626882769822647E-3</v>
      </c>
      <c r="I80" s="156"/>
    </row>
    <row r="81" spans="2:9" x14ac:dyDescent="0.2">
      <c r="B81" s="230">
        <v>45880</v>
      </c>
      <c r="C81" s="124">
        <v>416.85</v>
      </c>
      <c r="D81" s="156">
        <f t="shared" si="4"/>
        <v>1.2009126936471718E-3</v>
      </c>
      <c r="E81" s="156">
        <v>4.1666666666666644E-2</v>
      </c>
      <c r="F81" s="124">
        <v>75</v>
      </c>
      <c r="G81" s="238">
        <f t="shared" ca="1" si="3"/>
        <v>-2.3701544962570708E-3</v>
      </c>
      <c r="I81" s="156"/>
    </row>
    <row r="82" spans="2:9" x14ac:dyDescent="0.2">
      <c r="B82" s="230">
        <v>45877</v>
      </c>
      <c r="C82" s="124">
        <v>414.5</v>
      </c>
      <c r="D82" s="156">
        <f t="shared" si="4"/>
        <v>-5.6375194914238275E-3</v>
      </c>
      <c r="E82" s="156">
        <v>4.1614605910701971E-2</v>
      </c>
      <c r="F82" s="124">
        <v>76</v>
      </c>
      <c r="G82" s="238">
        <f t="shared" ca="1" si="3"/>
        <v>3.4116181268555236E-2</v>
      </c>
      <c r="I82" s="156"/>
    </row>
    <row r="83" spans="2:9" x14ac:dyDescent="0.2">
      <c r="B83" s="230">
        <v>45876</v>
      </c>
      <c r="C83" s="124">
        <v>413.6</v>
      </c>
      <c r="D83" s="156">
        <f t="shared" si="4"/>
        <v>-2.1712907117007896E-3</v>
      </c>
      <c r="E83" s="156">
        <v>4.150532429816061E-2</v>
      </c>
      <c r="F83" s="124">
        <v>77</v>
      </c>
      <c r="G83" s="238">
        <f t="shared" ca="1" si="3"/>
        <v>-1.1922490305291411E-2</v>
      </c>
      <c r="I83" s="156"/>
    </row>
    <row r="84" spans="2:9" x14ac:dyDescent="0.2">
      <c r="B84" s="230">
        <v>45875</v>
      </c>
      <c r="C84" s="124">
        <v>412</v>
      </c>
      <c r="D84" s="156">
        <f t="shared" si="4"/>
        <v>-3.8684719535783912E-3</v>
      </c>
      <c r="E84" s="156">
        <v>4.1442323380649355E-2</v>
      </c>
      <c r="F84" s="124">
        <v>78</v>
      </c>
      <c r="G84" s="238">
        <f t="shared" ca="1" si="3"/>
        <v>-3.2900792378009677E-2</v>
      </c>
      <c r="I84" s="156"/>
    </row>
    <row r="85" spans="2:9" x14ac:dyDescent="0.2">
      <c r="B85" s="230">
        <v>45874</v>
      </c>
      <c r="C85" s="124">
        <v>414.15</v>
      </c>
      <c r="D85" s="156">
        <f t="shared" si="4"/>
        <v>5.2184466019416925E-3</v>
      </c>
      <c r="E85" s="156">
        <v>4.1388825017245348E-2</v>
      </c>
      <c r="F85" s="124">
        <v>79</v>
      </c>
      <c r="G85" s="238">
        <f t="shared" ca="1" si="3"/>
        <v>-3.4475003109555417E-2</v>
      </c>
      <c r="I85" s="156"/>
    </row>
    <row r="86" spans="2:9" x14ac:dyDescent="0.2">
      <c r="B86" s="230">
        <v>45873</v>
      </c>
      <c r="C86" s="124">
        <v>416.85</v>
      </c>
      <c r="D86" s="156">
        <f t="shared" si="4"/>
        <v>6.5193770373054346E-3</v>
      </c>
      <c r="E86" s="156">
        <v>4.1237113402061897E-2</v>
      </c>
      <c r="F86" s="124">
        <v>80</v>
      </c>
      <c r="G86" s="238">
        <f t="shared" ca="1" si="3"/>
        <v>7.1351849465814306E-3</v>
      </c>
      <c r="I86" s="156"/>
    </row>
    <row r="87" spans="2:9" x14ac:dyDescent="0.2">
      <c r="B87" s="230">
        <v>45870</v>
      </c>
      <c r="C87" s="124">
        <v>416.45</v>
      </c>
      <c r="D87" s="156">
        <f t="shared" si="4"/>
        <v>-9.5957778577434108E-4</v>
      </c>
      <c r="E87" s="156">
        <v>4.1143216080401973E-2</v>
      </c>
      <c r="F87" s="124">
        <v>81</v>
      </c>
      <c r="G87" s="238">
        <f t="shared" ca="1" si="3"/>
        <v>3.2598496042667677E-3</v>
      </c>
      <c r="I87" s="156"/>
    </row>
    <row r="88" spans="2:9" x14ac:dyDescent="0.2">
      <c r="B88" s="230">
        <v>45869</v>
      </c>
      <c r="C88" s="124">
        <v>411.95</v>
      </c>
      <c r="D88" s="156">
        <f t="shared" si="4"/>
        <v>-1.0805618921839356E-2</v>
      </c>
      <c r="E88" s="156">
        <v>4.0951853901494223E-2</v>
      </c>
      <c r="F88" s="124">
        <v>82</v>
      </c>
      <c r="G88" s="238">
        <f t="shared" ca="1" si="3"/>
        <v>1.0839285869956529E-2</v>
      </c>
      <c r="I88" s="156"/>
    </row>
    <row r="89" spans="2:9" x14ac:dyDescent="0.2">
      <c r="B89" s="230">
        <v>45868</v>
      </c>
      <c r="C89" s="124">
        <v>407.6</v>
      </c>
      <c r="D89" s="156">
        <f t="shared" si="4"/>
        <v>-1.0559533924019824E-2</v>
      </c>
      <c r="E89" s="156">
        <v>4.0524781341107985E-2</v>
      </c>
      <c r="F89" s="124">
        <v>83</v>
      </c>
      <c r="G89" s="238">
        <f t="shared" ca="1" si="3"/>
        <v>3.5579963177888162E-2</v>
      </c>
      <c r="I89" s="156"/>
    </row>
    <row r="90" spans="2:9" x14ac:dyDescent="0.2">
      <c r="B90" s="230">
        <v>45867</v>
      </c>
      <c r="C90" s="124">
        <v>408.45</v>
      </c>
      <c r="D90" s="156">
        <f t="shared" si="4"/>
        <v>2.0853778213934392E-3</v>
      </c>
      <c r="E90" s="156">
        <v>4.0326107328044064E-2</v>
      </c>
      <c r="F90" s="124">
        <v>84</v>
      </c>
      <c r="G90" s="238">
        <f t="shared" ca="1" si="3"/>
        <v>1.9245307534180238E-2</v>
      </c>
      <c r="I90" s="156"/>
    </row>
    <row r="91" spans="2:9" x14ac:dyDescent="0.2">
      <c r="B91" s="230">
        <v>45866</v>
      </c>
      <c r="C91" s="124">
        <v>409.9</v>
      </c>
      <c r="D91" s="156">
        <f t="shared" si="4"/>
        <v>3.5500061207001804E-3</v>
      </c>
      <c r="E91" s="156">
        <v>4.0246617571501997E-2</v>
      </c>
      <c r="F91" s="124">
        <v>85</v>
      </c>
      <c r="G91" s="238">
        <f t="shared" ca="1" si="3"/>
        <v>-2.3274330526972462E-2</v>
      </c>
      <c r="I91" s="156"/>
    </row>
    <row r="92" spans="2:9" x14ac:dyDescent="0.2">
      <c r="B92" s="230">
        <v>45863</v>
      </c>
      <c r="C92" s="124">
        <v>409.4</v>
      </c>
      <c r="D92" s="156">
        <f t="shared" si="4"/>
        <v>-1.2198097096852891E-3</v>
      </c>
      <c r="E92" s="156">
        <v>4.0154304751884959E-2</v>
      </c>
      <c r="F92" s="124">
        <v>86</v>
      </c>
      <c r="G92" s="238">
        <f t="shared" ca="1" si="3"/>
        <v>-3.7664875752215567E-4</v>
      </c>
      <c r="I92" s="156"/>
    </row>
    <row r="93" spans="2:9" x14ac:dyDescent="0.2">
      <c r="B93" s="230">
        <v>45862</v>
      </c>
      <c r="C93" s="124">
        <v>409.95</v>
      </c>
      <c r="D93" s="156">
        <f t="shared" si="4"/>
        <v>1.343429408891088E-3</v>
      </c>
      <c r="E93" s="156">
        <v>4.0076335877862634E-2</v>
      </c>
      <c r="F93" s="124">
        <v>87</v>
      </c>
      <c r="G93" s="238">
        <f t="shared" ca="1" si="3"/>
        <v>2.76602881347409E-3</v>
      </c>
      <c r="I93" s="156"/>
    </row>
    <row r="94" spans="2:9" x14ac:dyDescent="0.2">
      <c r="B94" s="230">
        <v>45861</v>
      </c>
      <c r="C94" s="124">
        <v>414.95</v>
      </c>
      <c r="D94" s="156">
        <f t="shared" si="4"/>
        <v>1.2196609342602758E-2</v>
      </c>
      <c r="E94" s="156">
        <v>3.991331045692615E-2</v>
      </c>
      <c r="F94" s="124">
        <v>88</v>
      </c>
      <c r="G94" s="238">
        <f t="shared" ca="1" si="3"/>
        <v>1.1025547209505044E-2</v>
      </c>
      <c r="I94" s="156"/>
    </row>
    <row r="95" spans="2:9" x14ac:dyDescent="0.2">
      <c r="B95" s="230">
        <v>45860</v>
      </c>
      <c r="C95" s="124">
        <v>416</v>
      </c>
      <c r="D95" s="156">
        <f t="shared" si="4"/>
        <v>2.5304253524521302E-3</v>
      </c>
      <c r="E95" s="156">
        <v>3.9652280006100486E-2</v>
      </c>
      <c r="F95" s="124">
        <v>89</v>
      </c>
      <c r="G95" s="238">
        <f t="shared" ca="1" si="3"/>
        <v>-2.7844677031841E-3</v>
      </c>
      <c r="I95" s="156"/>
    </row>
    <row r="96" spans="2:9" x14ac:dyDescent="0.2">
      <c r="B96" s="230">
        <v>45859</v>
      </c>
      <c r="C96" s="124">
        <v>420.1</v>
      </c>
      <c r="D96" s="156">
        <f t="shared" si="4"/>
        <v>9.855769230769286E-3</v>
      </c>
      <c r="E96" s="156">
        <v>3.946854239937482E-2</v>
      </c>
      <c r="F96" s="124">
        <v>90</v>
      </c>
      <c r="G96" s="238">
        <f t="shared" ca="1" si="3"/>
        <v>5.1301483758949004E-3</v>
      </c>
      <c r="I96" s="156"/>
    </row>
    <row r="97" spans="2:9" x14ac:dyDescent="0.2">
      <c r="B97" s="230">
        <v>45856</v>
      </c>
      <c r="C97" s="124">
        <v>422.75</v>
      </c>
      <c r="D97" s="156">
        <f t="shared" si="4"/>
        <v>6.3080218995476721E-3</v>
      </c>
      <c r="E97" s="156">
        <v>3.9342337052260604E-2</v>
      </c>
      <c r="F97" s="124">
        <v>91</v>
      </c>
      <c r="G97" s="238">
        <f t="shared" ca="1" si="3"/>
        <v>-2.1115222549956097E-2</v>
      </c>
      <c r="I97" s="156"/>
    </row>
    <row r="98" spans="2:9" x14ac:dyDescent="0.2">
      <c r="B98" s="230">
        <v>45855</v>
      </c>
      <c r="C98" s="124">
        <v>423.95</v>
      </c>
      <c r="D98" s="156">
        <f t="shared" si="4"/>
        <v>2.8385570668243375E-3</v>
      </c>
      <c r="E98" s="156">
        <v>3.9265642562757656E-2</v>
      </c>
      <c r="F98" s="124">
        <v>92</v>
      </c>
      <c r="G98" s="238">
        <f t="shared" ca="1" si="3"/>
        <v>-3.9759969495569911E-2</v>
      </c>
      <c r="I98" s="156"/>
    </row>
    <row r="99" spans="2:9" x14ac:dyDescent="0.2">
      <c r="B99" s="230">
        <v>45854</v>
      </c>
      <c r="C99" s="124">
        <v>424.6</v>
      </c>
      <c r="D99" s="156">
        <f t="shared" si="4"/>
        <v>1.5331996697724593E-3</v>
      </c>
      <c r="E99" s="156">
        <v>3.9259855189058807E-2</v>
      </c>
      <c r="F99" s="124">
        <v>93</v>
      </c>
      <c r="G99" s="238">
        <f t="shared" ca="1" si="3"/>
        <v>3.0164365272940348E-3</v>
      </c>
      <c r="I99" s="156"/>
    </row>
    <row r="100" spans="2:9" x14ac:dyDescent="0.2">
      <c r="B100" s="230">
        <v>45853</v>
      </c>
      <c r="C100" s="124">
        <v>422.1</v>
      </c>
      <c r="D100" s="156">
        <f t="shared" si="4"/>
        <v>-5.8878944889307581E-3</v>
      </c>
      <c r="E100" s="156">
        <v>3.9055058106305905E-2</v>
      </c>
      <c r="F100" s="124">
        <v>94</v>
      </c>
      <c r="G100" s="238">
        <f t="shared" ca="1" si="3"/>
        <v>8.9810770462124701E-3</v>
      </c>
      <c r="I100" s="156"/>
    </row>
    <row r="101" spans="2:9" x14ac:dyDescent="0.2">
      <c r="B101" s="230">
        <v>45852</v>
      </c>
      <c r="C101" s="124">
        <v>419.4</v>
      </c>
      <c r="D101" s="156">
        <f t="shared" si="4"/>
        <v>-6.3965884861408324E-3</v>
      </c>
      <c r="E101" s="156">
        <v>3.8996286067993512E-2</v>
      </c>
      <c r="F101" s="124">
        <v>95</v>
      </c>
      <c r="G101" s="238">
        <f t="shared" ca="1" si="3"/>
        <v>-2.1262813518260135E-2</v>
      </c>
      <c r="I101" s="156"/>
    </row>
    <row r="102" spans="2:9" x14ac:dyDescent="0.2">
      <c r="B102" s="230">
        <v>45849</v>
      </c>
      <c r="C102" s="124">
        <v>416.8</v>
      </c>
      <c r="D102" s="156">
        <f t="shared" si="4"/>
        <v>-6.1993323795898093E-3</v>
      </c>
      <c r="E102" s="156">
        <v>3.8788788788788789E-2</v>
      </c>
      <c r="F102" s="124">
        <v>96</v>
      </c>
      <c r="G102" s="238">
        <f t="shared" ca="1" si="3"/>
        <v>-1.549500708698133E-3</v>
      </c>
      <c r="I102" s="156"/>
    </row>
    <row r="103" spans="2:9" x14ac:dyDescent="0.2">
      <c r="B103" s="230">
        <v>45848</v>
      </c>
      <c r="C103" s="124">
        <v>416.85</v>
      </c>
      <c r="D103" s="156">
        <f t="shared" si="4"/>
        <v>1.1996161228409637E-4</v>
      </c>
      <c r="E103" s="156">
        <v>3.8571428571428513E-2</v>
      </c>
      <c r="F103" s="124">
        <v>97</v>
      </c>
      <c r="G103" s="238">
        <f t="shared" ca="1" si="3"/>
        <v>-1.9251471025025613E-2</v>
      </c>
      <c r="I103" s="156"/>
    </row>
    <row r="104" spans="2:9" x14ac:dyDescent="0.2">
      <c r="B104" s="230">
        <v>45847</v>
      </c>
      <c r="C104" s="124">
        <v>419.45</v>
      </c>
      <c r="D104" s="156">
        <f t="shared" si="4"/>
        <v>6.2372556075326038E-3</v>
      </c>
      <c r="E104" s="156">
        <v>3.8336347197106775E-2</v>
      </c>
      <c r="F104" s="124">
        <v>98</v>
      </c>
      <c r="G104" s="238">
        <f t="shared" ca="1" si="3"/>
        <v>5.9137755543985631E-3</v>
      </c>
      <c r="I104" s="156"/>
    </row>
    <row r="105" spans="2:9" x14ac:dyDescent="0.2">
      <c r="B105" s="230">
        <v>45846</v>
      </c>
      <c r="C105" s="124">
        <v>417.2</v>
      </c>
      <c r="D105" s="156">
        <f t="shared" si="4"/>
        <v>-5.3641673620216952E-3</v>
      </c>
      <c r="E105" s="156">
        <v>3.7993180711154324E-2</v>
      </c>
      <c r="F105" s="124">
        <v>99</v>
      </c>
      <c r="G105" s="238">
        <f t="shared" ca="1" si="3"/>
        <v>-1.0109976137826904E-2</v>
      </c>
      <c r="I105" s="156"/>
    </row>
    <row r="106" spans="2:9" x14ac:dyDescent="0.2">
      <c r="B106" s="230">
        <v>45845</v>
      </c>
      <c r="C106" s="124">
        <v>416.15</v>
      </c>
      <c r="D106" s="156">
        <f t="shared" si="4"/>
        <v>-2.51677852348996E-3</v>
      </c>
      <c r="E106" s="156">
        <v>3.7752261656228282E-2</v>
      </c>
      <c r="F106" s="124">
        <v>100</v>
      </c>
      <c r="G106" s="238">
        <f t="shared" ca="1" si="3"/>
        <v>-2.5544015106968602E-3</v>
      </c>
      <c r="I106" s="156"/>
    </row>
    <row r="107" spans="2:9" x14ac:dyDescent="0.2">
      <c r="B107" s="230">
        <v>45842</v>
      </c>
      <c r="C107" s="124">
        <v>412.55</v>
      </c>
      <c r="D107" s="156">
        <f t="shared" si="4"/>
        <v>-8.6507269013576023E-3</v>
      </c>
      <c r="E107" s="156">
        <v>3.7646402677077563E-2</v>
      </c>
      <c r="F107" s="124">
        <v>101</v>
      </c>
      <c r="G107" s="238">
        <f t="shared" ca="1" si="3"/>
        <v>-6.0836178982880498E-4</v>
      </c>
      <c r="I107" s="156"/>
    </row>
    <row r="108" spans="2:9" x14ac:dyDescent="0.2">
      <c r="B108" s="230">
        <v>45841</v>
      </c>
      <c r="C108" s="124">
        <v>413.35</v>
      </c>
      <c r="D108" s="156">
        <f t="shared" si="4"/>
        <v>1.9391588898315631E-3</v>
      </c>
      <c r="E108" s="156">
        <v>3.7573385518591032E-2</v>
      </c>
      <c r="F108" s="124">
        <v>102</v>
      </c>
      <c r="G108" s="238">
        <f t="shared" ca="1" si="3"/>
        <v>-1.7648547270817244E-2</v>
      </c>
      <c r="I108" s="156"/>
    </row>
    <row r="109" spans="2:9" x14ac:dyDescent="0.2">
      <c r="B109" s="230">
        <v>45840</v>
      </c>
      <c r="C109" s="124">
        <v>412.95</v>
      </c>
      <c r="D109" s="156">
        <f t="shared" si="4"/>
        <v>-9.6770291520511446E-4</v>
      </c>
      <c r="E109" s="156">
        <v>3.7508973438621744E-2</v>
      </c>
      <c r="F109" s="124">
        <v>103</v>
      </c>
      <c r="G109" s="238">
        <f t="shared" ca="1" si="3"/>
        <v>-1.4332555651329086E-2</v>
      </c>
      <c r="I109" s="156"/>
    </row>
    <row r="110" spans="2:9" x14ac:dyDescent="0.2">
      <c r="B110" s="230">
        <v>45839</v>
      </c>
      <c r="C110" s="124">
        <v>415.1</v>
      </c>
      <c r="D110" s="156">
        <f t="shared" si="4"/>
        <v>5.2064414578036908E-3</v>
      </c>
      <c r="E110" s="156">
        <v>3.7469118858084051E-2</v>
      </c>
      <c r="F110" s="124">
        <v>104</v>
      </c>
      <c r="G110" s="238">
        <f t="shared" ca="1" si="3"/>
        <v>1.7403089728160294E-3</v>
      </c>
      <c r="I110" s="156"/>
    </row>
    <row r="111" spans="2:9" x14ac:dyDescent="0.2">
      <c r="B111" s="230">
        <v>45838</v>
      </c>
      <c r="C111" s="124">
        <v>416.45</v>
      </c>
      <c r="D111" s="156">
        <f t="shared" si="4"/>
        <v>3.2522283787038446E-3</v>
      </c>
      <c r="E111" s="156">
        <v>3.7468354430379727E-2</v>
      </c>
      <c r="F111" s="124">
        <v>105</v>
      </c>
      <c r="G111" s="238">
        <f t="shared" ca="1" si="3"/>
        <v>-4.2175985821760645E-2</v>
      </c>
      <c r="I111" s="156"/>
    </row>
    <row r="112" spans="2:9" x14ac:dyDescent="0.2">
      <c r="B112" s="230">
        <v>45835</v>
      </c>
      <c r="C112" s="124">
        <v>418.65</v>
      </c>
      <c r="D112" s="156">
        <f t="shared" si="4"/>
        <v>5.2827470284547698E-3</v>
      </c>
      <c r="E112" s="156">
        <v>3.7398980479920484E-2</v>
      </c>
      <c r="F112" s="124">
        <v>106</v>
      </c>
      <c r="G112" s="238">
        <f t="shared" ca="1" si="3"/>
        <v>9.6228847306800095E-5</v>
      </c>
      <c r="I112" s="156"/>
    </row>
    <row r="113" spans="2:9" x14ac:dyDescent="0.2">
      <c r="B113" s="230">
        <v>45834</v>
      </c>
      <c r="C113" s="124">
        <v>420.3</v>
      </c>
      <c r="D113" s="156">
        <f t="shared" si="4"/>
        <v>3.9412396990326868E-3</v>
      </c>
      <c r="E113" s="156">
        <v>3.7352821762078839E-2</v>
      </c>
      <c r="F113" s="124">
        <v>107</v>
      </c>
      <c r="G113" s="238">
        <f t="shared" ca="1" si="3"/>
        <v>-1.9443552063848759E-2</v>
      </c>
      <c r="I113" s="156"/>
    </row>
    <row r="114" spans="2:9" x14ac:dyDescent="0.2">
      <c r="B114" s="230">
        <v>45833</v>
      </c>
      <c r="C114" s="124">
        <v>416.35</v>
      </c>
      <c r="D114" s="156">
        <f t="shared" si="4"/>
        <v>-9.3980490126100123E-3</v>
      </c>
      <c r="E114" s="156">
        <v>3.7262238852510142E-2</v>
      </c>
      <c r="F114" s="124">
        <v>108</v>
      </c>
      <c r="G114" s="238">
        <f t="shared" ca="1" si="3"/>
        <v>2.2635368819841482E-2</v>
      </c>
      <c r="I114" s="156"/>
    </row>
    <row r="115" spans="2:9" x14ac:dyDescent="0.2">
      <c r="B115" s="230">
        <v>45832</v>
      </c>
      <c r="C115" s="124">
        <v>414.35</v>
      </c>
      <c r="D115" s="156">
        <f t="shared" si="4"/>
        <v>-4.803650774588687E-3</v>
      </c>
      <c r="E115" s="156">
        <v>3.7251026303785968E-2</v>
      </c>
      <c r="F115" s="124">
        <v>109</v>
      </c>
      <c r="G115" s="238">
        <f t="shared" ca="1" si="3"/>
        <v>5.1993143605632477E-3</v>
      </c>
      <c r="I115" s="156"/>
    </row>
    <row r="116" spans="2:9" x14ac:dyDescent="0.2">
      <c r="B116" s="230">
        <v>45831</v>
      </c>
      <c r="C116" s="124">
        <v>413.9</v>
      </c>
      <c r="D116" s="156">
        <f t="shared" si="4"/>
        <v>-1.0860383733559682E-3</v>
      </c>
      <c r="E116" s="156">
        <v>3.7148443374943586E-2</v>
      </c>
      <c r="F116" s="124">
        <v>110</v>
      </c>
      <c r="G116" s="238">
        <f t="shared" ca="1" si="3"/>
        <v>1.2377044556785604E-2</v>
      </c>
      <c r="I116" s="156"/>
    </row>
    <row r="117" spans="2:9" x14ac:dyDescent="0.2">
      <c r="B117" s="230">
        <v>45828</v>
      </c>
      <c r="C117" s="124">
        <v>418.55</v>
      </c>
      <c r="D117" s="156">
        <f t="shared" si="4"/>
        <v>1.1234597728920112E-2</v>
      </c>
      <c r="E117" s="156">
        <v>3.7075900664567986E-2</v>
      </c>
      <c r="F117" s="124">
        <v>111</v>
      </c>
      <c r="G117" s="238">
        <f t="shared" ca="1" si="3"/>
        <v>1.3931278181522544E-2</v>
      </c>
      <c r="I117" s="156"/>
    </row>
    <row r="118" spans="2:9" x14ac:dyDescent="0.2">
      <c r="B118" s="230">
        <v>45827</v>
      </c>
      <c r="C118" s="124">
        <v>416</v>
      </c>
      <c r="D118" s="156">
        <f t="shared" si="4"/>
        <v>-6.0924620714371313E-3</v>
      </c>
      <c r="E118" s="156">
        <v>3.6906043364600953E-2</v>
      </c>
      <c r="F118" s="124">
        <v>112</v>
      </c>
      <c r="G118" s="238">
        <f t="shared" ca="1" si="3"/>
        <v>7.4437371988429865E-4</v>
      </c>
      <c r="I118" s="156"/>
    </row>
    <row r="119" spans="2:9" x14ac:dyDescent="0.2">
      <c r="B119" s="230">
        <v>45826</v>
      </c>
      <c r="C119" s="124">
        <v>415.9</v>
      </c>
      <c r="D119" s="156">
        <f t="shared" si="4"/>
        <v>-2.4038461538467004E-4</v>
      </c>
      <c r="E119" s="156">
        <v>3.6887130898721421E-2</v>
      </c>
      <c r="F119" s="124">
        <v>113</v>
      </c>
      <c r="G119" s="238">
        <f t="shared" ca="1" si="3"/>
        <v>-5.4567981765731542E-3</v>
      </c>
      <c r="I119" s="156"/>
    </row>
    <row r="120" spans="2:9" x14ac:dyDescent="0.2">
      <c r="B120" s="230">
        <v>45825</v>
      </c>
      <c r="C120" s="124">
        <v>417.4</v>
      </c>
      <c r="D120" s="156">
        <f t="shared" si="4"/>
        <v>3.6066362106275548E-3</v>
      </c>
      <c r="E120" s="156">
        <v>3.6871123363197804E-2</v>
      </c>
      <c r="F120" s="124">
        <v>114</v>
      </c>
      <c r="G120" s="238">
        <f t="shared" ca="1" si="3"/>
        <v>1.4670838516018896E-2</v>
      </c>
      <c r="I120" s="156"/>
    </row>
    <row r="121" spans="2:9" x14ac:dyDescent="0.2">
      <c r="B121" s="230">
        <v>45824</v>
      </c>
      <c r="C121" s="124">
        <v>418.2</v>
      </c>
      <c r="D121" s="156">
        <f t="shared" si="4"/>
        <v>1.9166267369430078E-3</v>
      </c>
      <c r="E121" s="156">
        <v>3.6608863198458463E-2</v>
      </c>
      <c r="F121" s="124">
        <v>115</v>
      </c>
      <c r="G121" s="238">
        <f t="shared" ca="1" si="3"/>
        <v>-1.1020160172562349E-2</v>
      </c>
      <c r="I121" s="156"/>
    </row>
    <row r="122" spans="2:9" x14ac:dyDescent="0.2">
      <c r="B122" s="230">
        <v>45821</v>
      </c>
      <c r="C122" s="124">
        <v>413.9</v>
      </c>
      <c r="D122" s="156">
        <f t="shared" si="4"/>
        <v>-1.0282161645145891E-2</v>
      </c>
      <c r="E122" s="156">
        <v>3.6482598844166055E-2</v>
      </c>
      <c r="F122" s="124">
        <v>116</v>
      </c>
      <c r="G122" s="238">
        <f t="shared" ca="1" si="3"/>
        <v>3.4506760442453044E-2</v>
      </c>
      <c r="I122" s="156"/>
    </row>
    <row r="123" spans="2:9" x14ac:dyDescent="0.2">
      <c r="B123" s="230">
        <v>45820</v>
      </c>
      <c r="C123" s="124">
        <v>421</v>
      </c>
      <c r="D123" s="156">
        <f t="shared" si="4"/>
        <v>1.7153901908673649E-2</v>
      </c>
      <c r="E123" s="156">
        <v>3.6429236499068846E-2</v>
      </c>
      <c r="F123" s="124">
        <v>117</v>
      </c>
      <c r="G123" s="238">
        <f t="shared" ca="1" si="3"/>
        <v>-2.2742462351874042E-2</v>
      </c>
      <c r="I123" s="156"/>
    </row>
    <row r="124" spans="2:9" x14ac:dyDescent="0.2">
      <c r="B124" s="230">
        <v>45819</v>
      </c>
      <c r="C124" s="124">
        <v>426.15</v>
      </c>
      <c r="D124" s="156">
        <f t="shared" si="4"/>
        <v>1.223277909738712E-2</v>
      </c>
      <c r="E124" s="156">
        <v>3.6362776621902772E-2</v>
      </c>
      <c r="F124" s="124">
        <v>118</v>
      </c>
      <c r="G124" s="238">
        <f t="shared" ca="1" si="3"/>
        <v>-1.5004147645095398E-2</v>
      </c>
      <c r="I124" s="156"/>
    </row>
    <row r="125" spans="2:9" x14ac:dyDescent="0.2">
      <c r="B125" s="230">
        <v>45818</v>
      </c>
      <c r="C125" s="124">
        <v>427</v>
      </c>
      <c r="D125" s="156">
        <f t="shared" si="4"/>
        <v>1.9946028393758603E-3</v>
      </c>
      <c r="E125" s="156">
        <v>3.6259199425596716E-2</v>
      </c>
      <c r="F125" s="124">
        <v>119</v>
      </c>
      <c r="G125" s="238">
        <f t="shared" ca="1" si="3"/>
        <v>-1.4792870923163861E-2</v>
      </c>
      <c r="I125" s="156"/>
    </row>
    <row r="126" spans="2:9" x14ac:dyDescent="0.2">
      <c r="B126" s="230">
        <v>45817</v>
      </c>
      <c r="C126" s="124">
        <v>423.05</v>
      </c>
      <c r="D126" s="156">
        <f t="shared" si="4"/>
        <v>-9.250585480093651E-3</v>
      </c>
      <c r="E126" s="156">
        <v>3.6221518340655991E-2</v>
      </c>
      <c r="F126" s="124">
        <v>120</v>
      </c>
      <c r="G126" s="238">
        <f t="shared" ca="1" si="3"/>
        <v>-8.3487863406180602E-3</v>
      </c>
      <c r="I126" s="156"/>
    </row>
    <row r="127" spans="2:9" x14ac:dyDescent="0.2">
      <c r="B127" s="230">
        <v>45814</v>
      </c>
      <c r="C127" s="124">
        <v>421.05</v>
      </c>
      <c r="D127" s="156">
        <f t="shared" si="4"/>
        <v>-4.7275735728637275E-3</v>
      </c>
      <c r="E127" s="156">
        <v>3.6207618250313871E-2</v>
      </c>
      <c r="F127" s="124">
        <v>121</v>
      </c>
      <c r="G127" s="238">
        <f t="shared" ca="1" si="3"/>
        <v>-2.4880768992627367E-2</v>
      </c>
      <c r="I127" s="156"/>
    </row>
    <row r="128" spans="2:9" x14ac:dyDescent="0.2">
      <c r="B128" s="230">
        <v>45813</v>
      </c>
      <c r="C128" s="124">
        <v>419.1</v>
      </c>
      <c r="D128" s="156">
        <f t="shared" si="4"/>
        <v>-4.6312789454933823E-3</v>
      </c>
      <c r="E128" s="156">
        <v>3.5944121801914912E-2</v>
      </c>
      <c r="F128" s="124">
        <v>122</v>
      </c>
      <c r="G128" s="238">
        <f t="shared" ca="1" si="3"/>
        <v>1.183313015408383E-2</v>
      </c>
      <c r="I128" s="156"/>
    </row>
    <row r="129" spans="2:9" x14ac:dyDescent="0.2">
      <c r="B129" s="230">
        <v>45812</v>
      </c>
      <c r="C129" s="124">
        <v>417</v>
      </c>
      <c r="D129" s="156">
        <f t="shared" si="4"/>
        <v>-5.0107372942019149E-3</v>
      </c>
      <c r="E129" s="156">
        <v>3.5846072746441859E-2</v>
      </c>
      <c r="F129" s="124">
        <v>123</v>
      </c>
      <c r="G129" s="238">
        <f t="shared" ca="1" si="3"/>
        <v>8.1965067267257743E-3</v>
      </c>
      <c r="I129" s="156"/>
    </row>
    <row r="130" spans="2:9" x14ac:dyDescent="0.2">
      <c r="B130" s="230">
        <v>45811</v>
      </c>
      <c r="C130" s="124">
        <v>416.95</v>
      </c>
      <c r="D130" s="156">
        <f t="shared" si="4"/>
        <v>-1.1990407673863637E-4</v>
      </c>
      <c r="E130" s="156">
        <v>3.5790598290598385E-2</v>
      </c>
      <c r="F130" s="124">
        <v>124</v>
      </c>
      <c r="G130" s="238">
        <f t="shared" ca="1" si="3"/>
        <v>3.6818414773539089E-3</v>
      </c>
      <c r="I130" s="156"/>
    </row>
    <row r="131" spans="2:9" x14ac:dyDescent="0.2">
      <c r="B131" s="230">
        <v>45810</v>
      </c>
      <c r="C131" s="124">
        <v>419.3</v>
      </c>
      <c r="D131" s="156">
        <f t="shared" si="4"/>
        <v>5.636167406163863E-3</v>
      </c>
      <c r="E131" s="156">
        <v>3.5731414868105459E-2</v>
      </c>
      <c r="F131" s="124">
        <v>125</v>
      </c>
      <c r="G131" s="238">
        <f t="shared" ca="1" si="3"/>
        <v>-5.9978762011980548E-3</v>
      </c>
      <c r="I131" s="156"/>
    </row>
    <row r="132" spans="2:9" x14ac:dyDescent="0.2">
      <c r="B132" s="230">
        <v>45807</v>
      </c>
      <c r="C132" s="124">
        <v>418.05</v>
      </c>
      <c r="D132" s="156">
        <f t="shared" si="4"/>
        <v>-2.9811590746482231E-3</v>
      </c>
      <c r="E132" s="156">
        <v>3.5725007505253606E-2</v>
      </c>
      <c r="F132" s="124">
        <v>126</v>
      </c>
      <c r="G132" s="238">
        <f t="shared" ca="1" si="3"/>
        <v>-2.7994513573763448E-3</v>
      </c>
      <c r="I132" s="156"/>
    </row>
    <row r="133" spans="2:9" x14ac:dyDescent="0.2">
      <c r="B133" s="230">
        <v>45806</v>
      </c>
      <c r="C133" s="124">
        <v>418.75</v>
      </c>
      <c r="D133" s="156">
        <f t="shared" si="4"/>
        <v>1.6744408563568679E-3</v>
      </c>
      <c r="E133" s="156">
        <v>3.5518336702281168E-2</v>
      </c>
      <c r="F133" s="124">
        <v>127</v>
      </c>
      <c r="G133" s="238">
        <f t="shared" ca="1" si="3"/>
        <v>1.202425826291981E-2</v>
      </c>
      <c r="I133" s="156"/>
    </row>
    <row r="134" spans="2:9" x14ac:dyDescent="0.2">
      <c r="B134" s="230">
        <v>45805</v>
      </c>
      <c r="C134" s="124">
        <v>420.2</v>
      </c>
      <c r="D134" s="156">
        <f t="shared" si="4"/>
        <v>3.462686567164152E-3</v>
      </c>
      <c r="E134" s="156">
        <v>3.5410508535923119E-2</v>
      </c>
      <c r="F134" s="124">
        <v>128</v>
      </c>
      <c r="G134" s="238">
        <f t="shared" ca="1" si="3"/>
        <v>-1.0226433271777531E-2</v>
      </c>
      <c r="I134" s="156"/>
    </row>
    <row r="135" spans="2:9" x14ac:dyDescent="0.2">
      <c r="B135" s="230">
        <v>45804</v>
      </c>
      <c r="C135" s="124">
        <v>433.9</v>
      </c>
      <c r="D135" s="156">
        <f t="shared" si="4"/>
        <v>3.2603522132317916E-2</v>
      </c>
      <c r="E135" s="156">
        <v>3.5348360655737737E-2</v>
      </c>
      <c r="F135" s="124">
        <v>129</v>
      </c>
      <c r="G135" s="238">
        <f t="shared" ref="G135:G198" ca="1" si="5">_xlfn.NORM.INV(RAND(),$L$8,$L$9)</f>
        <v>6.7526143122068113E-3</v>
      </c>
      <c r="I135" s="156"/>
    </row>
    <row r="136" spans="2:9" x14ac:dyDescent="0.2">
      <c r="B136" s="230">
        <v>45803</v>
      </c>
      <c r="C136" s="124">
        <v>442.9</v>
      </c>
      <c r="D136" s="156">
        <f t="shared" ref="D136:D199" si="6">(C136-C135)/C135</f>
        <v>2.074210647614658E-2</v>
      </c>
      <c r="E136" s="156">
        <v>3.5345650099748362E-2</v>
      </c>
      <c r="F136" s="124">
        <v>130</v>
      </c>
      <c r="G136" s="238">
        <f t="shared" ca="1" si="5"/>
        <v>-1.8638161087891708E-2</v>
      </c>
      <c r="I136" s="156"/>
    </row>
    <row r="137" spans="2:9" x14ac:dyDescent="0.2">
      <c r="B137" s="230">
        <v>45800</v>
      </c>
      <c r="C137" s="124">
        <v>436.3</v>
      </c>
      <c r="D137" s="156">
        <f t="shared" si="6"/>
        <v>-1.4901783698351696E-2</v>
      </c>
      <c r="E137" s="156">
        <v>3.5285815102328859E-2</v>
      </c>
      <c r="F137" s="124">
        <v>131</v>
      </c>
      <c r="G137" s="238">
        <f t="shared" ca="1" si="5"/>
        <v>-8.2378172374718492E-3</v>
      </c>
      <c r="I137" s="156"/>
    </row>
    <row r="138" spans="2:9" x14ac:dyDescent="0.2">
      <c r="B138" s="230">
        <v>45799</v>
      </c>
      <c r="C138" s="124">
        <v>426.1</v>
      </c>
      <c r="D138" s="156">
        <f t="shared" si="6"/>
        <v>-2.3378409351363715E-2</v>
      </c>
      <c r="E138" s="156">
        <v>3.5247808194668079E-2</v>
      </c>
      <c r="F138" s="124">
        <v>132</v>
      </c>
      <c r="G138" s="238">
        <f t="shared" ca="1" si="5"/>
        <v>8.2733000278783601E-3</v>
      </c>
      <c r="I138" s="156"/>
    </row>
    <row r="139" spans="2:9" x14ac:dyDescent="0.2">
      <c r="B139" s="230">
        <v>45798</v>
      </c>
      <c r="C139" s="124">
        <v>433</v>
      </c>
      <c r="D139" s="156">
        <f t="shared" si="6"/>
        <v>1.6193381835249886E-2</v>
      </c>
      <c r="E139" s="156">
        <v>3.5118525021949079E-2</v>
      </c>
      <c r="F139" s="124">
        <v>133</v>
      </c>
      <c r="G139" s="238">
        <f t="shared" ca="1" si="5"/>
        <v>3.5520117097006822E-3</v>
      </c>
      <c r="I139" s="156"/>
    </row>
    <row r="140" spans="2:9" x14ac:dyDescent="0.2">
      <c r="B140" s="230">
        <v>45797</v>
      </c>
      <c r="C140" s="124">
        <v>434.9</v>
      </c>
      <c r="D140" s="156">
        <f t="shared" si="6"/>
        <v>4.387990762124659E-3</v>
      </c>
      <c r="E140" s="156">
        <v>3.5114699474561063E-2</v>
      </c>
      <c r="F140" s="124">
        <v>134</v>
      </c>
      <c r="G140" s="238">
        <f t="shared" ca="1" si="5"/>
        <v>-1.7717386991007559E-2</v>
      </c>
      <c r="I140" s="156"/>
    </row>
    <row r="141" spans="2:9" x14ac:dyDescent="0.2">
      <c r="B141" s="230">
        <v>45796</v>
      </c>
      <c r="C141" s="124">
        <v>435.35</v>
      </c>
      <c r="D141" s="156">
        <f t="shared" si="6"/>
        <v>1.0347206254312383E-3</v>
      </c>
      <c r="E141" s="156">
        <v>3.4961855201333741E-2</v>
      </c>
      <c r="F141" s="124">
        <v>135</v>
      </c>
      <c r="G141" s="238">
        <f t="shared" ca="1" si="5"/>
        <v>-6.5865280467429406E-3</v>
      </c>
      <c r="I141" s="156"/>
    </row>
    <row r="142" spans="2:9" x14ac:dyDescent="0.2">
      <c r="B142" s="230">
        <v>45793</v>
      </c>
      <c r="C142" s="124">
        <v>435.7</v>
      </c>
      <c r="D142" s="156">
        <f t="shared" si="6"/>
        <v>8.03950844148308E-4</v>
      </c>
      <c r="E142" s="156">
        <v>3.4836874950627983E-2</v>
      </c>
      <c r="F142" s="124">
        <v>136</v>
      </c>
      <c r="G142" s="238">
        <f t="shared" ca="1" si="5"/>
        <v>-2.1515328426106151E-2</v>
      </c>
      <c r="I142" s="156"/>
    </row>
    <row r="143" spans="2:9" x14ac:dyDescent="0.2">
      <c r="B143" s="230">
        <v>45792</v>
      </c>
      <c r="C143" s="124">
        <v>432.65</v>
      </c>
      <c r="D143" s="156">
        <f t="shared" si="6"/>
        <v>-7.0002295157218534E-3</v>
      </c>
      <c r="E143" s="156">
        <v>3.4744842562432168E-2</v>
      </c>
      <c r="F143" s="124">
        <v>137</v>
      </c>
      <c r="G143" s="238">
        <f t="shared" ca="1" si="5"/>
        <v>-2.8917314527042593E-2</v>
      </c>
      <c r="I143" s="156"/>
    </row>
    <row r="144" spans="2:9" x14ac:dyDescent="0.2">
      <c r="B144" s="230">
        <v>45791</v>
      </c>
      <c r="C144" s="124">
        <v>429.1</v>
      </c>
      <c r="D144" s="156">
        <f t="shared" si="6"/>
        <v>-8.2052467352362289E-3</v>
      </c>
      <c r="E144" s="156">
        <v>3.4662998624484243E-2</v>
      </c>
      <c r="F144" s="124">
        <v>138</v>
      </c>
      <c r="G144" s="238">
        <f t="shared" ca="1" si="5"/>
        <v>1.3539521154171402E-2</v>
      </c>
      <c r="I144" s="156"/>
    </row>
    <row r="145" spans="2:9" x14ac:dyDescent="0.2">
      <c r="B145" s="230">
        <v>45790</v>
      </c>
      <c r="C145" s="124">
        <v>427.9</v>
      </c>
      <c r="D145" s="156">
        <f t="shared" si="6"/>
        <v>-2.7965509205314506E-3</v>
      </c>
      <c r="E145" s="156">
        <v>3.4474954737477317E-2</v>
      </c>
      <c r="F145" s="124">
        <v>139</v>
      </c>
      <c r="G145" s="238">
        <f t="shared" ca="1" si="5"/>
        <v>-3.6311397380730422E-2</v>
      </c>
      <c r="I145" s="156"/>
    </row>
    <row r="146" spans="2:9" x14ac:dyDescent="0.2">
      <c r="B146" s="230">
        <v>45789</v>
      </c>
      <c r="C146" s="124">
        <v>435.5</v>
      </c>
      <c r="D146" s="156">
        <f t="shared" si="6"/>
        <v>1.7761159149334009E-2</v>
      </c>
      <c r="E146" s="156">
        <v>3.4234995773457289E-2</v>
      </c>
      <c r="F146" s="124">
        <v>140</v>
      </c>
      <c r="G146" s="238">
        <f t="shared" ca="1" si="5"/>
        <v>1.0974517371388534E-3</v>
      </c>
      <c r="I146" s="156"/>
    </row>
    <row r="147" spans="2:9" x14ac:dyDescent="0.2">
      <c r="B147" s="230">
        <v>45786</v>
      </c>
      <c r="C147" s="124">
        <v>423.55</v>
      </c>
      <c r="D147" s="156">
        <f t="shared" si="6"/>
        <v>-2.7439724454649803E-2</v>
      </c>
      <c r="E147" s="156">
        <v>3.4137291280148488E-2</v>
      </c>
      <c r="F147" s="124">
        <v>141</v>
      </c>
      <c r="G147" s="238">
        <f t="shared" ca="1" si="5"/>
        <v>-2.6239568129414075E-2</v>
      </c>
      <c r="I147" s="156"/>
    </row>
    <row r="148" spans="2:9" x14ac:dyDescent="0.2">
      <c r="B148" s="230">
        <v>45785</v>
      </c>
      <c r="C148" s="124">
        <v>430.6</v>
      </c>
      <c r="D148" s="156">
        <f t="shared" si="6"/>
        <v>1.6645024200212515E-2</v>
      </c>
      <c r="E148" s="156">
        <v>3.4134518279135481E-2</v>
      </c>
      <c r="F148" s="124">
        <v>142</v>
      </c>
      <c r="G148" s="238">
        <f t="shared" ca="1" si="5"/>
        <v>-1.1603021759518767E-2</v>
      </c>
      <c r="I148" s="156"/>
    </row>
    <row r="149" spans="2:9" x14ac:dyDescent="0.2">
      <c r="B149" s="230">
        <v>45784</v>
      </c>
      <c r="C149" s="124">
        <v>431.15</v>
      </c>
      <c r="D149" s="156">
        <f t="shared" si="6"/>
        <v>1.2772875058057467E-3</v>
      </c>
      <c r="E149" s="156">
        <v>3.4064080944350816E-2</v>
      </c>
      <c r="F149" s="124">
        <v>143</v>
      </c>
      <c r="G149" s="238">
        <f t="shared" ca="1" si="5"/>
        <v>-9.7164437538083525E-3</v>
      </c>
      <c r="I149" s="156"/>
    </row>
    <row r="150" spans="2:9" x14ac:dyDescent="0.2">
      <c r="B150" s="230">
        <v>45783</v>
      </c>
      <c r="C150" s="124">
        <v>435.55</v>
      </c>
      <c r="D150" s="156">
        <f t="shared" si="6"/>
        <v>1.0205264988983033E-2</v>
      </c>
      <c r="E150" s="156">
        <v>3.3866666666666635E-2</v>
      </c>
      <c r="F150" s="124">
        <v>144</v>
      </c>
      <c r="G150" s="238">
        <f t="shared" ca="1" si="5"/>
        <v>-3.3078012887790709E-3</v>
      </c>
      <c r="I150" s="156"/>
    </row>
    <row r="151" spans="2:9" x14ac:dyDescent="0.2">
      <c r="B151" s="230">
        <v>45782</v>
      </c>
      <c r="C151" s="124">
        <v>436.95</v>
      </c>
      <c r="D151" s="156">
        <f t="shared" si="6"/>
        <v>3.2143267133508831E-3</v>
      </c>
      <c r="E151" s="156">
        <v>3.361040838453197E-2</v>
      </c>
      <c r="F151" s="124">
        <v>145</v>
      </c>
      <c r="G151" s="238">
        <f t="shared" ca="1" si="5"/>
        <v>-1.3861852835451912E-2</v>
      </c>
      <c r="I151" s="156"/>
    </row>
    <row r="152" spans="2:9" x14ac:dyDescent="0.2">
      <c r="B152" s="230">
        <v>45779</v>
      </c>
      <c r="C152" s="124">
        <v>430.25</v>
      </c>
      <c r="D152" s="156">
        <f t="shared" si="6"/>
        <v>-1.5333562192470509E-2</v>
      </c>
      <c r="E152" s="156">
        <v>3.3500537441777098E-2</v>
      </c>
      <c r="F152" s="124">
        <v>146</v>
      </c>
      <c r="G152" s="238">
        <f t="shared" ca="1" si="5"/>
        <v>-7.6054203024409775E-3</v>
      </c>
      <c r="I152" s="156"/>
    </row>
    <row r="153" spans="2:9" x14ac:dyDescent="0.2">
      <c r="B153" s="230">
        <v>45777</v>
      </c>
      <c r="C153" s="124">
        <v>425.8</v>
      </c>
      <c r="D153" s="156">
        <f t="shared" si="6"/>
        <v>-1.0342823939569991E-2</v>
      </c>
      <c r="E153" s="156">
        <v>3.3340193455443604E-2</v>
      </c>
      <c r="F153" s="124">
        <v>147</v>
      </c>
      <c r="G153" s="238">
        <f t="shared" ca="1" si="5"/>
        <v>1.6237324919389427E-2</v>
      </c>
      <c r="I153" s="156"/>
    </row>
    <row r="154" spans="2:9" x14ac:dyDescent="0.2">
      <c r="B154" s="230">
        <v>45776</v>
      </c>
      <c r="C154" s="124">
        <v>426</v>
      </c>
      <c r="D154" s="156">
        <f t="shared" si="6"/>
        <v>4.697040864255252E-4</v>
      </c>
      <c r="E154" s="156">
        <v>3.3064602816295807E-2</v>
      </c>
      <c r="F154" s="124">
        <v>148</v>
      </c>
      <c r="G154" s="238">
        <f t="shared" ca="1" si="5"/>
        <v>-1.1009835802577085E-2</v>
      </c>
      <c r="I154" s="156"/>
    </row>
    <row r="155" spans="2:9" x14ac:dyDescent="0.2">
      <c r="B155" s="230">
        <v>45775</v>
      </c>
      <c r="C155" s="124">
        <v>428.8</v>
      </c>
      <c r="D155" s="156">
        <f t="shared" si="6"/>
        <v>6.5727699530516697E-3</v>
      </c>
      <c r="E155" s="156">
        <v>3.2979866398841512E-2</v>
      </c>
      <c r="F155" s="124">
        <v>149</v>
      </c>
      <c r="G155" s="238">
        <f t="shared" ca="1" si="5"/>
        <v>-1.7039832047842159E-3</v>
      </c>
      <c r="I155" s="156"/>
    </row>
    <row r="156" spans="2:9" x14ac:dyDescent="0.2">
      <c r="B156" s="230">
        <v>45772</v>
      </c>
      <c r="C156" s="124">
        <v>427.8</v>
      </c>
      <c r="D156" s="156">
        <f t="shared" si="6"/>
        <v>-2.3320895522388058E-3</v>
      </c>
      <c r="E156" s="156">
        <v>3.2942825673375309E-2</v>
      </c>
      <c r="F156" s="124">
        <v>150</v>
      </c>
      <c r="G156" s="238">
        <f t="shared" ca="1" si="5"/>
        <v>-2.2721531971622012E-2</v>
      </c>
      <c r="I156" s="156"/>
    </row>
    <row r="157" spans="2:9" x14ac:dyDescent="0.2">
      <c r="B157" s="230">
        <v>45771</v>
      </c>
      <c r="C157" s="124">
        <v>430.05</v>
      </c>
      <c r="D157" s="156">
        <f t="shared" si="6"/>
        <v>5.2594670406732116E-3</v>
      </c>
      <c r="E157" s="156">
        <v>3.2928208027134018E-2</v>
      </c>
      <c r="F157" s="124">
        <v>151</v>
      </c>
      <c r="G157" s="238">
        <f t="shared" ca="1" si="5"/>
        <v>2.385816127930988E-2</v>
      </c>
      <c r="I157" s="156"/>
    </row>
    <row r="158" spans="2:9" x14ac:dyDescent="0.2">
      <c r="B158" s="230">
        <v>45770</v>
      </c>
      <c r="C158" s="124">
        <v>430.85</v>
      </c>
      <c r="D158" s="156">
        <f t="shared" si="6"/>
        <v>1.8602488082781336E-3</v>
      </c>
      <c r="E158" s="156">
        <v>3.2837445573294675E-2</v>
      </c>
      <c r="F158" s="124">
        <v>152</v>
      </c>
      <c r="G158" s="238">
        <f t="shared" ca="1" si="5"/>
        <v>-1.6576153460960562E-3</v>
      </c>
      <c r="I158" s="156"/>
    </row>
    <row r="159" spans="2:9" x14ac:dyDescent="0.2">
      <c r="B159" s="230">
        <v>45769</v>
      </c>
      <c r="C159" s="124">
        <v>433.6</v>
      </c>
      <c r="D159" s="156">
        <f t="shared" si="6"/>
        <v>6.3827318092143431E-3</v>
      </c>
      <c r="E159" s="156">
        <v>3.2774533810510355E-2</v>
      </c>
      <c r="F159" s="124">
        <v>153</v>
      </c>
      <c r="G159" s="238">
        <f t="shared" ca="1" si="5"/>
        <v>1.4413468832493465E-3</v>
      </c>
      <c r="I159" s="156"/>
    </row>
    <row r="160" spans="2:9" x14ac:dyDescent="0.2">
      <c r="B160" s="230">
        <v>45768</v>
      </c>
      <c r="C160" s="124">
        <v>422.85</v>
      </c>
      <c r="D160" s="156">
        <f t="shared" si="6"/>
        <v>-2.4792435424354241E-2</v>
      </c>
      <c r="E160" s="156">
        <v>3.2603522132317916E-2</v>
      </c>
      <c r="F160" s="124">
        <v>154</v>
      </c>
      <c r="G160" s="238">
        <f t="shared" ca="1" si="5"/>
        <v>-8.9129183767371126E-3</v>
      </c>
      <c r="I160" s="156"/>
    </row>
    <row r="161" spans="2:9" x14ac:dyDescent="0.2">
      <c r="B161" s="230">
        <v>45764</v>
      </c>
      <c r="C161" s="124">
        <v>427.25</v>
      </c>
      <c r="D161" s="156">
        <f t="shared" si="6"/>
        <v>1.0405581175357637E-2</v>
      </c>
      <c r="E161" s="156">
        <v>3.2589285714285765E-2</v>
      </c>
      <c r="F161" s="124">
        <v>155</v>
      </c>
      <c r="G161" s="238">
        <f t="shared" ca="1" si="5"/>
        <v>2.8932393382443689E-2</v>
      </c>
      <c r="I161" s="156"/>
    </row>
    <row r="162" spans="2:9" x14ac:dyDescent="0.2">
      <c r="B162" s="230">
        <v>45763</v>
      </c>
      <c r="C162" s="124">
        <v>424.45</v>
      </c>
      <c r="D162" s="156">
        <f t="shared" si="6"/>
        <v>-6.5535400819192778E-3</v>
      </c>
      <c r="E162" s="156">
        <v>3.2254797711276539E-2</v>
      </c>
      <c r="F162" s="124">
        <v>156</v>
      </c>
      <c r="G162" s="238">
        <f t="shared" ca="1" si="5"/>
        <v>5.354571834254215E-3</v>
      </c>
      <c r="I162" s="156"/>
    </row>
    <row r="163" spans="2:9" x14ac:dyDescent="0.2">
      <c r="B163" s="230">
        <v>45762</v>
      </c>
      <c r="C163" s="124">
        <v>420.4</v>
      </c>
      <c r="D163" s="156">
        <f t="shared" si="6"/>
        <v>-9.5417599246083434E-3</v>
      </c>
      <c r="E163" s="156">
        <v>3.2140490390987368E-2</v>
      </c>
      <c r="F163" s="124">
        <v>157</v>
      </c>
      <c r="G163" s="238">
        <f t="shared" ca="1" si="5"/>
        <v>-2.0314356037500404E-2</v>
      </c>
      <c r="I163" s="156"/>
    </row>
    <row r="164" spans="2:9" x14ac:dyDescent="0.2">
      <c r="B164" s="230">
        <v>45758</v>
      </c>
      <c r="C164" s="124">
        <v>421.55</v>
      </c>
      <c r="D164" s="156">
        <f t="shared" si="6"/>
        <v>2.7354900095148292E-3</v>
      </c>
      <c r="E164" s="156">
        <v>3.2074705643524062E-2</v>
      </c>
      <c r="F164" s="124">
        <v>158</v>
      </c>
      <c r="G164" s="238">
        <f t="shared" ca="1" si="5"/>
        <v>-1.9358845746332176E-2</v>
      </c>
      <c r="I164" s="156"/>
    </row>
    <row r="165" spans="2:9" x14ac:dyDescent="0.2">
      <c r="B165" s="230">
        <v>45756</v>
      </c>
      <c r="C165" s="124">
        <v>416.3</v>
      </c>
      <c r="D165" s="156">
        <f t="shared" si="6"/>
        <v>-1.2454038666824813E-2</v>
      </c>
      <c r="E165" s="156">
        <v>3.2053818757419958E-2</v>
      </c>
      <c r="F165" s="124">
        <v>159</v>
      </c>
      <c r="G165" s="238">
        <f t="shared" ca="1" si="5"/>
        <v>1.0282131080935106E-2</v>
      </c>
      <c r="I165" s="156"/>
    </row>
    <row r="166" spans="2:9" x14ac:dyDescent="0.2">
      <c r="B166" s="230">
        <v>45755</v>
      </c>
      <c r="C166" s="124">
        <v>412.55</v>
      </c>
      <c r="D166" s="156">
        <f t="shared" si="6"/>
        <v>-9.007926975738649E-3</v>
      </c>
      <c r="E166" s="156">
        <v>3.1996101997726144E-2</v>
      </c>
      <c r="F166" s="124">
        <v>160</v>
      </c>
      <c r="G166" s="238">
        <f t="shared" ca="1" si="5"/>
        <v>1.3722025499857023E-3</v>
      </c>
      <c r="I166" s="156"/>
    </row>
    <row r="167" spans="2:9" x14ac:dyDescent="0.2">
      <c r="B167" s="230">
        <v>45754</v>
      </c>
      <c r="C167" s="124">
        <v>406.05</v>
      </c>
      <c r="D167" s="156">
        <f t="shared" si="6"/>
        <v>-1.5755665979881227E-2</v>
      </c>
      <c r="E167" s="156">
        <v>3.1850961538461432E-2</v>
      </c>
      <c r="F167" s="124">
        <v>161</v>
      </c>
      <c r="G167" s="238">
        <f t="shared" ca="1" si="5"/>
        <v>-2.7140421570787309E-3</v>
      </c>
      <c r="I167" s="156"/>
    </row>
    <row r="168" spans="2:9" x14ac:dyDescent="0.2">
      <c r="B168" s="230">
        <v>45751</v>
      </c>
      <c r="C168" s="124">
        <v>409.7</v>
      </c>
      <c r="D168" s="156">
        <f t="shared" si="6"/>
        <v>8.9890407585272187E-3</v>
      </c>
      <c r="E168" s="156">
        <v>3.1731640979147692E-2</v>
      </c>
      <c r="F168" s="124">
        <v>162</v>
      </c>
      <c r="G168" s="238">
        <f t="shared" ca="1" si="5"/>
        <v>-7.524187671742651E-3</v>
      </c>
      <c r="I168" s="156"/>
    </row>
    <row r="169" spans="2:9" x14ac:dyDescent="0.2">
      <c r="B169" s="230">
        <v>45750</v>
      </c>
      <c r="C169" s="124">
        <v>409.4</v>
      </c>
      <c r="D169" s="156">
        <f t="shared" si="6"/>
        <v>-7.3224310471079173E-4</v>
      </c>
      <c r="E169" s="156">
        <v>3.1714719271623504E-2</v>
      </c>
      <c r="F169" s="124">
        <v>163</v>
      </c>
      <c r="G169" s="238">
        <f t="shared" ca="1" si="5"/>
        <v>4.5760292159930868E-2</v>
      </c>
      <c r="I169" s="156"/>
    </row>
    <row r="170" spans="2:9" x14ac:dyDescent="0.2">
      <c r="B170" s="230">
        <v>45749</v>
      </c>
      <c r="C170" s="124">
        <v>409.05</v>
      </c>
      <c r="D170" s="156">
        <f t="shared" si="6"/>
        <v>-8.5490962383968222E-4</v>
      </c>
      <c r="E170" s="156">
        <v>3.1687308991474969E-2</v>
      </c>
      <c r="F170" s="124">
        <v>164</v>
      </c>
      <c r="G170" s="238">
        <f t="shared" ca="1" si="5"/>
        <v>1.8950249082407274E-2</v>
      </c>
      <c r="I170" s="156"/>
    </row>
    <row r="171" spans="2:9" x14ac:dyDescent="0.2">
      <c r="B171" s="230">
        <v>45748</v>
      </c>
      <c r="C171" s="124">
        <v>406.65</v>
      </c>
      <c r="D171" s="156">
        <f t="shared" si="6"/>
        <v>-5.8672533920059505E-3</v>
      </c>
      <c r="E171" s="156">
        <v>3.1682128478907667E-2</v>
      </c>
      <c r="F171" s="124">
        <v>165</v>
      </c>
      <c r="G171" s="238">
        <f t="shared" ca="1" si="5"/>
        <v>1.8753163935290372E-3</v>
      </c>
      <c r="I171" s="156"/>
    </row>
    <row r="172" spans="2:9" x14ac:dyDescent="0.2">
      <c r="B172" s="230">
        <v>45744</v>
      </c>
      <c r="C172" s="124">
        <v>409.75</v>
      </c>
      <c r="D172" s="156">
        <f t="shared" si="6"/>
        <v>7.6232632484938469E-3</v>
      </c>
      <c r="E172" s="156">
        <v>3.1639004149377564E-2</v>
      </c>
      <c r="F172" s="124">
        <v>166</v>
      </c>
      <c r="G172" s="238">
        <f t="shared" ca="1" si="5"/>
        <v>1.158702544856819E-2</v>
      </c>
      <c r="I172" s="156"/>
    </row>
    <row r="173" spans="2:9" x14ac:dyDescent="0.2">
      <c r="B173" s="230">
        <v>45743</v>
      </c>
      <c r="C173" s="124">
        <v>409.45</v>
      </c>
      <c r="D173" s="156">
        <f t="shared" si="6"/>
        <v>-7.3215375228800818E-4</v>
      </c>
      <c r="E173" s="156">
        <v>3.1498470948012045E-2</v>
      </c>
      <c r="F173" s="124">
        <v>167</v>
      </c>
      <c r="G173" s="238">
        <f t="shared" ca="1" si="5"/>
        <v>2.0279102465607535E-2</v>
      </c>
      <c r="I173" s="156"/>
    </row>
    <row r="174" spans="2:9" x14ac:dyDescent="0.2">
      <c r="B174" s="230">
        <v>45742</v>
      </c>
      <c r="C174" s="124">
        <v>407.35</v>
      </c>
      <c r="D174" s="156">
        <f t="shared" si="6"/>
        <v>-5.1288313591402266E-3</v>
      </c>
      <c r="E174" s="156">
        <v>3.1468531468531562E-2</v>
      </c>
      <c r="F174" s="124">
        <v>168</v>
      </c>
      <c r="G174" s="238">
        <f t="shared" ca="1" si="5"/>
        <v>8.5553264027329375E-3</v>
      </c>
      <c r="I174" s="156"/>
    </row>
    <row r="175" spans="2:9" x14ac:dyDescent="0.2">
      <c r="B175" s="230">
        <v>45741</v>
      </c>
      <c r="C175" s="124">
        <v>409.8</v>
      </c>
      <c r="D175" s="156">
        <f t="shared" si="6"/>
        <v>6.014483859089207E-3</v>
      </c>
      <c r="E175" s="156">
        <v>3.1460296096904518E-2</v>
      </c>
      <c r="F175" s="124">
        <v>169</v>
      </c>
      <c r="G175" s="238">
        <f t="shared" ca="1" si="5"/>
        <v>-2.4211624109333096E-2</v>
      </c>
      <c r="I175" s="156"/>
    </row>
    <row r="176" spans="2:9" x14ac:dyDescent="0.2">
      <c r="B176" s="230">
        <v>45740</v>
      </c>
      <c r="C176" s="124">
        <v>410.9</v>
      </c>
      <c r="D176" s="156">
        <f t="shared" si="6"/>
        <v>2.684236212786642E-3</v>
      </c>
      <c r="E176" s="156">
        <v>3.1397903989181908E-2</v>
      </c>
      <c r="F176" s="124">
        <v>170</v>
      </c>
      <c r="G176" s="238">
        <f t="shared" ca="1" si="5"/>
        <v>-3.6928575322905054E-4</v>
      </c>
      <c r="I176" s="156"/>
    </row>
    <row r="177" spans="2:9" x14ac:dyDescent="0.2">
      <c r="B177" s="230">
        <v>45737</v>
      </c>
      <c r="C177" s="124">
        <v>405.55</v>
      </c>
      <c r="D177" s="156">
        <f t="shared" si="6"/>
        <v>-1.3020199561937128E-2</v>
      </c>
      <c r="E177" s="156">
        <v>3.1388712745719784E-2</v>
      </c>
      <c r="F177" s="124">
        <v>171</v>
      </c>
      <c r="G177" s="238">
        <f t="shared" ca="1" si="5"/>
        <v>-2.4912280668363922E-3</v>
      </c>
      <c r="I177" s="156"/>
    </row>
    <row r="178" spans="2:9" x14ac:dyDescent="0.2">
      <c r="B178" s="230">
        <v>45736</v>
      </c>
      <c r="C178" s="124">
        <v>403.95</v>
      </c>
      <c r="D178" s="156">
        <f t="shared" si="6"/>
        <v>-3.9452595241031259E-3</v>
      </c>
      <c r="E178" s="156">
        <v>3.1142435666284194E-2</v>
      </c>
      <c r="F178" s="124">
        <v>172</v>
      </c>
      <c r="G178" s="238">
        <f t="shared" ca="1" si="5"/>
        <v>-3.2526706355982568E-3</v>
      </c>
      <c r="I178" s="156"/>
    </row>
    <row r="179" spans="2:9" x14ac:dyDescent="0.2">
      <c r="B179" s="230">
        <v>45735</v>
      </c>
      <c r="C179" s="124">
        <v>403.05</v>
      </c>
      <c r="D179" s="156">
        <f t="shared" si="6"/>
        <v>-2.2279985146676008E-3</v>
      </c>
      <c r="E179" s="156">
        <v>3.094668729779157E-2</v>
      </c>
      <c r="F179" s="124">
        <v>173</v>
      </c>
      <c r="G179" s="238">
        <f t="shared" ca="1" si="5"/>
        <v>-2.8853946720241576E-3</v>
      </c>
      <c r="I179" s="156"/>
    </row>
    <row r="180" spans="2:9" x14ac:dyDescent="0.2">
      <c r="B180" s="230">
        <v>45734</v>
      </c>
      <c r="C180" s="124">
        <v>409.1</v>
      </c>
      <c r="D180" s="156">
        <f t="shared" si="6"/>
        <v>1.5010544597444513E-2</v>
      </c>
      <c r="E180" s="156">
        <v>3.092388702728582E-2</v>
      </c>
      <c r="F180" s="124">
        <v>174</v>
      </c>
      <c r="G180" s="238">
        <f t="shared" ca="1" si="5"/>
        <v>-5.8772809644386064E-4</v>
      </c>
      <c r="I180" s="156"/>
    </row>
    <row r="181" spans="2:9" x14ac:dyDescent="0.2">
      <c r="B181" s="230">
        <v>45733</v>
      </c>
      <c r="C181" s="124">
        <v>407.95</v>
      </c>
      <c r="D181" s="156">
        <f t="shared" si="6"/>
        <v>-2.8110486433635638E-3</v>
      </c>
      <c r="E181" s="156">
        <v>3.0861943024105276E-2</v>
      </c>
      <c r="F181" s="124">
        <v>175</v>
      </c>
      <c r="G181" s="238">
        <f t="shared" ca="1" si="5"/>
        <v>-1.172650580796277E-2</v>
      </c>
      <c r="I181" s="156"/>
    </row>
    <row r="182" spans="2:9" x14ac:dyDescent="0.2">
      <c r="B182" s="230">
        <v>45729</v>
      </c>
      <c r="C182" s="124">
        <v>412.05</v>
      </c>
      <c r="D182" s="156">
        <f t="shared" si="6"/>
        <v>1.0050251256281463E-2</v>
      </c>
      <c r="E182" s="156">
        <v>3.0746425668244665E-2</v>
      </c>
      <c r="F182" s="124">
        <v>176</v>
      </c>
      <c r="G182" s="238">
        <f t="shared" ca="1" si="5"/>
        <v>1.8222397412751074E-2</v>
      </c>
      <c r="I182" s="156"/>
    </row>
    <row r="183" spans="2:9" x14ac:dyDescent="0.2">
      <c r="B183" s="230">
        <v>45728</v>
      </c>
      <c r="C183" s="124">
        <v>412.4</v>
      </c>
      <c r="D183" s="156">
        <f t="shared" si="6"/>
        <v>8.49411479189336E-4</v>
      </c>
      <c r="E183" s="156">
        <v>3.0728122912491804E-2</v>
      </c>
      <c r="F183" s="124">
        <v>177</v>
      </c>
      <c r="G183" s="238">
        <f t="shared" ca="1" si="5"/>
        <v>2.4603651982506233E-2</v>
      </c>
      <c r="I183" s="156"/>
    </row>
    <row r="184" spans="2:9" x14ac:dyDescent="0.2">
      <c r="B184" s="230">
        <v>45727</v>
      </c>
      <c r="C184" s="124">
        <v>406.2</v>
      </c>
      <c r="D184" s="156">
        <f t="shared" si="6"/>
        <v>-1.5033947623666317E-2</v>
      </c>
      <c r="E184" s="156">
        <v>3.0620395846276762E-2</v>
      </c>
      <c r="F184" s="124">
        <v>178</v>
      </c>
      <c r="G184" s="238">
        <f t="shared" ca="1" si="5"/>
        <v>-1.1112624466624916E-2</v>
      </c>
      <c r="I184" s="156"/>
    </row>
    <row r="185" spans="2:9" x14ac:dyDescent="0.2">
      <c r="B185" s="230">
        <v>45726</v>
      </c>
      <c r="C185" s="124">
        <v>405</v>
      </c>
      <c r="D185" s="156">
        <f t="shared" si="6"/>
        <v>-2.9542097488921434E-3</v>
      </c>
      <c r="E185" s="156">
        <v>3.0536912751677855E-2</v>
      </c>
      <c r="F185" s="124">
        <v>179</v>
      </c>
      <c r="G185" s="238">
        <f t="shared" ca="1" si="5"/>
        <v>-1.4083150575042953E-2</v>
      </c>
      <c r="I185" s="156"/>
    </row>
    <row r="186" spans="2:9" x14ac:dyDescent="0.2">
      <c r="B186" s="230">
        <v>45723</v>
      </c>
      <c r="C186" s="124">
        <v>403.9</v>
      </c>
      <c r="D186" s="156">
        <f t="shared" si="6"/>
        <v>-2.7160493827161057E-3</v>
      </c>
      <c r="E186" s="156">
        <v>3.0468169432747189E-2</v>
      </c>
      <c r="F186" s="124">
        <v>180</v>
      </c>
      <c r="G186" s="238">
        <f t="shared" ca="1" si="5"/>
        <v>-1.6858220330803014E-2</v>
      </c>
      <c r="I186" s="156"/>
    </row>
    <row r="187" spans="2:9" x14ac:dyDescent="0.2">
      <c r="B187" s="230">
        <v>45722</v>
      </c>
      <c r="C187" s="124">
        <v>405.7</v>
      </c>
      <c r="D187" s="156">
        <f t="shared" si="6"/>
        <v>4.4565486506561317E-3</v>
      </c>
      <c r="E187" s="156">
        <v>3.0420579828501382E-2</v>
      </c>
      <c r="F187" s="124">
        <v>181</v>
      </c>
      <c r="G187" s="238">
        <f t="shared" ca="1" si="5"/>
        <v>-1.581517938887431E-2</v>
      </c>
      <c r="I187" s="156"/>
    </row>
    <row r="188" spans="2:9" x14ac:dyDescent="0.2">
      <c r="B188" s="230">
        <v>45721</v>
      </c>
      <c r="C188" s="124">
        <v>405.05</v>
      </c>
      <c r="D188" s="156">
        <f t="shared" si="6"/>
        <v>-1.6021690904608756E-3</v>
      </c>
      <c r="E188" s="156">
        <v>3.0022164013701343E-2</v>
      </c>
      <c r="F188" s="124">
        <v>182</v>
      </c>
      <c r="G188" s="238">
        <f t="shared" ca="1" si="5"/>
        <v>-3.0232582037063929E-2</v>
      </c>
      <c r="I188" s="156"/>
    </row>
    <row r="189" spans="2:9" x14ac:dyDescent="0.2">
      <c r="B189" s="230">
        <v>45720</v>
      </c>
      <c r="C189" s="124">
        <v>394.85</v>
      </c>
      <c r="D189" s="156">
        <f t="shared" si="6"/>
        <v>-2.5182076286878134E-2</v>
      </c>
      <c r="E189" s="156">
        <v>2.9904306220095694E-2</v>
      </c>
      <c r="F189" s="124">
        <v>183</v>
      </c>
      <c r="G189" s="238">
        <f t="shared" ca="1" si="5"/>
        <v>1.0409441747767536E-2</v>
      </c>
      <c r="I189" s="156"/>
    </row>
    <row r="190" spans="2:9" x14ac:dyDescent="0.2">
      <c r="B190" s="230">
        <v>45719</v>
      </c>
      <c r="C190" s="124">
        <v>397.45</v>
      </c>
      <c r="D190" s="156">
        <f t="shared" si="6"/>
        <v>6.5847790300113101E-3</v>
      </c>
      <c r="E190" s="156">
        <v>2.9864321988933507E-2</v>
      </c>
      <c r="F190" s="124">
        <v>184</v>
      </c>
      <c r="G190" s="238">
        <f t="shared" ca="1" si="5"/>
        <v>9.8752636225153696E-3</v>
      </c>
      <c r="I190" s="156"/>
    </row>
    <row r="191" spans="2:9" x14ac:dyDescent="0.2">
      <c r="B191" s="230">
        <v>45716</v>
      </c>
      <c r="C191" s="124">
        <v>395</v>
      </c>
      <c r="D191" s="156">
        <f t="shared" si="6"/>
        <v>-6.1642973958988267E-3</v>
      </c>
      <c r="E191" s="156">
        <v>2.9713423831070875E-2</v>
      </c>
      <c r="F191" s="124">
        <v>185</v>
      </c>
      <c r="G191" s="238">
        <f t="shared" ca="1" si="5"/>
        <v>1.3627735831611355E-3</v>
      </c>
      <c r="I191" s="156"/>
    </row>
    <row r="192" spans="2:9" x14ac:dyDescent="0.2">
      <c r="B192" s="230">
        <v>45715</v>
      </c>
      <c r="C192" s="124">
        <v>401.6</v>
      </c>
      <c r="D192" s="156">
        <f t="shared" si="6"/>
        <v>1.6708860759493727E-2</v>
      </c>
      <c r="E192" s="156">
        <v>2.9593094944513048E-2</v>
      </c>
      <c r="F192" s="124">
        <v>186</v>
      </c>
      <c r="G192" s="238">
        <f t="shared" ca="1" si="5"/>
        <v>2.5673391574858623E-2</v>
      </c>
      <c r="I192" s="156"/>
    </row>
    <row r="193" spans="2:9" x14ac:dyDescent="0.2">
      <c r="B193" s="230">
        <v>45713</v>
      </c>
      <c r="C193" s="124">
        <v>404.85</v>
      </c>
      <c r="D193" s="156">
        <f t="shared" si="6"/>
        <v>8.0926294820717129E-3</v>
      </c>
      <c r="E193" s="156">
        <v>2.9544226265537751E-2</v>
      </c>
      <c r="F193" s="124">
        <v>187</v>
      </c>
      <c r="G193" s="238">
        <f t="shared" ca="1" si="5"/>
        <v>2.095658556365302E-2</v>
      </c>
      <c r="I193" s="156"/>
    </row>
    <row r="194" spans="2:9" x14ac:dyDescent="0.2">
      <c r="B194" s="230">
        <v>45712</v>
      </c>
      <c r="C194" s="124">
        <v>401.9</v>
      </c>
      <c r="D194" s="156">
        <f t="shared" si="6"/>
        <v>-7.286649376312326E-3</v>
      </c>
      <c r="E194" s="156">
        <v>2.9526087606518078E-2</v>
      </c>
      <c r="F194" s="124">
        <v>188</v>
      </c>
      <c r="G194" s="238">
        <f t="shared" ca="1" si="5"/>
        <v>-3.4004073923197271E-2</v>
      </c>
      <c r="I194" s="156"/>
    </row>
    <row r="195" spans="2:9" x14ac:dyDescent="0.2">
      <c r="B195" s="230">
        <v>45709</v>
      </c>
      <c r="C195" s="124">
        <v>400.9</v>
      </c>
      <c r="D195" s="156">
        <f t="shared" si="6"/>
        <v>-2.4881811395869621E-3</v>
      </c>
      <c r="E195" s="156">
        <v>2.9497172550817553E-2</v>
      </c>
      <c r="F195" s="124">
        <v>189</v>
      </c>
      <c r="G195" s="238">
        <f t="shared" ca="1" si="5"/>
        <v>7.8616569192143065E-4</v>
      </c>
      <c r="I195" s="156"/>
    </row>
    <row r="196" spans="2:9" x14ac:dyDescent="0.2">
      <c r="B196" s="230">
        <v>45708</v>
      </c>
      <c r="C196" s="124">
        <v>402.05</v>
      </c>
      <c r="D196" s="156">
        <f t="shared" si="6"/>
        <v>2.868545772013056E-3</v>
      </c>
      <c r="E196" s="156">
        <v>2.9496524834717663E-2</v>
      </c>
      <c r="F196" s="124">
        <v>190</v>
      </c>
      <c r="G196" s="238">
        <f t="shared" ca="1" si="5"/>
        <v>6.7542705288887468E-3</v>
      </c>
      <c r="I196" s="156"/>
    </row>
    <row r="197" spans="2:9" x14ac:dyDescent="0.2">
      <c r="B197" s="230">
        <v>45707</v>
      </c>
      <c r="C197" s="124">
        <v>406.4</v>
      </c>
      <c r="D197" s="156">
        <f t="shared" si="6"/>
        <v>1.0819549807237821E-2</v>
      </c>
      <c r="E197" s="156">
        <v>2.9454722492697094E-2</v>
      </c>
      <c r="F197" s="124">
        <v>191</v>
      </c>
      <c r="G197" s="238">
        <f t="shared" ca="1" si="5"/>
        <v>4.04556575137142E-3</v>
      </c>
      <c r="I197" s="156"/>
    </row>
    <row r="198" spans="2:9" x14ac:dyDescent="0.2">
      <c r="B198" s="230">
        <v>45706</v>
      </c>
      <c r="C198" s="124">
        <v>405.25</v>
      </c>
      <c r="D198" s="156">
        <f t="shared" si="6"/>
        <v>-2.8297244094487631E-3</v>
      </c>
      <c r="E198" s="156">
        <v>2.9390368107085639E-2</v>
      </c>
      <c r="F198" s="124">
        <v>192</v>
      </c>
      <c r="G198" s="238">
        <f t="shared" ca="1" si="5"/>
        <v>4.7288922682901299E-3</v>
      </c>
      <c r="I198" s="156"/>
    </row>
    <row r="199" spans="2:9" x14ac:dyDescent="0.2">
      <c r="B199" s="230">
        <v>45705</v>
      </c>
      <c r="C199" s="124">
        <v>408.6</v>
      </c>
      <c r="D199" s="156">
        <f t="shared" si="6"/>
        <v>8.2665021591610682E-3</v>
      </c>
      <c r="E199" s="156">
        <v>2.9255619563989713E-2</v>
      </c>
      <c r="F199" s="124">
        <v>193</v>
      </c>
      <c r="G199" s="238">
        <f t="shared" ref="G199:G262" ca="1" si="7">_xlfn.NORM.INV(RAND(),$L$8,$L$9)</f>
        <v>-9.1169405900717419E-3</v>
      </c>
      <c r="I199" s="156"/>
    </row>
    <row r="200" spans="2:9" x14ac:dyDescent="0.2">
      <c r="B200" s="230">
        <v>45702</v>
      </c>
      <c r="C200" s="124">
        <v>410.25</v>
      </c>
      <c r="D200" s="156">
        <f t="shared" ref="D200:D263" si="8">(C200-C199)/C199</f>
        <v>4.0381791483112507E-3</v>
      </c>
      <c r="E200" s="156">
        <v>2.9208434151399891E-2</v>
      </c>
      <c r="F200" s="124">
        <v>194</v>
      </c>
      <c r="G200" s="238">
        <f t="shared" ca="1" si="7"/>
        <v>2.0991281275862136E-2</v>
      </c>
      <c r="I200" s="156"/>
    </row>
    <row r="201" spans="2:9" x14ac:dyDescent="0.2">
      <c r="B201" s="230">
        <v>45701</v>
      </c>
      <c r="C201" s="124">
        <v>409.7</v>
      </c>
      <c r="D201" s="156">
        <f t="shared" si="8"/>
        <v>-1.3406459475929589E-3</v>
      </c>
      <c r="E201" s="156">
        <v>2.9118503485396605E-2</v>
      </c>
      <c r="F201" s="124">
        <v>195</v>
      </c>
      <c r="G201" s="238">
        <f t="shared" ca="1" si="7"/>
        <v>-6.8635358853026945E-3</v>
      </c>
      <c r="I201" s="156"/>
    </row>
    <row r="202" spans="2:9" x14ac:dyDescent="0.2">
      <c r="B202" s="230">
        <v>45700</v>
      </c>
      <c r="C202" s="124">
        <v>409.9</v>
      </c>
      <c r="D202" s="156">
        <f t="shared" si="8"/>
        <v>4.8816206980714823E-4</v>
      </c>
      <c r="E202" s="156">
        <v>2.8977141537750991E-2</v>
      </c>
      <c r="F202" s="124">
        <v>196</v>
      </c>
      <c r="G202" s="238">
        <f t="shared" ca="1" si="7"/>
        <v>1.0490426954224466E-2</v>
      </c>
      <c r="I202" s="156"/>
    </row>
    <row r="203" spans="2:9" x14ac:dyDescent="0.2">
      <c r="B203" s="230">
        <v>45699</v>
      </c>
      <c r="C203" s="124">
        <v>418.3</v>
      </c>
      <c r="D203" s="156">
        <f t="shared" si="8"/>
        <v>2.0492803122712941E-2</v>
      </c>
      <c r="E203" s="156">
        <v>2.8951939779965258E-2</v>
      </c>
      <c r="F203" s="124">
        <v>197</v>
      </c>
      <c r="G203" s="238">
        <f t="shared" ca="1" si="7"/>
        <v>-4.1753902025091572E-3</v>
      </c>
      <c r="I203" s="156"/>
    </row>
    <row r="204" spans="2:9" x14ac:dyDescent="0.2">
      <c r="B204" s="230">
        <v>45698</v>
      </c>
      <c r="C204" s="124">
        <v>427.2</v>
      </c>
      <c r="D204" s="156">
        <f t="shared" si="8"/>
        <v>2.1276595744680795E-2</v>
      </c>
      <c r="E204" s="156">
        <v>2.8941884695531373E-2</v>
      </c>
      <c r="F204" s="124">
        <v>198</v>
      </c>
      <c r="G204" s="238">
        <f t="shared" ca="1" si="7"/>
        <v>2.3144961940029945E-2</v>
      </c>
      <c r="I204" s="156"/>
    </row>
    <row r="205" spans="2:9" x14ac:dyDescent="0.2">
      <c r="B205" s="230">
        <v>45695</v>
      </c>
      <c r="C205" s="124">
        <v>430.85</v>
      </c>
      <c r="D205" s="156">
        <f t="shared" si="8"/>
        <v>8.544007490636784E-3</v>
      </c>
      <c r="E205" s="156">
        <v>2.88927065438075E-2</v>
      </c>
      <c r="F205" s="124">
        <v>199</v>
      </c>
      <c r="G205" s="238">
        <f t="shared" ca="1" si="7"/>
        <v>-1.7856591729750276E-2</v>
      </c>
      <c r="I205" s="156"/>
    </row>
    <row r="206" spans="2:9" x14ac:dyDescent="0.2">
      <c r="B206" s="230">
        <v>45694</v>
      </c>
      <c r="C206" s="124">
        <v>441.1</v>
      </c>
      <c r="D206" s="156">
        <f t="shared" si="8"/>
        <v>2.3790182197980736E-2</v>
      </c>
      <c r="E206" s="156">
        <v>2.876541004109328E-2</v>
      </c>
      <c r="F206" s="124">
        <v>200</v>
      </c>
      <c r="G206" s="238">
        <f t="shared" ca="1" si="7"/>
        <v>-2.3452335742837706E-2</v>
      </c>
      <c r="I206" s="156"/>
    </row>
    <row r="207" spans="2:9" x14ac:dyDescent="0.2">
      <c r="B207" s="230">
        <v>45693</v>
      </c>
      <c r="C207" s="124">
        <v>448.15</v>
      </c>
      <c r="D207" s="156">
        <f t="shared" si="8"/>
        <v>1.598277034686002E-2</v>
      </c>
      <c r="E207" s="156">
        <v>2.8738212842388887E-2</v>
      </c>
      <c r="F207" s="124">
        <v>201</v>
      </c>
      <c r="G207" s="238">
        <f t="shared" ca="1" si="7"/>
        <v>-4.0438103351092373E-2</v>
      </c>
      <c r="I207" s="156"/>
    </row>
    <row r="208" spans="2:9" x14ac:dyDescent="0.2">
      <c r="B208" s="230">
        <v>45692</v>
      </c>
      <c r="C208" s="124">
        <v>455.15</v>
      </c>
      <c r="D208" s="156">
        <f t="shared" si="8"/>
        <v>1.5619770166238982E-2</v>
      </c>
      <c r="E208" s="156">
        <v>2.8724609885798988E-2</v>
      </c>
      <c r="F208" s="124">
        <v>202</v>
      </c>
      <c r="G208" s="238">
        <f t="shared" ca="1" si="7"/>
        <v>-1.4923739230134035E-3</v>
      </c>
      <c r="I208" s="156"/>
    </row>
    <row r="209" spans="2:9" x14ac:dyDescent="0.2">
      <c r="B209" s="230">
        <v>45691</v>
      </c>
      <c r="C209" s="124">
        <v>454.35</v>
      </c>
      <c r="D209" s="156">
        <f t="shared" si="8"/>
        <v>-1.7576623091287587E-3</v>
      </c>
      <c r="E209" s="156">
        <v>2.8667225481978222E-2</v>
      </c>
      <c r="F209" s="124">
        <v>203</v>
      </c>
      <c r="G209" s="238">
        <f t="shared" ca="1" si="7"/>
        <v>1.6220522562415813E-2</v>
      </c>
      <c r="I209" s="156"/>
    </row>
    <row r="210" spans="2:9" x14ac:dyDescent="0.2">
      <c r="B210" s="230">
        <v>45689</v>
      </c>
      <c r="C210" s="124">
        <v>462.55</v>
      </c>
      <c r="D210" s="156">
        <f t="shared" si="8"/>
        <v>1.8047760537030898E-2</v>
      </c>
      <c r="E210" s="156">
        <v>2.8645833333333325E-2</v>
      </c>
      <c r="F210" s="124">
        <v>204</v>
      </c>
      <c r="G210" s="238">
        <f t="shared" ca="1" si="7"/>
        <v>4.4076323622895099E-3</v>
      </c>
      <c r="I210" s="156"/>
    </row>
    <row r="211" spans="2:9" x14ac:dyDescent="0.2">
      <c r="B211" s="230">
        <v>45688</v>
      </c>
      <c r="C211" s="124">
        <v>447.5</v>
      </c>
      <c r="D211" s="156">
        <f t="shared" si="8"/>
        <v>-3.2537023024537912E-2</v>
      </c>
      <c r="E211" s="156">
        <v>2.8637094920707835E-2</v>
      </c>
      <c r="F211" s="124">
        <v>205</v>
      </c>
      <c r="G211" s="238">
        <f t="shared" ca="1" si="7"/>
        <v>9.0548556181600879E-3</v>
      </c>
      <c r="I211" s="156"/>
    </row>
    <row r="212" spans="2:9" x14ac:dyDescent="0.2">
      <c r="B212" s="230">
        <v>45687</v>
      </c>
      <c r="C212" s="124">
        <v>436.2</v>
      </c>
      <c r="D212" s="156">
        <f t="shared" si="8"/>
        <v>-2.5251396648044717E-2</v>
      </c>
      <c r="E212" s="156">
        <v>2.8583802511909891E-2</v>
      </c>
      <c r="F212" s="124">
        <v>206</v>
      </c>
      <c r="G212" s="238">
        <f t="shared" ca="1" si="7"/>
        <v>1.7461130163897453E-2</v>
      </c>
      <c r="I212" s="156"/>
    </row>
    <row r="213" spans="2:9" x14ac:dyDescent="0.2">
      <c r="B213" s="230">
        <v>45686</v>
      </c>
      <c r="C213" s="124">
        <v>433.35</v>
      </c>
      <c r="D213" s="156">
        <f t="shared" si="8"/>
        <v>-6.533700137551504E-3</v>
      </c>
      <c r="E213" s="156">
        <v>2.8583802511909891E-2</v>
      </c>
      <c r="F213" s="124">
        <v>207</v>
      </c>
      <c r="G213" s="238">
        <f t="shared" ca="1" si="7"/>
        <v>-1.732543831173888E-3</v>
      </c>
      <c r="I213" s="156"/>
    </row>
    <row r="214" spans="2:9" x14ac:dyDescent="0.2">
      <c r="B214" s="230">
        <v>45685</v>
      </c>
      <c r="C214" s="124">
        <v>435.45</v>
      </c>
      <c r="D214" s="156">
        <f t="shared" si="8"/>
        <v>4.8459674627898139E-3</v>
      </c>
      <c r="E214" s="156">
        <v>2.8575179415368461E-2</v>
      </c>
      <c r="F214" s="124">
        <v>208</v>
      </c>
      <c r="G214" s="238">
        <f t="shared" ca="1" si="7"/>
        <v>-4.7190972167346683E-2</v>
      </c>
      <c r="I214" s="156"/>
    </row>
    <row r="215" spans="2:9" x14ac:dyDescent="0.2">
      <c r="B215" s="230">
        <v>45684</v>
      </c>
      <c r="C215" s="124">
        <v>440.1</v>
      </c>
      <c r="D215" s="156">
        <f t="shared" si="8"/>
        <v>1.0678608336204005E-2</v>
      </c>
      <c r="E215" s="156">
        <v>2.857142857142863E-2</v>
      </c>
      <c r="F215" s="124">
        <v>209</v>
      </c>
      <c r="G215" s="238">
        <f t="shared" ca="1" si="7"/>
        <v>1.2589677322212478E-3</v>
      </c>
      <c r="I215" s="156"/>
    </row>
    <row r="216" spans="2:9" x14ac:dyDescent="0.2">
      <c r="B216" s="230">
        <v>45681</v>
      </c>
      <c r="C216" s="124">
        <v>441.6</v>
      </c>
      <c r="D216" s="156">
        <f t="shared" si="8"/>
        <v>3.4083162917518746E-3</v>
      </c>
      <c r="E216" s="156">
        <v>2.848594665205845E-2</v>
      </c>
      <c r="F216" s="124">
        <v>210</v>
      </c>
      <c r="G216" s="238">
        <f t="shared" ca="1" si="7"/>
        <v>1.9740034389955519E-2</v>
      </c>
      <c r="I216" s="156"/>
    </row>
    <row r="217" spans="2:9" x14ac:dyDescent="0.2">
      <c r="B217" s="230">
        <v>45680</v>
      </c>
      <c r="C217" s="124">
        <v>440.2</v>
      </c>
      <c r="D217" s="156">
        <f t="shared" si="8"/>
        <v>-3.1702898550725407E-3</v>
      </c>
      <c r="E217" s="156">
        <v>2.8415828538802753E-2</v>
      </c>
      <c r="F217" s="124">
        <v>211</v>
      </c>
      <c r="G217" s="238">
        <f t="shared" ca="1" si="7"/>
        <v>-1.539769501731275E-2</v>
      </c>
      <c r="I217" s="156"/>
    </row>
    <row r="218" spans="2:9" x14ac:dyDescent="0.2">
      <c r="B218" s="230">
        <v>45679</v>
      </c>
      <c r="C218" s="124">
        <v>437</v>
      </c>
      <c r="D218" s="156">
        <f t="shared" si="8"/>
        <v>-7.269422989550179E-3</v>
      </c>
      <c r="E218" s="156">
        <v>2.8395760860771824E-2</v>
      </c>
      <c r="F218" s="124">
        <v>212</v>
      </c>
      <c r="G218" s="238">
        <f t="shared" ca="1" si="7"/>
        <v>-6.0740671933340205E-3</v>
      </c>
      <c r="I218" s="156"/>
    </row>
    <row r="219" spans="2:9" x14ac:dyDescent="0.2">
      <c r="B219" s="230">
        <v>45678</v>
      </c>
      <c r="C219" s="124">
        <v>437.55</v>
      </c>
      <c r="D219" s="156">
        <f t="shared" si="8"/>
        <v>1.2585812356979665E-3</v>
      </c>
      <c r="E219" s="156">
        <v>2.8324357912178948E-2</v>
      </c>
      <c r="F219" s="124">
        <v>213</v>
      </c>
      <c r="G219" s="238">
        <f t="shared" ca="1" si="7"/>
        <v>-5.2414818261629689E-3</v>
      </c>
      <c r="I219" s="156"/>
    </row>
    <row r="220" spans="2:9" x14ac:dyDescent="0.2">
      <c r="B220" s="230">
        <v>45677</v>
      </c>
      <c r="C220" s="124">
        <v>437.7</v>
      </c>
      <c r="D220" s="156">
        <f t="shared" si="8"/>
        <v>3.4281796366124388E-4</v>
      </c>
      <c r="E220" s="156">
        <v>2.8324012267725143E-2</v>
      </c>
      <c r="F220" s="124">
        <v>214</v>
      </c>
      <c r="G220" s="238">
        <f t="shared" ca="1" si="7"/>
        <v>2.2103515162774073E-2</v>
      </c>
      <c r="I220" s="156"/>
    </row>
    <row r="221" spans="2:9" x14ac:dyDescent="0.2">
      <c r="B221" s="230">
        <v>45674</v>
      </c>
      <c r="C221" s="124">
        <v>440.2</v>
      </c>
      <c r="D221" s="156">
        <f t="shared" si="8"/>
        <v>5.7116746630111953E-3</v>
      </c>
      <c r="E221" s="156">
        <v>2.8213166144200507E-2</v>
      </c>
      <c r="F221" s="124">
        <v>215</v>
      </c>
      <c r="G221" s="238">
        <f t="shared" ca="1" si="7"/>
        <v>-3.0078384017086186E-2</v>
      </c>
      <c r="I221" s="156"/>
    </row>
    <row r="222" spans="2:9" x14ac:dyDescent="0.2">
      <c r="B222" s="230">
        <v>45673</v>
      </c>
      <c r="C222" s="124">
        <v>432.85</v>
      </c>
      <c r="D222" s="156">
        <f t="shared" si="8"/>
        <v>-1.6696955929123049E-2</v>
      </c>
      <c r="E222" s="156">
        <v>2.8197793216183136E-2</v>
      </c>
      <c r="F222" s="124">
        <v>216</v>
      </c>
      <c r="G222" s="238">
        <f t="shared" ca="1" si="7"/>
        <v>-1.6092530559200847E-3</v>
      </c>
      <c r="I222" s="156"/>
    </row>
    <row r="223" spans="2:9" x14ac:dyDescent="0.2">
      <c r="B223" s="230">
        <v>45672</v>
      </c>
      <c r="C223" s="124">
        <v>437.35</v>
      </c>
      <c r="D223" s="156">
        <f t="shared" si="8"/>
        <v>1.0396211158599976E-2</v>
      </c>
      <c r="E223" s="156">
        <v>2.8093023255813917E-2</v>
      </c>
      <c r="F223" s="124">
        <v>217</v>
      </c>
      <c r="G223" s="238">
        <f t="shared" ca="1" si="7"/>
        <v>2.9397563092416132E-2</v>
      </c>
      <c r="I223" s="156"/>
    </row>
    <row r="224" spans="2:9" x14ac:dyDescent="0.2">
      <c r="B224" s="230">
        <v>45671</v>
      </c>
      <c r="C224" s="124">
        <v>436.6</v>
      </c>
      <c r="D224" s="156">
        <f t="shared" si="8"/>
        <v>-1.7148736709729048E-3</v>
      </c>
      <c r="E224" s="156">
        <v>2.8057553956834572E-2</v>
      </c>
      <c r="F224" s="124">
        <v>218</v>
      </c>
      <c r="G224" s="238">
        <f t="shared" ca="1" si="7"/>
        <v>2.1860036129711146E-3</v>
      </c>
      <c r="I224" s="156"/>
    </row>
    <row r="225" spans="2:9" x14ac:dyDescent="0.2">
      <c r="B225" s="230">
        <v>45670</v>
      </c>
      <c r="C225" s="124">
        <v>439.05</v>
      </c>
      <c r="D225" s="156">
        <f t="shared" si="8"/>
        <v>5.6115437471369409E-3</v>
      </c>
      <c r="E225" s="156">
        <v>2.8030346904499934E-2</v>
      </c>
      <c r="F225" s="124">
        <v>219</v>
      </c>
      <c r="G225" s="238">
        <f t="shared" ca="1" si="7"/>
        <v>9.9207351911703733E-4</v>
      </c>
      <c r="I225" s="156"/>
    </row>
    <row r="226" spans="2:9" x14ac:dyDescent="0.2">
      <c r="B226" s="230">
        <v>45667</v>
      </c>
      <c r="C226" s="124">
        <v>444.9</v>
      </c>
      <c r="D226" s="156">
        <f t="shared" si="8"/>
        <v>1.3324222753672624E-2</v>
      </c>
      <c r="E226" s="156">
        <v>2.7970715224328792E-2</v>
      </c>
      <c r="F226" s="124">
        <v>220</v>
      </c>
      <c r="G226" s="238">
        <f t="shared" ca="1" si="7"/>
        <v>1.3751469470469029E-2</v>
      </c>
      <c r="I226" s="156"/>
    </row>
    <row r="227" spans="2:9" x14ac:dyDescent="0.2">
      <c r="B227" s="230">
        <v>45666</v>
      </c>
      <c r="C227" s="124">
        <v>450.1</v>
      </c>
      <c r="D227" s="156">
        <f t="shared" si="8"/>
        <v>1.1688019779725884E-2</v>
      </c>
      <c r="E227" s="156">
        <v>2.7969348659003874E-2</v>
      </c>
      <c r="F227" s="124">
        <v>221</v>
      </c>
      <c r="G227" s="238">
        <f t="shared" ca="1" si="7"/>
        <v>8.8759604421666544E-3</v>
      </c>
      <c r="I227" s="156"/>
    </row>
    <row r="228" spans="2:9" x14ac:dyDescent="0.2">
      <c r="B228" s="230">
        <v>45665</v>
      </c>
      <c r="C228" s="124">
        <v>449.55</v>
      </c>
      <c r="D228" s="156">
        <f t="shared" si="8"/>
        <v>-1.2219506776272192E-3</v>
      </c>
      <c r="E228" s="156">
        <v>2.7825011593754789E-2</v>
      </c>
      <c r="F228" s="124">
        <v>222</v>
      </c>
      <c r="G228" s="238">
        <f t="shared" ca="1" si="7"/>
        <v>-3.4648327184615052E-2</v>
      </c>
      <c r="I228" s="156"/>
    </row>
    <row r="229" spans="2:9" x14ac:dyDescent="0.2">
      <c r="B229" s="230">
        <v>45664</v>
      </c>
      <c r="C229" s="124">
        <v>441.1</v>
      </c>
      <c r="D229" s="156">
        <f t="shared" si="8"/>
        <v>-1.8796574352129881E-2</v>
      </c>
      <c r="E229" s="156">
        <v>2.7806896551724095E-2</v>
      </c>
      <c r="F229" s="124">
        <v>223</v>
      </c>
      <c r="G229" s="238">
        <f t="shared" ca="1" si="7"/>
        <v>2.4722520102123374E-2</v>
      </c>
      <c r="I229" s="156"/>
    </row>
    <row r="230" spans="2:9" x14ac:dyDescent="0.2">
      <c r="B230" s="230">
        <v>45663</v>
      </c>
      <c r="C230" s="124">
        <v>442.65</v>
      </c>
      <c r="D230" s="156">
        <f t="shared" si="8"/>
        <v>3.5139424166854556E-3</v>
      </c>
      <c r="E230" s="156">
        <v>2.7801061749091853E-2</v>
      </c>
      <c r="F230" s="124">
        <v>224</v>
      </c>
      <c r="G230" s="238">
        <f t="shared" ca="1" si="7"/>
        <v>7.0776976227771163E-3</v>
      </c>
      <c r="I230" s="156"/>
    </row>
    <row r="231" spans="2:9" x14ac:dyDescent="0.2">
      <c r="B231" s="230">
        <v>45660</v>
      </c>
      <c r="C231" s="124">
        <v>455.6</v>
      </c>
      <c r="D231" s="156">
        <f t="shared" si="8"/>
        <v>2.9255619563989713E-2</v>
      </c>
      <c r="E231" s="156">
        <v>2.7782957300018549E-2</v>
      </c>
      <c r="F231" s="124">
        <v>225</v>
      </c>
      <c r="G231" s="238">
        <f t="shared" ca="1" si="7"/>
        <v>-1.6233543296172551E-2</v>
      </c>
      <c r="I231" s="156"/>
    </row>
    <row r="232" spans="2:9" x14ac:dyDescent="0.2">
      <c r="B232" s="230">
        <v>45659</v>
      </c>
      <c r="C232" s="124">
        <v>462.65</v>
      </c>
      <c r="D232" s="156">
        <f t="shared" si="8"/>
        <v>1.5474100087796212E-2</v>
      </c>
      <c r="E232" s="156">
        <v>2.7769270035732506E-2</v>
      </c>
      <c r="F232" s="124">
        <v>226</v>
      </c>
      <c r="G232" s="238">
        <f t="shared" ca="1" si="7"/>
        <v>-3.7015624957672673E-3</v>
      </c>
      <c r="I232" s="156"/>
    </row>
    <row r="233" spans="2:9" x14ac:dyDescent="0.2">
      <c r="B233" s="230">
        <v>45658</v>
      </c>
      <c r="C233" s="124">
        <v>457.82</v>
      </c>
      <c r="D233" s="156">
        <f t="shared" si="8"/>
        <v>-1.0439857343564216E-2</v>
      </c>
      <c r="E233" s="156">
        <v>2.7751196172248721E-2</v>
      </c>
      <c r="F233" s="124">
        <v>227</v>
      </c>
      <c r="G233" s="238">
        <f t="shared" ca="1" si="7"/>
        <v>-3.8356810735615927E-2</v>
      </c>
      <c r="I233" s="156"/>
    </row>
    <row r="234" spans="2:9" x14ac:dyDescent="0.2">
      <c r="B234" s="230">
        <v>45657</v>
      </c>
      <c r="C234" s="124">
        <v>457.54</v>
      </c>
      <c r="D234" s="156">
        <f t="shared" si="8"/>
        <v>-6.1159407627445878E-4</v>
      </c>
      <c r="E234" s="156">
        <v>2.7729636048526799E-2</v>
      </c>
      <c r="F234" s="124">
        <v>228</v>
      </c>
      <c r="G234" s="238">
        <f t="shared" ca="1" si="7"/>
        <v>2.4318672141371591E-2</v>
      </c>
      <c r="I234" s="156"/>
    </row>
    <row r="235" spans="2:9" x14ac:dyDescent="0.2">
      <c r="B235" s="230">
        <v>45656</v>
      </c>
      <c r="C235" s="124">
        <v>451.25</v>
      </c>
      <c r="D235" s="156">
        <f t="shared" si="8"/>
        <v>-1.374743191852083E-2</v>
      </c>
      <c r="E235" s="156">
        <v>2.7630550004344362E-2</v>
      </c>
      <c r="F235" s="124">
        <v>229</v>
      </c>
      <c r="G235" s="238">
        <f t="shared" ca="1" si="7"/>
        <v>-6.8835509934443029E-3</v>
      </c>
      <c r="I235" s="156"/>
    </row>
    <row r="236" spans="2:9" x14ac:dyDescent="0.2">
      <c r="B236" s="230">
        <v>45653</v>
      </c>
      <c r="C236" s="124">
        <v>452.76</v>
      </c>
      <c r="D236" s="156">
        <f t="shared" si="8"/>
        <v>3.3462603878116142E-3</v>
      </c>
      <c r="E236" s="156">
        <v>2.7609547559672196E-2</v>
      </c>
      <c r="F236" s="124">
        <v>230</v>
      </c>
      <c r="G236" s="238">
        <f t="shared" ca="1" si="7"/>
        <v>1.7873471187932557E-2</v>
      </c>
      <c r="I236" s="156"/>
    </row>
    <row r="237" spans="2:9" x14ac:dyDescent="0.2">
      <c r="B237" s="230">
        <v>45652</v>
      </c>
      <c r="C237" s="124">
        <v>451.2</v>
      </c>
      <c r="D237" s="156">
        <f t="shared" si="8"/>
        <v>-3.445534057778961E-3</v>
      </c>
      <c r="E237" s="156">
        <v>2.7590198726606209E-2</v>
      </c>
      <c r="F237" s="124">
        <v>231</v>
      </c>
      <c r="G237" s="238">
        <f t="shared" ca="1" si="7"/>
        <v>-2.8871615602343147E-2</v>
      </c>
      <c r="I237" s="156"/>
    </row>
    <row r="238" spans="2:9" x14ac:dyDescent="0.2">
      <c r="B238" s="230">
        <v>45650</v>
      </c>
      <c r="C238" s="124">
        <v>452.62</v>
      </c>
      <c r="D238" s="156">
        <f t="shared" si="8"/>
        <v>3.1471631205674112E-3</v>
      </c>
      <c r="E238" s="156">
        <v>2.7589987209939798E-2</v>
      </c>
      <c r="F238" s="124">
        <v>232</v>
      </c>
      <c r="G238" s="238">
        <f t="shared" ca="1" si="7"/>
        <v>-1.0436812547818296E-2</v>
      </c>
      <c r="I238" s="156"/>
    </row>
    <row r="239" spans="2:9" x14ac:dyDescent="0.2">
      <c r="B239" s="230">
        <v>45649</v>
      </c>
      <c r="C239" s="124">
        <v>448.65</v>
      </c>
      <c r="D239" s="156">
        <f t="shared" si="8"/>
        <v>-8.771154610931968E-3</v>
      </c>
      <c r="E239" s="156">
        <v>2.7559808612440149E-2</v>
      </c>
      <c r="F239" s="124">
        <v>233</v>
      </c>
      <c r="G239" s="238">
        <f t="shared" ca="1" si="7"/>
        <v>2.5107752550287753E-2</v>
      </c>
      <c r="I239" s="156"/>
    </row>
    <row r="240" spans="2:9" x14ac:dyDescent="0.2">
      <c r="B240" s="230">
        <v>45646</v>
      </c>
      <c r="C240" s="124">
        <v>439.57</v>
      </c>
      <c r="D240" s="156">
        <f t="shared" si="8"/>
        <v>-2.0238493257550394E-2</v>
      </c>
      <c r="E240" s="156">
        <v>2.7394775036284565E-2</v>
      </c>
      <c r="F240" s="124">
        <v>234</v>
      </c>
      <c r="G240" s="238">
        <f t="shared" ca="1" si="7"/>
        <v>-5.7301097365438014E-3</v>
      </c>
      <c r="I240" s="156"/>
    </row>
    <row r="241" spans="2:9" x14ac:dyDescent="0.2">
      <c r="B241" s="230">
        <v>45645</v>
      </c>
      <c r="C241" s="124">
        <v>441.36</v>
      </c>
      <c r="D241" s="156">
        <f t="shared" si="8"/>
        <v>4.0721614304889331E-3</v>
      </c>
      <c r="E241" s="156">
        <v>2.7332704995287518E-2</v>
      </c>
      <c r="F241" s="124">
        <v>235</v>
      </c>
      <c r="G241" s="238">
        <f t="shared" ca="1" si="7"/>
        <v>3.9518435065948546E-3</v>
      </c>
      <c r="I241" s="156"/>
    </row>
    <row r="242" spans="2:9" x14ac:dyDescent="0.2">
      <c r="B242" s="230">
        <v>45644</v>
      </c>
      <c r="C242" s="124">
        <v>445.1</v>
      </c>
      <c r="D242" s="156">
        <f t="shared" si="8"/>
        <v>8.4738082291100445E-3</v>
      </c>
      <c r="E242" s="156">
        <v>2.7289783387344366E-2</v>
      </c>
      <c r="F242" s="124">
        <v>236</v>
      </c>
      <c r="G242" s="238">
        <f t="shared" ca="1" si="7"/>
        <v>4.5661020764893833E-4</v>
      </c>
      <c r="I242" s="156"/>
    </row>
    <row r="243" spans="2:9" x14ac:dyDescent="0.2">
      <c r="B243" s="230">
        <v>45643</v>
      </c>
      <c r="C243" s="124">
        <v>444.2</v>
      </c>
      <c r="D243" s="156">
        <f t="shared" si="8"/>
        <v>-2.0220175241519524E-3</v>
      </c>
      <c r="E243" s="156">
        <v>2.7259909133636143E-2</v>
      </c>
      <c r="F243" s="124">
        <v>237</v>
      </c>
      <c r="G243" s="238">
        <f t="shared" ca="1" si="7"/>
        <v>-4.3588380552405563E-3</v>
      </c>
      <c r="I243" s="156"/>
    </row>
    <row r="244" spans="2:9" x14ac:dyDescent="0.2">
      <c r="B244" s="230">
        <v>45642</v>
      </c>
      <c r="C244" s="124">
        <v>444.72</v>
      </c>
      <c r="D244" s="156">
        <f t="shared" si="8"/>
        <v>1.1706438541198528E-3</v>
      </c>
      <c r="E244" s="156">
        <v>2.7225333075883446E-2</v>
      </c>
      <c r="F244" s="124">
        <v>238</v>
      </c>
      <c r="G244" s="238">
        <f t="shared" ca="1" si="7"/>
        <v>-2.8302184173338525E-2</v>
      </c>
      <c r="I244" s="156"/>
    </row>
    <row r="245" spans="2:9" x14ac:dyDescent="0.2">
      <c r="B245" s="230">
        <v>45639</v>
      </c>
      <c r="C245" s="124">
        <v>444.63</v>
      </c>
      <c r="D245" s="156">
        <f t="shared" si="8"/>
        <v>-2.0237452779284004E-4</v>
      </c>
      <c r="E245" s="156">
        <v>2.7184466019417472E-2</v>
      </c>
      <c r="F245" s="124">
        <v>239</v>
      </c>
      <c r="G245" s="238">
        <f t="shared" ca="1" si="7"/>
        <v>-1.4765513262552302E-2</v>
      </c>
      <c r="I245" s="156"/>
    </row>
    <row r="246" spans="2:9" x14ac:dyDescent="0.2">
      <c r="B246" s="230">
        <v>45638</v>
      </c>
      <c r="C246" s="124">
        <v>435.73</v>
      </c>
      <c r="D246" s="156">
        <f t="shared" si="8"/>
        <v>-2.0016643051525937E-2</v>
      </c>
      <c r="E246" s="156">
        <v>2.7184134040006896E-2</v>
      </c>
      <c r="F246" s="124">
        <v>240</v>
      </c>
      <c r="G246" s="238">
        <f t="shared" ca="1" si="7"/>
        <v>-9.5937375728336639E-3</v>
      </c>
      <c r="I246" s="156"/>
    </row>
    <row r="247" spans="2:9" x14ac:dyDescent="0.2">
      <c r="B247" s="230">
        <v>45637</v>
      </c>
      <c r="C247" s="124">
        <v>440.13</v>
      </c>
      <c r="D247" s="156">
        <f t="shared" si="8"/>
        <v>1.0097996465701184E-2</v>
      </c>
      <c r="E247" s="156">
        <v>2.7145541866778033E-2</v>
      </c>
      <c r="F247" s="124">
        <v>241</v>
      </c>
      <c r="G247" s="238">
        <f t="shared" ca="1" si="7"/>
        <v>-1.6747723274491831E-2</v>
      </c>
      <c r="I247" s="156"/>
    </row>
    <row r="248" spans="2:9" x14ac:dyDescent="0.2">
      <c r="B248" s="230">
        <v>45636</v>
      </c>
      <c r="C248" s="124">
        <v>440.32</v>
      </c>
      <c r="D248" s="156">
        <f t="shared" si="8"/>
        <v>4.3169063685728699E-4</v>
      </c>
      <c r="E248" s="156">
        <v>2.6974217223466598E-2</v>
      </c>
      <c r="F248" s="124">
        <v>242</v>
      </c>
      <c r="G248" s="238">
        <f t="shared" ca="1" si="7"/>
        <v>-1.2859219414904173E-2</v>
      </c>
      <c r="I248" s="156"/>
    </row>
    <row r="249" spans="2:9" x14ac:dyDescent="0.2">
      <c r="B249" s="230">
        <v>45635</v>
      </c>
      <c r="C249" s="124">
        <v>439.85</v>
      </c>
      <c r="D249" s="156">
        <f t="shared" si="8"/>
        <v>-1.0674055232557469E-3</v>
      </c>
      <c r="E249" s="156">
        <v>2.6957383548067381E-2</v>
      </c>
      <c r="F249" s="124">
        <v>243</v>
      </c>
      <c r="G249" s="238">
        <f t="shared" ca="1" si="7"/>
        <v>1.1444918724988944E-2</v>
      </c>
      <c r="I249" s="156"/>
    </row>
    <row r="250" spans="2:9" x14ac:dyDescent="0.2">
      <c r="B250" s="230">
        <v>45632</v>
      </c>
      <c r="C250" s="124">
        <v>445.71</v>
      </c>
      <c r="D250" s="156">
        <f t="shared" si="8"/>
        <v>1.3322723655791648E-2</v>
      </c>
      <c r="E250" s="156">
        <v>2.6954766191957209E-2</v>
      </c>
      <c r="F250" s="124">
        <v>244</v>
      </c>
      <c r="G250" s="238">
        <f t="shared" ca="1" si="7"/>
        <v>2.2763556695999818E-2</v>
      </c>
      <c r="I250" s="156"/>
    </row>
    <row r="251" spans="2:9" x14ac:dyDescent="0.2">
      <c r="B251" s="230">
        <v>45631</v>
      </c>
      <c r="C251" s="124">
        <v>442.26</v>
      </c>
      <c r="D251" s="156">
        <f t="shared" si="8"/>
        <v>-7.7404590428753871E-3</v>
      </c>
      <c r="E251" s="156">
        <v>2.6889571478926448E-2</v>
      </c>
      <c r="F251" s="124">
        <v>245</v>
      </c>
      <c r="G251" s="238">
        <f t="shared" ca="1" si="7"/>
        <v>1.47833680669473E-2</v>
      </c>
      <c r="I251" s="156"/>
    </row>
    <row r="252" spans="2:9" x14ac:dyDescent="0.2">
      <c r="B252" s="230">
        <v>45630</v>
      </c>
      <c r="C252" s="124">
        <v>441.88</v>
      </c>
      <c r="D252" s="156">
        <f t="shared" si="8"/>
        <v>-8.5922308144529343E-4</v>
      </c>
      <c r="E252" s="156">
        <v>2.6870163370593291E-2</v>
      </c>
      <c r="F252" s="124">
        <v>246</v>
      </c>
      <c r="G252" s="238">
        <f t="shared" ca="1" si="7"/>
        <v>2.3354592190340095E-2</v>
      </c>
      <c r="I252" s="156"/>
    </row>
    <row r="253" spans="2:9" x14ac:dyDescent="0.2">
      <c r="B253" s="230">
        <v>45629</v>
      </c>
      <c r="C253" s="124">
        <v>447.04</v>
      </c>
      <c r="D253" s="156">
        <f t="shared" si="8"/>
        <v>1.1677378473793847E-2</v>
      </c>
      <c r="E253" s="156">
        <v>2.6833976833976845E-2</v>
      </c>
      <c r="F253" s="124">
        <v>247</v>
      </c>
      <c r="G253" s="238">
        <f t="shared" ca="1" si="7"/>
        <v>3.5919613227859818E-3</v>
      </c>
      <c r="I253" s="156"/>
    </row>
    <row r="254" spans="2:9" x14ac:dyDescent="0.2">
      <c r="B254" s="230">
        <v>45628</v>
      </c>
      <c r="C254" s="124">
        <v>451.44</v>
      </c>
      <c r="D254" s="156">
        <f t="shared" si="8"/>
        <v>9.8425196850393179E-3</v>
      </c>
      <c r="E254" s="156">
        <v>2.6673924877517671E-2</v>
      </c>
      <c r="F254" s="124">
        <v>248</v>
      </c>
      <c r="G254" s="238">
        <f t="shared" ca="1" si="7"/>
        <v>8.3633772496387645E-3</v>
      </c>
      <c r="I254" s="156"/>
    </row>
    <row r="255" spans="2:9" x14ac:dyDescent="0.2">
      <c r="B255" s="230">
        <v>45625</v>
      </c>
      <c r="C255" s="124">
        <v>451.01</v>
      </c>
      <c r="D255" s="156">
        <f t="shared" si="8"/>
        <v>-9.5250753145491502E-4</v>
      </c>
      <c r="E255" s="156">
        <v>2.6495448634590302E-2</v>
      </c>
      <c r="F255" s="124">
        <v>249</v>
      </c>
      <c r="G255" s="238">
        <f t="shared" ca="1" si="7"/>
        <v>-2.005428327548545E-2</v>
      </c>
      <c r="I255" s="156"/>
    </row>
    <row r="256" spans="2:9" x14ac:dyDescent="0.2">
      <c r="B256" s="230">
        <v>45624</v>
      </c>
      <c r="C256" s="124">
        <v>449.26</v>
      </c>
      <c r="D256" s="156">
        <f t="shared" si="8"/>
        <v>-3.8801800403538726E-3</v>
      </c>
      <c r="E256" s="156">
        <v>2.6472003850473266E-2</v>
      </c>
      <c r="F256" s="124">
        <v>250</v>
      </c>
      <c r="G256" s="238">
        <f t="shared" ca="1" si="7"/>
        <v>1.0063763464010134E-2</v>
      </c>
      <c r="I256" s="156"/>
    </row>
    <row r="257" spans="2:9" x14ac:dyDescent="0.2">
      <c r="B257" s="230">
        <v>45623</v>
      </c>
      <c r="C257" s="124">
        <v>451.2</v>
      </c>
      <c r="D257" s="156">
        <f t="shared" si="8"/>
        <v>4.3182121711258462E-3</v>
      </c>
      <c r="E257" s="156">
        <v>2.6381189065188212E-2</v>
      </c>
      <c r="F257" s="124">
        <v>251</v>
      </c>
      <c r="G257" s="238">
        <f t="shared" ca="1" si="7"/>
        <v>-3.7083411918649362E-3</v>
      </c>
      <c r="I257" s="156"/>
    </row>
    <row r="258" spans="2:9" x14ac:dyDescent="0.2">
      <c r="B258" s="230">
        <v>45622</v>
      </c>
      <c r="C258" s="124">
        <v>451.25</v>
      </c>
      <c r="D258" s="156">
        <f t="shared" si="8"/>
        <v>1.1081560283690464E-4</v>
      </c>
      <c r="E258" s="156">
        <v>2.6378595653812262E-2</v>
      </c>
      <c r="F258" s="124">
        <v>252</v>
      </c>
      <c r="G258" s="238">
        <f t="shared" ca="1" si="7"/>
        <v>1.2559899078660232E-2</v>
      </c>
      <c r="I258" s="156"/>
    </row>
    <row r="259" spans="2:9" x14ac:dyDescent="0.2">
      <c r="B259" s="230">
        <v>45621</v>
      </c>
      <c r="C259" s="124">
        <v>451.06</v>
      </c>
      <c r="D259" s="156">
        <f t="shared" si="8"/>
        <v>-4.2105263157894235E-4</v>
      </c>
      <c r="E259" s="156">
        <v>2.6371460863013368E-2</v>
      </c>
      <c r="F259" s="124">
        <v>253</v>
      </c>
      <c r="G259" s="238">
        <f t="shared" ca="1" si="7"/>
        <v>1.6937682798762701E-2</v>
      </c>
      <c r="I259" s="156"/>
    </row>
    <row r="260" spans="2:9" x14ac:dyDescent="0.2">
      <c r="B260" s="230">
        <v>45618</v>
      </c>
      <c r="C260" s="124">
        <v>449.02</v>
      </c>
      <c r="D260" s="156">
        <f t="shared" si="8"/>
        <v>-4.5226799095464468E-3</v>
      </c>
      <c r="E260" s="156">
        <v>2.6370004120313168E-2</v>
      </c>
      <c r="F260" s="124">
        <v>254</v>
      </c>
      <c r="G260" s="238">
        <f t="shared" ca="1" si="7"/>
        <v>1.1047680086909926E-4</v>
      </c>
      <c r="I260" s="156"/>
    </row>
    <row r="261" spans="2:9" x14ac:dyDescent="0.2">
      <c r="B261" s="230">
        <v>45617</v>
      </c>
      <c r="C261" s="124">
        <v>432.47</v>
      </c>
      <c r="D261" s="156">
        <f t="shared" si="8"/>
        <v>-3.6858046412186443E-2</v>
      </c>
      <c r="E261" s="156">
        <v>2.6326129666011857E-2</v>
      </c>
      <c r="F261" s="124">
        <v>255</v>
      </c>
      <c r="G261" s="238">
        <f t="shared" ca="1" si="7"/>
        <v>-5.5405376816231996E-3</v>
      </c>
      <c r="I261" s="156"/>
    </row>
    <row r="262" spans="2:9" x14ac:dyDescent="0.2">
      <c r="B262" s="230">
        <v>45615</v>
      </c>
      <c r="C262" s="124">
        <v>442.12</v>
      </c>
      <c r="D262" s="156">
        <f t="shared" si="8"/>
        <v>2.2313686498485391E-2</v>
      </c>
      <c r="E262" s="156">
        <v>2.6296566837107467E-2</v>
      </c>
      <c r="F262" s="124">
        <v>256</v>
      </c>
      <c r="G262" s="238">
        <f t="shared" ca="1" si="7"/>
        <v>-6.1759024239356657E-3</v>
      </c>
      <c r="I262" s="156"/>
    </row>
    <row r="263" spans="2:9" x14ac:dyDescent="0.2">
      <c r="B263" s="230">
        <v>45614</v>
      </c>
      <c r="C263" s="124">
        <v>441.36</v>
      </c>
      <c r="D263" s="156">
        <f t="shared" si="8"/>
        <v>-1.7189903193702862E-3</v>
      </c>
      <c r="E263" s="156">
        <v>2.6294692961359754E-2</v>
      </c>
      <c r="F263" s="124">
        <v>257</v>
      </c>
      <c r="G263" s="238">
        <f t="shared" ref="G263:G326" ca="1" si="9">_xlfn.NORM.INV(RAND(),$L$8,$L$9)</f>
        <v>1.0809447179889197E-2</v>
      </c>
      <c r="I263" s="156"/>
    </row>
    <row r="264" spans="2:9" x14ac:dyDescent="0.2">
      <c r="B264" s="230">
        <v>45610</v>
      </c>
      <c r="C264" s="124">
        <v>440.8</v>
      </c>
      <c r="D264" s="156">
        <f t="shared" ref="D264:D327" si="10">(C264-C263)/C263</f>
        <v>-1.2688055102410781E-3</v>
      </c>
      <c r="E264" s="156">
        <v>2.6271471876052461E-2</v>
      </c>
      <c r="F264" s="124">
        <v>258</v>
      </c>
      <c r="G264" s="238">
        <f t="shared" ca="1" si="9"/>
        <v>5.6553374304154896E-3</v>
      </c>
      <c r="I264" s="156"/>
    </row>
    <row r="265" spans="2:9" x14ac:dyDescent="0.2">
      <c r="B265" s="230">
        <v>45609</v>
      </c>
      <c r="C265" s="124">
        <v>446.71</v>
      </c>
      <c r="D265" s="156">
        <f t="shared" si="10"/>
        <v>1.3407441016333866E-2</v>
      </c>
      <c r="E265" s="156">
        <v>2.6270307639128986E-2</v>
      </c>
      <c r="F265" s="124">
        <v>259</v>
      </c>
      <c r="G265" s="238">
        <f t="shared" ca="1" si="9"/>
        <v>-2.1820618505857947E-4</v>
      </c>
      <c r="I265" s="156"/>
    </row>
    <row r="266" spans="2:9" x14ac:dyDescent="0.2">
      <c r="B266" s="230">
        <v>45608</v>
      </c>
      <c r="C266" s="124">
        <v>447.32</v>
      </c>
      <c r="D266" s="156">
        <f t="shared" si="10"/>
        <v>1.3655391641109751E-3</v>
      </c>
      <c r="E266" s="156">
        <v>2.6249758733835154E-2</v>
      </c>
      <c r="F266" s="124">
        <v>260</v>
      </c>
      <c r="G266" s="238">
        <f t="shared" ca="1" si="9"/>
        <v>1.2131564316208482E-2</v>
      </c>
      <c r="I266" s="156"/>
    </row>
    <row r="267" spans="2:9" x14ac:dyDescent="0.2">
      <c r="B267" s="230">
        <v>45607</v>
      </c>
      <c r="C267" s="124">
        <v>451.2</v>
      </c>
      <c r="D267" s="156">
        <f t="shared" si="10"/>
        <v>8.6738799964231322E-3</v>
      </c>
      <c r="E267" s="156">
        <v>2.6246719160104987E-2</v>
      </c>
      <c r="F267" s="124">
        <v>261</v>
      </c>
      <c r="G267" s="238">
        <f t="shared" ca="1" si="9"/>
        <v>-2.6882896428695499E-2</v>
      </c>
      <c r="I267" s="156"/>
    </row>
    <row r="268" spans="2:9" x14ac:dyDescent="0.2">
      <c r="B268" s="230">
        <v>45604</v>
      </c>
      <c r="C268" s="124">
        <v>452.24</v>
      </c>
      <c r="D268" s="156">
        <f t="shared" si="10"/>
        <v>2.3049645390071376E-3</v>
      </c>
      <c r="E268" s="156">
        <v>2.6245313336904157E-2</v>
      </c>
      <c r="F268" s="124">
        <v>262</v>
      </c>
      <c r="G268" s="238">
        <f t="shared" ca="1" si="9"/>
        <v>-2.4376413980928499E-3</v>
      </c>
      <c r="I268" s="156"/>
    </row>
    <row r="269" spans="2:9" x14ac:dyDescent="0.2">
      <c r="B269" s="230">
        <v>45603</v>
      </c>
      <c r="C269" s="124">
        <v>452.1</v>
      </c>
      <c r="D269" s="156">
        <f t="shared" si="10"/>
        <v>-3.0957013974877576E-4</v>
      </c>
      <c r="E269" s="156">
        <v>2.621167161226514E-2</v>
      </c>
      <c r="F269" s="124">
        <v>263</v>
      </c>
      <c r="G269" s="238">
        <f t="shared" ca="1" si="9"/>
        <v>-1.0729040591084179E-2</v>
      </c>
      <c r="I269" s="156"/>
    </row>
    <row r="270" spans="2:9" x14ac:dyDescent="0.2">
      <c r="B270" s="230">
        <v>45602</v>
      </c>
      <c r="C270" s="124">
        <v>455.13</v>
      </c>
      <c r="D270" s="156">
        <f t="shared" si="10"/>
        <v>6.7020570670205098E-3</v>
      </c>
      <c r="E270" s="156">
        <v>2.6179273736277014E-2</v>
      </c>
      <c r="F270" s="124">
        <v>264</v>
      </c>
      <c r="G270" s="238">
        <f t="shared" ca="1" si="9"/>
        <v>-3.3997600692708351E-3</v>
      </c>
      <c r="I270" s="156"/>
    </row>
    <row r="271" spans="2:9" x14ac:dyDescent="0.2">
      <c r="B271" s="230">
        <v>45601</v>
      </c>
      <c r="C271" s="124">
        <v>454.27</v>
      </c>
      <c r="D271" s="156">
        <f t="shared" si="10"/>
        <v>-1.8895700129633593E-3</v>
      </c>
      <c r="E271" s="156">
        <v>2.6144907723854988E-2</v>
      </c>
      <c r="F271" s="124">
        <v>265</v>
      </c>
      <c r="G271" s="238">
        <f t="shared" ca="1" si="9"/>
        <v>-1.0779942018272429E-2</v>
      </c>
      <c r="I271" s="156"/>
    </row>
    <row r="272" spans="2:9" x14ac:dyDescent="0.2">
      <c r="B272" s="230">
        <v>45600</v>
      </c>
      <c r="C272" s="124">
        <v>458.44</v>
      </c>
      <c r="D272" s="156">
        <f t="shared" si="10"/>
        <v>9.1795628150659649E-3</v>
      </c>
      <c r="E272" s="156">
        <v>2.6129943502824778E-2</v>
      </c>
      <c r="F272" s="124">
        <v>266</v>
      </c>
      <c r="G272" s="238">
        <f t="shared" ca="1" si="9"/>
        <v>1.0022716240170808E-2</v>
      </c>
      <c r="I272" s="156"/>
    </row>
    <row r="273" spans="2:9" x14ac:dyDescent="0.2">
      <c r="B273" s="230">
        <v>45597</v>
      </c>
      <c r="C273" s="124">
        <v>463.83</v>
      </c>
      <c r="D273" s="156">
        <f t="shared" si="10"/>
        <v>1.1757263764069423E-2</v>
      </c>
      <c r="E273" s="156">
        <v>2.6045115437248953E-2</v>
      </c>
      <c r="F273" s="124">
        <v>267</v>
      </c>
      <c r="G273" s="238">
        <f t="shared" ca="1" si="9"/>
        <v>8.6843205354883591E-3</v>
      </c>
      <c r="I273" s="156"/>
    </row>
    <row r="274" spans="2:9" x14ac:dyDescent="0.2">
      <c r="B274" s="230">
        <v>45596</v>
      </c>
      <c r="C274" s="124">
        <v>462.41</v>
      </c>
      <c r="D274" s="156">
        <f t="shared" si="10"/>
        <v>-3.061466485565744E-3</v>
      </c>
      <c r="E274" s="156">
        <v>2.5999509443218109E-2</v>
      </c>
      <c r="F274" s="124">
        <v>268</v>
      </c>
      <c r="G274" s="238">
        <f t="shared" ca="1" si="9"/>
        <v>-1.6801820475746947E-2</v>
      </c>
      <c r="I274" s="156"/>
    </row>
    <row r="275" spans="2:9" x14ac:dyDescent="0.2">
      <c r="B275" s="230">
        <v>45595</v>
      </c>
      <c r="C275" s="124">
        <v>465.01</v>
      </c>
      <c r="D275" s="156">
        <f t="shared" si="10"/>
        <v>5.6227157717176658E-3</v>
      </c>
      <c r="E275" s="156">
        <v>2.5933986216902554E-2</v>
      </c>
      <c r="F275" s="124">
        <v>269</v>
      </c>
      <c r="G275" s="238">
        <f t="shared" ca="1" si="9"/>
        <v>2.743705295449669E-3</v>
      </c>
      <c r="I275" s="156"/>
    </row>
    <row r="276" spans="2:9" x14ac:dyDescent="0.2">
      <c r="B276" s="230">
        <v>45594</v>
      </c>
      <c r="C276" s="124">
        <v>461.61</v>
      </c>
      <c r="D276" s="156">
        <f t="shared" si="10"/>
        <v>-7.3116707167587306E-3</v>
      </c>
      <c r="E276" s="156">
        <v>2.5766871165644276E-2</v>
      </c>
      <c r="F276" s="124">
        <v>270</v>
      </c>
      <c r="G276" s="238">
        <f t="shared" ca="1" si="9"/>
        <v>3.6509394076768651E-3</v>
      </c>
      <c r="I276" s="156"/>
    </row>
    <row r="277" spans="2:9" x14ac:dyDescent="0.2">
      <c r="B277" s="230">
        <v>45593</v>
      </c>
      <c r="C277" s="124">
        <v>458.01</v>
      </c>
      <c r="D277" s="156">
        <f t="shared" si="10"/>
        <v>-7.7987911873660075E-3</v>
      </c>
      <c r="E277" s="156">
        <v>2.5720020538673481E-2</v>
      </c>
      <c r="F277" s="124">
        <v>271</v>
      </c>
      <c r="G277" s="238">
        <f t="shared" ca="1" si="9"/>
        <v>1.0702792232899867E-2</v>
      </c>
      <c r="I277" s="156"/>
    </row>
    <row r="278" spans="2:9" x14ac:dyDescent="0.2">
      <c r="B278" s="230">
        <v>45590</v>
      </c>
      <c r="C278" s="124">
        <v>456.26</v>
      </c>
      <c r="D278" s="156">
        <f t="shared" si="10"/>
        <v>-3.8208772734219776E-3</v>
      </c>
      <c r="E278" s="156">
        <v>2.5712830957230055E-2</v>
      </c>
      <c r="F278" s="124">
        <v>272</v>
      </c>
      <c r="G278" s="238">
        <f t="shared" ca="1" si="9"/>
        <v>3.0593608387862754E-2</v>
      </c>
      <c r="I278" s="156"/>
    </row>
    <row r="279" spans="2:9" x14ac:dyDescent="0.2">
      <c r="B279" s="230">
        <v>45589</v>
      </c>
      <c r="C279" s="124">
        <v>446.23</v>
      </c>
      <c r="D279" s="156">
        <f t="shared" si="10"/>
        <v>-2.1983079822907932E-2</v>
      </c>
      <c r="E279" s="156">
        <v>2.5677200902934603E-2</v>
      </c>
      <c r="F279" s="124">
        <v>273</v>
      </c>
      <c r="G279" s="238">
        <f t="shared" ca="1" si="9"/>
        <v>1.0078871676484354E-2</v>
      </c>
      <c r="I279" s="156"/>
    </row>
    <row r="280" spans="2:9" x14ac:dyDescent="0.2">
      <c r="B280" s="230">
        <v>45588</v>
      </c>
      <c r="C280" s="124">
        <v>454.42</v>
      </c>
      <c r="D280" s="156">
        <f t="shared" si="10"/>
        <v>1.8353763754117826E-2</v>
      </c>
      <c r="E280" s="156">
        <v>2.5551684088269321E-2</v>
      </c>
      <c r="F280" s="124">
        <v>274</v>
      </c>
      <c r="G280" s="238">
        <f t="shared" ca="1" si="9"/>
        <v>9.8248813945576441E-3</v>
      </c>
      <c r="I280" s="156"/>
    </row>
    <row r="281" spans="2:9" x14ac:dyDescent="0.2">
      <c r="B281" s="230">
        <v>45587</v>
      </c>
      <c r="C281" s="124">
        <v>455.79</v>
      </c>
      <c r="D281" s="156">
        <f t="shared" si="10"/>
        <v>3.0148320936578595E-3</v>
      </c>
      <c r="E281" s="156">
        <v>2.5420489296636054E-2</v>
      </c>
      <c r="F281" s="124">
        <v>275</v>
      </c>
      <c r="G281" s="238">
        <f t="shared" ca="1" si="9"/>
        <v>1.1108785346314567E-2</v>
      </c>
      <c r="I281" s="156"/>
    </row>
    <row r="282" spans="2:9" x14ac:dyDescent="0.2">
      <c r="B282" s="230">
        <v>45586</v>
      </c>
      <c r="C282" s="124">
        <v>457.54</v>
      </c>
      <c r="D282" s="156">
        <f t="shared" si="10"/>
        <v>3.8394874832708044E-3</v>
      </c>
      <c r="E282" s="156">
        <v>2.5314082130133135E-2</v>
      </c>
      <c r="F282" s="124">
        <v>276</v>
      </c>
      <c r="G282" s="238">
        <f t="shared" ca="1" si="9"/>
        <v>1.1413165616533121E-2</v>
      </c>
      <c r="I282" s="156"/>
    </row>
    <row r="283" spans="2:9" x14ac:dyDescent="0.2">
      <c r="B283" s="230">
        <v>45583</v>
      </c>
      <c r="C283" s="124">
        <v>460.42</v>
      </c>
      <c r="D283" s="156">
        <f t="shared" si="10"/>
        <v>6.294531625650206E-3</v>
      </c>
      <c r="E283" s="156">
        <v>2.528800224782245E-2</v>
      </c>
      <c r="F283" s="124">
        <v>277</v>
      </c>
      <c r="G283" s="238">
        <f t="shared" ca="1" si="9"/>
        <v>-1.6686894658616499E-2</v>
      </c>
      <c r="I283" s="156"/>
    </row>
    <row r="284" spans="2:9" x14ac:dyDescent="0.2">
      <c r="B284" s="230">
        <v>45582</v>
      </c>
      <c r="C284" s="124">
        <v>462.51</v>
      </c>
      <c r="D284" s="156">
        <f t="shared" si="10"/>
        <v>4.5393336518830089E-3</v>
      </c>
      <c r="E284" s="156">
        <v>2.5284268099601697E-2</v>
      </c>
      <c r="F284" s="124">
        <v>278</v>
      </c>
      <c r="G284" s="238">
        <f t="shared" ca="1" si="9"/>
        <v>-5.3890947972981833E-4</v>
      </c>
      <c r="I284" s="156"/>
    </row>
    <row r="285" spans="2:9" x14ac:dyDescent="0.2">
      <c r="B285" s="230">
        <v>45581</v>
      </c>
      <c r="C285" s="124">
        <v>466.57</v>
      </c>
      <c r="D285" s="156">
        <f t="shared" si="10"/>
        <v>8.7781885797063898E-3</v>
      </c>
      <c r="E285" s="156">
        <v>2.5217932752179401E-2</v>
      </c>
      <c r="F285" s="124">
        <v>279</v>
      </c>
      <c r="G285" s="238">
        <f t="shared" ca="1" si="9"/>
        <v>-2.190702308674693E-2</v>
      </c>
      <c r="I285" s="156"/>
    </row>
    <row r="286" spans="2:9" x14ac:dyDescent="0.2">
      <c r="B286" s="230">
        <v>45580</v>
      </c>
      <c r="C286" s="124">
        <v>471.64</v>
      </c>
      <c r="D286" s="156">
        <f t="shared" si="10"/>
        <v>1.0866536639732501E-2</v>
      </c>
      <c r="E286" s="156">
        <v>2.5147928994082885E-2</v>
      </c>
      <c r="F286" s="124">
        <v>280</v>
      </c>
      <c r="G286" s="238">
        <f t="shared" ca="1" si="9"/>
        <v>-1.3436102030631832E-2</v>
      </c>
      <c r="I286" s="156"/>
    </row>
    <row r="287" spans="2:9" x14ac:dyDescent="0.2">
      <c r="B287" s="230">
        <v>45579</v>
      </c>
      <c r="C287" s="124">
        <v>470.12</v>
      </c>
      <c r="D287" s="156">
        <f t="shared" si="10"/>
        <v>-3.2227970485963486E-3</v>
      </c>
      <c r="E287" s="156">
        <v>2.5125628140703519E-2</v>
      </c>
      <c r="F287" s="124">
        <v>281</v>
      </c>
      <c r="G287" s="238">
        <f t="shared" ca="1" si="9"/>
        <v>-1.4178204171571587E-2</v>
      </c>
      <c r="I287" s="156"/>
    </row>
    <row r="288" spans="2:9" x14ac:dyDescent="0.2">
      <c r="B288" s="230">
        <v>45576</v>
      </c>
      <c r="C288" s="124">
        <v>461.84</v>
      </c>
      <c r="D288" s="156">
        <f t="shared" si="10"/>
        <v>-1.7612524461839592E-2</v>
      </c>
      <c r="E288" s="156">
        <v>2.5124408301978311E-2</v>
      </c>
      <c r="F288" s="124">
        <v>282</v>
      </c>
      <c r="G288" s="238">
        <f t="shared" ca="1" si="9"/>
        <v>3.6403646285550493E-3</v>
      </c>
      <c r="I288" s="156"/>
    </row>
    <row r="289" spans="2:9" x14ac:dyDescent="0.2">
      <c r="B289" s="230">
        <v>45575</v>
      </c>
      <c r="C289" s="124">
        <v>465.49</v>
      </c>
      <c r="D289" s="156">
        <f t="shared" si="10"/>
        <v>7.9031699289798078E-3</v>
      </c>
      <c r="E289" s="156">
        <v>2.5019344854268735E-2</v>
      </c>
      <c r="F289" s="124">
        <v>283</v>
      </c>
      <c r="G289" s="238">
        <f t="shared" ca="1" si="9"/>
        <v>2.3692338788992792E-2</v>
      </c>
      <c r="I289" s="156"/>
    </row>
    <row r="290" spans="2:9" x14ac:dyDescent="0.2">
      <c r="B290" s="230">
        <v>45574</v>
      </c>
      <c r="C290" s="124">
        <v>465.15</v>
      </c>
      <c r="D290" s="156">
        <f t="shared" si="10"/>
        <v>-7.3041311306372176E-4</v>
      </c>
      <c r="E290" s="156">
        <v>2.4919265435966585E-2</v>
      </c>
      <c r="F290" s="124">
        <v>284</v>
      </c>
      <c r="G290" s="238">
        <f t="shared" ca="1" si="9"/>
        <v>-2.8601051322976975E-3</v>
      </c>
      <c r="I290" s="156"/>
    </row>
    <row r="291" spans="2:9" x14ac:dyDescent="0.2">
      <c r="B291" s="230">
        <v>45573</v>
      </c>
      <c r="C291" s="124">
        <v>480.53</v>
      </c>
      <c r="D291" s="156">
        <f t="shared" si="10"/>
        <v>3.3064602816295807E-2</v>
      </c>
      <c r="E291" s="156">
        <v>2.4830220713072983E-2</v>
      </c>
      <c r="F291" s="124">
        <v>285</v>
      </c>
      <c r="G291" s="238">
        <f t="shared" ca="1" si="9"/>
        <v>1.5772331246331994E-2</v>
      </c>
      <c r="I291" s="156"/>
    </row>
    <row r="292" spans="2:9" x14ac:dyDescent="0.2">
      <c r="B292" s="230">
        <v>45572</v>
      </c>
      <c r="C292" s="124">
        <v>482.66</v>
      </c>
      <c r="D292" s="156">
        <f t="shared" si="10"/>
        <v>4.4326056645788035E-3</v>
      </c>
      <c r="E292" s="156">
        <v>2.4828239753612796E-2</v>
      </c>
      <c r="F292" s="124">
        <v>286</v>
      </c>
      <c r="G292" s="238">
        <f t="shared" ca="1" si="9"/>
        <v>-2.3849112123958623E-2</v>
      </c>
      <c r="I292" s="156"/>
    </row>
    <row r="293" spans="2:9" x14ac:dyDescent="0.2">
      <c r="B293" s="230">
        <v>45569</v>
      </c>
      <c r="C293" s="124">
        <v>476.36</v>
      </c>
      <c r="D293" s="156">
        <f t="shared" si="10"/>
        <v>-1.3052666473293853E-2</v>
      </c>
      <c r="E293" s="156">
        <v>2.4787535410764869E-2</v>
      </c>
      <c r="F293" s="124">
        <v>287</v>
      </c>
      <c r="G293" s="238">
        <f t="shared" ca="1" si="9"/>
        <v>6.8927620016928448E-3</v>
      </c>
      <c r="I293" s="156"/>
    </row>
    <row r="294" spans="2:9" x14ac:dyDescent="0.2">
      <c r="B294" s="230">
        <v>45568</v>
      </c>
      <c r="C294" s="124">
        <v>485.07</v>
      </c>
      <c r="D294" s="156">
        <f t="shared" si="10"/>
        <v>1.8284490721303174E-2</v>
      </c>
      <c r="E294" s="156">
        <v>2.4735615701738788E-2</v>
      </c>
      <c r="F294" s="124">
        <v>288</v>
      </c>
      <c r="G294" s="238">
        <f t="shared" ca="1" si="9"/>
        <v>2.7801995007834996E-2</v>
      </c>
      <c r="I294" s="156"/>
    </row>
    <row r="295" spans="2:9" x14ac:dyDescent="0.2">
      <c r="B295" s="230">
        <v>45566</v>
      </c>
      <c r="C295" s="124">
        <v>488.33</v>
      </c>
      <c r="D295" s="156">
        <f t="shared" si="10"/>
        <v>6.7206794895581894E-3</v>
      </c>
      <c r="E295" s="156">
        <v>2.4730215827338163E-2</v>
      </c>
      <c r="F295" s="124">
        <v>289</v>
      </c>
      <c r="G295" s="238">
        <f t="shared" ca="1" si="9"/>
        <v>5.4905434143848256E-3</v>
      </c>
      <c r="I295" s="156"/>
    </row>
    <row r="296" spans="2:9" x14ac:dyDescent="0.2">
      <c r="B296" s="230">
        <v>45565</v>
      </c>
      <c r="C296" s="124">
        <v>490.18</v>
      </c>
      <c r="D296" s="156">
        <f t="shared" si="10"/>
        <v>3.7884217639711317E-3</v>
      </c>
      <c r="E296" s="156">
        <v>2.4710424710424769E-2</v>
      </c>
      <c r="F296" s="124">
        <v>290</v>
      </c>
      <c r="G296" s="238">
        <f t="shared" ca="1" si="9"/>
        <v>-2.233781809923049E-3</v>
      </c>
      <c r="I296" s="156"/>
    </row>
    <row r="297" spans="2:9" x14ac:dyDescent="0.2">
      <c r="B297" s="230">
        <v>45562</v>
      </c>
      <c r="C297" s="124">
        <v>494.48</v>
      </c>
      <c r="D297" s="156">
        <f t="shared" si="10"/>
        <v>8.7722877310376004E-3</v>
      </c>
      <c r="E297" s="156">
        <v>2.4568983775998695E-2</v>
      </c>
      <c r="F297" s="124">
        <v>291</v>
      </c>
      <c r="G297" s="238">
        <f t="shared" ca="1" si="9"/>
        <v>7.8994137431403662E-3</v>
      </c>
      <c r="I297" s="156"/>
    </row>
    <row r="298" spans="2:9" x14ac:dyDescent="0.2">
      <c r="B298" s="230">
        <v>45561</v>
      </c>
      <c r="C298" s="124">
        <v>494.53</v>
      </c>
      <c r="D298" s="156">
        <f t="shared" si="10"/>
        <v>1.0111632421929E-4</v>
      </c>
      <c r="E298" s="156">
        <v>2.4559111691704896E-2</v>
      </c>
      <c r="F298" s="124">
        <v>292</v>
      </c>
      <c r="G298" s="238">
        <f t="shared" ca="1" si="9"/>
        <v>-1.5422697600196914E-2</v>
      </c>
      <c r="I298" s="156"/>
    </row>
    <row r="299" spans="2:9" x14ac:dyDescent="0.2">
      <c r="B299" s="230">
        <v>45560</v>
      </c>
      <c r="C299" s="124">
        <v>489.61</v>
      </c>
      <c r="D299" s="156">
        <f t="shared" si="10"/>
        <v>-9.9488403130244055E-3</v>
      </c>
      <c r="E299" s="156">
        <v>2.4408848207475232E-2</v>
      </c>
      <c r="F299" s="124">
        <v>293</v>
      </c>
      <c r="G299" s="238">
        <f t="shared" ca="1" si="9"/>
        <v>5.049504525331437E-3</v>
      </c>
      <c r="I299" s="156"/>
    </row>
    <row r="300" spans="2:9" x14ac:dyDescent="0.2">
      <c r="B300" s="230">
        <v>45559</v>
      </c>
      <c r="C300" s="124">
        <v>487.43</v>
      </c>
      <c r="D300" s="156">
        <f t="shared" si="10"/>
        <v>-4.4525234370213166E-3</v>
      </c>
      <c r="E300" s="156">
        <v>2.4330474356730272E-2</v>
      </c>
      <c r="F300" s="124">
        <v>294</v>
      </c>
      <c r="G300" s="238">
        <f t="shared" ca="1" si="9"/>
        <v>8.6602971109992211E-3</v>
      </c>
      <c r="I300" s="156"/>
    </row>
    <row r="301" spans="2:9" x14ac:dyDescent="0.2">
      <c r="B301" s="230">
        <v>45558</v>
      </c>
      <c r="C301" s="124">
        <v>489.04</v>
      </c>
      <c r="D301" s="156">
        <f t="shared" si="10"/>
        <v>3.3030383849988994E-3</v>
      </c>
      <c r="E301" s="156">
        <v>2.4192050520059339E-2</v>
      </c>
      <c r="F301" s="124">
        <v>295</v>
      </c>
      <c r="G301" s="238">
        <f t="shared" ca="1" si="9"/>
        <v>2.1053306828597395E-3</v>
      </c>
      <c r="I301" s="156"/>
    </row>
    <row r="302" spans="2:9" x14ac:dyDescent="0.2">
      <c r="B302" s="230">
        <v>45555</v>
      </c>
      <c r="C302" s="124">
        <v>486.63</v>
      </c>
      <c r="D302" s="156">
        <f t="shared" si="10"/>
        <v>-4.9280222476689537E-3</v>
      </c>
      <c r="E302" s="156">
        <v>2.4068732359418102E-2</v>
      </c>
      <c r="F302" s="124">
        <v>296</v>
      </c>
      <c r="G302" s="238">
        <f t="shared" ca="1" si="9"/>
        <v>1.4689591101901156E-3</v>
      </c>
      <c r="I302" s="156"/>
    </row>
    <row r="303" spans="2:9" x14ac:dyDescent="0.2">
      <c r="B303" s="230">
        <v>45554</v>
      </c>
      <c r="C303" s="124">
        <v>480.81</v>
      </c>
      <c r="D303" s="156">
        <f t="shared" si="10"/>
        <v>-1.1959805190802033E-2</v>
      </c>
      <c r="E303" s="156">
        <v>2.4021536550010433E-2</v>
      </c>
      <c r="F303" s="124">
        <v>297</v>
      </c>
      <c r="G303" s="238">
        <f t="shared" ca="1" si="9"/>
        <v>-1.92294429830791E-2</v>
      </c>
      <c r="I303" s="156"/>
    </row>
    <row r="304" spans="2:9" x14ac:dyDescent="0.2">
      <c r="B304" s="230">
        <v>45553</v>
      </c>
      <c r="C304" s="124">
        <v>479.96</v>
      </c>
      <c r="D304" s="156">
        <f t="shared" si="10"/>
        <v>-1.7678500863127279E-3</v>
      </c>
      <c r="E304" s="156">
        <v>2.4020283795204864E-2</v>
      </c>
      <c r="F304" s="124">
        <v>298</v>
      </c>
      <c r="G304" s="238">
        <f t="shared" ca="1" si="9"/>
        <v>1.0457901801334853E-2</v>
      </c>
      <c r="I304" s="156"/>
    </row>
    <row r="305" spans="2:9" x14ac:dyDescent="0.2">
      <c r="B305" s="230">
        <v>45552</v>
      </c>
      <c r="C305" s="124">
        <v>480.34</v>
      </c>
      <c r="D305" s="156">
        <f t="shared" si="10"/>
        <v>7.9173264438702276E-4</v>
      </c>
      <c r="E305" s="156">
        <v>2.3984142715560007E-2</v>
      </c>
      <c r="F305" s="124">
        <v>299</v>
      </c>
      <c r="G305" s="238">
        <f t="shared" ca="1" si="9"/>
        <v>1.7989983700770042E-3</v>
      </c>
      <c r="I305" s="156"/>
    </row>
    <row r="306" spans="2:9" x14ac:dyDescent="0.2">
      <c r="B306" s="230">
        <v>45551</v>
      </c>
      <c r="C306" s="124">
        <v>483.51</v>
      </c>
      <c r="D306" s="156">
        <f t="shared" si="10"/>
        <v>6.5994920264812757E-3</v>
      </c>
      <c r="E306" s="156">
        <v>2.3975031919421366E-2</v>
      </c>
      <c r="F306" s="124">
        <v>300</v>
      </c>
      <c r="G306" s="238">
        <f t="shared" ca="1" si="9"/>
        <v>-1.8566187252757346E-3</v>
      </c>
      <c r="I306" s="156"/>
    </row>
    <row r="307" spans="2:9" x14ac:dyDescent="0.2">
      <c r="B307" s="230">
        <v>45548</v>
      </c>
      <c r="C307" s="124">
        <v>486.11</v>
      </c>
      <c r="D307" s="156">
        <f t="shared" si="10"/>
        <v>5.3773448325784836E-3</v>
      </c>
      <c r="E307" s="156">
        <v>2.3790182197980736E-2</v>
      </c>
      <c r="F307" s="124">
        <v>301</v>
      </c>
      <c r="G307" s="238">
        <f t="shared" ca="1" si="9"/>
        <v>4.0537499926925451E-3</v>
      </c>
      <c r="I307" s="156"/>
    </row>
    <row r="308" spans="2:9" x14ac:dyDescent="0.2">
      <c r="B308" s="230">
        <v>45547</v>
      </c>
      <c r="C308" s="124">
        <v>491.45</v>
      </c>
      <c r="D308" s="156">
        <f t="shared" si="10"/>
        <v>1.0985167966098157E-2</v>
      </c>
      <c r="E308" s="156">
        <v>2.3673905304378906E-2</v>
      </c>
      <c r="F308" s="124">
        <v>302</v>
      </c>
      <c r="G308" s="238">
        <f t="shared" ca="1" si="9"/>
        <v>9.1152916673304055E-3</v>
      </c>
      <c r="I308" s="156"/>
    </row>
    <row r="309" spans="2:9" x14ac:dyDescent="0.2">
      <c r="B309" s="230">
        <v>45546</v>
      </c>
      <c r="C309" s="124">
        <v>486.58</v>
      </c>
      <c r="D309" s="156">
        <f t="shared" si="10"/>
        <v>-9.909451622749017E-3</v>
      </c>
      <c r="E309" s="156">
        <v>2.3667758261387371E-2</v>
      </c>
      <c r="F309" s="124">
        <v>303</v>
      </c>
      <c r="G309" s="238">
        <f t="shared" ca="1" si="9"/>
        <v>7.4799952655157376E-3</v>
      </c>
      <c r="I309" s="156"/>
    </row>
    <row r="310" spans="2:9" x14ac:dyDescent="0.2">
      <c r="B310" s="230">
        <v>45545</v>
      </c>
      <c r="C310" s="124">
        <v>485.87</v>
      </c>
      <c r="D310" s="156">
        <f t="shared" si="10"/>
        <v>-1.4591639607052891E-3</v>
      </c>
      <c r="E310" s="156">
        <v>2.3667029379760576E-2</v>
      </c>
      <c r="F310" s="124">
        <v>304</v>
      </c>
      <c r="G310" s="238">
        <f t="shared" ca="1" si="9"/>
        <v>1.8546480691125244E-2</v>
      </c>
      <c r="I310" s="156"/>
    </row>
    <row r="311" spans="2:9" x14ac:dyDescent="0.2">
      <c r="B311" s="230">
        <v>45544</v>
      </c>
      <c r="C311" s="124">
        <v>484.12</v>
      </c>
      <c r="D311" s="156">
        <f t="shared" si="10"/>
        <v>-3.601786486097104E-3</v>
      </c>
      <c r="E311" s="156">
        <v>2.3659021130576167E-2</v>
      </c>
      <c r="F311" s="124">
        <v>305</v>
      </c>
      <c r="G311" s="238">
        <f t="shared" ca="1" si="9"/>
        <v>3.2575865445940051E-3</v>
      </c>
      <c r="I311" s="156"/>
    </row>
    <row r="312" spans="2:9" x14ac:dyDescent="0.2">
      <c r="B312" s="230">
        <v>45541</v>
      </c>
      <c r="C312" s="124">
        <v>474.61</v>
      </c>
      <c r="D312" s="156">
        <f t="shared" si="10"/>
        <v>-1.9643889944641807E-2</v>
      </c>
      <c r="E312" s="156">
        <v>2.3659003831417613E-2</v>
      </c>
      <c r="F312" s="124">
        <v>306</v>
      </c>
      <c r="G312" s="238">
        <f t="shared" ca="1" si="9"/>
        <v>1.2452550356492698E-2</v>
      </c>
      <c r="I312" s="156"/>
    </row>
    <row r="313" spans="2:9" x14ac:dyDescent="0.2">
      <c r="B313" s="230">
        <v>45540</v>
      </c>
      <c r="C313" s="124">
        <v>483.6</v>
      </c>
      <c r="D313" s="156">
        <f t="shared" si="10"/>
        <v>1.8941868060091464E-2</v>
      </c>
      <c r="E313" s="156">
        <v>2.3652075134893844E-2</v>
      </c>
      <c r="F313" s="124">
        <v>307</v>
      </c>
      <c r="G313" s="238">
        <f t="shared" ca="1" si="9"/>
        <v>3.2184188965130489E-3</v>
      </c>
      <c r="I313" s="156"/>
    </row>
    <row r="314" spans="2:9" x14ac:dyDescent="0.2">
      <c r="B314" s="230">
        <v>45539</v>
      </c>
      <c r="C314" s="124">
        <v>479.01</v>
      </c>
      <c r="D314" s="156">
        <f t="shared" si="10"/>
        <v>-9.4913151364764917E-3</v>
      </c>
      <c r="E314" s="156">
        <v>2.3644444444444412E-2</v>
      </c>
      <c r="F314" s="124">
        <v>308</v>
      </c>
      <c r="G314" s="238">
        <f t="shared" ca="1" si="9"/>
        <v>-1.4483110508397488E-2</v>
      </c>
      <c r="I314" s="156"/>
    </row>
    <row r="315" spans="2:9" x14ac:dyDescent="0.2">
      <c r="B315" s="230">
        <v>45538</v>
      </c>
      <c r="C315" s="124">
        <v>481.9</v>
      </c>
      <c r="D315" s="156">
        <f t="shared" si="10"/>
        <v>6.0332769670779036E-3</v>
      </c>
      <c r="E315" s="156">
        <v>2.3641563393708251E-2</v>
      </c>
      <c r="F315" s="124">
        <v>309</v>
      </c>
      <c r="G315" s="238">
        <f t="shared" ca="1" si="9"/>
        <v>-2.943653687757302E-2</v>
      </c>
      <c r="I315" s="156"/>
    </row>
    <row r="316" spans="2:9" x14ac:dyDescent="0.2">
      <c r="B316" s="230">
        <v>45537</v>
      </c>
      <c r="C316" s="124">
        <v>482.51</v>
      </c>
      <c r="D316" s="156">
        <f t="shared" si="10"/>
        <v>1.265822784810155E-3</v>
      </c>
      <c r="E316" s="156">
        <v>2.3606319230070817E-2</v>
      </c>
      <c r="F316" s="124">
        <v>310</v>
      </c>
      <c r="G316" s="238">
        <f t="shared" ca="1" si="9"/>
        <v>6.7167107978273102E-3</v>
      </c>
      <c r="I316" s="156"/>
    </row>
    <row r="317" spans="2:9" x14ac:dyDescent="0.2">
      <c r="B317" s="230">
        <v>45534</v>
      </c>
      <c r="C317" s="124">
        <v>474.8</v>
      </c>
      <c r="D317" s="156">
        <f t="shared" si="10"/>
        <v>-1.5978943441586662E-2</v>
      </c>
      <c r="E317" s="156">
        <v>2.3555665757500691E-2</v>
      </c>
      <c r="F317" s="124">
        <v>311</v>
      </c>
      <c r="G317" s="238">
        <f t="shared" ca="1" si="9"/>
        <v>5.1478680347352285E-3</v>
      </c>
      <c r="I317" s="156"/>
    </row>
    <row r="318" spans="2:9" x14ac:dyDescent="0.2">
      <c r="B318" s="230">
        <v>45533</v>
      </c>
      <c r="C318" s="124">
        <v>477.83</v>
      </c>
      <c r="D318" s="156">
        <f t="shared" si="10"/>
        <v>6.3816343723672548E-3</v>
      </c>
      <c r="E318" s="156">
        <v>2.3517721099701797E-2</v>
      </c>
      <c r="F318" s="124">
        <v>312</v>
      </c>
      <c r="G318" s="238">
        <f t="shared" ca="1" si="9"/>
        <v>3.2125348229265903E-2</v>
      </c>
      <c r="I318" s="156"/>
    </row>
    <row r="319" spans="2:9" x14ac:dyDescent="0.2">
      <c r="B319" s="230">
        <v>45532</v>
      </c>
      <c r="C319" s="124">
        <v>470.45</v>
      </c>
      <c r="D319" s="156">
        <f t="shared" si="10"/>
        <v>-1.5444823472783198E-2</v>
      </c>
      <c r="E319" s="156">
        <v>2.3396530859217356E-2</v>
      </c>
      <c r="F319" s="124">
        <v>313</v>
      </c>
      <c r="G319" s="238">
        <f t="shared" ca="1" si="9"/>
        <v>-1.8890580791591097E-3</v>
      </c>
      <c r="I319" s="156"/>
    </row>
    <row r="320" spans="2:9" x14ac:dyDescent="0.2">
      <c r="B320" s="230">
        <v>45531</v>
      </c>
      <c r="C320" s="124">
        <v>473.57</v>
      </c>
      <c r="D320" s="156">
        <f t="shared" si="10"/>
        <v>6.6319481347645965E-3</v>
      </c>
      <c r="E320" s="156">
        <v>2.336052784093446E-2</v>
      </c>
      <c r="F320" s="124">
        <v>314</v>
      </c>
      <c r="G320" s="238">
        <f t="shared" ca="1" si="9"/>
        <v>2.5481789473490758E-2</v>
      </c>
      <c r="I320" s="156"/>
    </row>
    <row r="321" spans="2:9" x14ac:dyDescent="0.2">
      <c r="B321" s="230">
        <v>45530</v>
      </c>
      <c r="C321" s="124">
        <v>478.4</v>
      </c>
      <c r="D321" s="156">
        <f t="shared" si="10"/>
        <v>1.0199125789218033E-2</v>
      </c>
      <c r="E321" s="156">
        <v>2.3322732091473453E-2</v>
      </c>
      <c r="F321" s="124">
        <v>315</v>
      </c>
      <c r="G321" s="238">
        <f t="shared" ca="1" si="9"/>
        <v>1.5708077558767023E-2</v>
      </c>
      <c r="I321" s="156"/>
    </row>
    <row r="322" spans="2:9" x14ac:dyDescent="0.2">
      <c r="B322" s="230">
        <v>45527</v>
      </c>
      <c r="C322" s="124">
        <v>478.49</v>
      </c>
      <c r="D322" s="156">
        <f t="shared" si="10"/>
        <v>1.8812709030106988E-4</v>
      </c>
      <c r="E322" s="156">
        <v>2.3318125859946404E-2</v>
      </c>
      <c r="F322" s="124">
        <v>316</v>
      </c>
      <c r="G322" s="238">
        <f t="shared" ca="1" si="9"/>
        <v>-7.6263696261455634E-3</v>
      </c>
      <c r="I322" s="156"/>
    </row>
    <row r="323" spans="2:9" x14ac:dyDescent="0.2">
      <c r="B323" s="230">
        <v>45526</v>
      </c>
      <c r="C323" s="124">
        <v>477.31</v>
      </c>
      <c r="D323" s="156">
        <f t="shared" si="10"/>
        <v>-2.4660912453760933E-3</v>
      </c>
      <c r="E323" s="156">
        <v>2.3306469178828202E-2</v>
      </c>
      <c r="F323" s="124">
        <v>317</v>
      </c>
      <c r="G323" s="238">
        <f t="shared" ca="1" si="9"/>
        <v>1.2657148209273248E-2</v>
      </c>
      <c r="I323" s="156"/>
    </row>
    <row r="324" spans="2:9" x14ac:dyDescent="0.2">
      <c r="B324" s="230">
        <v>45525</v>
      </c>
      <c r="C324" s="124">
        <v>478.11</v>
      </c>
      <c r="D324" s="156">
        <f t="shared" si="10"/>
        <v>1.6760595839182321E-3</v>
      </c>
      <c r="E324" s="156">
        <v>2.3286237571951949E-2</v>
      </c>
      <c r="F324" s="124">
        <v>318</v>
      </c>
      <c r="G324" s="238">
        <f t="shared" ca="1" si="9"/>
        <v>1.167131748471035E-3</v>
      </c>
      <c r="I324" s="156"/>
    </row>
    <row r="325" spans="2:9" x14ac:dyDescent="0.2">
      <c r="B325" s="230">
        <v>45524</v>
      </c>
      <c r="C325" s="124">
        <v>471.87</v>
      </c>
      <c r="D325" s="156">
        <f t="shared" si="10"/>
        <v>-1.3051389847524648E-2</v>
      </c>
      <c r="E325" s="156">
        <v>2.3184759166067562E-2</v>
      </c>
      <c r="F325" s="124">
        <v>319</v>
      </c>
      <c r="G325" s="238">
        <f t="shared" ca="1" si="9"/>
        <v>1.3933365224871357E-2</v>
      </c>
      <c r="I325" s="156"/>
    </row>
    <row r="326" spans="2:9" x14ac:dyDescent="0.2">
      <c r="B326" s="230">
        <v>45523</v>
      </c>
      <c r="C326" s="124">
        <v>474.38</v>
      </c>
      <c r="D326" s="156">
        <f t="shared" si="10"/>
        <v>5.3192616610506938E-3</v>
      </c>
      <c r="E326" s="156">
        <v>2.3152192905818679E-2</v>
      </c>
      <c r="F326" s="124">
        <v>320</v>
      </c>
      <c r="G326" s="238">
        <f t="shared" ca="1" si="9"/>
        <v>-1.5847192301134308E-2</v>
      </c>
      <c r="I326" s="156"/>
    </row>
    <row r="327" spans="2:9" x14ac:dyDescent="0.2">
      <c r="B327" s="230">
        <v>45520</v>
      </c>
      <c r="C327" s="124">
        <v>475.51</v>
      </c>
      <c r="D327" s="156">
        <f t="shared" si="10"/>
        <v>2.3820565791137813E-3</v>
      </c>
      <c r="E327" s="156">
        <v>2.3150396632669577E-2</v>
      </c>
      <c r="F327" s="124">
        <v>321</v>
      </c>
      <c r="G327" s="238">
        <f t="shared" ref="G327:G390" ca="1" si="11">_xlfn.NORM.INV(RAND(),$L$8,$L$9)</f>
        <v>-7.3795643335747745E-3</v>
      </c>
      <c r="I327" s="156"/>
    </row>
    <row r="328" spans="2:9" x14ac:dyDescent="0.2">
      <c r="B328" s="230">
        <v>45518</v>
      </c>
      <c r="C328" s="124">
        <v>465.63</v>
      </c>
      <c r="D328" s="156">
        <f t="shared" ref="D328:D391" si="12">(C328-C327)/C327</f>
        <v>-2.0777691320897552E-2</v>
      </c>
      <c r="E328" s="156">
        <v>2.3022432113341238E-2</v>
      </c>
      <c r="F328" s="124">
        <v>322</v>
      </c>
      <c r="G328" s="238">
        <f t="shared" ca="1" si="11"/>
        <v>2.0062502833845173E-2</v>
      </c>
      <c r="I328" s="156"/>
    </row>
    <row r="329" spans="2:9" x14ac:dyDescent="0.2">
      <c r="B329" s="230">
        <v>45517</v>
      </c>
      <c r="C329" s="124">
        <v>463.55</v>
      </c>
      <c r="D329" s="156">
        <f t="shared" si="12"/>
        <v>-4.4670661254643902E-3</v>
      </c>
      <c r="E329" s="156">
        <v>2.3007992249939407E-2</v>
      </c>
      <c r="F329" s="124">
        <v>323</v>
      </c>
      <c r="G329" s="238">
        <f t="shared" ca="1" si="11"/>
        <v>2.2559496936244088E-2</v>
      </c>
      <c r="I329" s="156"/>
    </row>
    <row r="330" spans="2:9" x14ac:dyDescent="0.2">
      <c r="B330" s="230">
        <v>45516</v>
      </c>
      <c r="C330" s="124">
        <v>467.9</v>
      </c>
      <c r="D330" s="156">
        <f t="shared" si="12"/>
        <v>9.3841009599826674E-3</v>
      </c>
      <c r="E330" s="156">
        <v>2.2947368421052584E-2</v>
      </c>
      <c r="F330" s="124">
        <v>324</v>
      </c>
      <c r="G330" s="238">
        <f t="shared" ca="1" si="11"/>
        <v>-1.4367728291593588E-2</v>
      </c>
      <c r="I330" s="156"/>
    </row>
    <row r="331" spans="2:9" x14ac:dyDescent="0.2">
      <c r="B331" s="230">
        <v>45513</v>
      </c>
      <c r="C331" s="124">
        <v>469.13</v>
      </c>
      <c r="D331" s="156">
        <f t="shared" si="12"/>
        <v>2.6287668305193805E-3</v>
      </c>
      <c r="E331" s="156">
        <v>2.2926500337154408E-2</v>
      </c>
      <c r="F331" s="124">
        <v>325</v>
      </c>
      <c r="G331" s="238">
        <f t="shared" ca="1" si="11"/>
        <v>-1.6279232562191731E-3</v>
      </c>
      <c r="I331" s="156"/>
    </row>
    <row r="332" spans="2:9" x14ac:dyDescent="0.2">
      <c r="B332" s="230">
        <v>45512</v>
      </c>
      <c r="C332" s="124">
        <v>468.04</v>
      </c>
      <c r="D332" s="156">
        <f t="shared" si="12"/>
        <v>-2.3234497900368233E-3</v>
      </c>
      <c r="E332" s="156">
        <v>2.2918707149853175E-2</v>
      </c>
      <c r="F332" s="124">
        <v>326</v>
      </c>
      <c r="G332" s="238">
        <f t="shared" ca="1" si="11"/>
        <v>-3.8412013610209547E-3</v>
      </c>
      <c r="I332" s="156"/>
    </row>
    <row r="333" spans="2:9" x14ac:dyDescent="0.2">
      <c r="B333" s="230">
        <v>45511</v>
      </c>
      <c r="C333" s="124">
        <v>466.05</v>
      </c>
      <c r="D333" s="156">
        <f t="shared" si="12"/>
        <v>-4.251773352704916E-3</v>
      </c>
      <c r="E333" s="156">
        <v>2.2904737116085375E-2</v>
      </c>
      <c r="F333" s="124">
        <v>327</v>
      </c>
      <c r="G333" s="238">
        <f t="shared" ca="1" si="11"/>
        <v>-1.3749499260243382E-2</v>
      </c>
      <c r="I333" s="156"/>
    </row>
    <row r="334" spans="2:9" x14ac:dyDescent="0.2">
      <c r="B334" s="230">
        <v>45510</v>
      </c>
      <c r="C334" s="124">
        <v>460.05</v>
      </c>
      <c r="D334" s="156">
        <f t="shared" si="12"/>
        <v>-1.2874155133569359E-2</v>
      </c>
      <c r="E334" s="156">
        <v>2.2731277533039631E-2</v>
      </c>
      <c r="F334" s="124">
        <v>328</v>
      </c>
      <c r="G334" s="238">
        <f t="shared" ca="1" si="11"/>
        <v>-1.5757044836520382E-2</v>
      </c>
      <c r="I334" s="156"/>
    </row>
    <row r="335" spans="2:9" x14ac:dyDescent="0.2">
      <c r="B335" s="230">
        <v>45509</v>
      </c>
      <c r="C335" s="124">
        <v>459.76</v>
      </c>
      <c r="D335" s="156">
        <f t="shared" si="12"/>
        <v>-6.3036626453650787E-4</v>
      </c>
      <c r="E335" s="156">
        <v>2.2711631108052386E-2</v>
      </c>
      <c r="F335" s="124">
        <v>329</v>
      </c>
      <c r="G335" s="238">
        <f t="shared" ca="1" si="11"/>
        <v>9.8772110147768329E-3</v>
      </c>
      <c r="I335" s="156"/>
    </row>
    <row r="336" spans="2:9" x14ac:dyDescent="0.2">
      <c r="B336" s="230">
        <v>45506</v>
      </c>
      <c r="C336" s="124">
        <v>462.7</v>
      </c>
      <c r="D336" s="156">
        <f t="shared" si="12"/>
        <v>6.3946406820950012E-3</v>
      </c>
      <c r="E336" s="156">
        <v>2.2669297781200266E-2</v>
      </c>
      <c r="F336" s="124">
        <v>330</v>
      </c>
      <c r="G336" s="238">
        <f t="shared" ca="1" si="11"/>
        <v>2.8818634116903594E-2</v>
      </c>
      <c r="I336" s="156"/>
    </row>
    <row r="337" spans="2:9" x14ac:dyDescent="0.2">
      <c r="B337" s="230">
        <v>45505</v>
      </c>
      <c r="C337" s="124">
        <v>467.05</v>
      </c>
      <c r="D337" s="156">
        <f t="shared" si="12"/>
        <v>9.4013399610979528E-3</v>
      </c>
      <c r="E337" s="156">
        <v>2.2651933701657374E-2</v>
      </c>
      <c r="F337" s="124">
        <v>331</v>
      </c>
      <c r="G337" s="238">
        <f t="shared" ca="1" si="11"/>
        <v>2.2050484772138777E-4</v>
      </c>
      <c r="I337" s="156"/>
    </row>
    <row r="338" spans="2:9" x14ac:dyDescent="0.2">
      <c r="B338" s="230">
        <v>45504</v>
      </c>
      <c r="C338" s="124">
        <v>468.61</v>
      </c>
      <c r="D338" s="156">
        <f t="shared" si="12"/>
        <v>3.3401134782143288E-3</v>
      </c>
      <c r="E338" s="156">
        <v>2.2544898739014271E-2</v>
      </c>
      <c r="F338" s="124">
        <v>332</v>
      </c>
      <c r="G338" s="238">
        <f t="shared" ca="1" si="11"/>
        <v>-1.7929292422327915E-2</v>
      </c>
      <c r="I338" s="156"/>
    </row>
    <row r="339" spans="2:9" x14ac:dyDescent="0.2">
      <c r="B339" s="230">
        <v>45503</v>
      </c>
      <c r="C339" s="124">
        <v>463.45</v>
      </c>
      <c r="D339" s="156">
        <f t="shared" si="12"/>
        <v>-1.1011288704893247E-2</v>
      </c>
      <c r="E339" s="156">
        <v>2.2484626702380425E-2</v>
      </c>
      <c r="F339" s="124">
        <v>333</v>
      </c>
      <c r="G339" s="238">
        <f t="shared" ca="1" si="11"/>
        <v>-1.9349984057799724E-2</v>
      </c>
      <c r="I339" s="156"/>
    </row>
    <row r="340" spans="2:9" x14ac:dyDescent="0.2">
      <c r="B340" s="230">
        <v>45502</v>
      </c>
      <c r="C340" s="124">
        <v>469.27</v>
      </c>
      <c r="D340" s="156">
        <f t="shared" si="12"/>
        <v>1.2557988995576639E-2</v>
      </c>
      <c r="E340" s="156">
        <v>2.246197382384154E-2</v>
      </c>
      <c r="F340" s="124">
        <v>334</v>
      </c>
      <c r="G340" s="238">
        <f t="shared" ca="1" si="11"/>
        <v>2.2464296064429574E-2</v>
      </c>
      <c r="I340" s="156"/>
    </row>
    <row r="341" spans="2:9" x14ac:dyDescent="0.2">
      <c r="B341" s="230">
        <v>45499</v>
      </c>
      <c r="C341" s="124">
        <v>475.09</v>
      </c>
      <c r="D341" s="156">
        <f t="shared" si="12"/>
        <v>1.2402241779785611E-2</v>
      </c>
      <c r="E341" s="156">
        <v>2.2421524663677129E-2</v>
      </c>
      <c r="F341" s="124">
        <v>335</v>
      </c>
      <c r="G341" s="238">
        <f t="shared" ca="1" si="11"/>
        <v>-1.0169159182619921E-2</v>
      </c>
      <c r="I341" s="156"/>
    </row>
    <row r="342" spans="2:9" x14ac:dyDescent="0.2">
      <c r="B342" s="230">
        <v>45498</v>
      </c>
      <c r="C342" s="124">
        <v>463.5</v>
      </c>
      <c r="D342" s="156">
        <f t="shared" si="12"/>
        <v>-2.4395377717906029E-2</v>
      </c>
      <c r="E342" s="156">
        <v>2.2411953041622162E-2</v>
      </c>
      <c r="F342" s="124">
        <v>336</v>
      </c>
      <c r="G342" s="238">
        <f t="shared" ca="1" si="11"/>
        <v>-1.7583607178040223E-2</v>
      </c>
      <c r="I342" s="156"/>
    </row>
    <row r="343" spans="2:9" x14ac:dyDescent="0.2">
      <c r="B343" s="230">
        <v>45497</v>
      </c>
      <c r="C343" s="124">
        <v>467.38</v>
      </c>
      <c r="D343" s="156">
        <f t="shared" si="12"/>
        <v>8.3710895361380697E-3</v>
      </c>
      <c r="E343" s="156">
        <v>2.2384135807105975E-2</v>
      </c>
      <c r="F343" s="124">
        <v>337</v>
      </c>
      <c r="G343" s="238">
        <f t="shared" ca="1" si="11"/>
        <v>4.3276242167975629E-3</v>
      </c>
      <c r="I343" s="156"/>
    </row>
    <row r="344" spans="2:9" x14ac:dyDescent="0.2">
      <c r="B344" s="230">
        <v>45496</v>
      </c>
      <c r="C344" s="124">
        <v>465.63</v>
      </c>
      <c r="D344" s="156">
        <f t="shared" si="12"/>
        <v>-3.7442766057597674E-3</v>
      </c>
      <c r="E344" s="156">
        <v>2.2374052106013887E-2</v>
      </c>
      <c r="F344" s="124">
        <v>338</v>
      </c>
      <c r="G344" s="238">
        <f t="shared" ca="1" si="11"/>
        <v>-4.1072239932175653E-2</v>
      </c>
      <c r="I344" s="156"/>
    </row>
    <row r="345" spans="2:9" x14ac:dyDescent="0.2">
      <c r="B345" s="230">
        <v>45495</v>
      </c>
      <c r="C345" s="124">
        <v>441.36</v>
      </c>
      <c r="D345" s="156">
        <f t="shared" si="12"/>
        <v>-5.212293022356803E-2</v>
      </c>
      <c r="E345" s="156">
        <v>2.2353145035522423E-2</v>
      </c>
      <c r="F345" s="124">
        <v>339</v>
      </c>
      <c r="G345" s="238">
        <f t="shared" ca="1" si="11"/>
        <v>-1.7997808632360588E-2</v>
      </c>
      <c r="I345" s="156"/>
    </row>
    <row r="346" spans="2:9" x14ac:dyDescent="0.2">
      <c r="B346" s="230">
        <v>45492</v>
      </c>
      <c r="C346" s="124">
        <v>448.93</v>
      </c>
      <c r="D346" s="156">
        <f t="shared" si="12"/>
        <v>1.7151531629508776E-2</v>
      </c>
      <c r="E346" s="156">
        <v>2.2313686498485391E-2</v>
      </c>
      <c r="F346" s="124">
        <v>340</v>
      </c>
      <c r="G346" s="238">
        <f t="shared" ca="1" si="11"/>
        <v>1.9003437643388559E-2</v>
      </c>
      <c r="I346" s="156"/>
    </row>
    <row r="347" spans="2:9" x14ac:dyDescent="0.2">
      <c r="B347" s="230">
        <v>45491</v>
      </c>
      <c r="C347" s="124">
        <v>444.86</v>
      </c>
      <c r="D347" s="156">
        <f t="shared" si="12"/>
        <v>-9.0660013810616204E-3</v>
      </c>
      <c r="E347" s="156">
        <v>2.2295970832943865E-2</v>
      </c>
      <c r="F347" s="124">
        <v>341</v>
      </c>
      <c r="G347" s="238">
        <f t="shared" ca="1" si="11"/>
        <v>1.2925090241864866E-3</v>
      </c>
      <c r="I347" s="156"/>
    </row>
    <row r="348" spans="2:9" x14ac:dyDescent="0.2">
      <c r="B348" s="230">
        <v>45489</v>
      </c>
      <c r="C348" s="124">
        <v>440.42</v>
      </c>
      <c r="D348" s="156">
        <f t="shared" si="12"/>
        <v>-9.9806680753495424E-3</v>
      </c>
      <c r="E348" s="156">
        <v>2.2290920924178285E-2</v>
      </c>
      <c r="F348" s="124">
        <v>342</v>
      </c>
      <c r="G348" s="238">
        <f t="shared" ca="1" si="11"/>
        <v>-1.7926515648852715E-2</v>
      </c>
      <c r="I348" s="156"/>
    </row>
    <row r="349" spans="2:9" x14ac:dyDescent="0.2">
      <c r="B349" s="230">
        <v>45488</v>
      </c>
      <c r="C349" s="124">
        <v>438.38</v>
      </c>
      <c r="D349" s="156">
        <f t="shared" si="12"/>
        <v>-4.6319422369556799E-3</v>
      </c>
      <c r="E349" s="156">
        <v>2.2275571647841302E-2</v>
      </c>
      <c r="F349" s="124">
        <v>343</v>
      </c>
      <c r="G349" s="238">
        <f t="shared" ca="1" si="11"/>
        <v>-1.5955630916399451E-2</v>
      </c>
      <c r="I349" s="156"/>
    </row>
    <row r="350" spans="2:9" x14ac:dyDescent="0.2">
      <c r="B350" s="230">
        <v>45485</v>
      </c>
      <c r="C350" s="124">
        <v>434.27</v>
      </c>
      <c r="D350" s="156">
        <f t="shared" si="12"/>
        <v>-9.3754277111182394E-3</v>
      </c>
      <c r="E350" s="156">
        <v>2.2273249138920918E-2</v>
      </c>
      <c r="F350" s="124">
        <v>344</v>
      </c>
      <c r="G350" s="238">
        <f t="shared" ca="1" si="11"/>
        <v>4.6481682907331526E-2</v>
      </c>
      <c r="I350" s="156"/>
    </row>
    <row r="351" spans="2:9" x14ac:dyDescent="0.2">
      <c r="B351" s="230">
        <v>45484</v>
      </c>
      <c r="C351" s="124">
        <v>433.89</v>
      </c>
      <c r="D351" s="156">
        <f t="shared" si="12"/>
        <v>-8.7503166232987646E-4</v>
      </c>
      <c r="E351" s="156">
        <v>2.2180248246087345E-2</v>
      </c>
      <c r="F351" s="124">
        <v>345</v>
      </c>
      <c r="G351" s="238">
        <f t="shared" ca="1" si="11"/>
        <v>-2.3958830143017695E-2</v>
      </c>
      <c r="I351" s="156"/>
    </row>
    <row r="352" spans="2:9" x14ac:dyDescent="0.2">
      <c r="B352" s="230">
        <v>45483</v>
      </c>
      <c r="C352" s="124">
        <v>427.08</v>
      </c>
      <c r="D352" s="156">
        <f t="shared" si="12"/>
        <v>-1.5695222291364178E-2</v>
      </c>
      <c r="E352" s="156">
        <v>2.2144112478031601E-2</v>
      </c>
      <c r="F352" s="124">
        <v>346</v>
      </c>
      <c r="G352" s="238">
        <f t="shared" ca="1" si="11"/>
        <v>-6.6961767861584707E-3</v>
      </c>
      <c r="I352" s="156"/>
    </row>
    <row r="353" spans="2:9" x14ac:dyDescent="0.2">
      <c r="B353" s="230">
        <v>45482</v>
      </c>
      <c r="C353" s="124">
        <v>428.17</v>
      </c>
      <c r="D353" s="156">
        <f t="shared" si="12"/>
        <v>2.5522150416784485E-3</v>
      </c>
      <c r="E353" s="156">
        <v>2.2085889570552186E-2</v>
      </c>
      <c r="F353" s="124">
        <v>347</v>
      </c>
      <c r="G353" s="238">
        <f t="shared" ca="1" si="11"/>
        <v>1.0441395860365537E-2</v>
      </c>
      <c r="I353" s="156"/>
    </row>
    <row r="354" spans="2:9" x14ac:dyDescent="0.2">
      <c r="B354" s="230">
        <v>45481</v>
      </c>
      <c r="C354" s="124">
        <v>419.65</v>
      </c>
      <c r="D354" s="156">
        <f t="shared" si="12"/>
        <v>-1.9898638391293268E-2</v>
      </c>
      <c r="E354" s="156">
        <v>2.2084321956561431E-2</v>
      </c>
      <c r="F354" s="124">
        <v>348</v>
      </c>
      <c r="G354" s="238">
        <f t="shared" ca="1" si="11"/>
        <v>1.0747132035262865E-2</v>
      </c>
      <c r="I354" s="156"/>
    </row>
    <row r="355" spans="2:9" x14ac:dyDescent="0.2">
      <c r="B355" s="230">
        <v>45478</v>
      </c>
      <c r="C355" s="124">
        <v>410.24</v>
      </c>
      <c r="D355" s="156">
        <f t="shared" si="12"/>
        <v>-2.2423448111521433E-2</v>
      </c>
      <c r="E355" s="156">
        <v>2.2077182530991373E-2</v>
      </c>
      <c r="F355" s="124">
        <v>349</v>
      </c>
      <c r="G355" s="238">
        <f t="shared" ca="1" si="11"/>
        <v>1.462946150098542E-3</v>
      </c>
      <c r="I355" s="156"/>
    </row>
    <row r="356" spans="2:9" x14ac:dyDescent="0.2">
      <c r="B356" s="230">
        <v>45477</v>
      </c>
      <c r="C356" s="124">
        <v>405.89</v>
      </c>
      <c r="D356" s="156">
        <f t="shared" si="12"/>
        <v>-1.0603549141965735E-2</v>
      </c>
      <c r="E356" s="156">
        <v>2.2060271814063403E-2</v>
      </c>
      <c r="F356" s="124">
        <v>350</v>
      </c>
      <c r="G356" s="238">
        <f t="shared" ca="1" si="11"/>
        <v>3.0413228771203494E-2</v>
      </c>
      <c r="I356" s="156"/>
    </row>
    <row r="357" spans="2:9" x14ac:dyDescent="0.2">
      <c r="B357" s="230">
        <v>45476</v>
      </c>
      <c r="C357" s="124">
        <v>405.18</v>
      </c>
      <c r="D357" s="156">
        <f t="shared" si="12"/>
        <v>-1.7492424055778155E-3</v>
      </c>
      <c r="E357" s="156">
        <v>2.2045617816091941E-2</v>
      </c>
      <c r="F357" s="124">
        <v>351</v>
      </c>
      <c r="G357" s="238">
        <f t="shared" ca="1" si="11"/>
        <v>5.4034203183287079E-3</v>
      </c>
      <c r="I357" s="156"/>
    </row>
    <row r="358" spans="2:9" x14ac:dyDescent="0.2">
      <c r="B358" s="230">
        <v>45475</v>
      </c>
      <c r="C358" s="124">
        <v>402.53</v>
      </c>
      <c r="D358" s="156">
        <f t="shared" si="12"/>
        <v>-6.5403030751765489E-3</v>
      </c>
      <c r="E358" s="156">
        <v>2.2026624627780576E-2</v>
      </c>
      <c r="F358" s="124">
        <v>352</v>
      </c>
      <c r="G358" s="238">
        <f t="shared" ca="1" si="11"/>
        <v>6.5389455050497416E-3</v>
      </c>
      <c r="I358" s="156"/>
    </row>
    <row r="359" spans="2:9" x14ac:dyDescent="0.2">
      <c r="B359" s="230">
        <v>45474</v>
      </c>
      <c r="C359" s="124">
        <v>405.89</v>
      </c>
      <c r="D359" s="156">
        <f t="shared" si="12"/>
        <v>8.3472039351104605E-3</v>
      </c>
      <c r="E359" s="156">
        <v>2.2023308370629678E-2</v>
      </c>
      <c r="F359" s="124">
        <v>353</v>
      </c>
      <c r="G359" s="238">
        <f t="shared" ca="1" si="11"/>
        <v>2.3699884646576519E-2</v>
      </c>
      <c r="I359" s="156"/>
    </row>
    <row r="360" spans="2:9" x14ac:dyDescent="0.2">
      <c r="B360" s="230">
        <v>45471</v>
      </c>
      <c r="C360" s="124">
        <v>401.96</v>
      </c>
      <c r="D360" s="156">
        <f t="shared" si="12"/>
        <v>-9.682426273128205E-3</v>
      </c>
      <c r="E360" s="156">
        <v>2.201834862385323E-2</v>
      </c>
      <c r="F360" s="124">
        <v>354</v>
      </c>
      <c r="G360" s="238">
        <f t="shared" ca="1" si="11"/>
        <v>-1.6182036130873125E-2</v>
      </c>
      <c r="I360" s="156"/>
    </row>
    <row r="361" spans="2:9" x14ac:dyDescent="0.2">
      <c r="B361" s="230">
        <v>45470</v>
      </c>
      <c r="C361" s="124">
        <v>402.62</v>
      </c>
      <c r="D361" s="156">
        <f t="shared" si="12"/>
        <v>1.6419544233257663E-3</v>
      </c>
      <c r="E361" s="156">
        <v>2.196880764715739E-2</v>
      </c>
      <c r="F361" s="124">
        <v>355</v>
      </c>
      <c r="G361" s="238">
        <f t="shared" ca="1" si="11"/>
        <v>4.0694529042927001E-3</v>
      </c>
      <c r="I361" s="156"/>
    </row>
    <row r="362" spans="2:9" x14ac:dyDescent="0.2">
      <c r="B362" s="230">
        <v>45469</v>
      </c>
      <c r="C362" s="124">
        <v>401.06</v>
      </c>
      <c r="D362" s="156">
        <f t="shared" si="12"/>
        <v>-3.874621230937366E-3</v>
      </c>
      <c r="E362" s="156">
        <v>2.1921182266009795E-2</v>
      </c>
      <c r="F362" s="124">
        <v>356</v>
      </c>
      <c r="G362" s="238">
        <f t="shared" ca="1" si="11"/>
        <v>7.235224938600078E-2</v>
      </c>
      <c r="I362" s="156"/>
    </row>
    <row r="363" spans="2:9" x14ac:dyDescent="0.2">
      <c r="B363" s="230">
        <v>45468</v>
      </c>
      <c r="C363" s="124">
        <v>400.45</v>
      </c>
      <c r="D363" s="156">
        <f t="shared" si="12"/>
        <v>-1.5209694310078634E-3</v>
      </c>
      <c r="E363" s="156">
        <v>2.190132370637795E-2</v>
      </c>
      <c r="F363" s="124">
        <v>357</v>
      </c>
      <c r="G363" s="238">
        <f t="shared" ca="1" si="11"/>
        <v>1.3816859445730644E-2</v>
      </c>
      <c r="I363" s="156"/>
    </row>
    <row r="364" spans="2:9" x14ac:dyDescent="0.2">
      <c r="B364" s="230">
        <v>45467</v>
      </c>
      <c r="C364" s="124">
        <v>400.45</v>
      </c>
      <c r="D364" s="156">
        <f t="shared" si="12"/>
        <v>0</v>
      </c>
      <c r="E364" s="156">
        <v>2.1881838074398249E-2</v>
      </c>
      <c r="F364" s="124">
        <v>358</v>
      </c>
      <c r="G364" s="238">
        <f t="shared" ca="1" si="11"/>
        <v>5.0735156167563376E-3</v>
      </c>
      <c r="I364" s="156"/>
    </row>
    <row r="365" spans="2:9" x14ac:dyDescent="0.2">
      <c r="B365" s="230">
        <v>45464</v>
      </c>
      <c r="C365" s="124">
        <v>396.95</v>
      </c>
      <c r="D365" s="156">
        <f t="shared" si="12"/>
        <v>-8.7401673117742541E-3</v>
      </c>
      <c r="E365" s="156">
        <v>2.1873693015474774E-2</v>
      </c>
      <c r="F365" s="124">
        <v>359</v>
      </c>
      <c r="G365" s="238">
        <f t="shared" ca="1" si="11"/>
        <v>-1.53317048914048E-2</v>
      </c>
      <c r="I365" s="156"/>
    </row>
    <row r="366" spans="2:9" x14ac:dyDescent="0.2">
      <c r="B366" s="230">
        <v>45463</v>
      </c>
      <c r="C366" s="124">
        <v>400.45</v>
      </c>
      <c r="D366" s="156">
        <f t="shared" si="12"/>
        <v>8.8172313893437465E-3</v>
      </c>
      <c r="E366" s="156">
        <v>2.1769804474904161E-2</v>
      </c>
      <c r="F366" s="124">
        <v>360</v>
      </c>
      <c r="G366" s="238">
        <f t="shared" ca="1" si="11"/>
        <v>2.0729395401398367E-2</v>
      </c>
      <c r="I366" s="156"/>
    </row>
    <row r="367" spans="2:9" x14ac:dyDescent="0.2">
      <c r="B367" s="230">
        <v>45462</v>
      </c>
      <c r="C367" s="124">
        <v>400.78</v>
      </c>
      <c r="D367" s="156">
        <f t="shared" si="12"/>
        <v>8.2407291796724705E-4</v>
      </c>
      <c r="E367" s="156">
        <v>2.1687509893937067E-2</v>
      </c>
      <c r="F367" s="124">
        <v>361</v>
      </c>
      <c r="G367" s="238">
        <f t="shared" ca="1" si="11"/>
        <v>1.7428621705977313E-2</v>
      </c>
      <c r="I367" s="156"/>
    </row>
    <row r="368" spans="2:9" x14ac:dyDescent="0.2">
      <c r="B368" s="230">
        <v>45461</v>
      </c>
      <c r="C368" s="124">
        <v>405.6</v>
      </c>
      <c r="D368" s="156">
        <f t="shared" si="12"/>
        <v>1.2026548230949775E-2</v>
      </c>
      <c r="E368" s="156">
        <v>2.1669341894061018E-2</v>
      </c>
      <c r="F368" s="124">
        <v>362</v>
      </c>
      <c r="G368" s="238">
        <f t="shared" ca="1" si="11"/>
        <v>3.1093952701063618E-3</v>
      </c>
      <c r="I368" s="156"/>
    </row>
    <row r="369" spans="2:9" x14ac:dyDescent="0.2">
      <c r="B369" s="230">
        <v>45457</v>
      </c>
      <c r="C369" s="124">
        <v>407.87</v>
      </c>
      <c r="D369" s="156">
        <f t="shared" si="12"/>
        <v>5.596646942800744E-3</v>
      </c>
      <c r="E369" s="156">
        <v>2.1628385021002786E-2</v>
      </c>
      <c r="F369" s="124">
        <v>363</v>
      </c>
      <c r="G369" s="238">
        <f t="shared" ca="1" si="11"/>
        <v>-2.6960447713160751E-3</v>
      </c>
      <c r="I369" s="156"/>
    </row>
    <row r="370" spans="2:9" x14ac:dyDescent="0.2">
      <c r="B370" s="230">
        <v>45456</v>
      </c>
      <c r="C370" s="124">
        <v>407.07</v>
      </c>
      <c r="D370" s="156">
        <f t="shared" si="12"/>
        <v>-1.9614092725623641E-3</v>
      </c>
      <c r="E370" s="156">
        <v>2.155556721036353E-2</v>
      </c>
      <c r="F370" s="124">
        <v>364</v>
      </c>
      <c r="G370" s="238">
        <f t="shared" ca="1" si="11"/>
        <v>-5.179271467967532E-3</v>
      </c>
      <c r="I370" s="156"/>
    </row>
    <row r="371" spans="2:9" x14ac:dyDescent="0.2">
      <c r="B371" s="230">
        <v>45455</v>
      </c>
      <c r="C371" s="124">
        <v>408.96</v>
      </c>
      <c r="D371" s="156">
        <f t="shared" si="12"/>
        <v>4.6429361043554829E-3</v>
      </c>
      <c r="E371" s="156">
        <v>2.1535426598717777E-2</v>
      </c>
      <c r="F371" s="124">
        <v>365</v>
      </c>
      <c r="G371" s="238">
        <f t="shared" ca="1" si="11"/>
        <v>-1.0955486499495141E-3</v>
      </c>
      <c r="I371" s="156"/>
    </row>
    <row r="372" spans="2:9" x14ac:dyDescent="0.2">
      <c r="B372" s="230">
        <v>45454</v>
      </c>
      <c r="C372" s="124">
        <v>409.62</v>
      </c>
      <c r="D372" s="156">
        <f t="shared" si="12"/>
        <v>1.6138497652582772E-3</v>
      </c>
      <c r="E372" s="156">
        <v>2.1521035598705589E-2</v>
      </c>
      <c r="F372" s="124">
        <v>366</v>
      </c>
      <c r="G372" s="238">
        <f t="shared" ca="1" si="11"/>
        <v>5.0254160887063925E-3</v>
      </c>
      <c r="I372" s="156"/>
    </row>
    <row r="373" spans="2:9" x14ac:dyDescent="0.2">
      <c r="B373" s="230">
        <v>45453</v>
      </c>
      <c r="C373" s="124">
        <v>413.31</v>
      </c>
      <c r="D373" s="156">
        <f t="shared" si="12"/>
        <v>9.0083492016991302E-3</v>
      </c>
      <c r="E373" s="156">
        <v>2.1471978392977764E-2</v>
      </c>
      <c r="F373" s="124">
        <v>367</v>
      </c>
      <c r="G373" s="238">
        <f t="shared" ca="1" si="11"/>
        <v>-7.6812450495211326E-3</v>
      </c>
      <c r="I373" s="156"/>
    </row>
    <row r="374" spans="2:9" x14ac:dyDescent="0.2">
      <c r="B374" s="230">
        <v>45450</v>
      </c>
      <c r="C374" s="124">
        <v>415.44</v>
      </c>
      <c r="D374" s="156">
        <f t="shared" si="12"/>
        <v>5.1535167307831782E-3</v>
      </c>
      <c r="E374" s="156">
        <v>2.1457403866581643E-2</v>
      </c>
      <c r="F374" s="124">
        <v>368</v>
      </c>
      <c r="G374" s="238">
        <f t="shared" ca="1" si="11"/>
        <v>3.9096247974506667E-3</v>
      </c>
      <c r="I374" s="156"/>
    </row>
    <row r="375" spans="2:9" x14ac:dyDescent="0.2">
      <c r="B375" s="230">
        <v>45449</v>
      </c>
      <c r="C375" s="124">
        <v>411.89</v>
      </c>
      <c r="D375" s="156">
        <f t="shared" si="12"/>
        <v>-8.5451569420373855E-3</v>
      </c>
      <c r="E375" s="156">
        <v>2.1406261902948139E-2</v>
      </c>
      <c r="F375" s="124">
        <v>369</v>
      </c>
      <c r="G375" s="238">
        <f t="shared" ca="1" si="11"/>
        <v>-8.7785506200282836E-5</v>
      </c>
      <c r="I375" s="156"/>
    </row>
    <row r="376" spans="2:9" x14ac:dyDescent="0.2">
      <c r="B376" s="230">
        <v>45448</v>
      </c>
      <c r="C376" s="124">
        <v>407.07</v>
      </c>
      <c r="D376" s="156">
        <f t="shared" si="12"/>
        <v>-1.1702153487581619E-2</v>
      </c>
      <c r="E376" s="156">
        <v>2.1379372036854822E-2</v>
      </c>
      <c r="F376" s="124">
        <v>370</v>
      </c>
      <c r="G376" s="238">
        <f t="shared" ca="1" si="11"/>
        <v>-2.3614560974884864E-2</v>
      </c>
      <c r="I376" s="156"/>
    </row>
    <row r="377" spans="2:9" x14ac:dyDescent="0.2">
      <c r="B377" s="230">
        <v>45447</v>
      </c>
      <c r="C377" s="124">
        <v>392.79</v>
      </c>
      <c r="D377" s="156">
        <f t="shared" si="12"/>
        <v>-3.5079961677352722E-2</v>
      </c>
      <c r="E377" s="156">
        <v>2.1373441519889142E-2</v>
      </c>
      <c r="F377" s="124">
        <v>371</v>
      </c>
      <c r="G377" s="238">
        <f t="shared" ca="1" si="11"/>
        <v>1.8103023198734733E-2</v>
      </c>
      <c r="I377" s="156"/>
    </row>
    <row r="378" spans="2:9" x14ac:dyDescent="0.2">
      <c r="B378" s="230">
        <v>45446</v>
      </c>
      <c r="C378" s="124">
        <v>407.12</v>
      </c>
      <c r="D378" s="156">
        <f t="shared" si="12"/>
        <v>3.6482598844166055E-2</v>
      </c>
      <c r="E378" s="156">
        <v>2.1332385227323281E-2</v>
      </c>
      <c r="F378" s="124">
        <v>372</v>
      </c>
      <c r="G378" s="238">
        <f t="shared" ca="1" si="11"/>
        <v>-2.2146247633598982E-4</v>
      </c>
      <c r="I378" s="156"/>
    </row>
    <row r="379" spans="2:9" x14ac:dyDescent="0.2">
      <c r="B379" s="230">
        <v>45443</v>
      </c>
      <c r="C379" s="124">
        <v>403.43</v>
      </c>
      <c r="D379" s="156">
        <f t="shared" si="12"/>
        <v>-9.063666732167415E-3</v>
      </c>
      <c r="E379" s="156">
        <v>2.1318879855465139E-2</v>
      </c>
      <c r="F379" s="124">
        <v>373</v>
      </c>
      <c r="G379" s="238">
        <f t="shared" ca="1" si="11"/>
        <v>7.3577453831818193E-4</v>
      </c>
      <c r="I379" s="156"/>
    </row>
    <row r="380" spans="2:9" x14ac:dyDescent="0.2">
      <c r="B380" s="230">
        <v>45442</v>
      </c>
      <c r="C380" s="124">
        <v>400.97</v>
      </c>
      <c r="D380" s="156">
        <f t="shared" si="12"/>
        <v>-6.097712118583099E-3</v>
      </c>
      <c r="E380" s="156">
        <v>2.1313586606567948E-2</v>
      </c>
      <c r="F380" s="124">
        <v>374</v>
      </c>
      <c r="G380" s="238">
        <f t="shared" ca="1" si="11"/>
        <v>3.2540131083835619E-2</v>
      </c>
      <c r="I380" s="156"/>
    </row>
    <row r="381" spans="2:9" x14ac:dyDescent="0.2">
      <c r="B381" s="230">
        <v>45441</v>
      </c>
      <c r="C381" s="124">
        <v>407.68</v>
      </c>
      <c r="D381" s="156">
        <f t="shared" si="12"/>
        <v>1.673441903384288E-2</v>
      </c>
      <c r="E381" s="156">
        <v>2.1295344397121496E-2</v>
      </c>
      <c r="F381" s="124">
        <v>375</v>
      </c>
      <c r="G381" s="238">
        <f t="shared" ca="1" si="11"/>
        <v>3.8450214614379544E-3</v>
      </c>
      <c r="I381" s="156"/>
    </row>
    <row r="382" spans="2:9" x14ac:dyDescent="0.2">
      <c r="B382" s="230">
        <v>45440</v>
      </c>
      <c r="C382" s="124">
        <v>405.84</v>
      </c>
      <c r="D382" s="156">
        <f t="shared" si="12"/>
        <v>-4.5133437990581629E-3</v>
      </c>
      <c r="E382" s="156">
        <v>2.1285601983430984E-2</v>
      </c>
      <c r="F382" s="124">
        <v>376</v>
      </c>
      <c r="G382" s="238">
        <f t="shared" ca="1" si="11"/>
        <v>-1.6247257832549385E-2</v>
      </c>
      <c r="I382" s="156"/>
    </row>
    <row r="383" spans="2:9" x14ac:dyDescent="0.2">
      <c r="B383" s="230">
        <v>45439</v>
      </c>
      <c r="C383" s="124">
        <v>408.2</v>
      </c>
      <c r="D383" s="156">
        <f t="shared" si="12"/>
        <v>5.815099546619391E-3</v>
      </c>
      <c r="E383" s="156">
        <v>2.1276595744680795E-2</v>
      </c>
      <c r="F383" s="124">
        <v>377</v>
      </c>
      <c r="G383" s="238">
        <f t="shared" ca="1" si="11"/>
        <v>6.8946936632915644E-3</v>
      </c>
      <c r="I383" s="156"/>
    </row>
    <row r="384" spans="2:9" x14ac:dyDescent="0.2">
      <c r="B384" s="230">
        <v>45436</v>
      </c>
      <c r="C384" s="124">
        <v>412.65</v>
      </c>
      <c r="D384" s="156">
        <f t="shared" si="12"/>
        <v>1.0901518863302276E-2</v>
      </c>
      <c r="E384" s="156">
        <v>2.1252825482605438E-2</v>
      </c>
      <c r="F384" s="124">
        <v>378</v>
      </c>
      <c r="G384" s="238">
        <f t="shared" ca="1" si="11"/>
        <v>-1.2753989255107802E-2</v>
      </c>
      <c r="I384" s="156"/>
    </row>
    <row r="385" spans="2:9" x14ac:dyDescent="0.2">
      <c r="B385" s="230">
        <v>45435</v>
      </c>
      <c r="C385" s="124">
        <v>417.52</v>
      </c>
      <c r="D385" s="156">
        <f t="shared" si="12"/>
        <v>1.1801769053677462E-2</v>
      </c>
      <c r="E385" s="156">
        <v>2.1238586740770123E-2</v>
      </c>
      <c r="F385" s="124">
        <v>379</v>
      </c>
      <c r="G385" s="238">
        <f t="shared" ca="1" si="11"/>
        <v>6.9704269814745293E-3</v>
      </c>
      <c r="I385" s="156"/>
    </row>
    <row r="386" spans="2:9" x14ac:dyDescent="0.2">
      <c r="B386" s="230">
        <v>45434</v>
      </c>
      <c r="C386" s="124">
        <v>416.15</v>
      </c>
      <c r="D386" s="156">
        <f t="shared" si="12"/>
        <v>-3.281279938685583E-3</v>
      </c>
      <c r="E386" s="156">
        <v>2.1232439335887723E-2</v>
      </c>
      <c r="F386" s="124">
        <v>380</v>
      </c>
      <c r="G386" s="238">
        <f t="shared" ca="1" si="11"/>
        <v>-1.1432424510583249E-2</v>
      </c>
      <c r="I386" s="156"/>
    </row>
    <row r="387" spans="2:9" x14ac:dyDescent="0.2">
      <c r="B387" s="230">
        <v>45433</v>
      </c>
      <c r="C387" s="124">
        <v>411.33</v>
      </c>
      <c r="D387" s="156">
        <f t="shared" si="12"/>
        <v>-1.1582362129039995E-2</v>
      </c>
      <c r="E387" s="156">
        <v>2.1197351480595979E-2</v>
      </c>
      <c r="F387" s="124">
        <v>381</v>
      </c>
      <c r="G387" s="238">
        <f t="shared" ca="1" si="11"/>
        <v>-4.5844160263457515E-2</v>
      </c>
      <c r="I387" s="156"/>
    </row>
    <row r="388" spans="2:9" x14ac:dyDescent="0.2">
      <c r="B388" s="230">
        <v>45430</v>
      </c>
      <c r="C388" s="124">
        <v>436.65</v>
      </c>
      <c r="D388" s="156">
        <f t="shared" si="12"/>
        <v>6.1556414557654426E-2</v>
      </c>
      <c r="E388" s="156">
        <v>2.10793840633876E-2</v>
      </c>
      <c r="F388" s="124">
        <v>382</v>
      </c>
      <c r="G388" s="238">
        <f t="shared" ca="1" si="11"/>
        <v>3.2189958604954896E-2</v>
      </c>
      <c r="I388" s="156"/>
    </row>
    <row r="389" spans="2:9" x14ac:dyDescent="0.2">
      <c r="B389" s="230">
        <v>45429</v>
      </c>
      <c r="C389" s="124">
        <v>412.74</v>
      </c>
      <c r="D389" s="156">
        <f t="shared" si="12"/>
        <v>-5.4757815183785571E-2</v>
      </c>
      <c r="E389" s="156">
        <v>2.1023765996343691E-2</v>
      </c>
      <c r="F389" s="124">
        <v>383</v>
      </c>
      <c r="G389" s="238">
        <f t="shared" ca="1" si="11"/>
        <v>5.3164370885909551E-3</v>
      </c>
      <c r="I389" s="156"/>
    </row>
    <row r="390" spans="2:9" x14ac:dyDescent="0.2">
      <c r="B390" s="230">
        <v>45428</v>
      </c>
      <c r="C390" s="124">
        <v>408.16</v>
      </c>
      <c r="D390" s="156">
        <f t="shared" si="12"/>
        <v>-1.1096574114454581E-2</v>
      </c>
      <c r="E390" s="156">
        <v>2.0995568558275588E-2</v>
      </c>
      <c r="F390" s="124">
        <v>384</v>
      </c>
      <c r="G390" s="238">
        <f t="shared" ca="1" si="11"/>
        <v>9.5736530350093115E-4</v>
      </c>
      <c r="I390" s="156"/>
    </row>
    <row r="391" spans="2:9" x14ac:dyDescent="0.2">
      <c r="B391" s="230">
        <v>45427</v>
      </c>
      <c r="C391" s="124">
        <v>404.7</v>
      </c>
      <c r="D391" s="156">
        <f t="shared" si="12"/>
        <v>-8.4770678165426213E-3</v>
      </c>
      <c r="E391" s="156">
        <v>2.098932122253579E-2</v>
      </c>
      <c r="F391" s="124">
        <v>385</v>
      </c>
      <c r="G391" s="238">
        <f t="shared" ref="G391:G454" ca="1" si="13">_xlfn.NORM.INV(RAND(),$L$8,$L$9)</f>
        <v>2.8151743536324936E-2</v>
      </c>
      <c r="I391" s="156"/>
    </row>
    <row r="392" spans="2:9" x14ac:dyDescent="0.2">
      <c r="B392" s="230">
        <v>45426</v>
      </c>
      <c r="C392" s="124">
        <v>406.5</v>
      </c>
      <c r="D392" s="156">
        <f t="shared" ref="D392:D445" si="14">(C392-C391)/C391</f>
        <v>4.4477390659748246E-3</v>
      </c>
      <c r="E392" s="156">
        <v>2.0975160993560268E-2</v>
      </c>
      <c r="F392" s="124">
        <v>386</v>
      </c>
      <c r="G392" s="238">
        <f t="shared" ca="1" si="13"/>
        <v>4.71341040012718E-3</v>
      </c>
      <c r="I392" s="156"/>
    </row>
    <row r="393" spans="2:9" x14ac:dyDescent="0.2">
      <c r="B393" s="230">
        <v>45425</v>
      </c>
      <c r="C393" s="124">
        <v>408.54</v>
      </c>
      <c r="D393" s="156">
        <f t="shared" si="14"/>
        <v>5.0184501845018954E-3</v>
      </c>
      <c r="E393" s="156">
        <v>2.0973657086699106E-2</v>
      </c>
      <c r="F393" s="124">
        <v>387</v>
      </c>
      <c r="G393" s="238">
        <f t="shared" ca="1" si="13"/>
        <v>-1.3572073474765583E-2</v>
      </c>
      <c r="I393" s="156"/>
    </row>
    <row r="394" spans="2:9" x14ac:dyDescent="0.2">
      <c r="B394" s="230">
        <v>45422</v>
      </c>
      <c r="C394" s="124">
        <v>409.95</v>
      </c>
      <c r="D394" s="156">
        <f t="shared" si="14"/>
        <v>3.4513144367747787E-3</v>
      </c>
      <c r="E394" s="156">
        <v>2.0971302428256136E-2</v>
      </c>
      <c r="F394" s="124">
        <v>388</v>
      </c>
      <c r="G394" s="238">
        <f t="shared" ca="1" si="13"/>
        <v>-2.6471480340171025E-2</v>
      </c>
      <c r="I394" s="156"/>
    </row>
    <row r="395" spans="2:9" x14ac:dyDescent="0.2">
      <c r="B395" s="230">
        <v>45421</v>
      </c>
      <c r="C395" s="124">
        <v>402.15</v>
      </c>
      <c r="D395" s="156">
        <f t="shared" si="14"/>
        <v>-1.9026710574460329E-2</v>
      </c>
      <c r="E395" s="156">
        <v>2.0934761441090542E-2</v>
      </c>
      <c r="F395" s="124">
        <v>389</v>
      </c>
      <c r="G395" s="238">
        <f t="shared" ca="1" si="13"/>
        <v>-1.7122937682653515E-2</v>
      </c>
      <c r="I395" s="156"/>
    </row>
    <row r="396" spans="2:9" x14ac:dyDescent="0.2">
      <c r="B396" s="230">
        <v>45420</v>
      </c>
      <c r="C396" s="124">
        <v>417.19</v>
      </c>
      <c r="D396" s="156">
        <f t="shared" si="14"/>
        <v>3.7398980479920484E-2</v>
      </c>
      <c r="E396" s="156">
        <v>2.0915303375440099E-2</v>
      </c>
      <c r="F396" s="124">
        <v>390</v>
      </c>
      <c r="G396" s="238">
        <f t="shared" ca="1" si="13"/>
        <v>2.3427515731753033E-3</v>
      </c>
      <c r="I396" s="156"/>
    </row>
    <row r="397" spans="2:9" x14ac:dyDescent="0.2">
      <c r="B397" s="230">
        <v>45419</v>
      </c>
      <c r="C397" s="124">
        <v>416.58</v>
      </c>
      <c r="D397" s="156">
        <f t="shared" si="14"/>
        <v>-1.4621635226156275E-3</v>
      </c>
      <c r="E397" s="156">
        <v>2.0879940343027557E-2</v>
      </c>
      <c r="F397" s="124">
        <v>391</v>
      </c>
      <c r="G397" s="238">
        <f t="shared" ca="1" si="13"/>
        <v>-9.191558082054541E-3</v>
      </c>
      <c r="I397" s="156"/>
    </row>
    <row r="398" spans="2:9" x14ac:dyDescent="0.2">
      <c r="B398" s="230">
        <v>45418</v>
      </c>
      <c r="C398" s="124">
        <v>411.28</v>
      </c>
      <c r="D398" s="156">
        <f t="shared" si="14"/>
        <v>-1.2722646310432597E-2</v>
      </c>
      <c r="E398" s="156">
        <v>2.0796106907957374E-2</v>
      </c>
      <c r="F398" s="124">
        <v>392</v>
      </c>
      <c r="G398" s="238">
        <f t="shared" ca="1" si="13"/>
        <v>-8.5147788183545028E-3</v>
      </c>
      <c r="I398" s="156"/>
    </row>
    <row r="399" spans="2:9" x14ac:dyDescent="0.2">
      <c r="B399" s="230">
        <v>45415</v>
      </c>
      <c r="C399" s="124">
        <v>412.89</v>
      </c>
      <c r="D399" s="156">
        <f t="shared" si="14"/>
        <v>3.9146080529080278E-3</v>
      </c>
      <c r="E399" s="156">
        <v>2.0791537479482203E-2</v>
      </c>
      <c r="F399" s="124">
        <v>393</v>
      </c>
      <c r="G399" s="238">
        <f t="shared" ca="1" si="13"/>
        <v>1.0353136609240338E-2</v>
      </c>
      <c r="I399" s="156"/>
    </row>
    <row r="400" spans="2:9" x14ac:dyDescent="0.2">
      <c r="B400" s="230">
        <v>45414</v>
      </c>
      <c r="C400" s="124">
        <v>415.3</v>
      </c>
      <c r="D400" s="156">
        <f t="shared" si="14"/>
        <v>5.8369057133861929E-3</v>
      </c>
      <c r="E400" s="156">
        <v>2.0751341681574307E-2</v>
      </c>
      <c r="F400" s="124">
        <v>394</v>
      </c>
      <c r="G400" s="238">
        <f t="shared" ca="1" si="13"/>
        <v>2.6758499227838854E-2</v>
      </c>
      <c r="I400" s="156"/>
    </row>
    <row r="401" spans="2:9" x14ac:dyDescent="0.2">
      <c r="B401" s="230">
        <v>45412</v>
      </c>
      <c r="C401" s="124">
        <v>412.13</v>
      </c>
      <c r="D401" s="156">
        <f t="shared" si="14"/>
        <v>-7.6330363592584053E-3</v>
      </c>
      <c r="E401" s="156">
        <v>2.074210647614658E-2</v>
      </c>
      <c r="F401" s="124">
        <v>395</v>
      </c>
      <c r="G401" s="238">
        <f t="shared" ca="1" si="13"/>
        <v>1.9007247406159285E-2</v>
      </c>
      <c r="I401" s="156"/>
    </row>
    <row r="402" spans="2:9" x14ac:dyDescent="0.2">
      <c r="B402" s="230">
        <v>45411</v>
      </c>
      <c r="C402" s="124">
        <v>414.54</v>
      </c>
      <c r="D402" s="156">
        <f t="shared" si="14"/>
        <v>5.8476694246961522E-3</v>
      </c>
      <c r="E402" s="156">
        <v>2.0727848101265857E-2</v>
      </c>
      <c r="F402" s="124">
        <v>396</v>
      </c>
      <c r="G402" s="238">
        <f t="shared" ca="1" si="13"/>
        <v>-5.9911854440691786E-3</v>
      </c>
      <c r="I402" s="156"/>
    </row>
    <row r="403" spans="2:9" x14ac:dyDescent="0.2">
      <c r="B403" s="230">
        <v>45408</v>
      </c>
      <c r="C403" s="124">
        <v>416.25</v>
      </c>
      <c r="D403" s="156">
        <f t="shared" si="14"/>
        <v>4.1250542770299116E-3</v>
      </c>
      <c r="E403" s="156">
        <v>2.0711196540124953E-2</v>
      </c>
      <c r="F403" s="124">
        <v>397</v>
      </c>
      <c r="G403" s="238">
        <f t="shared" ca="1" si="13"/>
        <v>-2.0501335686453657E-2</v>
      </c>
      <c r="I403" s="156"/>
    </row>
    <row r="404" spans="2:9" x14ac:dyDescent="0.2">
      <c r="B404" s="230">
        <v>45407</v>
      </c>
      <c r="C404" s="124">
        <v>413.93</v>
      </c>
      <c r="D404" s="156">
        <f t="shared" si="14"/>
        <v>-5.5735735735735568E-3</v>
      </c>
      <c r="E404" s="156">
        <v>2.0697811945594211E-2</v>
      </c>
      <c r="F404" s="124">
        <v>398</v>
      </c>
      <c r="G404" s="238">
        <f t="shared" ca="1" si="13"/>
        <v>-2.2746597327586611E-3</v>
      </c>
      <c r="I404" s="156"/>
    </row>
    <row r="405" spans="2:9" x14ac:dyDescent="0.2">
      <c r="B405" s="230">
        <v>45406</v>
      </c>
      <c r="C405" s="124">
        <v>405.74</v>
      </c>
      <c r="D405" s="156">
        <f t="shared" si="14"/>
        <v>-1.9785954146836416E-2</v>
      </c>
      <c r="E405" s="156">
        <v>2.0587329294588719E-2</v>
      </c>
      <c r="F405" s="124">
        <v>399</v>
      </c>
      <c r="G405" s="238">
        <f t="shared" ca="1" si="13"/>
        <v>-1.9062621948610338E-2</v>
      </c>
      <c r="I405" s="156"/>
    </row>
    <row r="406" spans="2:9" x14ac:dyDescent="0.2">
      <c r="B406" s="230">
        <v>45405</v>
      </c>
      <c r="C406" s="124">
        <v>406.03</v>
      </c>
      <c r="D406" s="156">
        <f t="shared" si="14"/>
        <v>7.1474343175423577E-4</v>
      </c>
      <c r="E406" s="156">
        <v>2.0575470181642748E-2</v>
      </c>
      <c r="F406" s="124">
        <v>400</v>
      </c>
      <c r="G406" s="238">
        <f t="shared" ca="1" si="13"/>
        <v>3.8335900109524257E-2</v>
      </c>
      <c r="I406" s="156"/>
    </row>
    <row r="407" spans="2:9" x14ac:dyDescent="0.2">
      <c r="B407" s="230">
        <v>45404</v>
      </c>
      <c r="C407" s="124">
        <v>402.34</v>
      </c>
      <c r="D407" s="156">
        <f t="shared" si="14"/>
        <v>-9.087998423761786E-3</v>
      </c>
      <c r="E407" s="156">
        <v>2.0572966737165799E-2</v>
      </c>
      <c r="F407" s="124">
        <v>401</v>
      </c>
      <c r="G407" s="238">
        <f t="shared" ca="1" si="13"/>
        <v>-1.9037594860503042E-2</v>
      </c>
      <c r="I407" s="156"/>
    </row>
    <row r="408" spans="2:9" x14ac:dyDescent="0.2">
      <c r="B408" s="230">
        <v>45401</v>
      </c>
      <c r="C408" s="124">
        <v>401.82</v>
      </c>
      <c r="D408" s="156">
        <f t="shared" si="14"/>
        <v>-1.2924392305015207E-3</v>
      </c>
      <c r="E408" s="156">
        <v>2.0557655954631354E-2</v>
      </c>
      <c r="F408" s="124">
        <v>402</v>
      </c>
      <c r="G408" s="238">
        <f t="shared" ca="1" si="13"/>
        <v>2.2691529518072791E-2</v>
      </c>
      <c r="I408" s="156"/>
    </row>
    <row r="409" spans="2:9" x14ac:dyDescent="0.2">
      <c r="B409" s="230">
        <v>45400</v>
      </c>
      <c r="C409" s="124">
        <v>396.24</v>
      </c>
      <c r="D409" s="156">
        <f t="shared" si="14"/>
        <v>-1.3886814991787328E-2</v>
      </c>
      <c r="E409" s="156">
        <v>2.0537428023032718E-2</v>
      </c>
      <c r="F409" s="124">
        <v>403</v>
      </c>
      <c r="G409" s="238">
        <f t="shared" ca="1" si="13"/>
        <v>-3.0853703471218824E-2</v>
      </c>
      <c r="I409" s="156"/>
    </row>
    <row r="410" spans="2:9" x14ac:dyDescent="0.2">
      <c r="B410" s="230">
        <v>45398</v>
      </c>
      <c r="C410" s="124">
        <v>402.91</v>
      </c>
      <c r="D410" s="156">
        <f t="shared" si="14"/>
        <v>1.6833232384413525E-2</v>
      </c>
      <c r="E410" s="156">
        <v>2.051709758131769E-2</v>
      </c>
      <c r="F410" s="124">
        <v>404</v>
      </c>
      <c r="G410" s="238">
        <f t="shared" ca="1" si="13"/>
        <v>-1.5110077436208085E-4</v>
      </c>
      <c r="I410" s="156"/>
    </row>
    <row r="411" spans="2:9" x14ac:dyDescent="0.2">
      <c r="B411" s="230">
        <v>45397</v>
      </c>
      <c r="C411" s="124">
        <v>402.91</v>
      </c>
      <c r="D411" s="156">
        <f t="shared" si="14"/>
        <v>0</v>
      </c>
      <c r="E411" s="156">
        <v>2.0492803122712941E-2</v>
      </c>
      <c r="F411" s="124">
        <v>405</v>
      </c>
      <c r="G411" s="238">
        <f t="shared" ca="1" si="13"/>
        <v>2.1145471712833694E-2</v>
      </c>
      <c r="I411" s="156"/>
    </row>
    <row r="412" spans="2:9" x14ac:dyDescent="0.2">
      <c r="B412" s="230">
        <v>45394</v>
      </c>
      <c r="C412" s="124">
        <v>406.88</v>
      </c>
      <c r="D412" s="156">
        <f t="shared" si="14"/>
        <v>9.8533171179667183E-3</v>
      </c>
      <c r="E412" s="156">
        <v>2.0486815415821546E-2</v>
      </c>
      <c r="F412" s="124">
        <v>406</v>
      </c>
      <c r="G412" s="238">
        <f t="shared" ca="1" si="13"/>
        <v>2.1857952084335572E-3</v>
      </c>
      <c r="I412" s="156"/>
    </row>
    <row r="413" spans="2:9" x14ac:dyDescent="0.2">
      <c r="B413" s="230">
        <v>45392</v>
      </c>
      <c r="C413" s="124">
        <v>413.36</v>
      </c>
      <c r="D413" s="156">
        <f t="shared" si="14"/>
        <v>1.5926071569013021E-2</v>
      </c>
      <c r="E413" s="156">
        <v>2.0418163998693239E-2</v>
      </c>
      <c r="F413" s="124">
        <v>407</v>
      </c>
      <c r="G413" s="238">
        <f t="shared" ca="1" si="13"/>
        <v>9.3873707709154954E-3</v>
      </c>
      <c r="I413" s="156"/>
    </row>
    <row r="414" spans="2:9" x14ac:dyDescent="0.2">
      <c r="B414" s="230">
        <v>45391</v>
      </c>
      <c r="C414" s="124">
        <v>403.33</v>
      </c>
      <c r="D414" s="156">
        <f t="shared" si="14"/>
        <v>-2.4264563576543521E-2</v>
      </c>
      <c r="E414" s="156">
        <v>2.0366948824818498E-2</v>
      </c>
      <c r="F414" s="124">
        <v>408</v>
      </c>
      <c r="G414" s="238">
        <f t="shared" ca="1" si="13"/>
        <v>-2.6940899533828928E-3</v>
      </c>
      <c r="I414" s="156"/>
    </row>
    <row r="415" spans="2:9" x14ac:dyDescent="0.2">
      <c r="B415" s="230">
        <v>45390</v>
      </c>
      <c r="C415" s="124">
        <v>405.93</v>
      </c>
      <c r="D415" s="156">
        <f t="shared" si="14"/>
        <v>6.4463342672254056E-3</v>
      </c>
      <c r="E415" s="156">
        <v>2.0350020350020349E-2</v>
      </c>
      <c r="F415" s="124">
        <v>409</v>
      </c>
      <c r="G415" s="238">
        <f t="shared" ca="1" si="13"/>
        <v>-1.8367180040969044E-2</v>
      </c>
      <c r="I415" s="156"/>
    </row>
    <row r="416" spans="2:9" x14ac:dyDescent="0.2">
      <c r="B416" s="230">
        <v>45387</v>
      </c>
      <c r="C416" s="124">
        <v>404.47</v>
      </c>
      <c r="D416" s="156">
        <f t="shared" si="14"/>
        <v>-3.5966792304091334E-3</v>
      </c>
      <c r="E416" s="156">
        <v>2.032136105860112E-2</v>
      </c>
      <c r="F416" s="124">
        <v>410</v>
      </c>
      <c r="G416" s="238">
        <f t="shared" ca="1" si="13"/>
        <v>9.7834982022632789E-3</v>
      </c>
      <c r="I416" s="156"/>
    </row>
    <row r="417" spans="2:9" x14ac:dyDescent="0.2">
      <c r="B417" s="230">
        <v>45386</v>
      </c>
      <c r="C417" s="124">
        <v>399.93</v>
      </c>
      <c r="D417" s="156">
        <f t="shared" si="14"/>
        <v>-1.122456548075264E-2</v>
      </c>
      <c r="E417" s="156">
        <v>2.0318359225529971E-2</v>
      </c>
      <c r="F417" s="124">
        <v>411</v>
      </c>
      <c r="G417" s="238">
        <f t="shared" ca="1" si="13"/>
        <v>-1.4860488917867669E-2</v>
      </c>
      <c r="I417" s="156"/>
    </row>
    <row r="418" spans="2:9" x14ac:dyDescent="0.2">
      <c r="B418" s="230">
        <v>45385</v>
      </c>
      <c r="C418" s="124">
        <v>402.24</v>
      </c>
      <c r="D418" s="156">
        <f t="shared" si="14"/>
        <v>5.7760108018903361E-3</v>
      </c>
      <c r="E418" s="156">
        <v>2.0315617631053957E-2</v>
      </c>
      <c r="F418" s="124">
        <v>412</v>
      </c>
      <c r="G418" s="238">
        <f t="shared" ca="1" si="13"/>
        <v>4.1641046600314496E-4</v>
      </c>
      <c r="I418" s="156"/>
    </row>
    <row r="419" spans="2:9" x14ac:dyDescent="0.2">
      <c r="B419" s="230">
        <v>45384</v>
      </c>
      <c r="C419" s="124">
        <v>402.86</v>
      </c>
      <c r="D419" s="156">
        <f t="shared" si="14"/>
        <v>1.5413683373110693E-3</v>
      </c>
      <c r="E419" s="156">
        <v>2.0307966971658035E-2</v>
      </c>
      <c r="F419" s="124">
        <v>413</v>
      </c>
      <c r="G419" s="238">
        <f t="shared" ca="1" si="13"/>
        <v>1.4232745021020714E-2</v>
      </c>
      <c r="I419" s="156"/>
    </row>
    <row r="420" spans="2:9" x14ac:dyDescent="0.2">
      <c r="B420" s="230">
        <v>45383</v>
      </c>
      <c r="C420" s="124">
        <v>403.66</v>
      </c>
      <c r="D420" s="156">
        <f t="shared" si="14"/>
        <v>1.9858015191381905E-3</v>
      </c>
      <c r="E420" s="156">
        <v>2.029796056120731E-2</v>
      </c>
      <c r="F420" s="124">
        <v>414</v>
      </c>
      <c r="G420" s="238">
        <f t="shared" ca="1" si="13"/>
        <v>-2.5118161325253314E-2</v>
      </c>
      <c r="I420" s="156"/>
    </row>
    <row r="421" spans="2:9" x14ac:dyDescent="0.2">
      <c r="B421" s="230">
        <v>45379</v>
      </c>
      <c r="C421" s="124">
        <v>405.23</v>
      </c>
      <c r="D421" s="156">
        <f t="shared" si="14"/>
        <v>3.8894118812862139E-3</v>
      </c>
      <c r="E421" s="156">
        <v>2.0259319286871958E-2</v>
      </c>
      <c r="F421" s="124">
        <v>415</v>
      </c>
      <c r="G421" s="238">
        <f t="shared" ca="1" si="13"/>
        <v>6.1466324150787175E-4</v>
      </c>
      <c r="I421" s="156"/>
    </row>
    <row r="422" spans="2:9" x14ac:dyDescent="0.2">
      <c r="B422" s="230">
        <v>45378</v>
      </c>
      <c r="C422" s="124">
        <v>404.89</v>
      </c>
      <c r="D422" s="156">
        <f t="shared" si="14"/>
        <v>-8.3902968684458656E-4</v>
      </c>
      <c r="E422" s="156">
        <v>2.0248962655601641E-2</v>
      </c>
      <c r="F422" s="124">
        <v>416</v>
      </c>
      <c r="G422" s="238">
        <f t="shared" ca="1" si="13"/>
        <v>-2.874668464621228E-2</v>
      </c>
      <c r="I422" s="156"/>
    </row>
    <row r="423" spans="2:9" x14ac:dyDescent="0.2">
      <c r="B423" s="230">
        <v>45377</v>
      </c>
      <c r="C423" s="124">
        <v>404.56</v>
      </c>
      <c r="D423" s="156">
        <f t="shared" si="14"/>
        <v>-8.1503618266685787E-4</v>
      </c>
      <c r="E423" s="156">
        <v>2.0221473278767537E-2</v>
      </c>
      <c r="F423" s="124">
        <v>417</v>
      </c>
      <c r="G423" s="238">
        <f t="shared" ca="1" si="13"/>
        <v>3.0834915227160416E-2</v>
      </c>
      <c r="I423" s="156"/>
    </row>
    <row r="424" spans="2:9" x14ac:dyDescent="0.2">
      <c r="B424" s="230">
        <v>45373</v>
      </c>
      <c r="C424" s="124">
        <v>405.46</v>
      </c>
      <c r="D424" s="156">
        <f t="shared" si="14"/>
        <v>2.2246391140992123E-3</v>
      </c>
      <c r="E424" s="156">
        <v>2.0209651525167634E-2</v>
      </c>
      <c r="F424" s="124">
        <v>418</v>
      </c>
      <c r="G424" s="238">
        <f t="shared" ca="1" si="13"/>
        <v>3.6783350812579586E-2</v>
      </c>
      <c r="I424" s="156"/>
    </row>
    <row r="425" spans="2:9" x14ac:dyDescent="0.2">
      <c r="B425" s="230">
        <v>45372</v>
      </c>
      <c r="C425" s="124">
        <v>398.51</v>
      </c>
      <c r="D425" s="156">
        <f t="shared" si="14"/>
        <v>-1.7141025008632144E-2</v>
      </c>
      <c r="E425" s="156">
        <v>2.0165208940719277E-2</v>
      </c>
      <c r="F425" s="124">
        <v>419</v>
      </c>
      <c r="G425" s="238">
        <f t="shared" ca="1" si="13"/>
        <v>-4.2396449117968436E-3</v>
      </c>
      <c r="I425" s="156"/>
    </row>
    <row r="426" spans="2:9" x14ac:dyDescent="0.2">
      <c r="B426" s="230">
        <v>45371</v>
      </c>
      <c r="C426" s="124">
        <v>393.26</v>
      </c>
      <c r="D426" s="156">
        <f t="shared" si="14"/>
        <v>-1.3174073423502547E-2</v>
      </c>
      <c r="E426" s="156">
        <v>2.0137606981037087E-2</v>
      </c>
      <c r="F426" s="124">
        <v>420</v>
      </c>
      <c r="G426" s="238">
        <f t="shared" ca="1" si="13"/>
        <v>-3.3203697353240684E-2</v>
      </c>
      <c r="I426" s="156"/>
    </row>
    <row r="427" spans="2:9" x14ac:dyDescent="0.2">
      <c r="B427" s="230">
        <v>45370</v>
      </c>
      <c r="C427" s="124">
        <v>387.44</v>
      </c>
      <c r="D427" s="156">
        <f t="shared" si="14"/>
        <v>-1.4799369373951059E-2</v>
      </c>
      <c r="E427" s="156">
        <v>2.0127434049901718E-2</v>
      </c>
      <c r="F427" s="124">
        <v>421</v>
      </c>
      <c r="G427" s="238">
        <f t="shared" ca="1" si="13"/>
        <v>-1.7978342511282421E-2</v>
      </c>
      <c r="I427" s="156"/>
    </row>
    <row r="428" spans="2:9" x14ac:dyDescent="0.2">
      <c r="B428" s="230">
        <v>45369</v>
      </c>
      <c r="C428" s="124">
        <v>394.91</v>
      </c>
      <c r="D428" s="156">
        <f t="shared" si="14"/>
        <v>1.9280404707825799E-2</v>
      </c>
      <c r="E428" s="156">
        <v>2.0099118942731309E-2</v>
      </c>
      <c r="F428" s="124">
        <v>422</v>
      </c>
      <c r="G428" s="238">
        <f t="shared" ca="1" si="13"/>
        <v>-1.94753467362185E-2</v>
      </c>
      <c r="I428" s="156"/>
    </row>
    <row r="429" spans="2:9" x14ac:dyDescent="0.2">
      <c r="B429" s="230">
        <v>45366</v>
      </c>
      <c r="C429" s="124">
        <v>396.47</v>
      </c>
      <c r="D429" s="156">
        <f t="shared" si="14"/>
        <v>3.9502671494771012E-3</v>
      </c>
      <c r="E429" s="156">
        <v>2.0049849717762729E-2</v>
      </c>
      <c r="F429" s="124">
        <v>423</v>
      </c>
      <c r="G429" s="238">
        <f t="shared" ca="1" si="13"/>
        <v>-3.3367199053035125E-2</v>
      </c>
      <c r="I429" s="156"/>
    </row>
    <row r="430" spans="2:9" x14ac:dyDescent="0.2">
      <c r="B430" s="230">
        <v>45365</v>
      </c>
      <c r="C430" s="124">
        <v>396.99</v>
      </c>
      <c r="D430" s="156">
        <f t="shared" si="14"/>
        <v>1.3115746462531385E-3</v>
      </c>
      <c r="E430" s="156">
        <v>2.0049177227161003E-2</v>
      </c>
      <c r="F430" s="124">
        <v>424</v>
      </c>
      <c r="G430" s="238">
        <f t="shared" ca="1" si="13"/>
        <v>-4.3731041859746099E-2</v>
      </c>
      <c r="I430" s="156"/>
    </row>
    <row r="431" spans="2:9" x14ac:dyDescent="0.2">
      <c r="B431" s="230">
        <v>45364</v>
      </c>
      <c r="C431" s="124">
        <v>399.64</v>
      </c>
      <c r="D431" s="156">
        <f t="shared" si="14"/>
        <v>6.6752311141337999E-3</v>
      </c>
      <c r="E431" s="156">
        <v>1.9974309569685381E-2</v>
      </c>
      <c r="F431" s="124">
        <v>425</v>
      </c>
      <c r="G431" s="238">
        <f t="shared" ca="1" si="13"/>
        <v>-3.4112146865074092E-2</v>
      </c>
      <c r="I431" s="156"/>
    </row>
    <row r="432" spans="2:9" x14ac:dyDescent="0.2">
      <c r="B432" s="230">
        <v>45363</v>
      </c>
      <c r="C432" s="124">
        <v>382.61</v>
      </c>
      <c r="D432" s="156">
        <f t="shared" si="14"/>
        <v>-4.2613352016815063E-2</v>
      </c>
      <c r="E432" s="156">
        <v>1.9934102141680461E-2</v>
      </c>
      <c r="F432" s="124">
        <v>426</v>
      </c>
      <c r="G432" s="238">
        <f t="shared" ca="1" si="13"/>
        <v>2.1718428734413604E-2</v>
      </c>
      <c r="I432" s="156"/>
    </row>
    <row r="433" spans="2:9" x14ac:dyDescent="0.2">
      <c r="B433" s="230">
        <v>45362</v>
      </c>
      <c r="C433" s="124">
        <v>387.3</v>
      </c>
      <c r="D433" s="156">
        <f t="shared" si="14"/>
        <v>1.2257912757115595E-2</v>
      </c>
      <c r="E433" s="156">
        <v>1.9927249723232614E-2</v>
      </c>
      <c r="F433" s="124">
        <v>427</v>
      </c>
      <c r="G433" s="238">
        <f t="shared" ca="1" si="13"/>
        <v>1.035005372179228E-2</v>
      </c>
      <c r="I433" s="156"/>
    </row>
    <row r="434" spans="2:9" x14ac:dyDescent="0.2">
      <c r="B434" s="230">
        <v>45358</v>
      </c>
      <c r="C434" s="124">
        <v>391.22</v>
      </c>
      <c r="D434" s="156">
        <f t="shared" si="14"/>
        <v>1.0121352956364616E-2</v>
      </c>
      <c r="E434" s="156">
        <v>1.9898874571847965E-2</v>
      </c>
      <c r="F434" s="124">
        <v>428</v>
      </c>
      <c r="G434" s="238">
        <f t="shared" ca="1" si="13"/>
        <v>-4.9640930278448256E-3</v>
      </c>
      <c r="I434" s="156"/>
    </row>
    <row r="435" spans="2:9" x14ac:dyDescent="0.2">
      <c r="B435" s="230">
        <v>45357</v>
      </c>
      <c r="C435" s="124">
        <v>385.83</v>
      </c>
      <c r="D435" s="156">
        <f t="shared" si="14"/>
        <v>-1.3777414242625742E-2</v>
      </c>
      <c r="E435" s="156">
        <v>1.9886363636363716E-2</v>
      </c>
      <c r="F435" s="124">
        <v>429</v>
      </c>
      <c r="G435" s="238">
        <f t="shared" ca="1" si="13"/>
        <v>6.2149836220946686E-3</v>
      </c>
      <c r="I435" s="156"/>
    </row>
    <row r="436" spans="2:9" x14ac:dyDescent="0.2">
      <c r="B436" s="230">
        <v>45356</v>
      </c>
      <c r="C436" s="124">
        <v>384.22</v>
      </c>
      <c r="D436" s="156">
        <f t="shared" si="14"/>
        <v>-4.1728222274057406E-3</v>
      </c>
      <c r="E436" s="156">
        <v>1.9839594765723886E-2</v>
      </c>
      <c r="F436" s="124">
        <v>430</v>
      </c>
      <c r="G436" s="238">
        <f t="shared" ca="1" si="13"/>
        <v>-1.900575080802986E-2</v>
      </c>
      <c r="I436" s="156"/>
    </row>
    <row r="437" spans="2:9" x14ac:dyDescent="0.2">
      <c r="B437" s="230">
        <v>45355</v>
      </c>
      <c r="C437" s="124">
        <v>387.01</v>
      </c>
      <c r="D437" s="156">
        <f t="shared" si="14"/>
        <v>7.261464785799707E-3</v>
      </c>
      <c r="E437" s="156">
        <v>1.9830028328611825E-2</v>
      </c>
      <c r="F437" s="124">
        <v>431</v>
      </c>
      <c r="G437" s="238">
        <f t="shared" ca="1" si="13"/>
        <v>-1.376785851833979E-2</v>
      </c>
      <c r="I437" s="156"/>
    </row>
    <row r="438" spans="2:9" x14ac:dyDescent="0.2">
      <c r="B438" s="230">
        <v>45353</v>
      </c>
      <c r="C438" s="124">
        <v>412.05</v>
      </c>
      <c r="D438" s="156">
        <f t="shared" si="14"/>
        <v>6.4701170512389911E-2</v>
      </c>
      <c r="E438" s="156">
        <v>1.9723376542827062E-2</v>
      </c>
      <c r="F438" s="124">
        <v>432</v>
      </c>
      <c r="G438" s="238">
        <f t="shared" ca="1" si="13"/>
        <v>1.9004577756833507E-2</v>
      </c>
      <c r="I438" s="156"/>
    </row>
    <row r="439" spans="2:9" x14ac:dyDescent="0.2">
      <c r="B439" s="230">
        <v>45352</v>
      </c>
      <c r="C439" s="124">
        <v>387.39</v>
      </c>
      <c r="D439" s="156">
        <f t="shared" si="14"/>
        <v>-5.9847105933745967E-2</v>
      </c>
      <c r="E439" s="156">
        <v>1.9695378151260504E-2</v>
      </c>
      <c r="F439" s="124">
        <v>433</v>
      </c>
      <c r="G439" s="238">
        <f t="shared" ca="1" si="13"/>
        <v>-4.9607612997580328E-3</v>
      </c>
      <c r="I439" s="156"/>
    </row>
    <row r="440" spans="2:9" x14ac:dyDescent="0.2">
      <c r="B440" s="230">
        <v>45351</v>
      </c>
      <c r="C440" s="124">
        <v>384.36</v>
      </c>
      <c r="D440" s="156">
        <f t="shared" si="14"/>
        <v>-7.8215751568186404E-3</v>
      </c>
      <c r="E440" s="156">
        <v>1.9693200663349918E-2</v>
      </c>
      <c r="F440" s="124">
        <v>434</v>
      </c>
      <c r="G440" s="238">
        <f t="shared" ca="1" si="13"/>
        <v>7.8018693281412905E-3</v>
      </c>
      <c r="I440" s="156"/>
    </row>
    <row r="441" spans="2:9" x14ac:dyDescent="0.2">
      <c r="B441" s="230">
        <v>45350</v>
      </c>
      <c r="C441" s="124">
        <v>386.26</v>
      </c>
      <c r="D441" s="156">
        <f t="shared" si="14"/>
        <v>4.9432823394733507E-3</v>
      </c>
      <c r="E441" s="156">
        <v>1.9688191795016751E-2</v>
      </c>
      <c r="F441" s="124">
        <v>435</v>
      </c>
      <c r="G441" s="238">
        <f t="shared" ca="1" si="13"/>
        <v>1.5894446230069588E-2</v>
      </c>
      <c r="I441" s="156"/>
    </row>
    <row r="442" spans="2:9" x14ac:dyDescent="0.2">
      <c r="B442" s="230">
        <v>45349</v>
      </c>
      <c r="C442" s="124">
        <v>388.95</v>
      </c>
      <c r="D442" s="156">
        <f t="shared" si="14"/>
        <v>6.964220991042297E-3</v>
      </c>
      <c r="E442" s="156">
        <v>1.9686086725192863E-2</v>
      </c>
      <c r="F442" s="124">
        <v>436</v>
      </c>
      <c r="G442" s="238">
        <f t="shared" ca="1" si="13"/>
        <v>1.8827109065540689E-3</v>
      </c>
      <c r="I442" s="156"/>
    </row>
    <row r="443" spans="2:9" x14ac:dyDescent="0.2">
      <c r="B443" s="230">
        <v>45348</v>
      </c>
      <c r="C443" s="124">
        <v>387.11</v>
      </c>
      <c r="D443" s="156">
        <f t="shared" si="14"/>
        <v>-4.7306851780433866E-3</v>
      </c>
      <c r="E443" s="156">
        <v>1.9674711437565582E-2</v>
      </c>
      <c r="F443" s="124">
        <v>437</v>
      </c>
      <c r="G443" s="238">
        <f t="shared" ca="1" si="13"/>
        <v>-7.955396353289507E-3</v>
      </c>
      <c r="I443" s="156"/>
    </row>
    <row r="444" spans="2:9" x14ac:dyDescent="0.2">
      <c r="B444" s="230">
        <v>45345</v>
      </c>
      <c r="C444" s="124">
        <v>389.19</v>
      </c>
      <c r="D444" s="156">
        <f t="shared" si="14"/>
        <v>5.3731497507168088E-3</v>
      </c>
      <c r="E444" s="156">
        <v>1.9657808518383817E-2</v>
      </c>
      <c r="F444" s="124">
        <v>438</v>
      </c>
      <c r="G444" s="238">
        <f t="shared" ca="1" si="13"/>
        <v>5.9814864548931035E-3</v>
      </c>
      <c r="I444" s="156"/>
    </row>
    <row r="445" spans="2:9" x14ac:dyDescent="0.2">
      <c r="B445" s="230">
        <v>45344</v>
      </c>
      <c r="C445" s="124">
        <v>392.08</v>
      </c>
      <c r="D445" s="156">
        <f t="shared" si="14"/>
        <v>7.4256789742798797E-3</v>
      </c>
      <c r="E445" s="156">
        <v>1.9633086578693254E-2</v>
      </c>
      <c r="F445" s="124">
        <v>439</v>
      </c>
      <c r="G445" s="238">
        <f t="shared" ca="1" si="13"/>
        <v>9.9117293954429277E-3</v>
      </c>
      <c r="I445" s="156"/>
    </row>
    <row r="446" spans="2:9" x14ac:dyDescent="0.2">
      <c r="B446" s="230">
        <v>45343</v>
      </c>
      <c r="C446" s="124">
        <v>381.57</v>
      </c>
      <c r="D446" s="156">
        <f t="shared" ref="D446:D509" si="15">(C446-C445)/C445</f>
        <v>-2.6805753927769821E-2</v>
      </c>
      <c r="E446" s="156">
        <v>1.9631071247249898E-2</v>
      </c>
      <c r="F446" s="124">
        <v>440</v>
      </c>
      <c r="G446" s="238">
        <f t="shared" ca="1" si="13"/>
        <v>-1.0409370041727983E-2</v>
      </c>
      <c r="I446" s="156"/>
    </row>
    <row r="447" spans="2:9" x14ac:dyDescent="0.2">
      <c r="B447" s="230">
        <v>45342</v>
      </c>
      <c r="C447" s="124">
        <v>384.18</v>
      </c>
      <c r="D447" s="156">
        <f t="shared" si="15"/>
        <v>6.8401603899678007E-3</v>
      </c>
      <c r="E447" s="156">
        <v>1.960309777347537E-2</v>
      </c>
      <c r="F447" s="124">
        <v>441</v>
      </c>
      <c r="G447" s="238">
        <f t="shared" ca="1" si="13"/>
        <v>2.3151147103832013E-2</v>
      </c>
      <c r="I447" s="156"/>
    </row>
    <row r="448" spans="2:9" x14ac:dyDescent="0.2">
      <c r="B448" s="230">
        <v>45341</v>
      </c>
      <c r="C448" s="124">
        <v>387.16</v>
      </c>
      <c r="D448" s="156">
        <f t="shared" si="15"/>
        <v>7.7567806757249677E-3</v>
      </c>
      <c r="E448" s="156">
        <v>1.9600591715976376E-2</v>
      </c>
      <c r="F448" s="124">
        <v>442</v>
      </c>
      <c r="G448" s="238">
        <f t="shared" ca="1" si="13"/>
        <v>-4.7199984574563562E-3</v>
      </c>
      <c r="I448" s="156"/>
    </row>
    <row r="449" spans="2:9" x14ac:dyDescent="0.2">
      <c r="B449" s="230">
        <v>45338</v>
      </c>
      <c r="C449" s="124">
        <v>382.76</v>
      </c>
      <c r="D449" s="156">
        <f t="shared" si="15"/>
        <v>-1.1364810414299086E-2</v>
      </c>
      <c r="E449" s="156">
        <v>1.9576928130337602E-2</v>
      </c>
      <c r="F449" s="124">
        <v>443</v>
      </c>
      <c r="G449" s="238">
        <f t="shared" ca="1" si="13"/>
        <v>-1.3508537593876983E-2</v>
      </c>
      <c r="I449" s="156"/>
    </row>
    <row r="450" spans="2:9" x14ac:dyDescent="0.2">
      <c r="B450" s="230">
        <v>45337</v>
      </c>
      <c r="C450" s="124">
        <v>382.1</v>
      </c>
      <c r="D450" s="156">
        <f t="shared" si="15"/>
        <v>-1.7243181105652842E-3</v>
      </c>
      <c r="E450" s="156">
        <v>1.9572872364750544E-2</v>
      </c>
      <c r="F450" s="124">
        <v>444</v>
      </c>
      <c r="G450" s="238">
        <f t="shared" ca="1" si="13"/>
        <v>8.1148146391742237E-3</v>
      </c>
      <c r="I450" s="156"/>
    </row>
    <row r="451" spans="2:9" x14ac:dyDescent="0.2">
      <c r="B451" s="230">
        <v>45336</v>
      </c>
      <c r="C451" s="124">
        <v>389.33</v>
      </c>
      <c r="D451" s="156">
        <f t="shared" si="15"/>
        <v>1.8921748233446639E-2</v>
      </c>
      <c r="E451" s="156">
        <v>1.953860640301331E-2</v>
      </c>
      <c r="F451" s="124">
        <v>445</v>
      </c>
      <c r="G451" s="238">
        <f t="shared" ca="1" si="13"/>
        <v>-5.3679355780177464E-3</v>
      </c>
      <c r="I451" s="156"/>
    </row>
    <row r="452" spans="2:9" x14ac:dyDescent="0.2">
      <c r="B452" s="230">
        <v>45335</v>
      </c>
      <c r="C452" s="124">
        <v>384.79</v>
      </c>
      <c r="D452" s="156">
        <f t="shared" si="15"/>
        <v>-1.1661058741941191E-2</v>
      </c>
      <c r="E452" s="156">
        <v>1.9484736956051216E-2</v>
      </c>
      <c r="F452" s="124">
        <v>446</v>
      </c>
      <c r="G452" s="238">
        <f t="shared" ca="1" si="13"/>
        <v>1.0369152024348717E-2</v>
      </c>
      <c r="I452" s="156"/>
    </row>
    <row r="453" spans="2:9" x14ac:dyDescent="0.2">
      <c r="B453" s="230">
        <v>45334</v>
      </c>
      <c r="C453" s="124">
        <v>384.89</v>
      </c>
      <c r="D453" s="156">
        <f t="shared" si="15"/>
        <v>2.5988201356575243E-4</v>
      </c>
      <c r="E453" s="156">
        <v>1.9452573592700903E-2</v>
      </c>
      <c r="F453" s="124">
        <v>447</v>
      </c>
      <c r="G453" s="238">
        <f t="shared" ca="1" si="13"/>
        <v>-2.2759460876334921E-3</v>
      </c>
      <c r="I453" s="156"/>
    </row>
    <row r="454" spans="2:9" x14ac:dyDescent="0.2">
      <c r="B454" s="230">
        <v>45331</v>
      </c>
      <c r="C454" s="124">
        <v>393.07</v>
      </c>
      <c r="D454" s="156">
        <f t="shared" si="15"/>
        <v>2.1252825482605438E-2</v>
      </c>
      <c r="E454" s="156">
        <v>1.9438444924406127E-2</v>
      </c>
      <c r="F454" s="124">
        <v>448</v>
      </c>
      <c r="G454" s="238">
        <f t="shared" ca="1" si="13"/>
        <v>-3.5712240198840013E-2</v>
      </c>
      <c r="I454" s="156"/>
    </row>
    <row r="455" spans="2:9" x14ac:dyDescent="0.2">
      <c r="B455" s="230">
        <v>45330</v>
      </c>
      <c r="C455" s="124">
        <v>392.17</v>
      </c>
      <c r="D455" s="156">
        <f t="shared" si="15"/>
        <v>-2.2896685068816681E-3</v>
      </c>
      <c r="E455" s="156">
        <v>1.9425333872925988E-2</v>
      </c>
      <c r="F455" s="124">
        <v>449</v>
      </c>
      <c r="G455" s="238">
        <f t="shared" ref="G455:G518" ca="1" si="16">_xlfn.NORM.INV(RAND(),$L$8,$L$9)</f>
        <v>1.730397736781324E-2</v>
      </c>
      <c r="I455" s="156"/>
    </row>
    <row r="456" spans="2:9" x14ac:dyDescent="0.2">
      <c r="B456" s="230">
        <v>45329</v>
      </c>
      <c r="C456" s="124">
        <v>408.49</v>
      </c>
      <c r="D456" s="156">
        <f t="shared" si="15"/>
        <v>4.1614605910701971E-2</v>
      </c>
      <c r="E456" s="156">
        <v>1.941298821354295E-2</v>
      </c>
      <c r="F456" s="124">
        <v>450</v>
      </c>
      <c r="G456" s="238">
        <f t="shared" ca="1" si="16"/>
        <v>-1.0477529463130126E-2</v>
      </c>
      <c r="I456" s="156"/>
    </row>
    <row r="457" spans="2:9" x14ac:dyDescent="0.2">
      <c r="B457" s="230">
        <v>45328</v>
      </c>
      <c r="C457" s="124">
        <v>408.11</v>
      </c>
      <c r="D457" s="156">
        <f t="shared" si="15"/>
        <v>-9.3025533060783728E-4</v>
      </c>
      <c r="E457" s="156">
        <v>1.9390205228106742E-2</v>
      </c>
      <c r="F457" s="124">
        <v>451</v>
      </c>
      <c r="G457" s="238">
        <f t="shared" ca="1" si="16"/>
        <v>-2.0633602790358297E-2</v>
      </c>
      <c r="I457" s="156"/>
    </row>
    <row r="458" spans="2:9" x14ac:dyDescent="0.2">
      <c r="B458" s="230">
        <v>45327</v>
      </c>
      <c r="C458" s="124">
        <v>414.4</v>
      </c>
      <c r="D458" s="156">
        <f t="shared" si="15"/>
        <v>1.5412511332728831E-2</v>
      </c>
      <c r="E458" s="156">
        <v>1.938579654510561E-2</v>
      </c>
      <c r="F458" s="124">
        <v>452</v>
      </c>
      <c r="G458" s="238">
        <f t="shared" ca="1" si="16"/>
        <v>1.7320360448198073E-3</v>
      </c>
      <c r="I458" s="156"/>
    </row>
    <row r="459" spans="2:9" x14ac:dyDescent="0.2">
      <c r="B459" s="230">
        <v>45324</v>
      </c>
      <c r="C459" s="124">
        <v>416.34</v>
      </c>
      <c r="D459" s="156">
        <f t="shared" si="15"/>
        <v>4.6814671814671763E-3</v>
      </c>
      <c r="E459" s="156">
        <v>1.9381971109892163E-2</v>
      </c>
      <c r="F459" s="124">
        <v>453</v>
      </c>
      <c r="G459" s="238">
        <f t="shared" ca="1" si="16"/>
        <v>-2.7970153106019881E-2</v>
      </c>
      <c r="I459" s="156"/>
    </row>
    <row r="460" spans="2:9" x14ac:dyDescent="0.2">
      <c r="B460" s="230">
        <v>45323</v>
      </c>
      <c r="C460" s="124">
        <v>418.99</v>
      </c>
      <c r="D460" s="156">
        <f t="shared" si="15"/>
        <v>6.3649901522794695E-3</v>
      </c>
      <c r="E460" s="156">
        <v>1.9360394334412327E-2</v>
      </c>
      <c r="F460" s="124">
        <v>454</v>
      </c>
      <c r="G460" s="238">
        <f t="shared" ca="1" si="16"/>
        <v>1.7308737041776545E-3</v>
      </c>
      <c r="I460" s="156"/>
    </row>
    <row r="461" spans="2:9" x14ac:dyDescent="0.2">
      <c r="B461" s="230">
        <v>45322</v>
      </c>
      <c r="C461" s="124">
        <v>417.71</v>
      </c>
      <c r="D461" s="156">
        <f t="shared" si="15"/>
        <v>-3.0549655123034668E-3</v>
      </c>
      <c r="E461" s="156">
        <v>1.9337887545979916E-2</v>
      </c>
      <c r="F461" s="124">
        <v>455</v>
      </c>
      <c r="G461" s="238">
        <f t="shared" ca="1" si="16"/>
        <v>2.6331375408227178E-2</v>
      </c>
      <c r="I461" s="156"/>
    </row>
    <row r="462" spans="2:9" x14ac:dyDescent="0.2">
      <c r="B462" s="230">
        <v>45321</v>
      </c>
      <c r="C462" s="124">
        <v>414.4</v>
      </c>
      <c r="D462" s="156">
        <f t="shared" si="15"/>
        <v>-7.9241579085968794E-3</v>
      </c>
      <c r="E462" s="156">
        <v>1.9299967288191031E-2</v>
      </c>
      <c r="F462" s="124">
        <v>456</v>
      </c>
      <c r="G462" s="238">
        <f t="shared" ca="1" si="16"/>
        <v>2.6145007269289351E-3</v>
      </c>
      <c r="I462" s="156"/>
    </row>
    <row r="463" spans="2:9" x14ac:dyDescent="0.2">
      <c r="B463" s="230">
        <v>45320</v>
      </c>
      <c r="C463" s="124">
        <v>425.52</v>
      </c>
      <c r="D463" s="156">
        <f t="shared" si="15"/>
        <v>2.6833976833976845E-2</v>
      </c>
      <c r="E463" s="156">
        <v>1.9280404707825799E-2</v>
      </c>
      <c r="F463" s="124">
        <v>457</v>
      </c>
      <c r="G463" s="238">
        <f t="shared" ca="1" si="16"/>
        <v>-1.3981820911269888E-2</v>
      </c>
      <c r="I463" s="156"/>
    </row>
    <row r="464" spans="2:9" x14ac:dyDescent="0.2">
      <c r="B464" s="230">
        <v>45316</v>
      </c>
      <c r="C464" s="124">
        <v>431.05</v>
      </c>
      <c r="D464" s="156">
        <f t="shared" si="15"/>
        <v>1.2995863884188828E-2</v>
      </c>
      <c r="E464" s="156">
        <v>1.9067034416596688E-2</v>
      </c>
      <c r="F464" s="124">
        <v>458</v>
      </c>
      <c r="G464" s="238">
        <f t="shared" ca="1" si="16"/>
        <v>2.5559031708543515E-2</v>
      </c>
      <c r="I464" s="156"/>
    </row>
    <row r="465" spans="2:9" x14ac:dyDescent="0.2">
      <c r="B465" s="230">
        <v>45315</v>
      </c>
      <c r="C465" s="124">
        <v>438.57</v>
      </c>
      <c r="D465" s="156">
        <f t="shared" si="15"/>
        <v>1.7445771952209678E-2</v>
      </c>
      <c r="E465" s="156">
        <v>1.906116642958745E-2</v>
      </c>
      <c r="F465" s="124">
        <v>459</v>
      </c>
      <c r="G465" s="238">
        <f t="shared" ca="1" si="16"/>
        <v>2.8887969609679531E-3</v>
      </c>
      <c r="I465" s="156"/>
    </row>
    <row r="466" spans="2:9" x14ac:dyDescent="0.2">
      <c r="B466" s="230">
        <v>45314</v>
      </c>
      <c r="C466" s="124">
        <v>434.5</v>
      </c>
      <c r="D466" s="156">
        <f t="shared" si="15"/>
        <v>-9.2801605216954949E-3</v>
      </c>
      <c r="E466" s="156">
        <v>1.9058433587036697E-2</v>
      </c>
      <c r="F466" s="124">
        <v>460</v>
      </c>
      <c r="G466" s="238">
        <f t="shared" ca="1" si="16"/>
        <v>-7.8336725275417809E-3</v>
      </c>
      <c r="I466" s="156"/>
    </row>
    <row r="467" spans="2:9" x14ac:dyDescent="0.2">
      <c r="B467" s="230">
        <v>45311</v>
      </c>
      <c r="C467" s="124">
        <v>468.4</v>
      </c>
      <c r="D467" s="156">
        <f t="shared" si="15"/>
        <v>7.802071346375139E-2</v>
      </c>
      <c r="E467" s="156">
        <v>1.9013001537816293E-2</v>
      </c>
      <c r="F467" s="124">
        <v>461</v>
      </c>
      <c r="G467" s="238">
        <f t="shared" ca="1" si="16"/>
        <v>6.6489952370501907E-3</v>
      </c>
      <c r="I467" s="156"/>
    </row>
    <row r="468" spans="2:9" x14ac:dyDescent="0.2">
      <c r="B468" s="230">
        <v>45310</v>
      </c>
      <c r="C468" s="124">
        <v>446.05</v>
      </c>
      <c r="D468" s="156">
        <f t="shared" si="15"/>
        <v>-4.7715627668659194E-2</v>
      </c>
      <c r="E468" s="156">
        <v>1.8984446477584592E-2</v>
      </c>
      <c r="F468" s="124">
        <v>462</v>
      </c>
      <c r="G468" s="238">
        <f t="shared" ca="1" si="16"/>
        <v>-1.3256738772697856E-2</v>
      </c>
      <c r="I468" s="156"/>
    </row>
    <row r="469" spans="2:9" x14ac:dyDescent="0.2">
      <c r="B469" s="230">
        <v>45309</v>
      </c>
      <c r="C469" s="124">
        <v>440.37</v>
      </c>
      <c r="D469" s="156">
        <f t="shared" si="15"/>
        <v>-1.2733998430669222E-2</v>
      </c>
      <c r="E469" s="156">
        <v>1.8942787661589772E-2</v>
      </c>
      <c r="F469" s="124">
        <v>463</v>
      </c>
      <c r="G469" s="238">
        <f t="shared" ca="1" si="16"/>
        <v>-1.5630325820485364E-2</v>
      </c>
      <c r="I469" s="156"/>
    </row>
    <row r="470" spans="2:9" x14ac:dyDescent="0.2">
      <c r="B470" s="230">
        <v>45308</v>
      </c>
      <c r="C470" s="124">
        <v>441.41</v>
      </c>
      <c r="D470" s="156">
        <f t="shared" si="15"/>
        <v>2.3616504303200048E-3</v>
      </c>
      <c r="E470" s="156">
        <v>1.8941868060091464E-2</v>
      </c>
      <c r="F470" s="124">
        <v>464</v>
      </c>
      <c r="G470" s="238">
        <f t="shared" ca="1" si="16"/>
        <v>-1.2503682130862928E-2</v>
      </c>
      <c r="I470" s="156"/>
    </row>
    <row r="471" spans="2:9" x14ac:dyDescent="0.2">
      <c r="B471" s="230">
        <v>45307</v>
      </c>
      <c r="C471" s="124">
        <v>446.8</v>
      </c>
      <c r="D471" s="156">
        <f t="shared" si="15"/>
        <v>1.2210869712965238E-2</v>
      </c>
      <c r="E471" s="156">
        <v>1.8921748233446639E-2</v>
      </c>
      <c r="F471" s="124">
        <v>465</v>
      </c>
      <c r="G471" s="238">
        <f t="shared" ca="1" si="16"/>
        <v>-2.1822407207151909E-2</v>
      </c>
      <c r="I471" s="156"/>
    </row>
    <row r="472" spans="2:9" x14ac:dyDescent="0.2">
      <c r="B472" s="230">
        <v>45306</v>
      </c>
      <c r="C472" s="124">
        <v>442.36</v>
      </c>
      <c r="D472" s="156">
        <f t="shared" si="15"/>
        <v>-9.9373321396597977E-3</v>
      </c>
      <c r="E472" s="156">
        <v>1.8889970788704944E-2</v>
      </c>
      <c r="F472" s="124">
        <v>466</v>
      </c>
      <c r="G472" s="238">
        <f t="shared" ca="1" si="16"/>
        <v>3.5925857238016203E-2</v>
      </c>
      <c r="I472" s="156"/>
    </row>
    <row r="473" spans="2:9" x14ac:dyDescent="0.2">
      <c r="B473" s="230">
        <v>45303</v>
      </c>
      <c r="C473" s="124">
        <v>441.5</v>
      </c>
      <c r="D473" s="156">
        <f t="shared" si="15"/>
        <v>-1.9441179130120572E-3</v>
      </c>
      <c r="E473" s="156">
        <v>1.8880878819086851E-2</v>
      </c>
      <c r="F473" s="124">
        <v>467</v>
      </c>
      <c r="G473" s="238">
        <f t="shared" ca="1" si="16"/>
        <v>-5.4256616005405479E-3</v>
      </c>
      <c r="I473" s="156"/>
    </row>
    <row r="474" spans="2:9" x14ac:dyDescent="0.2">
      <c r="B474" s="230">
        <v>45302</v>
      </c>
      <c r="C474" s="124">
        <v>437.67</v>
      </c>
      <c r="D474" s="156">
        <f t="shared" si="15"/>
        <v>-8.6749716874291831E-3</v>
      </c>
      <c r="E474" s="156">
        <v>1.8861113617904553E-2</v>
      </c>
      <c r="F474" s="124">
        <v>468</v>
      </c>
      <c r="G474" s="238">
        <f t="shared" ca="1" si="16"/>
        <v>1.9961390320189058E-3</v>
      </c>
      <c r="I474" s="156"/>
    </row>
    <row r="475" spans="2:9" x14ac:dyDescent="0.2">
      <c r="B475" s="230">
        <v>45301</v>
      </c>
      <c r="C475" s="124">
        <v>438.29</v>
      </c>
      <c r="D475" s="156">
        <f t="shared" si="15"/>
        <v>1.4165924098064856E-3</v>
      </c>
      <c r="E475" s="156">
        <v>1.8828716961050169E-2</v>
      </c>
      <c r="F475" s="124">
        <v>469</v>
      </c>
      <c r="G475" s="238">
        <f t="shared" ca="1" si="16"/>
        <v>5.5448281027862508E-3</v>
      </c>
      <c r="I475" s="156"/>
    </row>
    <row r="476" spans="2:9" x14ac:dyDescent="0.2">
      <c r="B476" s="230">
        <v>45300</v>
      </c>
      <c r="C476" s="124">
        <v>439.47</v>
      </c>
      <c r="D476" s="156">
        <f t="shared" si="15"/>
        <v>2.6922813662187289E-3</v>
      </c>
      <c r="E476" s="156">
        <v>1.8825722273998098E-2</v>
      </c>
      <c r="F476" s="124">
        <v>470</v>
      </c>
      <c r="G476" s="238">
        <f t="shared" ca="1" si="16"/>
        <v>-2.3969172483137364E-2</v>
      </c>
      <c r="I476" s="156"/>
    </row>
    <row r="477" spans="2:9" x14ac:dyDescent="0.2">
      <c r="B477" s="230">
        <v>45299</v>
      </c>
      <c r="C477" s="124">
        <v>440.37</v>
      </c>
      <c r="D477" s="156">
        <f t="shared" si="15"/>
        <v>2.0479213598197312E-3</v>
      </c>
      <c r="E477" s="156">
        <v>1.8822968787229055E-2</v>
      </c>
      <c r="F477" s="124">
        <v>471</v>
      </c>
      <c r="G477" s="238">
        <f t="shared" ca="1" si="16"/>
        <v>-1.8296076323714217E-2</v>
      </c>
      <c r="I477" s="156"/>
    </row>
    <row r="478" spans="2:9" x14ac:dyDescent="0.2">
      <c r="B478" s="230">
        <v>45296</v>
      </c>
      <c r="C478" s="124">
        <v>448.36</v>
      </c>
      <c r="D478" s="156">
        <f t="shared" si="15"/>
        <v>1.8143833594477392E-2</v>
      </c>
      <c r="E478" s="156">
        <v>1.8807296096777195E-2</v>
      </c>
      <c r="F478" s="124">
        <v>472</v>
      </c>
      <c r="G478" s="238">
        <f t="shared" ca="1" si="16"/>
        <v>1.2163822514558852E-2</v>
      </c>
      <c r="I478" s="156"/>
    </row>
    <row r="479" spans="2:9" x14ac:dyDescent="0.2">
      <c r="B479" s="230">
        <v>45295</v>
      </c>
      <c r="C479" s="124">
        <v>450.68</v>
      </c>
      <c r="D479" s="156">
        <f t="shared" si="15"/>
        <v>5.1744134177892608E-3</v>
      </c>
      <c r="E479" s="156">
        <v>1.8781528909584913E-2</v>
      </c>
      <c r="F479" s="124">
        <v>473</v>
      </c>
      <c r="G479" s="238">
        <f t="shared" ca="1" si="16"/>
        <v>5.8088458263008689E-3</v>
      </c>
      <c r="I479" s="156"/>
    </row>
    <row r="480" spans="2:9" x14ac:dyDescent="0.2">
      <c r="B480" s="230">
        <v>45294</v>
      </c>
      <c r="C480" s="124">
        <v>451.48</v>
      </c>
      <c r="D480" s="156">
        <f t="shared" si="15"/>
        <v>1.7750954113783868E-3</v>
      </c>
      <c r="E480" s="156">
        <v>1.8771642063058053E-2</v>
      </c>
      <c r="F480" s="124">
        <v>474</v>
      </c>
      <c r="G480" s="238">
        <f t="shared" ca="1" si="16"/>
        <v>3.0318944289246145E-2</v>
      </c>
      <c r="I480" s="156"/>
    </row>
    <row r="481" spans="2:9" x14ac:dyDescent="0.2">
      <c r="B481" s="230">
        <v>45293</v>
      </c>
      <c r="C481" s="124">
        <v>444.96</v>
      </c>
      <c r="D481" s="156">
        <f t="shared" si="15"/>
        <v>-1.4441392752724458E-2</v>
      </c>
      <c r="E481" s="156">
        <v>1.8759536845884602E-2</v>
      </c>
      <c r="F481" s="124">
        <v>475</v>
      </c>
      <c r="G481" s="238">
        <f t="shared" ca="1" si="16"/>
        <v>1.6681042192053862E-2</v>
      </c>
      <c r="I481" s="156"/>
    </row>
    <row r="482" spans="2:9" x14ac:dyDescent="0.2">
      <c r="B482" s="230">
        <v>45292</v>
      </c>
      <c r="C482" s="124">
        <v>442.78</v>
      </c>
      <c r="D482" s="156">
        <f t="shared" si="15"/>
        <v>-4.8993167925206913E-3</v>
      </c>
      <c r="E482" s="156">
        <v>1.8746789933230715E-2</v>
      </c>
      <c r="F482" s="124">
        <v>476</v>
      </c>
      <c r="G482" s="238">
        <f t="shared" ca="1" si="16"/>
        <v>9.2027592967784694E-3</v>
      </c>
      <c r="I482" s="156"/>
    </row>
    <row r="483" spans="2:9" x14ac:dyDescent="0.2">
      <c r="B483" s="230">
        <v>45289</v>
      </c>
      <c r="C483" s="124">
        <v>437.15</v>
      </c>
      <c r="D483" s="156">
        <f t="shared" si="15"/>
        <v>-1.2715118117349464E-2</v>
      </c>
      <c r="E483" s="156">
        <v>1.8728288778130157E-2</v>
      </c>
      <c r="F483" s="124">
        <v>477</v>
      </c>
      <c r="G483" s="238">
        <f t="shared" ca="1" si="16"/>
        <v>1.8664506659373362E-2</v>
      </c>
      <c r="I483" s="156"/>
    </row>
    <row r="484" spans="2:9" x14ac:dyDescent="0.2">
      <c r="B484" s="230">
        <v>45288</v>
      </c>
      <c r="C484" s="124">
        <v>439.05</v>
      </c>
      <c r="D484" s="156">
        <f t="shared" si="15"/>
        <v>4.3463342102254016E-3</v>
      </c>
      <c r="E484" s="156">
        <v>1.8723404255319178E-2</v>
      </c>
      <c r="F484" s="124">
        <v>478</v>
      </c>
      <c r="G484" s="238">
        <f t="shared" ca="1" si="16"/>
        <v>2.7509706258215618E-3</v>
      </c>
      <c r="I484" s="156"/>
    </row>
    <row r="485" spans="2:9" x14ac:dyDescent="0.2">
      <c r="B485" s="230">
        <v>45287</v>
      </c>
      <c r="C485" s="124">
        <v>432.42</v>
      </c>
      <c r="D485" s="156">
        <f t="shared" si="15"/>
        <v>-1.5100785787495718E-2</v>
      </c>
      <c r="E485" s="156">
        <v>1.8708312998210488E-2</v>
      </c>
      <c r="F485" s="124">
        <v>479</v>
      </c>
      <c r="G485" s="238">
        <f t="shared" ca="1" si="16"/>
        <v>-1.1864970628006429E-2</v>
      </c>
      <c r="I485" s="156"/>
    </row>
    <row r="486" spans="2:9" x14ac:dyDescent="0.2">
      <c r="B486" s="230">
        <v>45286</v>
      </c>
      <c r="C486" s="124">
        <v>431.81</v>
      </c>
      <c r="D486" s="156">
        <f t="shared" si="15"/>
        <v>-1.4106655566347847E-3</v>
      </c>
      <c r="E486" s="156">
        <v>1.8633246630409071E-2</v>
      </c>
      <c r="F486" s="124">
        <v>480</v>
      </c>
      <c r="G486" s="238">
        <f t="shared" ca="1" si="16"/>
        <v>1.3680511790395717E-3</v>
      </c>
      <c r="I486" s="156"/>
    </row>
    <row r="487" spans="2:9" x14ac:dyDescent="0.2">
      <c r="B487" s="230">
        <v>45282</v>
      </c>
      <c r="C487" s="124">
        <v>430.63</v>
      </c>
      <c r="D487" s="156">
        <f t="shared" si="15"/>
        <v>-2.7326833561057105E-3</v>
      </c>
      <c r="E487" s="156">
        <v>1.8629807692307831E-2</v>
      </c>
      <c r="F487" s="124">
        <v>481</v>
      </c>
      <c r="G487" s="238">
        <f t="shared" ca="1" si="16"/>
        <v>2.7556425267571304E-2</v>
      </c>
      <c r="I487" s="156"/>
    </row>
    <row r="488" spans="2:9" x14ac:dyDescent="0.2">
      <c r="B488" s="230">
        <v>45281</v>
      </c>
      <c r="C488" s="124">
        <v>427.08</v>
      </c>
      <c r="D488" s="156">
        <f t="shared" si="15"/>
        <v>-8.2437359217890326E-3</v>
      </c>
      <c r="E488" s="156">
        <v>1.8598429274186597E-2</v>
      </c>
      <c r="F488" s="124">
        <v>482</v>
      </c>
      <c r="G488" s="238">
        <f t="shared" ca="1" si="16"/>
        <v>2.2686300421411985E-2</v>
      </c>
      <c r="I488" s="156"/>
    </row>
    <row r="489" spans="2:9" x14ac:dyDescent="0.2">
      <c r="B489" s="230">
        <v>45280</v>
      </c>
      <c r="C489" s="124">
        <v>426.65</v>
      </c>
      <c r="D489" s="156">
        <f t="shared" si="15"/>
        <v>-1.0068371265336865E-3</v>
      </c>
      <c r="E489" s="156">
        <v>1.8483855872718846E-2</v>
      </c>
      <c r="F489" s="124">
        <v>483</v>
      </c>
      <c r="G489" s="238">
        <f t="shared" ca="1" si="16"/>
        <v>-2.9415338958293302E-2</v>
      </c>
      <c r="I489" s="156"/>
    </row>
    <row r="490" spans="2:9" x14ac:dyDescent="0.2">
      <c r="B490" s="230">
        <v>45279</v>
      </c>
      <c r="C490" s="124">
        <v>431.48</v>
      </c>
      <c r="D490" s="156">
        <f t="shared" si="15"/>
        <v>1.1320754716981228E-2</v>
      </c>
      <c r="E490" s="156">
        <v>1.8476621417798017E-2</v>
      </c>
      <c r="F490" s="124">
        <v>484</v>
      </c>
      <c r="G490" s="238">
        <f t="shared" ca="1" si="16"/>
        <v>5.4485050286770947E-3</v>
      </c>
      <c r="I490" s="156"/>
    </row>
    <row r="491" spans="2:9" x14ac:dyDescent="0.2">
      <c r="B491" s="230">
        <v>45278</v>
      </c>
      <c r="C491" s="124">
        <v>427.27</v>
      </c>
      <c r="D491" s="156">
        <f t="shared" si="15"/>
        <v>-9.7571150458886542E-3</v>
      </c>
      <c r="E491" s="156">
        <v>1.841409691629959E-2</v>
      </c>
      <c r="F491" s="124">
        <v>485</v>
      </c>
      <c r="G491" s="238">
        <f t="shared" ca="1" si="16"/>
        <v>-1.227136083301739E-2</v>
      </c>
      <c r="I491" s="156"/>
    </row>
    <row r="492" spans="2:9" x14ac:dyDescent="0.2">
      <c r="B492" s="230">
        <v>45275</v>
      </c>
      <c r="C492" s="124">
        <v>433.46</v>
      </c>
      <c r="D492" s="156">
        <f t="shared" si="15"/>
        <v>1.448732651485009E-2</v>
      </c>
      <c r="E492" s="156">
        <v>1.8406439133961366E-2</v>
      </c>
      <c r="F492" s="124">
        <v>486</v>
      </c>
      <c r="G492" s="238">
        <f t="shared" ca="1" si="16"/>
        <v>-1.1214309161745267E-2</v>
      </c>
      <c r="I492" s="156"/>
    </row>
    <row r="493" spans="2:9" x14ac:dyDescent="0.2">
      <c r="B493" s="230">
        <v>45274</v>
      </c>
      <c r="C493" s="124">
        <v>435.26</v>
      </c>
      <c r="D493" s="156">
        <f t="shared" si="15"/>
        <v>4.1526323074793786E-3</v>
      </c>
      <c r="E493" s="156">
        <v>1.8353763754117826E-2</v>
      </c>
      <c r="F493" s="124">
        <v>487</v>
      </c>
      <c r="G493" s="238">
        <f t="shared" ca="1" si="16"/>
        <v>9.8595285223534949E-3</v>
      </c>
      <c r="I493" s="156"/>
    </row>
    <row r="494" spans="2:9" x14ac:dyDescent="0.2">
      <c r="B494" s="230">
        <v>45273</v>
      </c>
      <c r="C494" s="124">
        <v>431.05</v>
      </c>
      <c r="D494" s="156">
        <f t="shared" si="15"/>
        <v>-9.6723797270596417E-3</v>
      </c>
      <c r="E494" s="156">
        <v>1.8300653594771316E-2</v>
      </c>
      <c r="F494" s="124">
        <v>488</v>
      </c>
      <c r="G494" s="238">
        <f t="shared" ca="1" si="16"/>
        <v>-6.9978465198171722E-3</v>
      </c>
      <c r="I494" s="156"/>
    </row>
    <row r="495" spans="2:9" x14ac:dyDescent="0.2">
      <c r="B495" s="230">
        <v>45272</v>
      </c>
      <c r="C495" s="124">
        <v>428.64</v>
      </c>
      <c r="D495" s="156">
        <f t="shared" si="15"/>
        <v>-5.5909987240459922E-3</v>
      </c>
      <c r="E495" s="156">
        <v>1.8293561242617766E-2</v>
      </c>
      <c r="F495" s="124">
        <v>489</v>
      </c>
      <c r="G495" s="238">
        <f t="shared" ca="1" si="16"/>
        <v>1.2490203381994367E-2</v>
      </c>
      <c r="I495" s="156"/>
    </row>
    <row r="496" spans="2:9" x14ac:dyDescent="0.2">
      <c r="B496" s="230">
        <v>45271</v>
      </c>
      <c r="C496" s="124">
        <v>428.02</v>
      </c>
      <c r="D496" s="156">
        <f t="shared" si="15"/>
        <v>-1.4464352370287528E-3</v>
      </c>
      <c r="E496" s="156">
        <v>1.8284490721303174E-2</v>
      </c>
      <c r="F496" s="124">
        <v>490</v>
      </c>
      <c r="G496" s="238">
        <f t="shared" ca="1" si="16"/>
        <v>5.0195046963380494E-2</v>
      </c>
      <c r="I496" s="156"/>
    </row>
    <row r="497" spans="2:9" x14ac:dyDescent="0.2">
      <c r="B497" s="230">
        <v>45268</v>
      </c>
      <c r="C497" s="124">
        <v>424.9</v>
      </c>
      <c r="D497" s="156">
        <f t="shared" si="15"/>
        <v>-7.2893790009812736E-3</v>
      </c>
      <c r="E497" s="156">
        <v>1.8202360030128043E-2</v>
      </c>
      <c r="F497" s="124">
        <v>491</v>
      </c>
      <c r="G497" s="238">
        <f t="shared" ca="1" si="16"/>
        <v>-8.4804227649789583E-3</v>
      </c>
      <c r="I497" s="156"/>
    </row>
    <row r="498" spans="2:9" x14ac:dyDescent="0.2">
      <c r="B498" s="230">
        <v>45267</v>
      </c>
      <c r="C498" s="124">
        <v>433.37</v>
      </c>
      <c r="D498" s="156">
        <f t="shared" si="15"/>
        <v>1.9934102141680461E-2</v>
      </c>
      <c r="E498" s="156">
        <v>1.8143833594477392E-2</v>
      </c>
      <c r="F498" s="124">
        <v>492</v>
      </c>
      <c r="G498" s="238">
        <f t="shared" ca="1" si="16"/>
        <v>3.3323390372126113E-4</v>
      </c>
      <c r="I498" s="156"/>
    </row>
    <row r="499" spans="2:9" x14ac:dyDescent="0.2">
      <c r="B499" s="230">
        <v>45266</v>
      </c>
      <c r="C499" s="124">
        <v>438.24</v>
      </c>
      <c r="D499" s="156">
        <f t="shared" si="15"/>
        <v>1.1237510672173903E-2</v>
      </c>
      <c r="E499" s="156">
        <v>1.8126032570214792E-2</v>
      </c>
      <c r="F499" s="124">
        <v>493</v>
      </c>
      <c r="G499" s="238">
        <f t="shared" ca="1" si="16"/>
        <v>-1.1171998523688952E-2</v>
      </c>
      <c r="I499" s="156"/>
    </row>
    <row r="500" spans="2:9" x14ac:dyDescent="0.2">
      <c r="B500" s="230">
        <v>45265</v>
      </c>
      <c r="C500" s="124">
        <v>427.36</v>
      </c>
      <c r="D500" s="156">
        <f t="shared" si="15"/>
        <v>-2.4826579043446501E-2</v>
      </c>
      <c r="E500" s="156">
        <v>1.8125960061444037E-2</v>
      </c>
      <c r="F500" s="124">
        <v>494</v>
      </c>
      <c r="G500" s="238">
        <f t="shared" ca="1" si="16"/>
        <v>2.1994707342607459E-2</v>
      </c>
      <c r="I500" s="156"/>
    </row>
    <row r="501" spans="2:9" x14ac:dyDescent="0.2">
      <c r="B501" s="230">
        <v>45264</v>
      </c>
      <c r="C501" s="124">
        <v>429.54</v>
      </c>
      <c r="D501" s="156">
        <f t="shared" si="15"/>
        <v>5.1010857356795364E-3</v>
      </c>
      <c r="E501" s="156">
        <v>1.8090839107005343E-2</v>
      </c>
      <c r="F501" s="124">
        <v>495</v>
      </c>
      <c r="G501" s="238">
        <f t="shared" ca="1" si="16"/>
        <v>1.9942569751036192E-2</v>
      </c>
      <c r="I501" s="156"/>
    </row>
    <row r="502" spans="2:9" x14ac:dyDescent="0.2">
      <c r="B502" s="230">
        <v>45261</v>
      </c>
      <c r="C502" s="124">
        <v>425.52</v>
      </c>
      <c r="D502" s="156">
        <f t="shared" si="15"/>
        <v>-9.3588490012572485E-3</v>
      </c>
      <c r="E502" s="156">
        <v>1.8085315510123878E-2</v>
      </c>
      <c r="F502" s="124">
        <v>496</v>
      </c>
      <c r="G502" s="238">
        <f t="shared" ca="1" si="16"/>
        <v>-2.6023247249886625E-3</v>
      </c>
      <c r="I502" s="156"/>
    </row>
    <row r="503" spans="2:9" x14ac:dyDescent="0.2">
      <c r="B503" s="230">
        <v>45260</v>
      </c>
      <c r="C503" s="124">
        <v>412.27</v>
      </c>
      <c r="D503" s="156">
        <f t="shared" si="15"/>
        <v>-3.1138371874412485E-2</v>
      </c>
      <c r="E503" s="156">
        <v>1.8069567836169368E-2</v>
      </c>
      <c r="F503" s="124">
        <v>497</v>
      </c>
      <c r="G503" s="238">
        <f t="shared" ca="1" si="16"/>
        <v>-3.5864140559165435E-3</v>
      </c>
      <c r="I503" s="156"/>
    </row>
    <row r="504" spans="2:9" x14ac:dyDescent="0.2">
      <c r="B504" s="230">
        <v>45259</v>
      </c>
      <c r="C504" s="124">
        <v>413.6</v>
      </c>
      <c r="D504" s="156">
        <f t="shared" si="15"/>
        <v>3.2260411866011133E-3</v>
      </c>
      <c r="E504" s="156">
        <v>1.805796836426803E-2</v>
      </c>
      <c r="F504" s="124">
        <v>498</v>
      </c>
      <c r="G504" s="238">
        <f t="shared" ca="1" si="16"/>
        <v>3.134615511002557E-3</v>
      </c>
      <c r="I504" s="156"/>
    </row>
    <row r="505" spans="2:9" x14ac:dyDescent="0.2">
      <c r="B505" s="230">
        <v>45258</v>
      </c>
      <c r="C505" s="124">
        <v>411.75</v>
      </c>
      <c r="D505" s="156">
        <f t="shared" si="15"/>
        <v>-4.4729206963250064E-3</v>
      </c>
      <c r="E505" s="156">
        <v>1.8047760537030898E-2</v>
      </c>
      <c r="F505" s="124">
        <v>499</v>
      </c>
      <c r="G505" s="238">
        <f t="shared" ca="1" si="16"/>
        <v>1.0021012604464381E-2</v>
      </c>
      <c r="I505" s="156"/>
    </row>
    <row r="506" spans="2:9" x14ac:dyDescent="0.2">
      <c r="B506" s="230">
        <v>45254</v>
      </c>
      <c r="C506" s="124">
        <v>414.16</v>
      </c>
      <c r="D506" s="156">
        <f t="shared" si="15"/>
        <v>5.8530661809350938E-3</v>
      </c>
      <c r="E506" s="156">
        <v>1.8023617153511473E-2</v>
      </c>
      <c r="F506" s="124">
        <v>500</v>
      </c>
      <c r="G506" s="238">
        <f t="shared" ca="1" si="16"/>
        <v>2.2273643668324402E-2</v>
      </c>
      <c r="I506" s="156"/>
    </row>
    <row r="507" spans="2:9" x14ac:dyDescent="0.2">
      <c r="B507" s="230">
        <v>45253</v>
      </c>
      <c r="C507" s="124">
        <v>416.58</v>
      </c>
      <c r="D507" s="156">
        <f t="shared" si="15"/>
        <v>5.8431524048675847E-3</v>
      </c>
      <c r="E507" s="156">
        <v>1.8015910154422193E-2</v>
      </c>
      <c r="F507" s="124">
        <v>501</v>
      </c>
      <c r="G507" s="238">
        <f t="shared" ca="1" si="16"/>
        <v>-4.8613287519301933E-3</v>
      </c>
      <c r="I507" s="156"/>
    </row>
    <row r="508" spans="2:9" x14ac:dyDescent="0.2">
      <c r="B508" s="230">
        <v>45252</v>
      </c>
      <c r="C508" s="124">
        <v>415.96</v>
      </c>
      <c r="D508" s="156">
        <f t="shared" si="15"/>
        <v>-1.4883095683902361E-3</v>
      </c>
      <c r="E508" s="156">
        <v>1.8012422360248484E-2</v>
      </c>
      <c r="F508" s="124">
        <v>502</v>
      </c>
      <c r="G508" s="238">
        <f t="shared" ca="1" si="16"/>
        <v>-1.9475370092713617E-2</v>
      </c>
      <c r="I508" s="156"/>
    </row>
    <row r="509" spans="2:9" x14ac:dyDescent="0.2">
      <c r="B509" s="230">
        <v>45251</v>
      </c>
      <c r="C509" s="124">
        <v>412.7</v>
      </c>
      <c r="D509" s="156">
        <f t="shared" si="15"/>
        <v>-7.8372920473122193E-3</v>
      </c>
      <c r="E509" s="156">
        <v>1.8010963194988239E-2</v>
      </c>
      <c r="F509" s="124">
        <v>503</v>
      </c>
      <c r="G509" s="238">
        <f t="shared" ca="1" si="16"/>
        <v>-1.1087595135226261E-2</v>
      </c>
      <c r="I509" s="156"/>
    </row>
    <row r="510" spans="2:9" x14ac:dyDescent="0.2">
      <c r="B510" s="230">
        <v>45250</v>
      </c>
      <c r="C510" s="124">
        <v>413.22</v>
      </c>
      <c r="D510" s="156">
        <f t="shared" ref="D510:D573" si="17">(C510-C509)/C509</f>
        <v>1.2599951538648866E-3</v>
      </c>
      <c r="E510" s="156">
        <v>1.8009004502251048E-2</v>
      </c>
      <c r="F510" s="124">
        <v>504</v>
      </c>
      <c r="G510" s="238">
        <f t="shared" ca="1" si="16"/>
        <v>1.0912839347431173E-2</v>
      </c>
      <c r="I510" s="156"/>
    </row>
    <row r="511" spans="2:9" x14ac:dyDescent="0.2">
      <c r="B511" s="230">
        <v>45247</v>
      </c>
      <c r="C511" s="124">
        <v>415.54</v>
      </c>
      <c r="D511" s="156">
        <f t="shared" si="17"/>
        <v>5.6144426697642734E-3</v>
      </c>
      <c r="E511" s="156">
        <v>1.7988252569750441E-2</v>
      </c>
      <c r="F511" s="124">
        <v>505</v>
      </c>
      <c r="G511" s="238">
        <f t="shared" ca="1" si="16"/>
        <v>-1.5410843667738887E-2</v>
      </c>
      <c r="I511" s="156"/>
    </row>
    <row r="512" spans="2:9" x14ac:dyDescent="0.2">
      <c r="B512" s="230">
        <v>45246</v>
      </c>
      <c r="C512" s="124">
        <v>414.97</v>
      </c>
      <c r="D512" s="156">
        <f t="shared" si="17"/>
        <v>-1.3717091014101967E-3</v>
      </c>
      <c r="E512" s="156">
        <v>1.7982456140350853E-2</v>
      </c>
      <c r="F512" s="124">
        <v>506</v>
      </c>
      <c r="G512" s="238">
        <f t="shared" ca="1" si="16"/>
        <v>-7.5716190127298206E-3</v>
      </c>
      <c r="I512" s="156"/>
    </row>
    <row r="513" spans="2:9" x14ac:dyDescent="0.2">
      <c r="B513" s="230">
        <v>45245</v>
      </c>
      <c r="C513" s="124">
        <v>418.09</v>
      </c>
      <c r="D513" s="156">
        <f t="shared" si="17"/>
        <v>7.5186158035519379E-3</v>
      </c>
      <c r="E513" s="156">
        <v>1.7969795450200683E-2</v>
      </c>
      <c r="F513" s="124">
        <v>507</v>
      </c>
      <c r="G513" s="238">
        <f t="shared" ca="1" si="16"/>
        <v>-1.1479887163049927E-2</v>
      </c>
      <c r="I513" s="156"/>
    </row>
    <row r="514" spans="2:9" x14ac:dyDescent="0.2">
      <c r="B514" s="230">
        <v>45243</v>
      </c>
      <c r="C514" s="124">
        <v>412.46</v>
      </c>
      <c r="D514" s="156">
        <f t="shared" si="17"/>
        <v>-1.346600014350976E-2</v>
      </c>
      <c r="E514" s="156">
        <v>1.7964463025868824E-2</v>
      </c>
      <c r="F514" s="124">
        <v>508</v>
      </c>
      <c r="G514" s="238">
        <f t="shared" ca="1" si="16"/>
        <v>1.2192393106279481E-2</v>
      </c>
      <c r="I514" s="156"/>
    </row>
    <row r="515" spans="2:9" x14ac:dyDescent="0.2">
      <c r="B515" s="230">
        <v>45242</v>
      </c>
      <c r="C515" s="124">
        <v>438.45</v>
      </c>
      <c r="D515" s="156">
        <f t="shared" si="17"/>
        <v>6.3012170877175991E-2</v>
      </c>
      <c r="E515" s="156">
        <v>1.7945266935845767E-2</v>
      </c>
      <c r="F515" s="124">
        <v>509</v>
      </c>
      <c r="G515" s="238">
        <f t="shared" ca="1" si="16"/>
        <v>-2.4936020806343526E-2</v>
      </c>
      <c r="I515" s="156"/>
    </row>
    <row r="516" spans="2:9" x14ac:dyDescent="0.2">
      <c r="B516" s="230">
        <v>45240</v>
      </c>
      <c r="C516" s="124">
        <v>412.98</v>
      </c>
      <c r="D516" s="156">
        <f t="shared" si="17"/>
        <v>-5.80910023947998E-2</v>
      </c>
      <c r="E516" s="156">
        <v>1.7929910350448153E-2</v>
      </c>
      <c r="F516" s="124">
        <v>510</v>
      </c>
      <c r="G516" s="238">
        <f t="shared" ca="1" si="16"/>
        <v>1.3380200426215265E-2</v>
      </c>
      <c r="I516" s="156"/>
    </row>
    <row r="517" spans="2:9" x14ac:dyDescent="0.2">
      <c r="B517" s="230">
        <v>45239</v>
      </c>
      <c r="C517" s="124">
        <v>410.95</v>
      </c>
      <c r="D517" s="156">
        <f t="shared" si="17"/>
        <v>-4.915492275655067E-3</v>
      </c>
      <c r="E517" s="156">
        <v>1.7917133258678629E-2</v>
      </c>
      <c r="F517" s="124">
        <v>511</v>
      </c>
      <c r="G517" s="238">
        <f t="shared" ca="1" si="16"/>
        <v>-5.5760117216215469E-3</v>
      </c>
      <c r="I517" s="156"/>
    </row>
    <row r="518" spans="2:9" x14ac:dyDescent="0.2">
      <c r="B518" s="230">
        <v>45238</v>
      </c>
      <c r="C518" s="124">
        <v>413.36</v>
      </c>
      <c r="D518" s="156">
        <f t="shared" si="17"/>
        <v>5.8644603966419885E-3</v>
      </c>
      <c r="E518" s="156">
        <v>1.7903930131004341E-2</v>
      </c>
      <c r="F518" s="124">
        <v>512</v>
      </c>
      <c r="G518" s="238">
        <f t="shared" ca="1" si="16"/>
        <v>3.2760338374580086E-3</v>
      </c>
      <c r="I518" s="156"/>
    </row>
    <row r="519" spans="2:9" x14ac:dyDescent="0.2">
      <c r="B519" s="230">
        <v>45237</v>
      </c>
      <c r="C519" s="124">
        <v>409.34</v>
      </c>
      <c r="D519" s="156">
        <f t="shared" si="17"/>
        <v>-9.7251790207084354E-3</v>
      </c>
      <c r="E519" s="156">
        <v>1.7889908256880759E-2</v>
      </c>
      <c r="F519" s="124">
        <v>513</v>
      </c>
      <c r="G519" s="238">
        <f t="shared" ref="G519:G582" ca="1" si="18">_xlfn.NORM.INV(RAND(),$L$8,$L$9)</f>
        <v>-1.5824540911446023E-3</v>
      </c>
      <c r="I519" s="156"/>
    </row>
    <row r="520" spans="2:9" x14ac:dyDescent="0.2">
      <c r="B520" s="230">
        <v>45236</v>
      </c>
      <c r="C520" s="124">
        <v>411.85</v>
      </c>
      <c r="D520" s="156">
        <f t="shared" si="17"/>
        <v>6.1318219572972293E-3</v>
      </c>
      <c r="E520" s="156">
        <v>1.7850830682219956E-2</v>
      </c>
      <c r="F520" s="124">
        <v>514</v>
      </c>
      <c r="G520" s="238">
        <f t="shared" ca="1" si="18"/>
        <v>-1.0273173297380221E-2</v>
      </c>
      <c r="I520" s="156"/>
    </row>
    <row r="521" spans="2:9" x14ac:dyDescent="0.2">
      <c r="B521" s="230">
        <v>45233</v>
      </c>
      <c r="C521" s="124">
        <v>409.86</v>
      </c>
      <c r="D521" s="156">
        <f t="shared" si="17"/>
        <v>-4.8318562583465072E-3</v>
      </c>
      <c r="E521" s="156">
        <v>1.7844646606018075E-2</v>
      </c>
      <c r="F521" s="124">
        <v>515</v>
      </c>
      <c r="G521" s="238">
        <f t="shared" ca="1" si="18"/>
        <v>8.7435630705317378E-3</v>
      </c>
      <c r="I521" s="156"/>
    </row>
    <row r="522" spans="2:9" x14ac:dyDescent="0.2">
      <c r="B522" s="230">
        <v>45232</v>
      </c>
      <c r="C522" s="124">
        <v>407.87</v>
      </c>
      <c r="D522" s="156">
        <f t="shared" si="17"/>
        <v>-4.8553164495193698E-3</v>
      </c>
      <c r="E522" s="156">
        <v>1.7810599478714263E-2</v>
      </c>
      <c r="F522" s="124">
        <v>516</v>
      </c>
      <c r="G522" s="238">
        <f t="shared" ca="1" si="18"/>
        <v>4.0102026080943813E-3</v>
      </c>
      <c r="I522" s="156"/>
    </row>
    <row r="523" spans="2:9" x14ac:dyDescent="0.2">
      <c r="B523" s="230">
        <v>45231</v>
      </c>
      <c r="C523" s="124">
        <v>404.99</v>
      </c>
      <c r="D523" s="156">
        <f t="shared" si="17"/>
        <v>-7.0610733812243986E-3</v>
      </c>
      <c r="E523" s="156">
        <v>1.7783191230207093E-2</v>
      </c>
      <c r="F523" s="124">
        <v>517</v>
      </c>
      <c r="G523" s="238">
        <f t="shared" ca="1" si="18"/>
        <v>-5.5653949869487497E-3</v>
      </c>
      <c r="I523" s="156"/>
    </row>
    <row r="524" spans="2:9" x14ac:dyDescent="0.2">
      <c r="B524" s="230">
        <v>45230</v>
      </c>
      <c r="C524" s="124">
        <v>405.27</v>
      </c>
      <c r="D524" s="156">
        <f t="shared" si="17"/>
        <v>6.9137509568130743E-4</v>
      </c>
      <c r="E524" s="156">
        <v>1.7761159149334009E-2</v>
      </c>
      <c r="F524" s="124">
        <v>518</v>
      </c>
      <c r="G524" s="238">
        <f t="shared" ca="1" si="18"/>
        <v>3.1995074490020335E-2</v>
      </c>
      <c r="I524" s="156"/>
    </row>
    <row r="525" spans="2:9" x14ac:dyDescent="0.2">
      <c r="B525" s="230">
        <v>45229</v>
      </c>
      <c r="C525" s="124">
        <v>407.21</v>
      </c>
      <c r="D525" s="156">
        <f t="shared" si="17"/>
        <v>4.7869321686776663E-3</v>
      </c>
      <c r="E525" s="156">
        <v>1.7731629392971238E-2</v>
      </c>
      <c r="F525" s="124">
        <v>519</v>
      </c>
      <c r="G525" s="238">
        <f t="shared" ca="1" si="18"/>
        <v>1.3944693989956108E-2</v>
      </c>
      <c r="I525" s="156"/>
    </row>
    <row r="526" spans="2:9" x14ac:dyDescent="0.2">
      <c r="B526" s="230">
        <v>45226</v>
      </c>
      <c r="C526" s="124">
        <v>410.33</v>
      </c>
      <c r="D526" s="156">
        <f t="shared" si="17"/>
        <v>7.6618943542643963E-3</v>
      </c>
      <c r="E526" s="156">
        <v>1.7709563164108731E-2</v>
      </c>
      <c r="F526" s="124">
        <v>520</v>
      </c>
      <c r="G526" s="238">
        <f t="shared" ca="1" si="18"/>
        <v>-2.2014672809240474E-3</v>
      </c>
      <c r="I526" s="156"/>
    </row>
    <row r="527" spans="2:9" x14ac:dyDescent="0.2">
      <c r="B527" s="230">
        <v>45225</v>
      </c>
      <c r="C527" s="124">
        <v>410.9</v>
      </c>
      <c r="D527" s="156">
        <f t="shared" si="17"/>
        <v>1.3891258255550245E-3</v>
      </c>
      <c r="E527" s="156">
        <v>1.7694272163443873E-2</v>
      </c>
      <c r="F527" s="124">
        <v>521</v>
      </c>
      <c r="G527" s="238">
        <f t="shared" ca="1" si="18"/>
        <v>-2.3746840032233756E-2</v>
      </c>
      <c r="I527" s="156"/>
    </row>
    <row r="528" spans="2:9" x14ac:dyDescent="0.2">
      <c r="B528" s="230">
        <v>45224</v>
      </c>
      <c r="C528" s="124">
        <v>409.34</v>
      </c>
      <c r="D528" s="156">
        <f t="shared" si="17"/>
        <v>-3.7965441713312298E-3</v>
      </c>
      <c r="E528" s="156">
        <v>1.7679700606529933E-2</v>
      </c>
      <c r="F528" s="124">
        <v>522</v>
      </c>
      <c r="G528" s="238">
        <f t="shared" ca="1" si="18"/>
        <v>2.3209637850306487E-2</v>
      </c>
      <c r="I528" s="156"/>
    </row>
    <row r="529" spans="2:9" x14ac:dyDescent="0.2">
      <c r="B529" s="230">
        <v>45222</v>
      </c>
      <c r="C529" s="124">
        <v>412.37</v>
      </c>
      <c r="D529" s="156">
        <f t="shared" si="17"/>
        <v>7.4021595739483794E-3</v>
      </c>
      <c r="E529" s="156">
        <v>1.7674579795529253E-2</v>
      </c>
      <c r="F529" s="124">
        <v>523</v>
      </c>
      <c r="G529" s="238">
        <f t="shared" ca="1" si="18"/>
        <v>5.8639127877577208E-3</v>
      </c>
      <c r="I529" s="156"/>
    </row>
    <row r="530" spans="2:9" x14ac:dyDescent="0.2">
      <c r="B530" s="230">
        <v>45219</v>
      </c>
      <c r="C530" s="124">
        <v>414.64</v>
      </c>
      <c r="D530" s="156">
        <f t="shared" si="17"/>
        <v>5.5047651381040855E-3</v>
      </c>
      <c r="E530" s="156">
        <v>1.7657110309474078E-2</v>
      </c>
      <c r="F530" s="124">
        <v>524</v>
      </c>
      <c r="G530" s="238">
        <f t="shared" ca="1" si="18"/>
        <v>-4.6073931061800357E-3</v>
      </c>
      <c r="I530" s="156"/>
    </row>
    <row r="531" spans="2:9" x14ac:dyDescent="0.2">
      <c r="B531" s="230">
        <v>45218</v>
      </c>
      <c r="C531" s="124">
        <v>426.08</v>
      </c>
      <c r="D531" s="156">
        <f t="shared" si="17"/>
        <v>2.7590198726606209E-2</v>
      </c>
      <c r="E531" s="156">
        <v>1.7648002566982214E-2</v>
      </c>
      <c r="F531" s="124">
        <v>525</v>
      </c>
      <c r="G531" s="238">
        <f t="shared" ca="1" si="18"/>
        <v>1.0577515405831975E-2</v>
      </c>
      <c r="I531" s="156"/>
    </row>
    <row r="532" spans="2:9" x14ac:dyDescent="0.2">
      <c r="B532" s="230">
        <v>45217</v>
      </c>
      <c r="C532" s="124">
        <v>427.27</v>
      </c>
      <c r="D532" s="156">
        <f t="shared" si="17"/>
        <v>2.7929027412692399E-3</v>
      </c>
      <c r="E532" s="156">
        <v>1.7648002566982214E-2</v>
      </c>
      <c r="F532" s="124">
        <v>526</v>
      </c>
      <c r="G532" s="238">
        <f t="shared" ca="1" si="18"/>
        <v>-5.6851816200874155E-3</v>
      </c>
      <c r="I532" s="156"/>
    </row>
    <row r="533" spans="2:9" x14ac:dyDescent="0.2">
      <c r="B533" s="230">
        <v>45216</v>
      </c>
      <c r="C533" s="124">
        <v>428.97</v>
      </c>
      <c r="D533" s="156">
        <f t="shared" si="17"/>
        <v>3.9787488005243654E-3</v>
      </c>
      <c r="E533" s="156">
        <v>1.7641487094482704E-2</v>
      </c>
      <c r="F533" s="124">
        <v>527</v>
      </c>
      <c r="G533" s="238">
        <f t="shared" ca="1" si="18"/>
        <v>1.5121606965672456E-2</v>
      </c>
      <c r="I533" s="156"/>
    </row>
    <row r="534" spans="2:9" x14ac:dyDescent="0.2">
      <c r="B534" s="230">
        <v>45215</v>
      </c>
      <c r="C534" s="124">
        <v>424.71</v>
      </c>
      <c r="D534" s="156">
        <f t="shared" si="17"/>
        <v>-9.9307643891182306E-3</v>
      </c>
      <c r="E534" s="156">
        <v>1.7629466393829757E-2</v>
      </c>
      <c r="F534" s="124">
        <v>528</v>
      </c>
      <c r="G534" s="238">
        <f t="shared" ca="1" si="18"/>
        <v>5.8617701929216878E-3</v>
      </c>
      <c r="I534" s="156"/>
    </row>
    <row r="535" spans="2:9" x14ac:dyDescent="0.2">
      <c r="B535" s="230">
        <v>45212</v>
      </c>
      <c r="C535" s="124">
        <v>424.14</v>
      </c>
      <c r="D535" s="156">
        <f t="shared" si="17"/>
        <v>-1.3420922511831442E-3</v>
      </c>
      <c r="E535" s="156">
        <v>1.7616307165136368E-2</v>
      </c>
      <c r="F535" s="124">
        <v>529</v>
      </c>
      <c r="G535" s="238">
        <f t="shared" ca="1" si="18"/>
        <v>4.8129826161022677E-3</v>
      </c>
      <c r="I535" s="156"/>
    </row>
    <row r="536" spans="2:9" x14ac:dyDescent="0.2">
      <c r="B536" s="230">
        <v>45211</v>
      </c>
      <c r="C536" s="124">
        <v>426.37</v>
      </c>
      <c r="D536" s="156">
        <f t="shared" si="17"/>
        <v>5.2576979299288401E-3</v>
      </c>
      <c r="E536" s="156">
        <v>1.7612397043982056E-2</v>
      </c>
      <c r="F536" s="124">
        <v>530</v>
      </c>
      <c r="G536" s="238">
        <f t="shared" ca="1" si="18"/>
        <v>2.1659517752726894E-2</v>
      </c>
      <c r="I536" s="156"/>
    </row>
    <row r="537" spans="2:9" x14ac:dyDescent="0.2">
      <c r="B537" s="230">
        <v>45210</v>
      </c>
      <c r="C537" s="124">
        <v>424.05</v>
      </c>
      <c r="D537" s="156">
        <f t="shared" si="17"/>
        <v>-5.4412833923587331E-3</v>
      </c>
      <c r="E537" s="156">
        <v>1.7582861762328188E-2</v>
      </c>
      <c r="F537" s="124">
        <v>531</v>
      </c>
      <c r="G537" s="238">
        <f t="shared" ca="1" si="18"/>
        <v>-3.983113745807073E-2</v>
      </c>
      <c r="I537" s="156"/>
    </row>
    <row r="538" spans="2:9" x14ac:dyDescent="0.2">
      <c r="B538" s="230">
        <v>45209</v>
      </c>
      <c r="C538" s="124">
        <v>420.41</v>
      </c>
      <c r="D538" s="156">
        <f t="shared" si="17"/>
        <v>-8.5838934087960998E-3</v>
      </c>
      <c r="E538" s="156">
        <v>1.757196252609099E-2</v>
      </c>
      <c r="F538" s="124">
        <v>532</v>
      </c>
      <c r="G538" s="238">
        <f t="shared" ca="1" si="18"/>
        <v>2.2173897419009331E-4</v>
      </c>
      <c r="I538" s="156"/>
    </row>
    <row r="539" spans="2:9" x14ac:dyDescent="0.2">
      <c r="B539" s="230">
        <v>45208</v>
      </c>
      <c r="C539" s="124">
        <v>416.67</v>
      </c>
      <c r="D539" s="156">
        <f t="shared" si="17"/>
        <v>-8.8960776384957758E-3</v>
      </c>
      <c r="E539" s="156">
        <v>1.7529039070749701E-2</v>
      </c>
      <c r="F539" s="124">
        <v>533</v>
      </c>
      <c r="G539" s="238">
        <f t="shared" ca="1" si="18"/>
        <v>2.1754641378662471E-2</v>
      </c>
      <c r="I539" s="156"/>
    </row>
    <row r="540" spans="2:9" x14ac:dyDescent="0.2">
      <c r="B540" s="230">
        <v>45205</v>
      </c>
      <c r="C540" s="124">
        <v>418.28</v>
      </c>
      <c r="D540" s="156">
        <f t="shared" si="17"/>
        <v>3.86396908824719E-3</v>
      </c>
      <c r="E540" s="156">
        <v>1.7517704062616431E-2</v>
      </c>
      <c r="F540" s="124">
        <v>534</v>
      </c>
      <c r="G540" s="238">
        <f t="shared" ca="1" si="18"/>
        <v>-2.8238333550114729E-3</v>
      </c>
      <c r="I540" s="156"/>
    </row>
    <row r="541" spans="2:9" x14ac:dyDescent="0.2">
      <c r="B541" s="230">
        <v>45204</v>
      </c>
      <c r="C541" s="124">
        <v>412.51</v>
      </c>
      <c r="D541" s="156">
        <f t="shared" si="17"/>
        <v>-1.3794587357750746E-2</v>
      </c>
      <c r="E541" s="156">
        <v>1.7504655493482266E-2</v>
      </c>
      <c r="F541" s="124">
        <v>535</v>
      </c>
      <c r="G541" s="238">
        <f t="shared" ca="1" si="18"/>
        <v>5.1174492673346714E-3</v>
      </c>
      <c r="I541" s="156"/>
    </row>
    <row r="542" spans="2:9" x14ac:dyDescent="0.2">
      <c r="B542" s="230">
        <v>45203</v>
      </c>
      <c r="C542" s="124">
        <v>412.56</v>
      </c>
      <c r="D542" s="156">
        <f t="shared" si="17"/>
        <v>1.2120918280771707E-4</v>
      </c>
      <c r="E542" s="156">
        <v>1.747206044388477E-2</v>
      </c>
      <c r="F542" s="124">
        <v>536</v>
      </c>
      <c r="G542" s="238">
        <f t="shared" ca="1" si="18"/>
        <v>1.6076751075379724E-2</v>
      </c>
      <c r="I542" s="156"/>
    </row>
    <row r="543" spans="2:9" x14ac:dyDescent="0.2">
      <c r="B543" s="230">
        <v>45202</v>
      </c>
      <c r="C543" s="124">
        <v>416.01</v>
      </c>
      <c r="D543" s="156">
        <f t="shared" si="17"/>
        <v>8.3624200116346435E-3</v>
      </c>
      <c r="E543" s="156">
        <v>1.7445771952209678E-2</v>
      </c>
      <c r="F543" s="124">
        <v>537</v>
      </c>
      <c r="G543" s="238">
        <f t="shared" ca="1" si="18"/>
        <v>2.2839140650695807E-2</v>
      </c>
      <c r="I543" s="156"/>
    </row>
    <row r="544" spans="2:9" x14ac:dyDescent="0.2">
      <c r="B544" s="230">
        <v>45198</v>
      </c>
      <c r="C544" s="124">
        <v>420.41</v>
      </c>
      <c r="D544" s="156">
        <f t="shared" si="17"/>
        <v>1.0576668830076283E-2</v>
      </c>
      <c r="E544" s="156">
        <v>1.7440543601358979E-2</v>
      </c>
      <c r="F544" s="124">
        <v>538</v>
      </c>
      <c r="G544" s="238">
        <f t="shared" ca="1" si="18"/>
        <v>1.0567495712888285E-2</v>
      </c>
      <c r="I544" s="156"/>
    </row>
    <row r="545" spans="2:9" x14ac:dyDescent="0.2">
      <c r="B545" s="230">
        <v>45197</v>
      </c>
      <c r="C545" s="124">
        <v>416.95</v>
      </c>
      <c r="D545" s="156">
        <f t="shared" si="17"/>
        <v>-8.2300611308009711E-3</v>
      </c>
      <c r="E545" s="156">
        <v>1.743003436908195E-2</v>
      </c>
      <c r="F545" s="124">
        <v>539</v>
      </c>
      <c r="G545" s="238">
        <f t="shared" ca="1" si="18"/>
        <v>7.5471632205458663E-3</v>
      </c>
      <c r="I545" s="156"/>
    </row>
    <row r="546" spans="2:9" x14ac:dyDescent="0.2">
      <c r="B546" s="230">
        <v>45196</v>
      </c>
      <c r="C546" s="124">
        <v>424.9</v>
      </c>
      <c r="D546" s="156">
        <f t="shared" si="17"/>
        <v>1.9067034416596688E-2</v>
      </c>
      <c r="E546" s="156">
        <v>1.7422867513611655E-2</v>
      </c>
      <c r="F546" s="124">
        <v>540</v>
      </c>
      <c r="G546" s="238">
        <f t="shared" ca="1" si="18"/>
        <v>1.2278770256214619E-2</v>
      </c>
      <c r="I546" s="156"/>
    </row>
    <row r="547" spans="2:9" x14ac:dyDescent="0.2">
      <c r="B547" s="230">
        <v>45195</v>
      </c>
      <c r="C547" s="124">
        <v>418.56</v>
      </c>
      <c r="D547" s="156">
        <f t="shared" si="17"/>
        <v>-1.4921157919510415E-2</v>
      </c>
      <c r="E547" s="156">
        <v>1.7378100219335144E-2</v>
      </c>
      <c r="F547" s="124">
        <v>541</v>
      </c>
      <c r="G547" s="238">
        <f t="shared" ca="1" si="18"/>
        <v>-1.0243066858660298E-2</v>
      </c>
      <c r="I547" s="156"/>
    </row>
    <row r="548" spans="2:9" x14ac:dyDescent="0.2">
      <c r="B548" s="230">
        <v>45194</v>
      </c>
      <c r="C548" s="124">
        <v>418.7</v>
      </c>
      <c r="D548" s="156">
        <f t="shared" si="17"/>
        <v>3.3448012232412642E-4</v>
      </c>
      <c r="E548" s="156">
        <v>1.7377567140600316E-2</v>
      </c>
      <c r="F548" s="124">
        <v>542</v>
      </c>
      <c r="G548" s="238">
        <f t="shared" ca="1" si="18"/>
        <v>-8.1536005116831685E-3</v>
      </c>
      <c r="I548" s="156"/>
    </row>
    <row r="549" spans="2:9" x14ac:dyDescent="0.2">
      <c r="B549" s="230">
        <v>45191</v>
      </c>
      <c r="C549" s="124">
        <v>419.18</v>
      </c>
      <c r="D549" s="156">
        <f t="shared" si="17"/>
        <v>1.146405540960158E-3</v>
      </c>
      <c r="E549" s="156">
        <v>1.7367729910619707E-2</v>
      </c>
      <c r="F549" s="124">
        <v>543</v>
      </c>
      <c r="G549" s="238">
        <f t="shared" ca="1" si="18"/>
        <v>1.1648640218560567E-2</v>
      </c>
      <c r="I549" s="156"/>
    </row>
    <row r="550" spans="2:9" x14ac:dyDescent="0.2">
      <c r="B550" s="230">
        <v>45190</v>
      </c>
      <c r="C550" s="124">
        <v>423.34</v>
      </c>
      <c r="D550" s="156">
        <f t="shared" si="17"/>
        <v>9.9241376019847515E-3</v>
      </c>
      <c r="E550" s="156">
        <v>1.7363344051446915E-2</v>
      </c>
      <c r="F550" s="124">
        <v>544</v>
      </c>
      <c r="G550" s="238">
        <f t="shared" ca="1" si="18"/>
        <v>2.3160006927002652E-2</v>
      </c>
      <c r="I550" s="156"/>
    </row>
    <row r="551" spans="2:9" x14ac:dyDescent="0.2">
      <c r="B551" s="230">
        <v>45189</v>
      </c>
      <c r="C551" s="124">
        <v>428.5</v>
      </c>
      <c r="D551" s="156">
        <f t="shared" si="17"/>
        <v>1.2188784428591736E-2</v>
      </c>
      <c r="E551" s="156">
        <v>1.7347103437147054E-2</v>
      </c>
      <c r="F551" s="124">
        <v>545</v>
      </c>
      <c r="G551" s="238">
        <f t="shared" ca="1" si="18"/>
        <v>2.2514342203489748E-3</v>
      </c>
      <c r="I551" s="156"/>
    </row>
    <row r="552" spans="2:9" x14ac:dyDescent="0.2">
      <c r="B552" s="230">
        <v>45187</v>
      </c>
      <c r="C552" s="124">
        <v>427.64</v>
      </c>
      <c r="D552" s="156">
        <f t="shared" si="17"/>
        <v>-2.0070011668611755E-3</v>
      </c>
      <c r="E552" s="156">
        <v>1.7334882820065775E-2</v>
      </c>
      <c r="F552" s="124">
        <v>546</v>
      </c>
      <c r="G552" s="238">
        <f t="shared" ca="1" si="18"/>
        <v>-3.9240979067072627E-3</v>
      </c>
      <c r="I552" s="156"/>
    </row>
    <row r="553" spans="2:9" x14ac:dyDescent="0.2">
      <c r="B553" s="230">
        <v>45184</v>
      </c>
      <c r="C553" s="124">
        <v>424.14</v>
      </c>
      <c r="D553" s="156">
        <f t="shared" si="17"/>
        <v>-8.1844542138247121E-3</v>
      </c>
      <c r="E553" s="156">
        <v>1.7331614077669876E-2</v>
      </c>
      <c r="F553" s="124">
        <v>547</v>
      </c>
      <c r="G553" s="238">
        <f t="shared" ca="1" si="18"/>
        <v>-8.5947487717385387E-3</v>
      </c>
      <c r="I553" s="156"/>
    </row>
    <row r="554" spans="2:9" x14ac:dyDescent="0.2">
      <c r="B554" s="230">
        <v>45183</v>
      </c>
      <c r="C554" s="124">
        <v>425.66</v>
      </c>
      <c r="D554" s="156">
        <f t="shared" si="17"/>
        <v>3.5837223558259977E-3</v>
      </c>
      <c r="E554" s="156">
        <v>1.7326092578225986E-2</v>
      </c>
      <c r="F554" s="124">
        <v>548</v>
      </c>
      <c r="G554" s="238">
        <f t="shared" ca="1" si="18"/>
        <v>-7.967043975345563E-3</v>
      </c>
      <c r="I554" s="156"/>
    </row>
    <row r="555" spans="2:9" x14ac:dyDescent="0.2">
      <c r="B555" s="230">
        <v>45182</v>
      </c>
      <c r="C555" s="124">
        <v>429.02</v>
      </c>
      <c r="D555" s="156">
        <f t="shared" si="17"/>
        <v>7.8936240191701274E-3</v>
      </c>
      <c r="E555" s="156">
        <v>1.7313347879707834E-2</v>
      </c>
      <c r="F555" s="124">
        <v>549</v>
      </c>
      <c r="G555" s="238">
        <f t="shared" ca="1" si="18"/>
        <v>4.9844215019518951E-3</v>
      </c>
      <c r="I555" s="156"/>
    </row>
    <row r="556" spans="2:9" x14ac:dyDescent="0.2">
      <c r="B556" s="230">
        <v>45181</v>
      </c>
      <c r="C556" s="124">
        <v>426.79</v>
      </c>
      <c r="D556" s="156">
        <f t="shared" si="17"/>
        <v>-5.1978928721270841E-3</v>
      </c>
      <c r="E556" s="156">
        <v>1.7273184638604628E-2</v>
      </c>
      <c r="F556" s="124">
        <v>550</v>
      </c>
      <c r="G556" s="238">
        <f t="shared" ca="1" si="18"/>
        <v>-1.892735384111768E-2</v>
      </c>
      <c r="I556" s="156"/>
    </row>
    <row r="557" spans="2:9" x14ac:dyDescent="0.2">
      <c r="B557" s="230">
        <v>45180</v>
      </c>
      <c r="C557" s="124">
        <v>423.06</v>
      </c>
      <c r="D557" s="156">
        <f t="shared" si="17"/>
        <v>-8.7396611916868202E-3</v>
      </c>
      <c r="E557" s="156">
        <v>1.7257563723012393E-2</v>
      </c>
      <c r="F557" s="124">
        <v>551</v>
      </c>
      <c r="G557" s="238">
        <f t="shared" ca="1" si="18"/>
        <v>-6.1684589818404214E-3</v>
      </c>
      <c r="I557" s="156"/>
    </row>
    <row r="558" spans="2:9" x14ac:dyDescent="0.2">
      <c r="B558" s="230">
        <v>45177</v>
      </c>
      <c r="C558" s="124">
        <v>418.75</v>
      </c>
      <c r="D558" s="156">
        <f t="shared" si="17"/>
        <v>-1.0187680234482112E-2</v>
      </c>
      <c r="E558" s="156">
        <v>1.7234919445485098E-2</v>
      </c>
      <c r="F558" s="124">
        <v>552</v>
      </c>
      <c r="G558" s="238">
        <f t="shared" ca="1" si="18"/>
        <v>1.7685621883081503E-3</v>
      </c>
      <c r="I558" s="156"/>
    </row>
    <row r="559" spans="2:9" x14ac:dyDescent="0.2">
      <c r="B559" s="230">
        <v>45176</v>
      </c>
      <c r="C559" s="124">
        <v>421.83</v>
      </c>
      <c r="D559" s="156">
        <f t="shared" si="17"/>
        <v>7.3552238805969766E-3</v>
      </c>
      <c r="E559" s="156">
        <v>1.7209729233593391E-2</v>
      </c>
      <c r="F559" s="124">
        <v>553</v>
      </c>
      <c r="G559" s="238">
        <f t="shared" ca="1" si="18"/>
        <v>1.1167030802097236E-2</v>
      </c>
      <c r="I559" s="156"/>
    </row>
    <row r="560" spans="2:9" x14ac:dyDescent="0.2">
      <c r="B560" s="230">
        <v>45175</v>
      </c>
      <c r="C560" s="124">
        <v>423.29</v>
      </c>
      <c r="D560" s="156">
        <f t="shared" si="17"/>
        <v>3.4611099257995789E-3</v>
      </c>
      <c r="E560" s="156">
        <v>1.717956378846737E-2</v>
      </c>
      <c r="F560" s="124">
        <v>554</v>
      </c>
      <c r="G560" s="238">
        <f t="shared" ca="1" si="18"/>
        <v>1.0411673083745023E-2</v>
      </c>
      <c r="I560" s="156"/>
    </row>
    <row r="561" spans="2:9" x14ac:dyDescent="0.2">
      <c r="B561" s="230">
        <v>45174</v>
      </c>
      <c r="C561" s="124">
        <v>419.18</v>
      </c>
      <c r="D561" s="156">
        <f t="shared" si="17"/>
        <v>-9.709655319048438E-3</v>
      </c>
      <c r="E561" s="156">
        <v>1.7153901908673649E-2</v>
      </c>
      <c r="F561" s="124">
        <v>555</v>
      </c>
      <c r="G561" s="238">
        <f t="shared" ca="1" si="18"/>
        <v>-2.3108229394205596E-2</v>
      </c>
      <c r="I561" s="156"/>
    </row>
    <row r="562" spans="2:9" x14ac:dyDescent="0.2">
      <c r="B562" s="230">
        <v>45173</v>
      </c>
      <c r="C562" s="124">
        <v>413.88</v>
      </c>
      <c r="D562" s="156">
        <f t="shared" si="17"/>
        <v>-1.2643733002528773E-2</v>
      </c>
      <c r="E562" s="156">
        <v>1.7151531629508776E-2</v>
      </c>
      <c r="F562" s="124">
        <v>556</v>
      </c>
      <c r="G562" s="238">
        <f t="shared" ca="1" si="18"/>
        <v>-1.1514487421254825E-2</v>
      </c>
      <c r="I562" s="156"/>
    </row>
    <row r="563" spans="2:9" x14ac:dyDescent="0.2">
      <c r="B563" s="230">
        <v>45170</v>
      </c>
      <c r="C563" s="124">
        <v>417.24</v>
      </c>
      <c r="D563" s="156">
        <f t="shared" si="17"/>
        <v>8.1182951580168489E-3</v>
      </c>
      <c r="E563" s="156">
        <v>1.7144146176404165E-2</v>
      </c>
      <c r="F563" s="124">
        <v>557</v>
      </c>
      <c r="G563" s="238">
        <f t="shared" ca="1" si="18"/>
        <v>-2.4859394858180894E-2</v>
      </c>
      <c r="I563" s="156"/>
    </row>
    <row r="564" spans="2:9" x14ac:dyDescent="0.2">
      <c r="B564" s="230">
        <v>45169</v>
      </c>
      <c r="C564" s="124">
        <v>415.96</v>
      </c>
      <c r="D564" s="156">
        <f t="shared" si="17"/>
        <v>-3.0677787364587037E-3</v>
      </c>
      <c r="E564" s="156">
        <v>1.7128221546342248E-2</v>
      </c>
      <c r="F564" s="124">
        <v>558</v>
      </c>
      <c r="G564" s="238">
        <f t="shared" ca="1" si="18"/>
        <v>-1.3021671842560426E-2</v>
      </c>
      <c r="I564" s="156"/>
    </row>
    <row r="565" spans="2:9" x14ac:dyDescent="0.2">
      <c r="B565" s="230">
        <v>45168</v>
      </c>
      <c r="C565" s="124">
        <v>418.89</v>
      </c>
      <c r="D565" s="156">
        <f t="shared" si="17"/>
        <v>7.0439465333205281E-3</v>
      </c>
      <c r="E565" s="156">
        <v>1.7127799736495416E-2</v>
      </c>
      <c r="F565" s="124">
        <v>559</v>
      </c>
      <c r="G565" s="238">
        <f t="shared" ca="1" si="18"/>
        <v>9.460478689209682E-3</v>
      </c>
      <c r="I565" s="156"/>
    </row>
    <row r="566" spans="2:9" x14ac:dyDescent="0.2">
      <c r="B566" s="230">
        <v>45167</v>
      </c>
      <c r="C566" s="124">
        <v>416.34</v>
      </c>
      <c r="D566" s="156">
        <f t="shared" si="17"/>
        <v>-6.0875170092387293E-3</v>
      </c>
      <c r="E566" s="156">
        <v>1.7115320704553027E-2</v>
      </c>
      <c r="F566" s="124">
        <v>560</v>
      </c>
      <c r="G566" s="238">
        <f t="shared" ca="1" si="18"/>
        <v>-2.1351292348766631E-2</v>
      </c>
      <c r="I566" s="156"/>
    </row>
    <row r="567" spans="2:9" x14ac:dyDescent="0.2">
      <c r="B567" s="230">
        <v>45166</v>
      </c>
      <c r="C567" s="124">
        <v>417.57</v>
      </c>
      <c r="D567" s="156">
        <f t="shared" si="17"/>
        <v>2.9543161838882122E-3</v>
      </c>
      <c r="E567" s="156">
        <v>1.7103984450923138E-2</v>
      </c>
      <c r="F567" s="124">
        <v>561</v>
      </c>
      <c r="G567" s="238">
        <f t="shared" ca="1" si="18"/>
        <v>1.609724968554499E-2</v>
      </c>
      <c r="I567" s="156"/>
    </row>
    <row r="568" spans="2:9" x14ac:dyDescent="0.2">
      <c r="B568" s="230">
        <v>45163</v>
      </c>
      <c r="C568" s="124">
        <v>419.42</v>
      </c>
      <c r="D568" s="156">
        <f t="shared" si="17"/>
        <v>4.4303949038485115E-3</v>
      </c>
      <c r="E568" s="156">
        <v>1.7101710171017154E-2</v>
      </c>
      <c r="F568" s="124">
        <v>562</v>
      </c>
      <c r="G568" s="238">
        <f t="shared" ca="1" si="18"/>
        <v>-2.1322232700553435E-3</v>
      </c>
      <c r="I568" s="156"/>
    </row>
    <row r="569" spans="2:9" x14ac:dyDescent="0.2">
      <c r="B569" s="230">
        <v>45162</v>
      </c>
      <c r="C569" s="124">
        <v>426.56</v>
      </c>
      <c r="D569" s="156">
        <f t="shared" si="17"/>
        <v>1.7023508654808988E-2</v>
      </c>
      <c r="E569" s="156">
        <v>1.7052980132450254E-2</v>
      </c>
      <c r="F569" s="124">
        <v>563</v>
      </c>
      <c r="G569" s="238">
        <f t="shared" ca="1" si="18"/>
        <v>7.3139347908141835E-3</v>
      </c>
      <c r="I569" s="156"/>
    </row>
    <row r="570" spans="2:9" x14ac:dyDescent="0.2">
      <c r="B570" s="230">
        <v>45161</v>
      </c>
      <c r="C570" s="124">
        <v>426.13</v>
      </c>
      <c r="D570" s="156">
        <f t="shared" si="17"/>
        <v>-1.0080645161290483E-3</v>
      </c>
      <c r="E570" s="156">
        <v>1.7040799606750763E-2</v>
      </c>
      <c r="F570" s="124">
        <v>564</v>
      </c>
      <c r="G570" s="238">
        <f t="shared" ca="1" si="18"/>
        <v>1.3164899592587728E-2</v>
      </c>
      <c r="I570" s="156"/>
    </row>
    <row r="571" spans="2:9" x14ac:dyDescent="0.2">
      <c r="B571" s="230">
        <v>45160</v>
      </c>
      <c r="C571" s="124">
        <v>429.73</v>
      </c>
      <c r="D571" s="156">
        <f t="shared" si="17"/>
        <v>8.4481261586840228E-3</v>
      </c>
      <c r="E571" s="156">
        <v>1.7023508654808988E-2</v>
      </c>
      <c r="F571" s="124">
        <v>565</v>
      </c>
      <c r="G571" s="238">
        <f t="shared" ca="1" si="18"/>
        <v>3.2212785493157363E-2</v>
      </c>
      <c r="I571" s="156"/>
    </row>
    <row r="572" spans="2:9" x14ac:dyDescent="0.2">
      <c r="B572" s="230">
        <v>45159</v>
      </c>
      <c r="C572" s="124">
        <v>423.63</v>
      </c>
      <c r="D572" s="156">
        <f t="shared" si="17"/>
        <v>-1.4194959625811609E-2</v>
      </c>
      <c r="E572" s="156">
        <v>1.7014193906329498E-2</v>
      </c>
      <c r="F572" s="124">
        <v>566</v>
      </c>
      <c r="G572" s="238">
        <f t="shared" ca="1" si="18"/>
        <v>-6.8736807314840219E-3</v>
      </c>
      <c r="I572" s="156"/>
    </row>
    <row r="573" spans="2:9" x14ac:dyDescent="0.2">
      <c r="B573" s="230">
        <v>45156</v>
      </c>
      <c r="C573" s="124">
        <v>417.81</v>
      </c>
      <c r="D573" s="156">
        <f t="shared" si="17"/>
        <v>-1.3738403795765157E-2</v>
      </c>
      <c r="E573" s="156">
        <v>1.6984692807716553E-2</v>
      </c>
      <c r="F573" s="124">
        <v>567</v>
      </c>
      <c r="G573" s="238">
        <f t="shared" ca="1" si="18"/>
        <v>1.7136896521382752E-2</v>
      </c>
      <c r="I573" s="156"/>
    </row>
    <row r="574" spans="2:9" x14ac:dyDescent="0.2">
      <c r="B574" s="230">
        <v>45155</v>
      </c>
      <c r="C574" s="124">
        <v>417.19</v>
      </c>
      <c r="D574" s="156">
        <f t="shared" ref="D574:D637" si="19">(C574-C573)/C573</f>
        <v>-1.483928101290071E-3</v>
      </c>
      <c r="E574" s="156">
        <v>1.697371144690538E-2</v>
      </c>
      <c r="F574" s="124">
        <v>568</v>
      </c>
      <c r="G574" s="238">
        <f t="shared" ca="1" si="18"/>
        <v>-1.6813253403067382E-2</v>
      </c>
      <c r="I574" s="156"/>
    </row>
    <row r="575" spans="2:9" x14ac:dyDescent="0.2">
      <c r="B575" s="230">
        <v>45154</v>
      </c>
      <c r="C575" s="124">
        <v>425.94</v>
      </c>
      <c r="D575" s="156">
        <f t="shared" si="19"/>
        <v>2.0973657086699106E-2</v>
      </c>
      <c r="E575" s="156">
        <v>1.696908602150534E-2</v>
      </c>
      <c r="F575" s="124">
        <v>569</v>
      </c>
      <c r="G575" s="238">
        <f t="shared" ca="1" si="18"/>
        <v>1.1432347937590329E-2</v>
      </c>
      <c r="I575" s="156"/>
    </row>
    <row r="576" spans="2:9" x14ac:dyDescent="0.2">
      <c r="B576" s="230">
        <v>45152</v>
      </c>
      <c r="C576" s="124">
        <v>424.95</v>
      </c>
      <c r="D576" s="156">
        <f t="shared" si="19"/>
        <v>-2.324271024087921E-3</v>
      </c>
      <c r="E576" s="156">
        <v>1.6893010930771855E-2</v>
      </c>
      <c r="F576" s="124">
        <v>570</v>
      </c>
      <c r="G576" s="238">
        <f t="shared" ca="1" si="18"/>
        <v>1.7763028275092279E-2</v>
      </c>
      <c r="I576" s="156"/>
    </row>
    <row r="577" spans="2:9" x14ac:dyDescent="0.2">
      <c r="B577" s="230">
        <v>45149</v>
      </c>
      <c r="C577" s="124">
        <v>424.52</v>
      </c>
      <c r="D577" s="156">
        <f t="shared" si="19"/>
        <v>-1.011883751029549E-3</v>
      </c>
      <c r="E577" s="156">
        <v>1.687216093445813E-2</v>
      </c>
      <c r="F577" s="124">
        <v>571</v>
      </c>
      <c r="G577" s="238">
        <f t="shared" ca="1" si="18"/>
        <v>1.0919230304714251E-2</v>
      </c>
      <c r="I577" s="156"/>
    </row>
    <row r="578" spans="2:9" x14ac:dyDescent="0.2">
      <c r="B578" s="230">
        <v>45148</v>
      </c>
      <c r="C578" s="124">
        <v>427.36</v>
      </c>
      <c r="D578" s="156">
        <f t="shared" si="19"/>
        <v>6.6899086026571937E-3</v>
      </c>
      <c r="E578" s="156">
        <v>1.6860698514652626E-2</v>
      </c>
      <c r="F578" s="124">
        <v>572</v>
      </c>
      <c r="G578" s="238">
        <f t="shared" ca="1" si="18"/>
        <v>-1.9658927049178033E-2</v>
      </c>
      <c r="I578" s="156"/>
    </row>
    <row r="579" spans="2:9" x14ac:dyDescent="0.2">
      <c r="B579" s="230">
        <v>45147</v>
      </c>
      <c r="C579" s="124">
        <v>433.89</v>
      </c>
      <c r="D579" s="156">
        <f t="shared" si="19"/>
        <v>1.5279857731186758E-2</v>
      </c>
      <c r="E579" s="156">
        <v>1.6833232384413525E-2</v>
      </c>
      <c r="F579" s="124">
        <v>573</v>
      </c>
      <c r="G579" s="238">
        <f t="shared" ca="1" si="18"/>
        <v>-7.830515312247972E-3</v>
      </c>
      <c r="I579" s="156"/>
    </row>
    <row r="580" spans="2:9" x14ac:dyDescent="0.2">
      <c r="B580" s="230">
        <v>45146</v>
      </c>
      <c r="C580" s="124">
        <v>427.93</v>
      </c>
      <c r="D580" s="156">
        <f t="shared" si="19"/>
        <v>-1.3736200419461107E-2</v>
      </c>
      <c r="E580" s="156">
        <v>1.6823626222912946E-2</v>
      </c>
      <c r="F580" s="124">
        <v>574</v>
      </c>
      <c r="G580" s="238">
        <f t="shared" ca="1" si="18"/>
        <v>-1.3628053101038531E-2</v>
      </c>
      <c r="I580" s="156"/>
    </row>
    <row r="581" spans="2:9" x14ac:dyDescent="0.2">
      <c r="B581" s="230">
        <v>45145</v>
      </c>
      <c r="C581" s="124">
        <v>430.34</v>
      </c>
      <c r="D581" s="156">
        <f t="shared" si="19"/>
        <v>5.6317622040987269E-3</v>
      </c>
      <c r="E581" s="156">
        <v>1.6778523489932935E-2</v>
      </c>
      <c r="F581" s="124">
        <v>575</v>
      </c>
      <c r="G581" s="238">
        <f t="shared" ca="1" si="18"/>
        <v>9.9856310451488135E-3</v>
      </c>
      <c r="I581" s="156"/>
    </row>
    <row r="582" spans="2:9" x14ac:dyDescent="0.2">
      <c r="B582" s="230">
        <v>45142</v>
      </c>
      <c r="C582" s="124">
        <v>430.39</v>
      </c>
      <c r="D582" s="156">
        <f t="shared" si="19"/>
        <v>1.1618720081798432E-4</v>
      </c>
      <c r="E582" s="156">
        <v>1.6750948166877406E-2</v>
      </c>
      <c r="F582" s="124">
        <v>576</v>
      </c>
      <c r="G582" s="238">
        <f t="shared" ca="1" si="18"/>
        <v>6.7319362851016263E-4</v>
      </c>
      <c r="I582" s="156"/>
    </row>
    <row r="583" spans="2:9" x14ac:dyDescent="0.2">
      <c r="B583" s="230">
        <v>45141</v>
      </c>
      <c r="C583" s="124">
        <v>431.43</v>
      </c>
      <c r="D583" s="156">
        <f t="shared" si="19"/>
        <v>2.4164130207486711E-3</v>
      </c>
      <c r="E583" s="156">
        <v>1.674932160568908E-2</v>
      </c>
      <c r="F583" s="124">
        <v>577</v>
      </c>
      <c r="G583" s="238">
        <f t="shared" ref="G583:G646" ca="1" si="20">_xlfn.NORM.INV(RAND(),$L$8,$L$9)</f>
        <v>4.4007337400412586E-2</v>
      </c>
      <c r="I583" s="156"/>
    </row>
    <row r="584" spans="2:9" x14ac:dyDescent="0.2">
      <c r="B584" s="230">
        <v>45140</v>
      </c>
      <c r="C584" s="124">
        <v>435.26</v>
      </c>
      <c r="D584" s="156">
        <f t="shared" si="19"/>
        <v>8.8774540481653657E-3</v>
      </c>
      <c r="E584" s="156">
        <v>1.673441903384288E-2</v>
      </c>
      <c r="F584" s="124">
        <v>578</v>
      </c>
      <c r="G584" s="238">
        <f t="shared" ca="1" si="20"/>
        <v>1.5897719882156752E-2</v>
      </c>
      <c r="I584" s="156"/>
    </row>
    <row r="585" spans="2:9" x14ac:dyDescent="0.2">
      <c r="B585" s="230">
        <v>45139</v>
      </c>
      <c r="C585" s="124">
        <v>439.71</v>
      </c>
      <c r="D585" s="156">
        <f t="shared" si="19"/>
        <v>1.0223774295823161E-2</v>
      </c>
      <c r="E585" s="156">
        <v>1.6730199068191516E-2</v>
      </c>
      <c r="F585" s="124">
        <v>579</v>
      </c>
      <c r="G585" s="238">
        <f t="shared" ca="1" si="20"/>
        <v>-2.506622598382461E-2</v>
      </c>
      <c r="I585" s="156"/>
    </row>
    <row r="586" spans="2:9" x14ac:dyDescent="0.2">
      <c r="B586" s="230">
        <v>45138</v>
      </c>
      <c r="C586" s="124">
        <v>440.56</v>
      </c>
      <c r="D586" s="156">
        <f t="shared" si="19"/>
        <v>1.9330922653567641E-3</v>
      </c>
      <c r="E586" s="156">
        <v>1.6730038022813747E-2</v>
      </c>
      <c r="F586" s="124">
        <v>580</v>
      </c>
      <c r="G586" s="238">
        <f t="shared" ca="1" si="20"/>
        <v>-4.7697647400852264E-2</v>
      </c>
      <c r="I586" s="156"/>
    </row>
    <row r="587" spans="2:9" x14ac:dyDescent="0.2">
      <c r="B587" s="230">
        <v>45135</v>
      </c>
      <c r="C587" s="124">
        <v>443.16</v>
      </c>
      <c r="D587" s="156">
        <f t="shared" si="19"/>
        <v>5.9015798075177563E-3</v>
      </c>
      <c r="E587" s="156">
        <v>1.6724013763303219E-2</v>
      </c>
      <c r="F587" s="124">
        <v>581</v>
      </c>
      <c r="G587" s="238">
        <f t="shared" ca="1" si="20"/>
        <v>4.8841073914498663E-2</v>
      </c>
      <c r="I587" s="156"/>
    </row>
    <row r="588" spans="2:9" x14ac:dyDescent="0.2">
      <c r="B588" s="230">
        <v>45134</v>
      </c>
      <c r="C588" s="124">
        <v>439.94</v>
      </c>
      <c r="D588" s="156">
        <f t="shared" si="19"/>
        <v>-7.2659987363481067E-3</v>
      </c>
      <c r="E588" s="156">
        <v>1.6708860759493727E-2</v>
      </c>
      <c r="F588" s="124">
        <v>582</v>
      </c>
      <c r="G588" s="238">
        <f t="shared" ca="1" si="20"/>
        <v>2.6463019463758538E-3</v>
      </c>
      <c r="I588" s="156"/>
    </row>
    <row r="589" spans="2:9" x14ac:dyDescent="0.2">
      <c r="B589" s="230">
        <v>45133</v>
      </c>
      <c r="C589" s="124">
        <v>446.76</v>
      </c>
      <c r="D589" s="156">
        <f t="shared" si="19"/>
        <v>1.550211392462607E-2</v>
      </c>
      <c r="E589" s="156">
        <v>1.668726823238571E-2</v>
      </c>
      <c r="F589" s="124">
        <v>583</v>
      </c>
      <c r="G589" s="238">
        <f t="shared" ca="1" si="20"/>
        <v>-4.6048948825874646E-2</v>
      </c>
      <c r="I589" s="156"/>
    </row>
    <row r="590" spans="2:9" x14ac:dyDescent="0.2">
      <c r="B590" s="230">
        <v>45132</v>
      </c>
      <c r="C590" s="124">
        <v>437.34</v>
      </c>
      <c r="D590" s="156">
        <f t="shared" si="19"/>
        <v>-2.1085146387322087E-2</v>
      </c>
      <c r="E590" s="156">
        <v>1.6684723726977223E-2</v>
      </c>
      <c r="F590" s="124">
        <v>584</v>
      </c>
      <c r="G590" s="238">
        <f t="shared" ca="1" si="20"/>
        <v>9.2996456957087498E-4</v>
      </c>
      <c r="I590" s="156"/>
    </row>
    <row r="591" spans="2:9" x14ac:dyDescent="0.2">
      <c r="B591" s="230">
        <v>45131</v>
      </c>
      <c r="C591" s="124">
        <v>445.9</v>
      </c>
      <c r="D591" s="156">
        <f t="shared" si="19"/>
        <v>1.9572872364750544E-2</v>
      </c>
      <c r="E591" s="156">
        <v>1.6661617691608604E-2</v>
      </c>
      <c r="F591" s="124">
        <v>585</v>
      </c>
      <c r="G591" s="238">
        <f t="shared" ca="1" si="20"/>
        <v>-3.5001751396166854E-2</v>
      </c>
      <c r="I591" s="156"/>
    </row>
    <row r="592" spans="2:9" x14ac:dyDescent="0.2">
      <c r="B592" s="230">
        <v>45128</v>
      </c>
      <c r="C592" s="124">
        <v>463.97</v>
      </c>
      <c r="D592" s="156">
        <f t="shared" si="19"/>
        <v>4.0524781341107985E-2</v>
      </c>
      <c r="E592" s="156">
        <v>1.6645024200212515E-2</v>
      </c>
      <c r="F592" s="124">
        <v>586</v>
      </c>
      <c r="G592" s="238">
        <f t="shared" ca="1" si="20"/>
        <v>1.0850777108225818E-2</v>
      </c>
      <c r="I592" s="156"/>
    </row>
    <row r="593" spans="2:9" x14ac:dyDescent="0.2">
      <c r="B593" s="230">
        <v>45127</v>
      </c>
      <c r="C593" s="124">
        <v>465.58</v>
      </c>
      <c r="D593" s="156">
        <f t="shared" si="19"/>
        <v>3.4700519430134638E-3</v>
      </c>
      <c r="E593" s="156">
        <v>1.6606442684708209E-2</v>
      </c>
      <c r="F593" s="124">
        <v>587</v>
      </c>
      <c r="G593" s="238">
        <f t="shared" ca="1" si="20"/>
        <v>-7.0042457193530512E-3</v>
      </c>
      <c r="I593" s="156"/>
    </row>
    <row r="594" spans="2:9" x14ac:dyDescent="0.2">
      <c r="B594" s="230">
        <v>45126</v>
      </c>
      <c r="C594" s="124">
        <v>453</v>
      </c>
      <c r="D594" s="156">
        <f t="shared" si="19"/>
        <v>-2.7020060999183779E-2</v>
      </c>
      <c r="E594" s="156">
        <v>1.6601098093467655E-2</v>
      </c>
      <c r="F594" s="124">
        <v>588</v>
      </c>
      <c r="G594" s="238">
        <f t="shared" ca="1" si="20"/>
        <v>-9.9876675993146331E-3</v>
      </c>
      <c r="I594" s="156"/>
    </row>
    <row r="595" spans="2:9" x14ac:dyDescent="0.2">
      <c r="B595" s="230">
        <v>45125</v>
      </c>
      <c r="C595" s="124">
        <v>446.99</v>
      </c>
      <c r="D595" s="156">
        <f t="shared" si="19"/>
        <v>-1.32671081677704E-2</v>
      </c>
      <c r="E595" s="156">
        <v>1.6573396470081766E-2</v>
      </c>
      <c r="F595" s="124">
        <v>589</v>
      </c>
      <c r="G595" s="238">
        <f t="shared" ca="1" si="20"/>
        <v>2.2599808656541449E-2</v>
      </c>
      <c r="I595" s="156"/>
    </row>
    <row r="596" spans="2:9" x14ac:dyDescent="0.2">
      <c r="B596" s="230">
        <v>45124</v>
      </c>
      <c r="C596" s="124">
        <v>446.85</v>
      </c>
      <c r="D596" s="156">
        <f t="shared" si="19"/>
        <v>-3.1320611199352639E-4</v>
      </c>
      <c r="E596" s="156">
        <v>1.6542750929368043E-2</v>
      </c>
      <c r="F596" s="124">
        <v>590</v>
      </c>
      <c r="G596" s="238">
        <f t="shared" ca="1" si="20"/>
        <v>1.7398605376979986E-2</v>
      </c>
      <c r="I596" s="156"/>
    </row>
    <row r="597" spans="2:9" x14ac:dyDescent="0.2">
      <c r="B597" s="230">
        <v>45121</v>
      </c>
      <c r="C597" s="124">
        <v>447.37</v>
      </c>
      <c r="D597" s="156">
        <f t="shared" si="19"/>
        <v>1.1637014658162287E-3</v>
      </c>
      <c r="E597" s="156">
        <v>1.6540317022742952E-2</v>
      </c>
      <c r="F597" s="124">
        <v>591</v>
      </c>
      <c r="G597" s="238">
        <f t="shared" ca="1" si="20"/>
        <v>-7.6610675481272846E-3</v>
      </c>
      <c r="I597" s="156"/>
    </row>
    <row r="598" spans="2:9" x14ac:dyDescent="0.2">
      <c r="B598" s="230">
        <v>45120</v>
      </c>
      <c r="C598" s="124">
        <v>446.52</v>
      </c>
      <c r="D598" s="156">
        <f t="shared" si="19"/>
        <v>-1.8999932941413656E-3</v>
      </c>
      <c r="E598" s="156">
        <v>1.6502294697783398E-2</v>
      </c>
      <c r="F598" s="124">
        <v>592</v>
      </c>
      <c r="G598" s="238">
        <f t="shared" ca="1" si="20"/>
        <v>2.6704125149232719E-2</v>
      </c>
      <c r="I598" s="156"/>
    </row>
    <row r="599" spans="2:9" x14ac:dyDescent="0.2">
      <c r="B599" s="230">
        <v>45119</v>
      </c>
      <c r="C599" s="124">
        <v>446.8</v>
      </c>
      <c r="D599" s="156">
        <f t="shared" si="19"/>
        <v>6.2707157574135443E-4</v>
      </c>
      <c r="E599" s="156">
        <v>1.6482164821648188E-2</v>
      </c>
      <c r="F599" s="124">
        <v>593</v>
      </c>
      <c r="G599" s="238">
        <f t="shared" ca="1" si="20"/>
        <v>-1.4056926611598572E-3</v>
      </c>
      <c r="I599" s="156"/>
    </row>
    <row r="600" spans="2:9" x14ac:dyDescent="0.2">
      <c r="B600" s="230">
        <v>45118</v>
      </c>
      <c r="C600" s="124">
        <v>447.61</v>
      </c>
      <c r="D600" s="156">
        <f t="shared" si="19"/>
        <v>1.8128916741271314E-3</v>
      </c>
      <c r="E600" s="156">
        <v>1.641462117182154E-2</v>
      </c>
      <c r="F600" s="124">
        <v>594</v>
      </c>
      <c r="G600" s="238">
        <f t="shared" ca="1" si="20"/>
        <v>-1.9835816075349712E-2</v>
      </c>
      <c r="I600" s="156"/>
    </row>
    <row r="601" spans="2:9" x14ac:dyDescent="0.2">
      <c r="B601" s="230">
        <v>45117</v>
      </c>
      <c r="C601" s="124">
        <v>440.7</v>
      </c>
      <c r="D601" s="156">
        <f t="shared" si="19"/>
        <v>-1.543754607805908E-2</v>
      </c>
      <c r="E601" s="156">
        <v>1.6401350699469359E-2</v>
      </c>
      <c r="F601" s="124">
        <v>595</v>
      </c>
      <c r="G601" s="238">
        <f t="shared" ca="1" si="20"/>
        <v>-1.1048858664785667E-2</v>
      </c>
      <c r="I601" s="156"/>
    </row>
    <row r="602" spans="2:9" x14ac:dyDescent="0.2">
      <c r="B602" s="230">
        <v>45114</v>
      </c>
      <c r="C602" s="124">
        <v>443.11</v>
      </c>
      <c r="D602" s="156">
        <f t="shared" si="19"/>
        <v>5.4685727252099499E-3</v>
      </c>
      <c r="E602" s="156">
        <v>1.6400817995909985E-2</v>
      </c>
      <c r="F602" s="124">
        <v>596</v>
      </c>
      <c r="G602" s="238">
        <f t="shared" ca="1" si="20"/>
        <v>2.4488680201007447E-3</v>
      </c>
      <c r="I602" s="156"/>
    </row>
    <row r="603" spans="2:9" x14ac:dyDescent="0.2">
      <c r="B603" s="230">
        <v>45113</v>
      </c>
      <c r="C603" s="124">
        <v>448.32</v>
      </c>
      <c r="D603" s="156">
        <f t="shared" si="19"/>
        <v>1.1757802802915707E-2</v>
      </c>
      <c r="E603" s="156">
        <v>1.6343663481289617E-2</v>
      </c>
      <c r="F603" s="124">
        <v>597</v>
      </c>
      <c r="G603" s="238">
        <f t="shared" ca="1" si="20"/>
        <v>-8.6884280756096763E-3</v>
      </c>
      <c r="I603" s="156"/>
    </row>
    <row r="604" spans="2:9" x14ac:dyDescent="0.2">
      <c r="B604" s="230">
        <v>45112</v>
      </c>
      <c r="C604" s="124">
        <v>449.45</v>
      </c>
      <c r="D604" s="156">
        <f t="shared" si="19"/>
        <v>2.5205210563882838E-3</v>
      </c>
      <c r="E604" s="156">
        <v>1.6311166875784232E-2</v>
      </c>
      <c r="F604" s="124">
        <v>598</v>
      </c>
      <c r="G604" s="238">
        <f t="shared" ca="1" si="20"/>
        <v>-1.2761949655157867E-3</v>
      </c>
      <c r="I604" s="156"/>
    </row>
    <row r="605" spans="2:9" x14ac:dyDescent="0.2">
      <c r="B605" s="230">
        <v>45111</v>
      </c>
      <c r="C605" s="124">
        <v>441.17</v>
      </c>
      <c r="D605" s="156">
        <f t="shared" si="19"/>
        <v>-1.8422516408944205E-2</v>
      </c>
      <c r="E605" s="156">
        <v>1.6293279022403202E-2</v>
      </c>
      <c r="F605" s="124">
        <v>599</v>
      </c>
      <c r="G605" s="238">
        <f t="shared" ca="1" si="20"/>
        <v>1.9949841477245867E-2</v>
      </c>
      <c r="I605" s="156"/>
    </row>
    <row r="606" spans="2:9" x14ac:dyDescent="0.2">
      <c r="B606" s="230">
        <v>45110</v>
      </c>
      <c r="C606" s="124">
        <v>438.24</v>
      </c>
      <c r="D606" s="156">
        <f t="shared" si="19"/>
        <v>-6.6414307409842161E-3</v>
      </c>
      <c r="E606" s="156">
        <v>1.6280107047279242E-2</v>
      </c>
      <c r="F606" s="124">
        <v>600</v>
      </c>
      <c r="G606" s="238">
        <f t="shared" ca="1" si="20"/>
        <v>8.8966851333669821E-3</v>
      </c>
      <c r="I606" s="156"/>
    </row>
    <row r="607" spans="2:9" x14ac:dyDescent="0.2">
      <c r="B607" s="230">
        <v>45107</v>
      </c>
      <c r="C607" s="124">
        <v>427.22</v>
      </c>
      <c r="D607" s="156">
        <f t="shared" si="19"/>
        <v>-2.5146038700255526E-2</v>
      </c>
      <c r="E607" s="156">
        <v>1.6272643536997273E-2</v>
      </c>
      <c r="F607" s="124">
        <v>601</v>
      </c>
      <c r="G607" s="238">
        <f t="shared" ca="1" si="20"/>
        <v>-1.1588205778133529E-2</v>
      </c>
      <c r="I607" s="156"/>
    </row>
    <row r="608" spans="2:9" x14ac:dyDescent="0.2">
      <c r="B608" s="230">
        <v>45105</v>
      </c>
      <c r="C608" s="124">
        <v>425.09</v>
      </c>
      <c r="D608" s="156">
        <f t="shared" si="19"/>
        <v>-4.9857216422453353E-3</v>
      </c>
      <c r="E608" s="156">
        <v>1.6256964929531232E-2</v>
      </c>
      <c r="F608" s="124">
        <v>602</v>
      </c>
      <c r="G608" s="238">
        <f t="shared" ca="1" si="20"/>
        <v>1.9334891827139527E-2</v>
      </c>
      <c r="I608" s="156"/>
    </row>
    <row r="609" spans="2:9" x14ac:dyDescent="0.2">
      <c r="B609" s="230">
        <v>45104</v>
      </c>
      <c r="C609" s="124">
        <v>421.07</v>
      </c>
      <c r="D609" s="156">
        <f t="shared" si="19"/>
        <v>-9.4568209085134497E-3</v>
      </c>
      <c r="E609" s="156">
        <v>1.623285754268125E-2</v>
      </c>
      <c r="F609" s="124">
        <v>603</v>
      </c>
      <c r="G609" s="238">
        <f t="shared" ca="1" si="20"/>
        <v>-1.8822830252859062E-2</v>
      </c>
      <c r="I609" s="156"/>
    </row>
    <row r="610" spans="2:9" x14ac:dyDescent="0.2">
      <c r="B610" s="230">
        <v>45103</v>
      </c>
      <c r="C610" s="124">
        <v>421.64</v>
      </c>
      <c r="D610" s="156">
        <f t="shared" si="19"/>
        <v>1.353694160115879E-3</v>
      </c>
      <c r="E610" s="156">
        <v>1.6211779191463119E-2</v>
      </c>
      <c r="F610" s="124">
        <v>604</v>
      </c>
      <c r="G610" s="238">
        <f t="shared" ca="1" si="20"/>
        <v>-9.4239600690518028E-3</v>
      </c>
      <c r="I610" s="156"/>
    </row>
    <row r="611" spans="2:9" x14ac:dyDescent="0.2">
      <c r="B611" s="230">
        <v>45100</v>
      </c>
      <c r="C611" s="124">
        <v>420.74</v>
      </c>
      <c r="D611" s="156">
        <f t="shared" si="19"/>
        <v>-2.1345223413337853E-3</v>
      </c>
      <c r="E611" s="156">
        <v>1.6196542311191952E-2</v>
      </c>
      <c r="F611" s="124">
        <v>605</v>
      </c>
      <c r="G611" s="238">
        <f t="shared" ca="1" si="20"/>
        <v>2.1200991932949661E-2</v>
      </c>
      <c r="I611" s="156"/>
    </row>
    <row r="612" spans="2:9" x14ac:dyDescent="0.2">
      <c r="B612" s="230">
        <v>45099</v>
      </c>
      <c r="C612" s="124">
        <v>423.48</v>
      </c>
      <c r="D612" s="156">
        <f t="shared" si="19"/>
        <v>6.5123354090412342E-3</v>
      </c>
      <c r="E612" s="156">
        <v>1.6193381835249886E-2</v>
      </c>
      <c r="F612" s="124">
        <v>606</v>
      </c>
      <c r="G612" s="238">
        <f t="shared" ca="1" si="20"/>
        <v>-1.1672029467607623E-2</v>
      </c>
      <c r="I612" s="156"/>
    </row>
    <row r="613" spans="2:9" x14ac:dyDescent="0.2">
      <c r="B613" s="230">
        <v>45098</v>
      </c>
      <c r="C613" s="124">
        <v>422.92</v>
      </c>
      <c r="D613" s="156">
        <f t="shared" si="19"/>
        <v>-1.3223764994805003E-3</v>
      </c>
      <c r="E613" s="156">
        <v>1.6192300675059217E-2</v>
      </c>
      <c r="F613" s="124">
        <v>607</v>
      </c>
      <c r="G613" s="238">
        <f t="shared" ca="1" si="20"/>
        <v>3.4403847013723451E-3</v>
      </c>
      <c r="I613" s="156"/>
    </row>
    <row r="614" spans="2:9" x14ac:dyDescent="0.2">
      <c r="B614" s="230">
        <v>45097</v>
      </c>
      <c r="C614" s="124">
        <v>428.4</v>
      </c>
      <c r="D614" s="156">
        <f t="shared" si="19"/>
        <v>1.2957533339638611E-2</v>
      </c>
      <c r="E614" s="156">
        <v>1.6164005519416571E-2</v>
      </c>
      <c r="F614" s="124">
        <v>608</v>
      </c>
      <c r="G614" s="238">
        <f t="shared" ca="1" si="20"/>
        <v>-5.8757474392620607E-2</v>
      </c>
      <c r="I614" s="156"/>
    </row>
    <row r="615" spans="2:9" x14ac:dyDescent="0.2">
      <c r="B615" s="230">
        <v>45096</v>
      </c>
      <c r="C615" s="124">
        <v>429.11</v>
      </c>
      <c r="D615" s="156">
        <f t="shared" si="19"/>
        <v>1.6573295985061541E-3</v>
      </c>
      <c r="E615" s="156">
        <v>1.6162310866574926E-2</v>
      </c>
      <c r="F615" s="124">
        <v>609</v>
      </c>
      <c r="G615" s="238">
        <f t="shared" ca="1" si="20"/>
        <v>5.5947248794803409E-2</v>
      </c>
      <c r="I615" s="156"/>
    </row>
    <row r="616" spans="2:9" x14ac:dyDescent="0.2">
      <c r="B616" s="230">
        <v>45093</v>
      </c>
      <c r="C616" s="124">
        <v>428.64</v>
      </c>
      <c r="D616" s="156">
        <f t="shared" si="19"/>
        <v>-1.0952902519168215E-3</v>
      </c>
      <c r="E616" s="156">
        <v>1.615790887118438E-2</v>
      </c>
      <c r="F616" s="124">
        <v>610</v>
      </c>
      <c r="G616" s="238">
        <f t="shared" ca="1" si="20"/>
        <v>2.30472090617573E-2</v>
      </c>
      <c r="I616" s="156"/>
    </row>
    <row r="617" spans="2:9" x14ac:dyDescent="0.2">
      <c r="B617" s="230">
        <v>45092</v>
      </c>
      <c r="C617" s="124">
        <v>423.91</v>
      </c>
      <c r="D617" s="156">
        <f t="shared" si="19"/>
        <v>-1.1034901082493378E-2</v>
      </c>
      <c r="E617" s="156">
        <v>1.6131341573998929E-2</v>
      </c>
      <c r="F617" s="124">
        <v>611</v>
      </c>
      <c r="G617" s="238">
        <f t="shared" ca="1" si="20"/>
        <v>1.443282442802717E-2</v>
      </c>
      <c r="I617" s="156"/>
    </row>
    <row r="618" spans="2:9" x14ac:dyDescent="0.2">
      <c r="B618" s="230">
        <v>45091</v>
      </c>
      <c r="C618" s="124">
        <v>420.5</v>
      </c>
      <c r="D618" s="156">
        <f t="shared" si="19"/>
        <v>-8.044160317048488E-3</v>
      </c>
      <c r="E618" s="156">
        <v>1.6129032258064415E-2</v>
      </c>
      <c r="F618" s="124">
        <v>612</v>
      </c>
      <c r="G618" s="238">
        <f t="shared" ca="1" si="20"/>
        <v>2.0442688959036431E-3</v>
      </c>
      <c r="I618" s="156"/>
    </row>
    <row r="619" spans="2:9" x14ac:dyDescent="0.2">
      <c r="B619" s="230">
        <v>45090</v>
      </c>
      <c r="C619" s="124">
        <v>421.35</v>
      </c>
      <c r="D619" s="156">
        <f t="shared" si="19"/>
        <v>2.0214030915577234E-3</v>
      </c>
      <c r="E619" s="156">
        <v>1.6112789526686894E-2</v>
      </c>
      <c r="F619" s="124">
        <v>613</v>
      </c>
      <c r="G619" s="238">
        <f t="shared" ca="1" si="20"/>
        <v>9.8554290014502017E-3</v>
      </c>
      <c r="I619" s="156"/>
    </row>
    <row r="620" spans="2:9" x14ac:dyDescent="0.2">
      <c r="B620" s="230">
        <v>45089</v>
      </c>
      <c r="C620" s="124">
        <v>413.36</v>
      </c>
      <c r="D620" s="156">
        <f t="shared" si="19"/>
        <v>-1.8962857481903427E-2</v>
      </c>
      <c r="E620" s="156">
        <v>1.6098738932116986E-2</v>
      </c>
      <c r="F620" s="124">
        <v>614</v>
      </c>
      <c r="G620" s="238">
        <f t="shared" ca="1" si="20"/>
        <v>3.6643950880260222E-3</v>
      </c>
      <c r="I620" s="156"/>
    </row>
    <row r="621" spans="2:9" x14ac:dyDescent="0.2">
      <c r="B621" s="230">
        <v>45086</v>
      </c>
      <c r="C621" s="124">
        <v>414.78</v>
      </c>
      <c r="D621" s="156">
        <f t="shared" si="19"/>
        <v>3.4352622411456335E-3</v>
      </c>
      <c r="E621" s="156">
        <v>1.6061054789839348E-2</v>
      </c>
      <c r="F621" s="124">
        <v>615</v>
      </c>
      <c r="G621" s="238">
        <f t="shared" ca="1" si="20"/>
        <v>7.8525859882325731E-4</v>
      </c>
      <c r="I621" s="156"/>
    </row>
    <row r="622" spans="2:9" x14ac:dyDescent="0.2">
      <c r="B622" s="230">
        <v>45085</v>
      </c>
      <c r="C622" s="124">
        <v>418.99</v>
      </c>
      <c r="D622" s="156">
        <f t="shared" si="19"/>
        <v>1.014995901441737E-2</v>
      </c>
      <c r="E622" s="156">
        <v>1.6039310216947933E-2</v>
      </c>
      <c r="F622" s="124">
        <v>616</v>
      </c>
      <c r="G622" s="238">
        <f t="shared" ca="1" si="20"/>
        <v>1.8476947827559813E-2</v>
      </c>
      <c r="I622" s="156"/>
    </row>
    <row r="623" spans="2:9" x14ac:dyDescent="0.2">
      <c r="B623" s="230">
        <v>45084</v>
      </c>
      <c r="C623" s="124">
        <v>419.98</v>
      </c>
      <c r="D623" s="156">
        <f t="shared" si="19"/>
        <v>2.3628248884221795E-3</v>
      </c>
      <c r="E623" s="156">
        <v>1.6036184210526341E-2</v>
      </c>
      <c r="F623" s="124">
        <v>617</v>
      </c>
      <c r="G623" s="238">
        <f t="shared" ca="1" si="20"/>
        <v>4.6274724107671784E-2</v>
      </c>
      <c r="I623" s="156"/>
    </row>
    <row r="624" spans="2:9" x14ac:dyDescent="0.2">
      <c r="B624" s="230">
        <v>45083</v>
      </c>
      <c r="C624" s="124">
        <v>418.89</v>
      </c>
      <c r="D624" s="156">
        <f t="shared" si="19"/>
        <v>-2.5953616838897847E-3</v>
      </c>
      <c r="E624" s="156">
        <v>1.6019310950186553E-2</v>
      </c>
      <c r="F624" s="124">
        <v>618</v>
      </c>
      <c r="G624" s="238">
        <f t="shared" ca="1" si="20"/>
        <v>3.1835869615138932E-3</v>
      </c>
      <c r="I624" s="156"/>
    </row>
    <row r="625" spans="2:9" x14ac:dyDescent="0.2">
      <c r="B625" s="230">
        <v>45082</v>
      </c>
      <c r="C625" s="124">
        <v>416.86</v>
      </c>
      <c r="D625" s="156">
        <f t="shared" si="19"/>
        <v>-4.846140991668392E-3</v>
      </c>
      <c r="E625" s="156">
        <v>1.598277034686002E-2</v>
      </c>
      <c r="F625" s="124">
        <v>619</v>
      </c>
      <c r="G625" s="238">
        <f t="shared" ca="1" si="20"/>
        <v>-1.9407987552674158E-2</v>
      </c>
      <c r="I625" s="156"/>
    </row>
    <row r="626" spans="2:9" x14ac:dyDescent="0.2">
      <c r="B626" s="230">
        <v>45079</v>
      </c>
      <c r="C626" s="124">
        <v>419.46</v>
      </c>
      <c r="D626" s="156">
        <f t="shared" si="19"/>
        <v>6.237105982823888E-3</v>
      </c>
      <c r="E626" s="156">
        <v>1.5948422124194058E-2</v>
      </c>
      <c r="F626" s="124">
        <v>620</v>
      </c>
      <c r="G626" s="238">
        <f t="shared" ca="1" si="20"/>
        <v>6.7090926930279968E-3</v>
      </c>
      <c r="I626" s="156"/>
    </row>
    <row r="627" spans="2:9" x14ac:dyDescent="0.2">
      <c r="B627" s="230">
        <v>45078</v>
      </c>
      <c r="C627" s="124">
        <v>415.96</v>
      </c>
      <c r="D627" s="156">
        <f t="shared" si="19"/>
        <v>-8.3440614122919955E-3</v>
      </c>
      <c r="E627" s="156">
        <v>1.5946597441127378E-2</v>
      </c>
      <c r="F627" s="124">
        <v>621</v>
      </c>
      <c r="G627" s="238">
        <f t="shared" ca="1" si="20"/>
        <v>5.3415661491796641E-3</v>
      </c>
      <c r="I627" s="156"/>
    </row>
    <row r="628" spans="2:9" x14ac:dyDescent="0.2">
      <c r="B628" s="230">
        <v>45077</v>
      </c>
      <c r="C628" s="124">
        <v>421.45</v>
      </c>
      <c r="D628" s="156">
        <f t="shared" si="19"/>
        <v>1.3198384460044258E-2</v>
      </c>
      <c r="E628" s="156">
        <v>1.5928231417063222E-2</v>
      </c>
      <c r="F628" s="124">
        <v>622</v>
      </c>
      <c r="G628" s="238">
        <f t="shared" ca="1" si="20"/>
        <v>-9.8708160079875405E-3</v>
      </c>
      <c r="I628" s="156"/>
    </row>
    <row r="629" spans="2:9" x14ac:dyDescent="0.2">
      <c r="B629" s="230">
        <v>45076</v>
      </c>
      <c r="C629" s="124">
        <v>425.61</v>
      </c>
      <c r="D629" s="156">
        <f t="shared" si="19"/>
        <v>9.8706845414640535E-3</v>
      </c>
      <c r="E629" s="156">
        <v>1.5926071569013021E-2</v>
      </c>
      <c r="F629" s="124">
        <v>623</v>
      </c>
      <c r="G629" s="238">
        <f t="shared" ca="1" si="20"/>
        <v>-2.1271090387502585E-2</v>
      </c>
      <c r="I629" s="156"/>
    </row>
    <row r="630" spans="2:9" x14ac:dyDescent="0.2">
      <c r="B630" s="230">
        <v>45075</v>
      </c>
      <c r="C630" s="124">
        <v>422.25</v>
      </c>
      <c r="D630" s="156">
        <f t="shared" si="19"/>
        <v>-7.8945513498273386E-3</v>
      </c>
      <c r="E630" s="156">
        <v>1.5902872777017778E-2</v>
      </c>
      <c r="F630" s="124">
        <v>624</v>
      </c>
      <c r="G630" s="238">
        <f t="shared" ca="1" si="20"/>
        <v>2.371616681244075E-2</v>
      </c>
      <c r="I630" s="156"/>
    </row>
    <row r="631" spans="2:9" x14ac:dyDescent="0.2">
      <c r="B631" s="230">
        <v>45072</v>
      </c>
      <c r="C631" s="124">
        <v>417.08</v>
      </c>
      <c r="D631" s="156">
        <f t="shared" si="19"/>
        <v>-1.2243931320307912E-2</v>
      </c>
      <c r="E631" s="156">
        <v>1.5859558126776755E-2</v>
      </c>
      <c r="F631" s="124">
        <v>625</v>
      </c>
      <c r="G631" s="238">
        <f t="shared" ca="1" si="20"/>
        <v>-2.6136051224005604E-3</v>
      </c>
      <c r="I631" s="156"/>
    </row>
    <row r="632" spans="2:9" x14ac:dyDescent="0.2">
      <c r="B632" s="230">
        <v>45071</v>
      </c>
      <c r="C632" s="124">
        <v>414.78</v>
      </c>
      <c r="D632" s="156">
        <f t="shared" si="19"/>
        <v>-5.5145295866500703E-3</v>
      </c>
      <c r="E632" s="156">
        <v>1.5840090514803114E-2</v>
      </c>
      <c r="F632" s="124">
        <v>626</v>
      </c>
      <c r="G632" s="238">
        <f t="shared" ca="1" si="20"/>
        <v>4.8034173361951822E-2</v>
      </c>
      <c r="I632" s="156"/>
    </row>
    <row r="633" spans="2:9" x14ac:dyDescent="0.2">
      <c r="B633" s="230">
        <v>45070</v>
      </c>
      <c r="C633" s="124">
        <v>407.59</v>
      </c>
      <c r="D633" s="156">
        <f t="shared" si="19"/>
        <v>-1.7334490573315972E-2</v>
      </c>
      <c r="E633" s="156">
        <v>1.5812859383167906E-2</v>
      </c>
      <c r="F633" s="124">
        <v>627</v>
      </c>
      <c r="G633" s="238">
        <f t="shared" ca="1" si="20"/>
        <v>7.9240332515016932E-3</v>
      </c>
      <c r="I633" s="156"/>
    </row>
    <row r="634" spans="2:9" x14ac:dyDescent="0.2">
      <c r="B634" s="230">
        <v>45069</v>
      </c>
      <c r="C634" s="124">
        <v>403.5</v>
      </c>
      <c r="D634" s="156">
        <f t="shared" si="19"/>
        <v>-1.0034593586692449E-2</v>
      </c>
      <c r="E634" s="156">
        <v>1.581027667984207E-2</v>
      </c>
      <c r="F634" s="124">
        <v>628</v>
      </c>
      <c r="G634" s="238">
        <f t="shared" ca="1" si="20"/>
        <v>2.643786149282237E-2</v>
      </c>
      <c r="I634" s="156"/>
    </row>
    <row r="635" spans="2:9" x14ac:dyDescent="0.2">
      <c r="B635" s="230">
        <v>45068</v>
      </c>
      <c r="C635" s="124">
        <v>399.36</v>
      </c>
      <c r="D635" s="156">
        <f t="shared" si="19"/>
        <v>-1.0260223048327103E-2</v>
      </c>
      <c r="E635" s="156">
        <v>1.58044869323875E-2</v>
      </c>
      <c r="F635" s="124">
        <v>629</v>
      </c>
      <c r="G635" s="238">
        <f t="shared" ca="1" si="20"/>
        <v>-2.7293546715524655E-2</v>
      </c>
      <c r="I635" s="156"/>
    </row>
    <row r="636" spans="2:9" x14ac:dyDescent="0.2">
      <c r="B636" s="230">
        <v>45065</v>
      </c>
      <c r="C636" s="124">
        <v>394.75</v>
      </c>
      <c r="D636" s="156">
        <f t="shared" si="19"/>
        <v>-1.1543469551282085E-2</v>
      </c>
      <c r="E636" s="156">
        <v>1.577626389386869E-2</v>
      </c>
      <c r="F636" s="124">
        <v>630</v>
      </c>
      <c r="G636" s="238">
        <f t="shared" ca="1" si="20"/>
        <v>1.8237601566391336E-2</v>
      </c>
      <c r="I636" s="156"/>
    </row>
    <row r="637" spans="2:9" x14ac:dyDescent="0.2">
      <c r="B637" s="230">
        <v>45064</v>
      </c>
      <c r="C637" s="124">
        <v>394.61</v>
      </c>
      <c r="D637" s="156">
        <f t="shared" si="19"/>
        <v>-3.5465484483847081E-4</v>
      </c>
      <c r="E637" s="156">
        <v>1.5755759892550795E-2</v>
      </c>
      <c r="F637" s="124">
        <v>631</v>
      </c>
      <c r="G637" s="238">
        <f t="shared" ca="1" si="20"/>
        <v>-1.3138330580352206E-2</v>
      </c>
      <c r="I637" s="156"/>
    </row>
    <row r="638" spans="2:9" x14ac:dyDescent="0.2">
      <c r="B638" s="230">
        <v>45063</v>
      </c>
      <c r="C638" s="124">
        <v>402.04</v>
      </c>
      <c r="D638" s="156">
        <f t="shared" ref="D638:D701" si="21">(C638-C637)/C637</f>
        <v>1.8828716961050169E-2</v>
      </c>
      <c r="E638" s="156">
        <v>1.5744385274369062E-2</v>
      </c>
      <c r="F638" s="124">
        <v>632</v>
      </c>
      <c r="G638" s="238">
        <f t="shared" ca="1" si="20"/>
        <v>1.5413799784589292E-2</v>
      </c>
      <c r="I638" s="156"/>
    </row>
    <row r="639" spans="2:9" x14ac:dyDescent="0.2">
      <c r="B639" s="230">
        <v>45062</v>
      </c>
      <c r="C639" s="124">
        <v>398.61</v>
      </c>
      <c r="D639" s="156">
        <f t="shared" si="21"/>
        <v>-8.5314894040394162E-3</v>
      </c>
      <c r="E639" s="156">
        <v>1.5730748125114154E-2</v>
      </c>
      <c r="F639" s="124">
        <v>633</v>
      </c>
      <c r="G639" s="238">
        <f t="shared" ca="1" si="20"/>
        <v>-1.0191726019675006E-2</v>
      </c>
      <c r="I639" s="156"/>
    </row>
    <row r="640" spans="2:9" x14ac:dyDescent="0.2">
      <c r="B640" s="230">
        <v>45061</v>
      </c>
      <c r="C640" s="124">
        <v>402.23</v>
      </c>
      <c r="D640" s="156">
        <f t="shared" si="21"/>
        <v>9.0815584154938529E-3</v>
      </c>
      <c r="E640" s="156">
        <v>1.5717926932880075E-2</v>
      </c>
      <c r="F640" s="124">
        <v>634</v>
      </c>
      <c r="G640" s="238">
        <f t="shared" ca="1" si="20"/>
        <v>-1.9602293766537635E-2</v>
      </c>
      <c r="I640" s="156"/>
    </row>
    <row r="641" spans="2:9" x14ac:dyDescent="0.2">
      <c r="B641" s="230">
        <v>45058</v>
      </c>
      <c r="C641" s="124">
        <v>395.32</v>
      </c>
      <c r="D641" s="156">
        <f t="shared" si="21"/>
        <v>-1.7179225816075443E-2</v>
      </c>
      <c r="E641" s="156">
        <v>1.5658225401121252E-2</v>
      </c>
      <c r="F641" s="124">
        <v>635</v>
      </c>
      <c r="G641" s="238">
        <f t="shared" ca="1" si="20"/>
        <v>1.9547375355321943E-3</v>
      </c>
      <c r="I641" s="156"/>
    </row>
    <row r="642" spans="2:9" x14ac:dyDescent="0.2">
      <c r="B642" s="230">
        <v>45057</v>
      </c>
      <c r="C642" s="124">
        <v>395.27</v>
      </c>
      <c r="D642" s="156">
        <f t="shared" si="21"/>
        <v>-1.264798138217428E-4</v>
      </c>
      <c r="E642" s="156">
        <v>1.5649905810752041E-2</v>
      </c>
      <c r="F642" s="124">
        <v>636</v>
      </c>
      <c r="G642" s="238">
        <f t="shared" ca="1" si="20"/>
        <v>-2.2853917687738513E-2</v>
      </c>
      <c r="I642" s="156"/>
    </row>
    <row r="643" spans="2:9" x14ac:dyDescent="0.2">
      <c r="B643" s="230">
        <v>45056</v>
      </c>
      <c r="C643" s="124">
        <v>399.92</v>
      </c>
      <c r="D643" s="156">
        <f t="shared" si="21"/>
        <v>1.1764110607938964E-2</v>
      </c>
      <c r="E643" s="156">
        <v>1.5644650133306574E-2</v>
      </c>
      <c r="F643" s="124">
        <v>637</v>
      </c>
      <c r="G643" s="238">
        <f t="shared" ca="1" si="20"/>
        <v>-1.3233535484658965E-2</v>
      </c>
      <c r="I643" s="156"/>
    </row>
    <row r="644" spans="2:9" x14ac:dyDescent="0.2">
      <c r="B644" s="230">
        <v>45055</v>
      </c>
      <c r="C644" s="124">
        <v>398.46</v>
      </c>
      <c r="D644" s="156">
        <f t="shared" si="21"/>
        <v>-3.6507301460292968E-3</v>
      </c>
      <c r="E644" s="156">
        <v>1.5620718004932931E-2</v>
      </c>
      <c r="F644" s="124">
        <v>638</v>
      </c>
      <c r="G644" s="238">
        <f t="shared" ca="1" si="20"/>
        <v>3.2902325673986182E-2</v>
      </c>
      <c r="I644" s="156"/>
    </row>
    <row r="645" spans="2:9" x14ac:dyDescent="0.2">
      <c r="B645" s="230">
        <v>45054</v>
      </c>
      <c r="C645" s="124">
        <v>405.66</v>
      </c>
      <c r="D645" s="156">
        <f t="shared" si="21"/>
        <v>1.8069567836169368E-2</v>
      </c>
      <c r="E645" s="156">
        <v>1.5619770166238982E-2</v>
      </c>
      <c r="F645" s="124">
        <v>639</v>
      </c>
      <c r="G645" s="238">
        <f t="shared" ca="1" si="20"/>
        <v>-1.2586544412413346E-2</v>
      </c>
      <c r="I645" s="156"/>
    </row>
    <row r="646" spans="2:9" x14ac:dyDescent="0.2">
      <c r="B646" s="230">
        <v>45051</v>
      </c>
      <c r="C646" s="124">
        <v>403.12</v>
      </c>
      <c r="D646" s="156">
        <f t="shared" si="21"/>
        <v>-6.2614011733964905E-3</v>
      </c>
      <c r="E646" s="156">
        <v>1.5599001663893511E-2</v>
      </c>
      <c r="F646" s="124">
        <v>640</v>
      </c>
      <c r="G646" s="238">
        <f t="shared" ca="1" si="20"/>
        <v>2.0472307558355451E-2</v>
      </c>
      <c r="I646" s="156"/>
    </row>
    <row r="647" spans="2:9" x14ac:dyDescent="0.2">
      <c r="B647" s="230">
        <v>45050</v>
      </c>
      <c r="C647" s="124">
        <v>399.22</v>
      </c>
      <c r="D647" s="156">
        <f t="shared" si="21"/>
        <v>-9.6745385989283027E-3</v>
      </c>
      <c r="E647" s="156">
        <v>1.5594929988718524E-2</v>
      </c>
      <c r="F647" s="124">
        <v>641</v>
      </c>
      <c r="G647" s="238">
        <f t="shared" ref="G647:G710" ca="1" si="22">_xlfn.NORM.INV(RAND(),$L$8,$L$9)</f>
        <v>1.3588157658344138E-2</v>
      </c>
      <c r="I647" s="156"/>
    </row>
    <row r="648" spans="2:9" x14ac:dyDescent="0.2">
      <c r="B648" s="230">
        <v>45049</v>
      </c>
      <c r="C648" s="124">
        <v>401.61</v>
      </c>
      <c r="D648" s="156">
        <f t="shared" si="21"/>
        <v>5.9866740143279052E-3</v>
      </c>
      <c r="E648" s="156">
        <v>1.5567086730911787E-2</v>
      </c>
      <c r="F648" s="124">
        <v>642</v>
      </c>
      <c r="G648" s="238">
        <f t="shared" ca="1" si="22"/>
        <v>-7.704405768460351E-3</v>
      </c>
      <c r="I648" s="156"/>
    </row>
    <row r="649" spans="2:9" x14ac:dyDescent="0.2">
      <c r="B649" s="230">
        <v>45048</v>
      </c>
      <c r="C649" s="124">
        <v>399.08</v>
      </c>
      <c r="D649" s="156">
        <f t="shared" si="21"/>
        <v>-6.2996439331690678E-3</v>
      </c>
      <c r="E649" s="156">
        <v>1.5564370095714469E-2</v>
      </c>
      <c r="F649" s="124">
        <v>643</v>
      </c>
      <c r="G649" s="238">
        <f t="shared" ca="1" si="22"/>
        <v>-3.3093753661892766E-2</v>
      </c>
      <c r="I649" s="156"/>
    </row>
    <row r="650" spans="2:9" x14ac:dyDescent="0.2">
      <c r="B650" s="230">
        <v>45044</v>
      </c>
      <c r="C650" s="124">
        <v>400.11</v>
      </c>
      <c r="D650" s="156">
        <f t="shared" si="21"/>
        <v>2.5809361531523244E-3</v>
      </c>
      <c r="E650" s="156">
        <v>1.5561679364564774E-2</v>
      </c>
      <c r="F650" s="124">
        <v>644</v>
      </c>
      <c r="G650" s="238">
        <f t="shared" ca="1" si="22"/>
        <v>1.198493546188174E-2</v>
      </c>
      <c r="I650" s="156"/>
    </row>
    <row r="651" spans="2:9" x14ac:dyDescent="0.2">
      <c r="B651" s="230">
        <v>45043</v>
      </c>
      <c r="C651" s="124">
        <v>391.13</v>
      </c>
      <c r="D651" s="156">
        <f t="shared" si="21"/>
        <v>-2.2443827947314532E-2</v>
      </c>
      <c r="E651" s="156">
        <v>1.5557042489126793E-2</v>
      </c>
      <c r="F651" s="124">
        <v>645</v>
      </c>
      <c r="G651" s="238">
        <f t="shared" ca="1" si="22"/>
        <v>1.8093025966524377E-2</v>
      </c>
      <c r="I651" s="156"/>
    </row>
    <row r="652" spans="2:9" x14ac:dyDescent="0.2">
      <c r="B652" s="230">
        <v>45042</v>
      </c>
      <c r="C652" s="124">
        <v>387.61</v>
      </c>
      <c r="D652" s="156">
        <f t="shared" si="21"/>
        <v>-8.9995653619000891E-3</v>
      </c>
      <c r="E652" s="156">
        <v>1.5553561509208162E-2</v>
      </c>
      <c r="F652" s="124">
        <v>646</v>
      </c>
      <c r="G652" s="238">
        <f t="shared" ca="1" si="22"/>
        <v>1.249729208646227E-2</v>
      </c>
      <c r="I652" s="156"/>
    </row>
    <row r="653" spans="2:9" x14ac:dyDescent="0.2">
      <c r="B653" s="230">
        <v>45041</v>
      </c>
      <c r="C653" s="124">
        <v>386.95</v>
      </c>
      <c r="D653" s="156">
        <f t="shared" si="21"/>
        <v>-1.7027424473053455E-3</v>
      </c>
      <c r="E653" s="156">
        <v>1.5523284927391202E-2</v>
      </c>
      <c r="F653" s="124">
        <v>647</v>
      </c>
      <c r="G653" s="238">
        <f t="shared" ca="1" si="22"/>
        <v>-3.7764723174616489E-3</v>
      </c>
      <c r="I653" s="156"/>
    </row>
    <row r="654" spans="2:9" x14ac:dyDescent="0.2">
      <c r="B654" s="230">
        <v>45040</v>
      </c>
      <c r="C654" s="124">
        <v>384.27</v>
      </c>
      <c r="D654" s="156">
        <f t="shared" si="21"/>
        <v>-6.925959426282483E-3</v>
      </c>
      <c r="E654" s="156">
        <v>1.550211392462607E-2</v>
      </c>
      <c r="F654" s="124">
        <v>648</v>
      </c>
      <c r="G654" s="238">
        <f t="shared" ca="1" si="22"/>
        <v>5.8314042072632622E-3</v>
      </c>
      <c r="I654" s="156"/>
    </row>
    <row r="655" spans="2:9" x14ac:dyDescent="0.2">
      <c r="B655" s="230">
        <v>45037</v>
      </c>
      <c r="C655" s="124">
        <v>383.85</v>
      </c>
      <c r="D655" s="156">
        <f t="shared" si="21"/>
        <v>-1.092981497384545E-3</v>
      </c>
      <c r="E655" s="156">
        <v>1.5498972006958673E-2</v>
      </c>
      <c r="F655" s="124">
        <v>649</v>
      </c>
      <c r="G655" s="238">
        <f t="shared" ca="1" si="22"/>
        <v>1.107679088754576E-2</v>
      </c>
      <c r="I655" s="156"/>
    </row>
    <row r="656" spans="2:9" x14ac:dyDescent="0.2">
      <c r="B656" s="230">
        <v>45036</v>
      </c>
      <c r="C656" s="124">
        <v>376.37</v>
      </c>
      <c r="D656" s="156">
        <f t="shared" si="21"/>
        <v>-1.9486778689592334E-2</v>
      </c>
      <c r="E656" s="156">
        <v>1.5474100087796212E-2</v>
      </c>
      <c r="F656" s="124">
        <v>650</v>
      </c>
      <c r="G656" s="238">
        <f t="shared" ca="1" si="22"/>
        <v>1.855181787289131E-2</v>
      </c>
      <c r="I656" s="156"/>
    </row>
    <row r="657" spans="2:9" x14ac:dyDescent="0.2">
      <c r="B657" s="230">
        <v>45035</v>
      </c>
      <c r="C657" s="124">
        <v>374.91</v>
      </c>
      <c r="D657" s="156">
        <f t="shared" si="21"/>
        <v>-3.8791614634534621E-3</v>
      </c>
      <c r="E657" s="156">
        <v>1.5460804444981361E-2</v>
      </c>
      <c r="F657" s="124">
        <v>651</v>
      </c>
      <c r="G657" s="238">
        <f t="shared" ca="1" si="22"/>
        <v>-2.2223561617293469E-2</v>
      </c>
      <c r="I657" s="156"/>
    </row>
    <row r="658" spans="2:9" x14ac:dyDescent="0.2">
      <c r="B658" s="230">
        <v>45034</v>
      </c>
      <c r="C658" s="124">
        <v>374.68</v>
      </c>
      <c r="D658" s="156">
        <f t="shared" si="21"/>
        <v>-6.1348056866986252E-4</v>
      </c>
      <c r="E658" s="156">
        <v>1.5440163428191362E-2</v>
      </c>
      <c r="F658" s="124">
        <v>652</v>
      </c>
      <c r="G658" s="238">
        <f t="shared" ca="1" si="22"/>
        <v>1.0782941405302496E-3</v>
      </c>
      <c r="I658" s="156"/>
    </row>
    <row r="659" spans="2:9" x14ac:dyDescent="0.2">
      <c r="B659" s="230">
        <v>45033</v>
      </c>
      <c r="C659" s="124">
        <v>376.23</v>
      </c>
      <c r="D659" s="156">
        <f t="shared" si="21"/>
        <v>4.1368634568165136E-3</v>
      </c>
      <c r="E659" s="156">
        <v>1.5439246564767641E-2</v>
      </c>
      <c r="F659" s="124">
        <v>653</v>
      </c>
      <c r="G659" s="238">
        <f t="shared" ca="1" si="22"/>
        <v>7.3713527187775846E-4</v>
      </c>
      <c r="I659" s="156"/>
    </row>
    <row r="660" spans="2:9" x14ac:dyDescent="0.2">
      <c r="B660" s="230">
        <v>45029</v>
      </c>
      <c r="C660" s="124">
        <v>371.95</v>
      </c>
      <c r="D660" s="156">
        <f t="shared" si="21"/>
        <v>-1.1376019987773515E-2</v>
      </c>
      <c r="E660" s="156">
        <v>1.5435717076983263E-2</v>
      </c>
      <c r="F660" s="124">
        <v>654</v>
      </c>
      <c r="G660" s="238">
        <f t="shared" ca="1" si="22"/>
        <v>1.3841551714483371E-2</v>
      </c>
      <c r="I660" s="156"/>
    </row>
    <row r="661" spans="2:9" x14ac:dyDescent="0.2">
      <c r="B661" s="230">
        <v>45028</v>
      </c>
      <c r="C661" s="124">
        <v>370.02</v>
      </c>
      <c r="D661" s="156">
        <f t="shared" si="21"/>
        <v>-5.1888694717032047E-3</v>
      </c>
      <c r="E661" s="156">
        <v>1.5430008706587972E-2</v>
      </c>
      <c r="F661" s="124">
        <v>655</v>
      </c>
      <c r="G661" s="238">
        <f t="shared" ca="1" si="22"/>
        <v>-1.7942587607449639E-2</v>
      </c>
      <c r="I661" s="156"/>
    </row>
    <row r="662" spans="2:9" x14ac:dyDescent="0.2">
      <c r="B662" s="230">
        <v>45027</v>
      </c>
      <c r="C662" s="124">
        <v>372.33</v>
      </c>
      <c r="D662" s="156">
        <f t="shared" si="21"/>
        <v>6.2429057888762837E-3</v>
      </c>
      <c r="E662" s="156">
        <v>1.5426228815350057E-2</v>
      </c>
      <c r="F662" s="124">
        <v>656</v>
      </c>
      <c r="G662" s="238">
        <f t="shared" ca="1" si="22"/>
        <v>-2.3870945946029849E-2</v>
      </c>
      <c r="I662" s="156"/>
    </row>
    <row r="663" spans="2:9" x14ac:dyDescent="0.2">
      <c r="B663" s="230">
        <v>45026</v>
      </c>
      <c r="C663" s="124">
        <v>365.32</v>
      </c>
      <c r="D663" s="156">
        <f t="shared" si="21"/>
        <v>-1.8827384309617789E-2</v>
      </c>
      <c r="E663" s="156">
        <v>1.5418159165239203E-2</v>
      </c>
      <c r="F663" s="124">
        <v>657</v>
      </c>
      <c r="G663" s="238">
        <f t="shared" ca="1" si="22"/>
        <v>-8.9358465382968558E-3</v>
      </c>
      <c r="I663" s="156"/>
    </row>
    <row r="664" spans="2:9" x14ac:dyDescent="0.2">
      <c r="B664" s="230">
        <v>45022</v>
      </c>
      <c r="C664" s="124">
        <v>364.19</v>
      </c>
      <c r="D664" s="156">
        <f t="shared" si="21"/>
        <v>-3.0931785831599568E-3</v>
      </c>
      <c r="E664" s="156">
        <v>1.5412511332728831E-2</v>
      </c>
      <c r="F664" s="124">
        <v>658</v>
      </c>
      <c r="G664" s="238">
        <f t="shared" ca="1" si="22"/>
        <v>-1.9737811227129757E-2</v>
      </c>
      <c r="I664" s="156"/>
    </row>
    <row r="665" spans="2:9" x14ac:dyDescent="0.2">
      <c r="B665" s="230">
        <v>45021</v>
      </c>
      <c r="C665" s="124">
        <v>363.3</v>
      </c>
      <c r="D665" s="156">
        <f t="shared" si="21"/>
        <v>-2.44377934594576E-3</v>
      </c>
      <c r="E665" s="156">
        <v>1.5387433595896644E-2</v>
      </c>
      <c r="F665" s="124">
        <v>659</v>
      </c>
      <c r="G665" s="238">
        <f t="shared" ca="1" si="22"/>
        <v>2.1591893157482437E-3</v>
      </c>
      <c r="I665" s="156"/>
    </row>
    <row r="666" spans="2:9" x14ac:dyDescent="0.2">
      <c r="B666" s="230">
        <v>45019</v>
      </c>
      <c r="C666" s="124">
        <v>356.25</v>
      </c>
      <c r="D666" s="156">
        <f t="shared" si="21"/>
        <v>-1.9405450041288221E-2</v>
      </c>
      <c r="E666" s="156">
        <v>1.538461538461546E-2</v>
      </c>
      <c r="F666" s="124">
        <v>660</v>
      </c>
      <c r="G666" s="238">
        <f t="shared" ca="1" si="22"/>
        <v>-5.4909306710136704E-2</v>
      </c>
      <c r="I666" s="156"/>
    </row>
    <row r="667" spans="2:9" x14ac:dyDescent="0.2">
      <c r="B667" s="230">
        <v>45016</v>
      </c>
      <c r="C667" s="124">
        <v>360.58</v>
      </c>
      <c r="D667" s="156">
        <f t="shared" si="21"/>
        <v>1.2154385964912235E-2</v>
      </c>
      <c r="E667" s="156">
        <v>1.5313653136531333E-2</v>
      </c>
      <c r="F667" s="124">
        <v>661</v>
      </c>
      <c r="G667" s="238">
        <f t="shared" ca="1" si="22"/>
        <v>-6.4427704379699654E-3</v>
      </c>
      <c r="I667" s="156"/>
    </row>
    <row r="668" spans="2:9" x14ac:dyDescent="0.2">
      <c r="B668" s="230">
        <v>45014</v>
      </c>
      <c r="C668" s="124">
        <v>359.87</v>
      </c>
      <c r="D668" s="156">
        <f t="shared" si="21"/>
        <v>-1.9690498641077698E-3</v>
      </c>
      <c r="E668" s="156">
        <v>1.5306935955354746E-2</v>
      </c>
      <c r="F668" s="124">
        <v>662</v>
      </c>
      <c r="G668" s="238">
        <f t="shared" ca="1" si="22"/>
        <v>-3.4276707285823708E-2</v>
      </c>
      <c r="I668" s="156"/>
    </row>
    <row r="669" spans="2:9" x14ac:dyDescent="0.2">
      <c r="B669" s="230">
        <v>45013</v>
      </c>
      <c r="C669" s="124">
        <v>357.05</v>
      </c>
      <c r="D669" s="156">
        <f t="shared" si="21"/>
        <v>-7.8361630588823557E-3</v>
      </c>
      <c r="E669" s="156">
        <v>1.5289058767319582E-2</v>
      </c>
      <c r="F669" s="124">
        <v>663</v>
      </c>
      <c r="G669" s="238">
        <f t="shared" ca="1" si="22"/>
        <v>-2.850390244389513E-2</v>
      </c>
      <c r="I669" s="156"/>
    </row>
    <row r="670" spans="2:9" x14ac:dyDescent="0.2">
      <c r="B670" s="230">
        <v>45012</v>
      </c>
      <c r="C670" s="124">
        <v>357.47</v>
      </c>
      <c r="D670" s="156">
        <f t="shared" si="21"/>
        <v>1.1763058395183193E-3</v>
      </c>
      <c r="E670" s="156">
        <v>1.5285731943471548E-2</v>
      </c>
      <c r="F670" s="124">
        <v>664</v>
      </c>
      <c r="G670" s="238">
        <f t="shared" ca="1" si="22"/>
        <v>2.7839404678321714E-3</v>
      </c>
      <c r="I670" s="156"/>
    </row>
    <row r="671" spans="2:9" x14ac:dyDescent="0.2">
      <c r="B671" s="230">
        <v>45009</v>
      </c>
      <c r="C671" s="124">
        <v>356.06</v>
      </c>
      <c r="D671" s="156">
        <f t="shared" si="21"/>
        <v>-3.9443869415615989E-3</v>
      </c>
      <c r="E671" s="156">
        <v>1.5280464216634385E-2</v>
      </c>
      <c r="F671" s="124">
        <v>665</v>
      </c>
      <c r="G671" s="238">
        <f t="shared" ca="1" si="22"/>
        <v>-1.6177290945152148E-2</v>
      </c>
      <c r="I671" s="156"/>
    </row>
    <row r="672" spans="2:9" x14ac:dyDescent="0.2">
      <c r="B672" s="230">
        <v>45008</v>
      </c>
      <c r="C672" s="124">
        <v>357.89</v>
      </c>
      <c r="D672" s="156">
        <f t="shared" si="21"/>
        <v>5.1395832163118127E-3</v>
      </c>
      <c r="E672" s="156">
        <v>1.5279857731186758E-2</v>
      </c>
      <c r="F672" s="124">
        <v>666</v>
      </c>
      <c r="G672" s="238">
        <f t="shared" ca="1" si="22"/>
        <v>5.5558339139596064E-3</v>
      </c>
      <c r="I672" s="156"/>
    </row>
    <row r="673" spans="2:9" x14ac:dyDescent="0.2">
      <c r="B673" s="230">
        <v>45007</v>
      </c>
      <c r="C673" s="124">
        <v>355.17</v>
      </c>
      <c r="D673" s="156">
        <f t="shared" si="21"/>
        <v>-7.6001005895665443E-3</v>
      </c>
      <c r="E673" s="156">
        <v>1.5224913494809741E-2</v>
      </c>
      <c r="F673" s="124">
        <v>667</v>
      </c>
      <c r="G673" s="238">
        <f t="shared" ca="1" si="22"/>
        <v>-2.6078087768077334E-2</v>
      </c>
      <c r="I673" s="156"/>
    </row>
    <row r="674" spans="2:9" x14ac:dyDescent="0.2">
      <c r="B674" s="230">
        <v>45006</v>
      </c>
      <c r="C674" s="124">
        <v>354.42</v>
      </c>
      <c r="D674" s="156">
        <f t="shared" si="21"/>
        <v>-2.1116648365571413E-3</v>
      </c>
      <c r="E674" s="156">
        <v>1.5218188485515188E-2</v>
      </c>
      <c r="F674" s="124">
        <v>668</v>
      </c>
      <c r="G674" s="238">
        <f t="shared" ca="1" si="22"/>
        <v>1.2835190853411229E-2</v>
      </c>
      <c r="I674" s="156"/>
    </row>
    <row r="675" spans="2:9" x14ac:dyDescent="0.2">
      <c r="B675" s="230">
        <v>45005</v>
      </c>
      <c r="C675" s="124">
        <v>356.16</v>
      </c>
      <c r="D675" s="156">
        <f t="shared" si="21"/>
        <v>4.9094294904351021E-3</v>
      </c>
      <c r="E675" s="156">
        <v>1.5211815689396066E-2</v>
      </c>
      <c r="F675" s="124">
        <v>669</v>
      </c>
      <c r="G675" s="238">
        <f t="shared" ca="1" si="22"/>
        <v>1.8370682530046499E-2</v>
      </c>
      <c r="I675" s="156"/>
    </row>
    <row r="676" spans="2:9" x14ac:dyDescent="0.2">
      <c r="B676" s="230">
        <v>45002</v>
      </c>
      <c r="C676" s="124">
        <v>353.1</v>
      </c>
      <c r="D676" s="156">
        <f t="shared" si="21"/>
        <v>-8.5916442048517578E-3</v>
      </c>
      <c r="E676" s="156">
        <v>1.5211152111521147E-2</v>
      </c>
      <c r="F676" s="124">
        <v>670</v>
      </c>
      <c r="G676" s="238">
        <f t="shared" ca="1" si="22"/>
        <v>-1.1695380876581495E-2</v>
      </c>
      <c r="I676" s="156"/>
    </row>
    <row r="677" spans="2:9" x14ac:dyDescent="0.2">
      <c r="B677" s="230">
        <v>45001</v>
      </c>
      <c r="C677" s="124">
        <v>358.65</v>
      </c>
      <c r="D677" s="156">
        <f t="shared" si="21"/>
        <v>1.5717926932880075E-2</v>
      </c>
      <c r="E677" s="156">
        <v>1.5189533112285986E-2</v>
      </c>
      <c r="F677" s="124">
        <v>671</v>
      </c>
      <c r="G677" s="238">
        <f t="shared" ca="1" si="22"/>
        <v>1.7939127150199838E-2</v>
      </c>
      <c r="I677" s="156"/>
    </row>
    <row r="678" spans="2:9" x14ac:dyDescent="0.2">
      <c r="B678" s="230">
        <v>45000</v>
      </c>
      <c r="C678" s="124">
        <v>356.72</v>
      </c>
      <c r="D678" s="156">
        <f t="shared" si="21"/>
        <v>-5.3812909521816533E-3</v>
      </c>
      <c r="E678" s="156">
        <v>1.5161395500489071E-2</v>
      </c>
      <c r="F678" s="124">
        <v>672</v>
      </c>
      <c r="G678" s="238">
        <f t="shared" ca="1" si="22"/>
        <v>2.3009997895551996E-3</v>
      </c>
      <c r="I678" s="156"/>
    </row>
    <row r="679" spans="2:9" x14ac:dyDescent="0.2">
      <c r="B679" s="230">
        <v>44999</v>
      </c>
      <c r="C679" s="124">
        <v>357</v>
      </c>
      <c r="D679" s="156">
        <f t="shared" si="21"/>
        <v>7.8492935635785129E-4</v>
      </c>
      <c r="E679" s="156">
        <v>1.5132139812446767E-2</v>
      </c>
      <c r="F679" s="124">
        <v>673</v>
      </c>
      <c r="G679" s="238">
        <f t="shared" ca="1" si="22"/>
        <v>-5.7556597146640395E-4</v>
      </c>
      <c r="I679" s="156"/>
    </row>
    <row r="680" spans="2:9" x14ac:dyDescent="0.2">
      <c r="B680" s="230">
        <v>44998</v>
      </c>
      <c r="C680" s="124">
        <v>360.72</v>
      </c>
      <c r="D680" s="156">
        <f t="shared" si="21"/>
        <v>1.0420168067226968E-2</v>
      </c>
      <c r="E680" s="156">
        <v>1.5131943162945277E-2</v>
      </c>
      <c r="F680" s="124">
        <v>674</v>
      </c>
      <c r="G680" s="238">
        <f t="shared" ca="1" si="22"/>
        <v>1.9501041472506534E-2</v>
      </c>
      <c r="I680" s="156"/>
    </row>
    <row r="681" spans="2:9" x14ac:dyDescent="0.2">
      <c r="B681" s="230">
        <v>44995</v>
      </c>
      <c r="C681" s="124">
        <v>364.81</v>
      </c>
      <c r="D681" s="156">
        <f t="shared" si="21"/>
        <v>1.1338434242625789E-2</v>
      </c>
      <c r="E681" s="156">
        <v>1.5086004323714671E-2</v>
      </c>
      <c r="F681" s="124">
        <v>675</v>
      </c>
      <c r="G681" s="238">
        <f t="shared" ca="1" si="22"/>
        <v>-2.9414001626869642E-2</v>
      </c>
      <c r="I681" s="156"/>
    </row>
    <row r="682" spans="2:9" x14ac:dyDescent="0.2">
      <c r="B682" s="230">
        <v>44994</v>
      </c>
      <c r="C682" s="124">
        <v>364.33</v>
      </c>
      <c r="D682" s="156">
        <f t="shared" si="21"/>
        <v>-1.3157534058825641E-3</v>
      </c>
      <c r="E682" s="156">
        <v>1.5084294587400203E-2</v>
      </c>
      <c r="F682" s="124">
        <v>676</v>
      </c>
      <c r="G682" s="238">
        <f t="shared" ca="1" si="22"/>
        <v>-3.1708843117766467E-3</v>
      </c>
      <c r="I682" s="156"/>
    </row>
    <row r="683" spans="2:9" x14ac:dyDescent="0.2">
      <c r="B683" s="230">
        <v>44993</v>
      </c>
      <c r="C683" s="124">
        <v>368.94</v>
      </c>
      <c r="D683" s="156">
        <f t="shared" si="21"/>
        <v>1.2653363708725643E-2</v>
      </c>
      <c r="E683" s="156">
        <v>1.5023076198549486E-2</v>
      </c>
      <c r="F683" s="124">
        <v>677</v>
      </c>
      <c r="G683" s="238">
        <f t="shared" ca="1" si="22"/>
        <v>3.9807501712456068E-2</v>
      </c>
      <c r="I683" s="156"/>
    </row>
    <row r="684" spans="2:9" x14ac:dyDescent="0.2">
      <c r="B684" s="230">
        <v>44991</v>
      </c>
      <c r="C684" s="124">
        <v>364.95</v>
      </c>
      <c r="D684" s="156">
        <f t="shared" si="21"/>
        <v>-1.0814766628720142E-2</v>
      </c>
      <c r="E684" s="156">
        <v>1.5019590770570385E-2</v>
      </c>
      <c r="F684" s="124">
        <v>678</v>
      </c>
      <c r="G684" s="238">
        <f t="shared" ca="1" si="22"/>
        <v>-1.2261674779658586E-2</v>
      </c>
      <c r="I684" s="156"/>
    </row>
    <row r="685" spans="2:9" x14ac:dyDescent="0.2">
      <c r="B685" s="230">
        <v>44988</v>
      </c>
      <c r="C685" s="124">
        <v>361.94</v>
      </c>
      <c r="D685" s="156">
        <f t="shared" si="21"/>
        <v>-8.2477051650910842E-3</v>
      </c>
      <c r="E685" s="156">
        <v>1.5018246467670906E-2</v>
      </c>
      <c r="F685" s="124">
        <v>679</v>
      </c>
      <c r="G685" s="238">
        <f t="shared" ca="1" si="22"/>
        <v>1.591662906141935E-2</v>
      </c>
      <c r="I685" s="156"/>
    </row>
    <row r="686" spans="2:9" x14ac:dyDescent="0.2">
      <c r="B686" s="230">
        <v>44987</v>
      </c>
      <c r="C686" s="124">
        <v>353.1</v>
      </c>
      <c r="D686" s="156">
        <f t="shared" si="21"/>
        <v>-2.4423937669226875E-2</v>
      </c>
      <c r="E686" s="156">
        <v>1.5010544597444513E-2</v>
      </c>
      <c r="F686" s="124">
        <v>680</v>
      </c>
      <c r="G686" s="238">
        <f t="shared" ca="1" si="22"/>
        <v>2.0071717956697464E-2</v>
      </c>
      <c r="I686" s="156"/>
    </row>
    <row r="687" spans="2:9" x14ac:dyDescent="0.2">
      <c r="B687" s="230">
        <v>44986</v>
      </c>
      <c r="C687" s="124">
        <v>356.06</v>
      </c>
      <c r="D687" s="156">
        <f t="shared" si="21"/>
        <v>8.3828943642027167E-3</v>
      </c>
      <c r="E687" s="156">
        <v>1.498244245025351E-2</v>
      </c>
      <c r="F687" s="124">
        <v>681</v>
      </c>
      <c r="G687" s="238">
        <f t="shared" ca="1" si="22"/>
        <v>3.9932795682870171E-4</v>
      </c>
      <c r="I687" s="156"/>
    </row>
    <row r="688" spans="2:9" x14ac:dyDescent="0.2">
      <c r="B688" s="230">
        <v>44985</v>
      </c>
      <c r="C688" s="124">
        <v>354.18</v>
      </c>
      <c r="D688" s="156">
        <f t="shared" si="21"/>
        <v>-5.2800089872493275E-3</v>
      </c>
      <c r="E688" s="156">
        <v>1.4958448753462646E-2</v>
      </c>
      <c r="F688" s="124">
        <v>682</v>
      </c>
      <c r="G688" s="238">
        <f t="shared" ca="1" si="22"/>
        <v>-1.9683790576115787E-2</v>
      </c>
      <c r="I688" s="156"/>
    </row>
    <row r="689" spans="2:9" x14ac:dyDescent="0.2">
      <c r="B689" s="230">
        <v>44984</v>
      </c>
      <c r="C689" s="124">
        <v>359.35</v>
      </c>
      <c r="D689" s="156">
        <f t="shared" si="21"/>
        <v>1.4597097521034547E-2</v>
      </c>
      <c r="E689" s="156">
        <v>1.4948061819103202E-2</v>
      </c>
      <c r="F689" s="124">
        <v>683</v>
      </c>
      <c r="G689" s="238">
        <f t="shared" ca="1" si="22"/>
        <v>-1.5670897965619393E-2</v>
      </c>
      <c r="I689" s="156"/>
    </row>
    <row r="690" spans="2:9" x14ac:dyDescent="0.2">
      <c r="B690" s="230">
        <v>44981</v>
      </c>
      <c r="C690" s="124">
        <v>362.08</v>
      </c>
      <c r="D690" s="156">
        <f t="shared" si="21"/>
        <v>7.59705022958108E-3</v>
      </c>
      <c r="E690" s="156">
        <v>1.4947161308749259E-2</v>
      </c>
      <c r="F690" s="124">
        <v>684</v>
      </c>
      <c r="G690" s="238">
        <f t="shared" ca="1" si="22"/>
        <v>3.0477296334872228E-2</v>
      </c>
      <c r="I690" s="156"/>
    </row>
    <row r="691" spans="2:9" x14ac:dyDescent="0.2">
      <c r="B691" s="230">
        <v>44980</v>
      </c>
      <c r="C691" s="124">
        <v>364.43</v>
      </c>
      <c r="D691" s="156">
        <f t="shared" si="21"/>
        <v>6.4902783915157499E-3</v>
      </c>
      <c r="E691" s="156">
        <v>1.494546923387639E-2</v>
      </c>
      <c r="F691" s="124">
        <v>685</v>
      </c>
      <c r="G691" s="238">
        <f t="shared" ca="1" si="22"/>
        <v>-2.4665764545017614E-2</v>
      </c>
      <c r="I691" s="156"/>
    </row>
    <row r="692" spans="2:9" x14ac:dyDescent="0.2">
      <c r="B692" s="230">
        <v>44979</v>
      </c>
      <c r="C692" s="124">
        <v>360.9</v>
      </c>
      <c r="D692" s="156">
        <f t="shared" si="21"/>
        <v>-9.6863595203469238E-3</v>
      </c>
      <c r="E692" s="156">
        <v>1.492537313432828E-2</v>
      </c>
      <c r="F692" s="124">
        <v>686</v>
      </c>
      <c r="G692" s="238">
        <f t="shared" ca="1" si="22"/>
        <v>-7.6001915424697339E-4</v>
      </c>
      <c r="I692" s="156"/>
    </row>
    <row r="693" spans="2:9" x14ac:dyDescent="0.2">
      <c r="B693" s="230">
        <v>44978</v>
      </c>
      <c r="C693" s="124">
        <v>359.4</v>
      </c>
      <c r="D693" s="156">
        <f t="shared" si="21"/>
        <v>-4.1562759767248547E-3</v>
      </c>
      <c r="E693" s="156">
        <v>1.491891891891887E-2</v>
      </c>
      <c r="F693" s="124">
        <v>687</v>
      </c>
      <c r="G693" s="238">
        <f t="shared" ca="1" si="22"/>
        <v>-4.4247182626162545E-3</v>
      </c>
      <c r="I693" s="156"/>
    </row>
    <row r="694" spans="2:9" x14ac:dyDescent="0.2">
      <c r="B694" s="230">
        <v>44977</v>
      </c>
      <c r="C694" s="124">
        <v>361.09</v>
      </c>
      <c r="D694" s="156">
        <f t="shared" si="21"/>
        <v>4.7022815804117915E-3</v>
      </c>
      <c r="E694" s="156">
        <v>1.486876696978834E-2</v>
      </c>
      <c r="F694" s="124">
        <v>688</v>
      </c>
      <c r="G694" s="238">
        <f t="shared" ca="1" si="22"/>
        <v>-2.8582071129396293E-2</v>
      </c>
      <c r="I694" s="156"/>
    </row>
    <row r="695" spans="2:9" x14ac:dyDescent="0.2">
      <c r="B695" s="230">
        <v>44974</v>
      </c>
      <c r="C695" s="124">
        <v>360.48</v>
      </c>
      <c r="D695" s="156">
        <f t="shared" si="21"/>
        <v>-1.6893295300339441E-3</v>
      </c>
      <c r="E695" s="156">
        <v>1.4856289660321084E-2</v>
      </c>
      <c r="F695" s="124">
        <v>689</v>
      </c>
      <c r="G695" s="238">
        <f t="shared" ca="1" si="22"/>
        <v>-8.599301527026636E-3</v>
      </c>
      <c r="I695" s="156"/>
    </row>
    <row r="696" spans="2:9" x14ac:dyDescent="0.2">
      <c r="B696" s="230">
        <v>44973</v>
      </c>
      <c r="C696" s="124">
        <v>359.68</v>
      </c>
      <c r="D696" s="156">
        <f t="shared" si="21"/>
        <v>-2.2192632046160988E-3</v>
      </c>
      <c r="E696" s="156">
        <v>1.4842300556586172E-2</v>
      </c>
      <c r="F696" s="124">
        <v>690</v>
      </c>
      <c r="G696" s="238">
        <f t="shared" ca="1" si="22"/>
        <v>1.1276221077666649E-2</v>
      </c>
      <c r="I696" s="156"/>
    </row>
    <row r="697" spans="2:9" x14ac:dyDescent="0.2">
      <c r="B697" s="230">
        <v>44972</v>
      </c>
      <c r="C697" s="124">
        <v>359.35</v>
      </c>
      <c r="D697" s="156">
        <f t="shared" si="21"/>
        <v>-9.1748220640564969E-4</v>
      </c>
      <c r="E697" s="156">
        <v>1.4814149757586692E-2</v>
      </c>
      <c r="F697" s="124">
        <v>691</v>
      </c>
      <c r="G697" s="238">
        <f t="shared" ca="1" si="22"/>
        <v>-4.2156882345455327E-3</v>
      </c>
      <c r="I697" s="156"/>
    </row>
    <row r="698" spans="2:9" x14ac:dyDescent="0.2">
      <c r="B698" s="230">
        <v>44971</v>
      </c>
      <c r="C698" s="124">
        <v>363.35</v>
      </c>
      <c r="D698" s="156">
        <f t="shared" si="21"/>
        <v>1.1131209127591484E-2</v>
      </c>
      <c r="E698" s="156">
        <v>1.4808468975645674E-2</v>
      </c>
      <c r="F698" s="124">
        <v>692</v>
      </c>
      <c r="G698" s="238">
        <f t="shared" ca="1" si="22"/>
        <v>-1.8429555506381387E-3</v>
      </c>
      <c r="I698" s="156"/>
    </row>
    <row r="699" spans="2:9" x14ac:dyDescent="0.2">
      <c r="B699" s="230">
        <v>44970</v>
      </c>
      <c r="C699" s="124">
        <v>351.83</v>
      </c>
      <c r="D699" s="156">
        <f t="shared" si="21"/>
        <v>-3.1704967662033956E-2</v>
      </c>
      <c r="E699" s="156">
        <v>1.4802232467847527E-2</v>
      </c>
      <c r="F699" s="124">
        <v>693</v>
      </c>
      <c r="G699" s="238">
        <f t="shared" ca="1" si="22"/>
        <v>-3.7932611577958433E-3</v>
      </c>
      <c r="I699" s="156"/>
    </row>
    <row r="700" spans="2:9" x14ac:dyDescent="0.2">
      <c r="B700" s="230">
        <v>44967</v>
      </c>
      <c r="C700" s="124">
        <v>349.15</v>
      </c>
      <c r="D700" s="156">
        <f t="shared" si="21"/>
        <v>-7.6173151806270267E-3</v>
      </c>
      <c r="E700" s="156">
        <v>1.4800088358736445E-2</v>
      </c>
      <c r="F700" s="124">
        <v>694</v>
      </c>
      <c r="G700" s="238">
        <f t="shared" ca="1" si="22"/>
        <v>1.600181418864443E-2</v>
      </c>
      <c r="I700" s="156"/>
    </row>
    <row r="701" spans="2:9" x14ac:dyDescent="0.2">
      <c r="B701" s="230">
        <v>44966</v>
      </c>
      <c r="C701" s="124">
        <v>351.88</v>
      </c>
      <c r="D701" s="156">
        <f t="shared" si="21"/>
        <v>7.8189889732207321E-3</v>
      </c>
      <c r="E701" s="156">
        <v>1.4796067361043472E-2</v>
      </c>
      <c r="F701" s="124">
        <v>695</v>
      </c>
      <c r="G701" s="238">
        <f t="shared" ca="1" si="22"/>
        <v>-1.4666486609888629E-2</v>
      </c>
      <c r="I701" s="156"/>
    </row>
    <row r="702" spans="2:9" x14ac:dyDescent="0.2">
      <c r="B702" s="230">
        <v>44965</v>
      </c>
      <c r="C702" s="124">
        <v>353.1</v>
      </c>
      <c r="D702" s="156">
        <f t="shared" ref="D702:D765" si="23">(C702-C701)/C701</f>
        <v>3.4670910537684075E-3</v>
      </c>
      <c r="E702" s="156">
        <v>1.4793507294020935E-2</v>
      </c>
      <c r="F702" s="124">
        <v>696</v>
      </c>
      <c r="G702" s="238">
        <f t="shared" ca="1" si="22"/>
        <v>-3.2249395404787884E-2</v>
      </c>
      <c r="I702" s="156"/>
    </row>
    <row r="703" spans="2:9" x14ac:dyDescent="0.2">
      <c r="B703" s="230">
        <v>44964</v>
      </c>
      <c r="C703" s="124">
        <v>350.94</v>
      </c>
      <c r="D703" s="156">
        <f t="shared" si="23"/>
        <v>-6.117247238742636E-3</v>
      </c>
      <c r="E703" s="156">
        <v>1.4750378214826151E-2</v>
      </c>
      <c r="F703" s="124">
        <v>697</v>
      </c>
      <c r="G703" s="238">
        <f t="shared" ca="1" si="22"/>
        <v>-1.896357603354254E-2</v>
      </c>
      <c r="I703" s="156"/>
    </row>
    <row r="704" spans="2:9" x14ac:dyDescent="0.2">
      <c r="B704" s="230">
        <v>44963</v>
      </c>
      <c r="C704" s="124">
        <v>360.48</v>
      </c>
      <c r="D704" s="156">
        <f t="shared" si="23"/>
        <v>2.7184134040006896E-2</v>
      </c>
      <c r="E704" s="156">
        <v>1.4748690083446496E-2</v>
      </c>
      <c r="F704" s="124">
        <v>698</v>
      </c>
      <c r="G704" s="238">
        <f t="shared" ca="1" si="22"/>
        <v>1.0828467724646712E-2</v>
      </c>
      <c r="I704" s="156"/>
    </row>
    <row r="705" spans="2:9" x14ac:dyDescent="0.2">
      <c r="B705" s="230">
        <v>44960</v>
      </c>
      <c r="C705" s="124">
        <v>357.89</v>
      </c>
      <c r="D705" s="156">
        <f t="shared" si="23"/>
        <v>-7.1848646249446065E-3</v>
      </c>
      <c r="E705" s="156">
        <v>1.472803347280339E-2</v>
      </c>
      <c r="F705" s="124">
        <v>699</v>
      </c>
      <c r="G705" s="238">
        <f t="shared" ca="1" si="22"/>
        <v>-9.0528087261785E-3</v>
      </c>
      <c r="I705" s="156"/>
    </row>
    <row r="706" spans="2:9" x14ac:dyDescent="0.2">
      <c r="B706" s="230">
        <v>44959</v>
      </c>
      <c r="C706" s="124">
        <v>355.97</v>
      </c>
      <c r="D706" s="156">
        <f t="shared" si="23"/>
        <v>-5.3647768867527987E-3</v>
      </c>
      <c r="E706" s="156">
        <v>1.4673834083975086E-2</v>
      </c>
      <c r="F706" s="124">
        <v>700</v>
      </c>
      <c r="G706" s="238">
        <f t="shared" ca="1" si="22"/>
        <v>2.5184795944041927E-2</v>
      </c>
      <c r="I706" s="156"/>
    </row>
    <row r="707" spans="2:9" x14ac:dyDescent="0.2">
      <c r="B707" s="230">
        <v>44958</v>
      </c>
      <c r="C707" s="124">
        <v>339.8</v>
      </c>
      <c r="D707" s="156">
        <f t="shared" si="23"/>
        <v>-4.5425176278899949E-2</v>
      </c>
      <c r="E707" s="156">
        <v>1.4668133480014747E-2</v>
      </c>
      <c r="F707" s="124">
        <v>701</v>
      </c>
      <c r="G707" s="238">
        <f t="shared" ca="1" si="22"/>
        <v>3.4055835578225774E-3</v>
      </c>
      <c r="I707" s="156"/>
    </row>
    <row r="708" spans="2:9" x14ac:dyDescent="0.2">
      <c r="B708" s="230">
        <v>44957</v>
      </c>
      <c r="C708" s="124">
        <v>331.29</v>
      </c>
      <c r="D708" s="156">
        <f t="shared" si="23"/>
        <v>-2.5044143613890495E-2</v>
      </c>
      <c r="E708" s="156">
        <v>1.4667106130520774E-2</v>
      </c>
      <c r="F708" s="124">
        <v>702</v>
      </c>
      <c r="G708" s="238">
        <f t="shared" ca="1" si="22"/>
        <v>5.0487894937605677E-4</v>
      </c>
      <c r="I708" s="156"/>
    </row>
    <row r="709" spans="2:9" x14ac:dyDescent="0.2">
      <c r="B709" s="230">
        <v>44956</v>
      </c>
      <c r="C709" s="124">
        <v>324.19</v>
      </c>
      <c r="D709" s="156">
        <f t="shared" si="23"/>
        <v>-2.1431374324609925E-2</v>
      </c>
      <c r="E709" s="156">
        <v>1.4661391668606031E-2</v>
      </c>
      <c r="F709" s="124">
        <v>703</v>
      </c>
      <c r="G709" s="238">
        <f t="shared" ca="1" si="22"/>
        <v>-3.0064344810466437E-2</v>
      </c>
      <c r="I709" s="156"/>
    </row>
    <row r="710" spans="2:9" x14ac:dyDescent="0.2">
      <c r="B710" s="230">
        <v>44953</v>
      </c>
      <c r="C710" s="124">
        <v>325.32</v>
      </c>
      <c r="D710" s="156">
        <f t="shared" si="23"/>
        <v>3.4856102902618693E-3</v>
      </c>
      <c r="E710" s="156">
        <v>1.4619883040935672E-2</v>
      </c>
      <c r="F710" s="124">
        <v>704</v>
      </c>
      <c r="G710" s="238">
        <f t="shared" ca="1" si="22"/>
        <v>-9.4691264981763921E-3</v>
      </c>
      <c r="I710" s="156"/>
    </row>
    <row r="711" spans="2:9" x14ac:dyDescent="0.2">
      <c r="B711" s="230">
        <v>44951</v>
      </c>
      <c r="C711" s="124">
        <v>318.97000000000003</v>
      </c>
      <c r="D711" s="156">
        <f t="shared" si="23"/>
        <v>-1.9519242591909399E-2</v>
      </c>
      <c r="E711" s="156">
        <v>1.4613025437488767E-2</v>
      </c>
      <c r="F711" s="124">
        <v>705</v>
      </c>
      <c r="G711" s="238">
        <f t="shared" ref="G711:G774" ca="1" si="24">_xlfn.NORM.INV(RAND(),$L$8,$L$9)</f>
        <v>2.5864138238088203E-3</v>
      </c>
      <c r="I711" s="156"/>
    </row>
    <row r="712" spans="2:9" x14ac:dyDescent="0.2">
      <c r="B712" s="230">
        <v>44950</v>
      </c>
      <c r="C712" s="124">
        <v>318.69</v>
      </c>
      <c r="D712" s="156">
        <f t="shared" si="23"/>
        <v>-8.7782550083089178E-4</v>
      </c>
      <c r="E712" s="156">
        <v>1.4600477833820017E-2</v>
      </c>
      <c r="F712" s="124">
        <v>706</v>
      </c>
      <c r="G712" s="238">
        <f t="shared" ca="1" si="24"/>
        <v>-1.3292293728270763E-2</v>
      </c>
      <c r="I712" s="156"/>
    </row>
    <row r="713" spans="2:9" x14ac:dyDescent="0.2">
      <c r="B713" s="230">
        <v>44949</v>
      </c>
      <c r="C713" s="124">
        <v>317.56</v>
      </c>
      <c r="D713" s="156">
        <f t="shared" si="23"/>
        <v>-3.5457654774231871E-3</v>
      </c>
      <c r="E713" s="156">
        <v>1.4597097521034547E-2</v>
      </c>
      <c r="F713" s="124">
        <v>707</v>
      </c>
      <c r="G713" s="238">
        <f t="shared" ca="1" si="24"/>
        <v>-3.1364984415240972E-2</v>
      </c>
      <c r="I713" s="156"/>
    </row>
    <row r="714" spans="2:9" x14ac:dyDescent="0.2">
      <c r="B714" s="230">
        <v>44946</v>
      </c>
      <c r="C714" s="124">
        <v>314.60000000000002</v>
      </c>
      <c r="D714" s="156">
        <f t="shared" si="23"/>
        <v>-9.3210731830204677E-3</v>
      </c>
      <c r="E714" s="156">
        <v>1.4514328247115764E-2</v>
      </c>
      <c r="F714" s="124">
        <v>708</v>
      </c>
      <c r="G714" s="238">
        <f t="shared" ca="1" si="24"/>
        <v>-1.8508875511024633E-2</v>
      </c>
      <c r="I714" s="156"/>
    </row>
    <row r="715" spans="2:9" x14ac:dyDescent="0.2">
      <c r="B715" s="230">
        <v>44945</v>
      </c>
      <c r="C715" s="124">
        <v>312.29000000000002</v>
      </c>
      <c r="D715" s="156">
        <f t="shared" si="23"/>
        <v>-7.3426573426573494E-3</v>
      </c>
      <c r="E715" s="156">
        <v>1.4502336242616556E-2</v>
      </c>
      <c r="F715" s="124">
        <v>709</v>
      </c>
      <c r="G715" s="238">
        <f t="shared" ca="1" si="24"/>
        <v>1.8321723534670046E-2</v>
      </c>
      <c r="I715" s="156"/>
    </row>
    <row r="716" spans="2:9" x14ac:dyDescent="0.2">
      <c r="B716" s="230">
        <v>44944</v>
      </c>
      <c r="C716" s="124">
        <v>314.64</v>
      </c>
      <c r="D716" s="156">
        <f t="shared" si="23"/>
        <v>7.5250568381951578E-3</v>
      </c>
      <c r="E716" s="156">
        <v>1.448732651485009E-2</v>
      </c>
      <c r="F716" s="124">
        <v>710</v>
      </c>
      <c r="G716" s="238">
        <f t="shared" ca="1" si="24"/>
        <v>-2.620511830563485E-3</v>
      </c>
      <c r="I716" s="156"/>
    </row>
    <row r="717" spans="2:9" x14ac:dyDescent="0.2">
      <c r="B717" s="230">
        <v>44943</v>
      </c>
      <c r="C717" s="124">
        <v>312.39</v>
      </c>
      <c r="D717" s="156">
        <f t="shared" si="23"/>
        <v>-7.1510297482837533E-3</v>
      </c>
      <c r="E717" s="156">
        <v>1.4475271411338898E-2</v>
      </c>
      <c r="F717" s="124">
        <v>711</v>
      </c>
      <c r="G717" s="238">
        <f t="shared" ca="1" si="24"/>
        <v>2.3172639445892967E-2</v>
      </c>
      <c r="I717" s="156"/>
    </row>
    <row r="718" spans="2:9" x14ac:dyDescent="0.2">
      <c r="B718" s="230">
        <v>44942</v>
      </c>
      <c r="C718" s="124">
        <v>310.45999999999998</v>
      </c>
      <c r="D718" s="156">
        <f t="shared" si="23"/>
        <v>-6.1781747175005822E-3</v>
      </c>
      <c r="E718" s="156">
        <v>1.4468442021388203E-2</v>
      </c>
      <c r="F718" s="124">
        <v>712</v>
      </c>
      <c r="G718" s="238">
        <f t="shared" ca="1" si="24"/>
        <v>-4.7124777259081397E-3</v>
      </c>
      <c r="I718" s="156"/>
    </row>
    <row r="719" spans="2:9" x14ac:dyDescent="0.2">
      <c r="B719" s="230">
        <v>44939</v>
      </c>
      <c r="C719" s="124">
        <v>309.10000000000002</v>
      </c>
      <c r="D719" s="156">
        <f t="shared" si="23"/>
        <v>-4.3805965341749565E-3</v>
      </c>
      <c r="E719" s="156">
        <v>1.4461931093151874E-2</v>
      </c>
      <c r="F719" s="124">
        <v>713</v>
      </c>
      <c r="G719" s="238">
        <f t="shared" ca="1" si="24"/>
        <v>2.0617841584523113E-3</v>
      </c>
      <c r="I719" s="156"/>
    </row>
    <row r="720" spans="2:9" x14ac:dyDescent="0.2">
      <c r="B720" s="230">
        <v>44938</v>
      </c>
      <c r="C720" s="124">
        <v>310.13</v>
      </c>
      <c r="D720" s="156">
        <f t="shared" si="23"/>
        <v>3.3322549336783328E-3</v>
      </c>
      <c r="E720" s="156">
        <v>1.4409221902017291E-2</v>
      </c>
      <c r="F720" s="124">
        <v>714</v>
      </c>
      <c r="G720" s="238">
        <f t="shared" ca="1" si="24"/>
        <v>-4.9570306975054339E-3</v>
      </c>
      <c r="I720" s="156"/>
    </row>
    <row r="721" spans="2:9" x14ac:dyDescent="0.2">
      <c r="B721" s="230">
        <v>44937</v>
      </c>
      <c r="C721" s="124">
        <v>311.95999999999998</v>
      </c>
      <c r="D721" s="156">
        <f t="shared" si="23"/>
        <v>5.9007512978427887E-3</v>
      </c>
      <c r="E721" s="156">
        <v>1.4402560455191948E-2</v>
      </c>
      <c r="F721" s="124">
        <v>715</v>
      </c>
      <c r="G721" s="238">
        <f t="shared" ca="1" si="24"/>
        <v>1.5102660018904557E-2</v>
      </c>
      <c r="I721" s="156"/>
    </row>
    <row r="722" spans="2:9" x14ac:dyDescent="0.2">
      <c r="B722" s="230">
        <v>44936</v>
      </c>
      <c r="C722" s="124">
        <v>313.47000000000003</v>
      </c>
      <c r="D722" s="156">
        <f t="shared" si="23"/>
        <v>4.8403641492500574E-3</v>
      </c>
      <c r="E722" s="156">
        <v>1.4400643604183477E-2</v>
      </c>
      <c r="F722" s="124">
        <v>716</v>
      </c>
      <c r="G722" s="238">
        <f t="shared" ca="1" si="24"/>
        <v>6.9342466743121519E-3</v>
      </c>
      <c r="I722" s="156"/>
    </row>
    <row r="723" spans="2:9" x14ac:dyDescent="0.2">
      <c r="B723" s="230">
        <v>44935</v>
      </c>
      <c r="C723" s="124">
        <v>317.83999999999997</v>
      </c>
      <c r="D723" s="156">
        <f t="shared" si="23"/>
        <v>1.3940727980348828E-2</v>
      </c>
      <c r="E723" s="156">
        <v>1.4392324093816673E-2</v>
      </c>
      <c r="F723" s="124">
        <v>717</v>
      </c>
      <c r="G723" s="238">
        <f t="shared" ca="1" si="24"/>
        <v>1.9268280314720915E-2</v>
      </c>
      <c r="I723" s="156"/>
    </row>
    <row r="724" spans="2:9" x14ac:dyDescent="0.2">
      <c r="B724" s="230">
        <v>44932</v>
      </c>
      <c r="C724" s="124">
        <v>315.02</v>
      </c>
      <c r="D724" s="156">
        <f t="shared" si="23"/>
        <v>-8.8723886232066236E-3</v>
      </c>
      <c r="E724" s="156">
        <v>1.4386136995259039E-2</v>
      </c>
      <c r="F724" s="124">
        <v>718</v>
      </c>
      <c r="G724" s="238">
        <f t="shared" ca="1" si="24"/>
        <v>4.811112425529375E-3</v>
      </c>
      <c r="I724" s="156"/>
    </row>
    <row r="725" spans="2:9" x14ac:dyDescent="0.2">
      <c r="B725" s="230">
        <v>44931</v>
      </c>
      <c r="C725" s="124">
        <v>313.52</v>
      </c>
      <c r="D725" s="156">
        <f t="shared" si="23"/>
        <v>-4.7616024379404489E-3</v>
      </c>
      <c r="E725" s="156">
        <v>1.4384236453201908E-2</v>
      </c>
      <c r="F725" s="124">
        <v>719</v>
      </c>
      <c r="G725" s="238">
        <f t="shared" ca="1" si="24"/>
        <v>7.240313816496066E-3</v>
      </c>
      <c r="I725" s="156"/>
    </row>
    <row r="726" spans="2:9" x14ac:dyDescent="0.2">
      <c r="B726" s="230">
        <v>44930</v>
      </c>
      <c r="C726" s="124">
        <v>307.45</v>
      </c>
      <c r="D726" s="156">
        <f t="shared" si="23"/>
        <v>-1.9360806328144915E-2</v>
      </c>
      <c r="E726" s="156">
        <v>1.4380124831722083E-2</v>
      </c>
      <c r="F726" s="124">
        <v>720</v>
      </c>
      <c r="G726" s="238">
        <f t="shared" ca="1" si="24"/>
        <v>-1.1099365458932564E-2</v>
      </c>
      <c r="I726" s="156"/>
    </row>
    <row r="727" spans="2:9" x14ac:dyDescent="0.2">
      <c r="B727" s="230">
        <v>44929</v>
      </c>
      <c r="C727" s="124">
        <v>311.31</v>
      </c>
      <c r="D727" s="156">
        <f t="shared" si="23"/>
        <v>1.2554886973491669E-2</v>
      </c>
      <c r="E727" s="156">
        <v>1.4345583494519674E-2</v>
      </c>
      <c r="F727" s="124">
        <v>721</v>
      </c>
      <c r="G727" s="238">
        <f t="shared" ca="1" si="24"/>
        <v>8.4828392951267345E-3</v>
      </c>
      <c r="I727" s="156"/>
    </row>
    <row r="728" spans="2:9" x14ac:dyDescent="0.2">
      <c r="B728" s="230">
        <v>44928</v>
      </c>
      <c r="C728" s="124">
        <v>312.95</v>
      </c>
      <c r="D728" s="156">
        <f t="shared" si="23"/>
        <v>5.2680607754328045E-3</v>
      </c>
      <c r="E728" s="156">
        <v>1.4311449159327388E-2</v>
      </c>
      <c r="F728" s="124">
        <v>722</v>
      </c>
      <c r="G728" s="238">
        <f t="shared" ca="1" si="24"/>
        <v>-8.5831934985857918E-3</v>
      </c>
      <c r="I728" s="156"/>
    </row>
    <row r="729" spans="2:9" x14ac:dyDescent="0.2">
      <c r="B729" s="230">
        <v>44925</v>
      </c>
      <c r="C729" s="124">
        <v>311.73</v>
      </c>
      <c r="D729" s="156">
        <f t="shared" si="23"/>
        <v>-3.8983863236937864E-3</v>
      </c>
      <c r="E729" s="156">
        <v>1.430951680878167E-2</v>
      </c>
      <c r="F729" s="124">
        <v>723</v>
      </c>
      <c r="G729" s="238">
        <f t="shared" ca="1" si="24"/>
        <v>5.7249024365162082E-3</v>
      </c>
      <c r="I729" s="156"/>
    </row>
    <row r="730" spans="2:9" x14ac:dyDescent="0.2">
      <c r="B730" s="230">
        <v>44924</v>
      </c>
      <c r="C730" s="124">
        <v>315.3</v>
      </c>
      <c r="D730" s="156">
        <f t="shared" si="23"/>
        <v>1.1452218265806925E-2</v>
      </c>
      <c r="E730" s="156">
        <v>1.4281864726488848E-2</v>
      </c>
      <c r="F730" s="124">
        <v>724</v>
      </c>
      <c r="G730" s="238">
        <f t="shared" ca="1" si="24"/>
        <v>5.2178612527815872E-3</v>
      </c>
      <c r="I730" s="156"/>
    </row>
    <row r="731" spans="2:9" x14ac:dyDescent="0.2">
      <c r="B731" s="230">
        <v>44923</v>
      </c>
      <c r="C731" s="124">
        <v>314.41000000000003</v>
      </c>
      <c r="D731" s="156">
        <f t="shared" si="23"/>
        <v>-2.8227085315572038E-3</v>
      </c>
      <c r="E731" s="156">
        <v>1.4259597806215638E-2</v>
      </c>
      <c r="F731" s="124">
        <v>725</v>
      </c>
      <c r="G731" s="238">
        <f t="shared" ca="1" si="24"/>
        <v>-1.1252404766808749E-2</v>
      </c>
      <c r="I731" s="156"/>
    </row>
    <row r="732" spans="2:9" x14ac:dyDescent="0.2">
      <c r="B732" s="230">
        <v>44922</v>
      </c>
      <c r="C732" s="124">
        <v>313.23</v>
      </c>
      <c r="D732" s="156">
        <f t="shared" si="23"/>
        <v>-3.7530612893992136E-3</v>
      </c>
      <c r="E732" s="156">
        <v>1.4253526645768009E-2</v>
      </c>
      <c r="F732" s="124">
        <v>726</v>
      </c>
      <c r="G732" s="238">
        <f t="shared" ca="1" si="24"/>
        <v>6.7663904363375708E-3</v>
      </c>
      <c r="I732" s="156"/>
    </row>
    <row r="733" spans="2:9" x14ac:dyDescent="0.2">
      <c r="B733" s="230">
        <v>44921</v>
      </c>
      <c r="C733" s="124">
        <v>314.60000000000002</v>
      </c>
      <c r="D733" s="156">
        <f t="shared" si="23"/>
        <v>4.3737828432781163E-3</v>
      </c>
      <c r="E733" s="156">
        <v>1.423825344091125E-2</v>
      </c>
      <c r="F733" s="124">
        <v>727</v>
      </c>
      <c r="G733" s="238">
        <f t="shared" ca="1" si="24"/>
        <v>-1.7168172756317192E-2</v>
      </c>
      <c r="I733" s="156"/>
    </row>
    <row r="734" spans="2:9" x14ac:dyDescent="0.2">
      <c r="B734" s="230">
        <v>44918</v>
      </c>
      <c r="C734" s="124">
        <v>307.17</v>
      </c>
      <c r="D734" s="156">
        <f t="shared" si="23"/>
        <v>-2.3617291799110002E-2</v>
      </c>
      <c r="E734" s="156">
        <v>1.4222658165767491E-2</v>
      </c>
      <c r="F734" s="124">
        <v>728</v>
      </c>
      <c r="G734" s="238">
        <f t="shared" ca="1" si="24"/>
        <v>-1.4719406983481396E-2</v>
      </c>
      <c r="I734" s="156"/>
    </row>
    <row r="735" spans="2:9" x14ac:dyDescent="0.2">
      <c r="B735" s="230">
        <v>44917</v>
      </c>
      <c r="C735" s="124">
        <v>312.58</v>
      </c>
      <c r="D735" s="156">
        <f t="shared" si="23"/>
        <v>1.7612397043982056E-2</v>
      </c>
      <c r="E735" s="156">
        <v>1.4214801444043218E-2</v>
      </c>
      <c r="F735" s="124">
        <v>729</v>
      </c>
      <c r="G735" s="238">
        <f t="shared" ca="1" si="24"/>
        <v>1.9739894480445386E-2</v>
      </c>
      <c r="I735" s="156"/>
    </row>
    <row r="736" spans="2:9" x14ac:dyDescent="0.2">
      <c r="B736" s="230">
        <v>44916</v>
      </c>
      <c r="C736" s="124">
        <v>315.11</v>
      </c>
      <c r="D736" s="156">
        <f t="shared" si="23"/>
        <v>8.0939279544437574E-3</v>
      </c>
      <c r="E736" s="156">
        <v>1.4211886304909641E-2</v>
      </c>
      <c r="F736" s="124">
        <v>730</v>
      </c>
      <c r="G736" s="238">
        <f t="shared" ca="1" si="24"/>
        <v>-1.0943977497906017E-2</v>
      </c>
      <c r="I736" s="156"/>
    </row>
    <row r="737" spans="2:9" x14ac:dyDescent="0.2">
      <c r="B737" s="230">
        <v>44915</v>
      </c>
      <c r="C737" s="124">
        <v>319.82</v>
      </c>
      <c r="D737" s="156">
        <f t="shared" si="23"/>
        <v>1.4947161308749259E-2</v>
      </c>
      <c r="E737" s="156">
        <v>1.4211095948426004E-2</v>
      </c>
      <c r="F737" s="124">
        <v>731</v>
      </c>
      <c r="G737" s="238">
        <f t="shared" ca="1" si="24"/>
        <v>3.0279290230487334E-2</v>
      </c>
      <c r="I737" s="156"/>
    </row>
    <row r="738" spans="2:9" x14ac:dyDescent="0.2">
      <c r="B738" s="230">
        <v>44914</v>
      </c>
      <c r="C738" s="124">
        <v>320.14</v>
      </c>
      <c r="D738" s="156">
        <f t="shared" si="23"/>
        <v>1.0005628165843073E-3</v>
      </c>
      <c r="E738" s="156">
        <v>1.4202600958247869E-2</v>
      </c>
      <c r="F738" s="124">
        <v>732</v>
      </c>
      <c r="G738" s="238">
        <f t="shared" ca="1" si="24"/>
        <v>3.2843233035055507E-2</v>
      </c>
      <c r="I738" s="156"/>
    </row>
    <row r="739" spans="2:9" x14ac:dyDescent="0.2">
      <c r="B739" s="230">
        <v>44911</v>
      </c>
      <c r="C739" s="124">
        <v>333.05</v>
      </c>
      <c r="D739" s="156">
        <f t="shared" si="23"/>
        <v>4.0326107328044064E-2</v>
      </c>
      <c r="E739" s="156">
        <v>1.419499439671271E-2</v>
      </c>
      <c r="F739" s="124">
        <v>733</v>
      </c>
      <c r="G739" s="238">
        <f t="shared" ca="1" si="24"/>
        <v>-1.3602948873882807E-2</v>
      </c>
      <c r="I739" s="156"/>
    </row>
    <row r="740" spans="2:9" x14ac:dyDescent="0.2">
      <c r="B740" s="230">
        <v>44910</v>
      </c>
      <c r="C740" s="124">
        <v>336.77</v>
      </c>
      <c r="D740" s="156">
        <f t="shared" si="23"/>
        <v>1.1169494069959377E-2</v>
      </c>
      <c r="E740" s="156">
        <v>1.4164305949008499E-2</v>
      </c>
      <c r="F740" s="124">
        <v>734</v>
      </c>
      <c r="G740" s="238">
        <f t="shared" ca="1" si="24"/>
        <v>2.9062664746704596E-2</v>
      </c>
      <c r="I740" s="156"/>
    </row>
    <row r="741" spans="2:9" x14ac:dyDescent="0.2">
      <c r="B741" s="230">
        <v>44909</v>
      </c>
      <c r="C741" s="124">
        <v>343.29</v>
      </c>
      <c r="D741" s="156">
        <f t="shared" si="23"/>
        <v>1.9360394334412327E-2</v>
      </c>
      <c r="E741" s="156">
        <v>1.4160485502360107E-2</v>
      </c>
      <c r="F741" s="124">
        <v>735</v>
      </c>
      <c r="G741" s="238">
        <f t="shared" ca="1" si="24"/>
        <v>1.3484361342613852E-2</v>
      </c>
      <c r="I741" s="156"/>
    </row>
    <row r="742" spans="2:9" x14ac:dyDescent="0.2">
      <c r="B742" s="230">
        <v>44908</v>
      </c>
      <c r="C742" s="124">
        <v>343.48</v>
      </c>
      <c r="D742" s="156">
        <f t="shared" si="23"/>
        <v>5.5346791342595974E-4</v>
      </c>
      <c r="E742" s="156">
        <v>1.4160156249999889E-2</v>
      </c>
      <c r="F742" s="124">
        <v>736</v>
      </c>
      <c r="G742" s="238">
        <f t="shared" ca="1" si="24"/>
        <v>1.3594176251780273E-3</v>
      </c>
      <c r="I742" s="156"/>
    </row>
    <row r="743" spans="2:9" x14ac:dyDescent="0.2">
      <c r="B743" s="230">
        <v>44907</v>
      </c>
      <c r="C743" s="124">
        <v>341.1</v>
      </c>
      <c r="D743" s="156">
        <f t="shared" si="23"/>
        <v>-6.9290788401071253E-3</v>
      </c>
      <c r="E743" s="156">
        <v>1.4127468293466157E-2</v>
      </c>
      <c r="F743" s="124">
        <v>737</v>
      </c>
      <c r="G743" s="238">
        <f t="shared" ca="1" si="24"/>
        <v>-1.3316140662498433E-2</v>
      </c>
      <c r="I743" s="156"/>
    </row>
    <row r="744" spans="2:9" x14ac:dyDescent="0.2">
      <c r="B744" s="230">
        <v>44904</v>
      </c>
      <c r="C744" s="124">
        <v>339.31</v>
      </c>
      <c r="D744" s="156">
        <f t="shared" si="23"/>
        <v>-5.2477279390208747E-3</v>
      </c>
      <c r="E744" s="156">
        <v>1.412066752246474E-2</v>
      </c>
      <c r="F744" s="124">
        <v>738</v>
      </c>
      <c r="G744" s="238">
        <f t="shared" ca="1" si="24"/>
        <v>-1.0936683202905117E-3</v>
      </c>
      <c r="I744" s="156"/>
    </row>
    <row r="745" spans="2:9" x14ac:dyDescent="0.2">
      <c r="B745" s="230">
        <v>44903</v>
      </c>
      <c r="C745" s="124">
        <v>336.33</v>
      </c>
      <c r="D745" s="156">
        <f t="shared" si="23"/>
        <v>-8.7825292505379106E-3</v>
      </c>
      <c r="E745" s="156">
        <v>1.4116575591985533E-2</v>
      </c>
      <c r="F745" s="124">
        <v>739</v>
      </c>
      <c r="G745" s="238">
        <f t="shared" ca="1" si="24"/>
        <v>1.1415507550153827E-2</v>
      </c>
      <c r="I745" s="156"/>
    </row>
    <row r="746" spans="2:9" x14ac:dyDescent="0.2">
      <c r="B746" s="230">
        <v>44902</v>
      </c>
      <c r="C746" s="124">
        <v>338.02</v>
      </c>
      <c r="D746" s="156">
        <f t="shared" si="23"/>
        <v>5.024826807005018E-3</v>
      </c>
      <c r="E746" s="156">
        <v>1.4096488030137277E-2</v>
      </c>
      <c r="F746" s="124">
        <v>740</v>
      </c>
      <c r="G746" s="238">
        <f t="shared" ca="1" si="24"/>
        <v>-1.9547683634207336E-3</v>
      </c>
      <c r="I746" s="156"/>
    </row>
    <row r="747" spans="2:9" x14ac:dyDescent="0.2">
      <c r="B747" s="230">
        <v>44901</v>
      </c>
      <c r="C747" s="124">
        <v>335.23</v>
      </c>
      <c r="D747" s="156">
        <f t="shared" si="23"/>
        <v>-8.2539494704454291E-3</v>
      </c>
      <c r="E747" s="156">
        <v>1.4087832520069196E-2</v>
      </c>
      <c r="F747" s="124">
        <v>741</v>
      </c>
      <c r="G747" s="238">
        <f t="shared" ca="1" si="24"/>
        <v>1.6669436152746814E-2</v>
      </c>
      <c r="I747" s="156"/>
    </row>
    <row r="748" spans="2:9" x14ac:dyDescent="0.2">
      <c r="B748" s="230">
        <v>44900</v>
      </c>
      <c r="C748" s="124">
        <v>334.69</v>
      </c>
      <c r="D748" s="156">
        <f t="shared" si="23"/>
        <v>-1.6108343525341421E-3</v>
      </c>
      <c r="E748" s="156">
        <v>1.4079129480265301E-2</v>
      </c>
      <c r="F748" s="124">
        <v>742</v>
      </c>
      <c r="G748" s="238">
        <f t="shared" ca="1" si="24"/>
        <v>4.0034293228202412E-3</v>
      </c>
      <c r="I748" s="156"/>
    </row>
    <row r="749" spans="2:9" x14ac:dyDescent="0.2">
      <c r="B749" s="230">
        <v>44897</v>
      </c>
      <c r="C749" s="124">
        <v>335.09</v>
      </c>
      <c r="D749" s="156">
        <f t="shared" si="23"/>
        <v>1.1951357973049009E-3</v>
      </c>
      <c r="E749" s="156">
        <v>1.4074323998650348E-2</v>
      </c>
      <c r="F749" s="124">
        <v>743</v>
      </c>
      <c r="G749" s="238">
        <f t="shared" ca="1" si="24"/>
        <v>-1.0351306829363837E-2</v>
      </c>
      <c r="I749" s="156"/>
    </row>
    <row r="750" spans="2:9" x14ac:dyDescent="0.2">
      <c r="B750" s="230">
        <v>44896</v>
      </c>
      <c r="C750" s="124">
        <v>337.47</v>
      </c>
      <c r="D750" s="156">
        <f t="shared" si="23"/>
        <v>7.1025694589514831E-3</v>
      </c>
      <c r="E750" s="156">
        <v>1.4059228238109449E-2</v>
      </c>
      <c r="F750" s="124">
        <v>744</v>
      </c>
      <c r="G750" s="238">
        <f t="shared" ca="1" si="24"/>
        <v>-5.298253524510038E-3</v>
      </c>
      <c r="I750" s="156"/>
    </row>
    <row r="751" spans="2:9" x14ac:dyDescent="0.2">
      <c r="B751" s="230">
        <v>44895</v>
      </c>
      <c r="C751" s="124">
        <v>337.92</v>
      </c>
      <c r="D751" s="156">
        <f t="shared" si="23"/>
        <v>1.333451862387734E-3</v>
      </c>
      <c r="E751" s="156">
        <v>1.4023545706371231E-2</v>
      </c>
      <c r="F751" s="124">
        <v>745</v>
      </c>
      <c r="G751" s="238">
        <f t="shared" ca="1" si="24"/>
        <v>1.2535079990090311E-2</v>
      </c>
      <c r="I751" s="156"/>
    </row>
    <row r="752" spans="2:9" x14ac:dyDescent="0.2">
      <c r="B752" s="230">
        <v>44894</v>
      </c>
      <c r="C752" s="124">
        <v>340.2</v>
      </c>
      <c r="D752" s="156">
        <f t="shared" si="23"/>
        <v>6.7471590909090095E-3</v>
      </c>
      <c r="E752" s="156">
        <v>1.4004767580452885E-2</v>
      </c>
      <c r="F752" s="124">
        <v>746</v>
      </c>
      <c r="G752" s="238">
        <f t="shared" ca="1" si="24"/>
        <v>2.8516756009826002E-2</v>
      </c>
      <c r="I752" s="156"/>
    </row>
    <row r="753" spans="2:9" x14ac:dyDescent="0.2">
      <c r="B753" s="230">
        <v>44893</v>
      </c>
      <c r="C753" s="124">
        <v>337.97</v>
      </c>
      <c r="D753" s="156">
        <f t="shared" si="23"/>
        <v>-6.5549676660786637E-3</v>
      </c>
      <c r="E753" s="156">
        <v>1.4001473839351554E-2</v>
      </c>
      <c r="F753" s="124">
        <v>747</v>
      </c>
      <c r="G753" s="238">
        <f t="shared" ca="1" si="24"/>
        <v>-9.6460490100035139E-3</v>
      </c>
      <c r="I753" s="156"/>
    </row>
    <row r="754" spans="2:9" x14ac:dyDescent="0.2">
      <c r="B754" s="230">
        <v>44890</v>
      </c>
      <c r="C754" s="124">
        <v>338.22</v>
      </c>
      <c r="D754" s="156">
        <f t="shared" si="23"/>
        <v>7.3971062520342037E-4</v>
      </c>
      <c r="E754" s="156">
        <v>1.3965381589299809E-2</v>
      </c>
      <c r="F754" s="124">
        <v>748</v>
      </c>
      <c r="G754" s="238">
        <f t="shared" ca="1" si="24"/>
        <v>-1.0081235782753552E-2</v>
      </c>
      <c r="I754" s="156"/>
    </row>
    <row r="755" spans="2:9" x14ac:dyDescent="0.2">
      <c r="B755" s="230">
        <v>44889</v>
      </c>
      <c r="C755" s="124">
        <v>338.66</v>
      </c>
      <c r="D755" s="156">
        <f t="shared" si="23"/>
        <v>1.3009283898054453E-3</v>
      </c>
      <c r="E755" s="156">
        <v>1.3961162584084202E-2</v>
      </c>
      <c r="F755" s="124">
        <v>749</v>
      </c>
      <c r="G755" s="238">
        <f t="shared" ca="1" si="24"/>
        <v>8.5630039035715952E-4</v>
      </c>
      <c r="I755" s="156"/>
    </row>
    <row r="756" spans="2:9" x14ac:dyDescent="0.2">
      <c r="B756" s="230">
        <v>44888</v>
      </c>
      <c r="C756" s="124">
        <v>337.72</v>
      </c>
      <c r="D756" s="156">
        <f t="shared" si="23"/>
        <v>-2.7756451898659352E-3</v>
      </c>
      <c r="E756" s="156">
        <v>1.3955726660250131E-2</v>
      </c>
      <c r="F756" s="124">
        <v>750</v>
      </c>
      <c r="G756" s="238">
        <f t="shared" ca="1" si="24"/>
        <v>-6.3310455202934234E-3</v>
      </c>
      <c r="I756" s="156"/>
    </row>
    <row r="757" spans="2:9" x14ac:dyDescent="0.2">
      <c r="B757" s="230">
        <v>44887</v>
      </c>
      <c r="C757" s="124">
        <v>338.17</v>
      </c>
      <c r="D757" s="156">
        <f t="shared" si="23"/>
        <v>1.3324647637095481E-3</v>
      </c>
      <c r="E757" s="156">
        <v>1.3952240407834689E-2</v>
      </c>
      <c r="F757" s="124">
        <v>751</v>
      </c>
      <c r="G757" s="238">
        <f t="shared" ca="1" si="24"/>
        <v>2.4297151015088534E-2</v>
      </c>
      <c r="I757" s="156"/>
    </row>
    <row r="758" spans="2:9" x14ac:dyDescent="0.2">
      <c r="B758" s="230">
        <v>44886</v>
      </c>
      <c r="C758" s="124">
        <v>335.14</v>
      </c>
      <c r="D758" s="156">
        <f t="shared" si="23"/>
        <v>-8.9599905373038101E-3</v>
      </c>
      <c r="E758" s="156">
        <v>1.3940727980348828E-2</v>
      </c>
      <c r="F758" s="124">
        <v>752</v>
      </c>
      <c r="G758" s="238">
        <f t="shared" ca="1" si="24"/>
        <v>1.7128076137638826E-2</v>
      </c>
      <c r="I758" s="156"/>
    </row>
    <row r="759" spans="2:9" x14ac:dyDescent="0.2">
      <c r="B759" s="230">
        <v>44883</v>
      </c>
      <c r="C759" s="124">
        <v>338.96</v>
      </c>
      <c r="D759" s="156">
        <f t="shared" si="23"/>
        <v>1.1398221638718127E-2</v>
      </c>
      <c r="E759" s="156">
        <v>1.3913844736235807E-2</v>
      </c>
      <c r="F759" s="124">
        <v>753</v>
      </c>
      <c r="G759" s="238">
        <f t="shared" ca="1" si="24"/>
        <v>-5.9737990735067776E-4</v>
      </c>
      <c r="I759" s="156"/>
    </row>
    <row r="760" spans="2:9" x14ac:dyDescent="0.2">
      <c r="B760" s="230">
        <v>44882</v>
      </c>
      <c r="C760" s="124">
        <v>341.6</v>
      </c>
      <c r="D760" s="156">
        <f t="shared" si="23"/>
        <v>7.7885296200142888E-3</v>
      </c>
      <c r="E760" s="156">
        <v>1.3897743210506045E-2</v>
      </c>
      <c r="F760" s="124">
        <v>754</v>
      </c>
      <c r="G760" s="238">
        <f t="shared" ca="1" si="24"/>
        <v>2.1696923489614221E-2</v>
      </c>
      <c r="I760" s="156"/>
    </row>
    <row r="761" spans="2:9" x14ac:dyDescent="0.2">
      <c r="B761" s="230">
        <v>44881</v>
      </c>
      <c r="C761" s="124">
        <v>341.99</v>
      </c>
      <c r="D761" s="156">
        <f t="shared" si="23"/>
        <v>1.1416861826697492E-3</v>
      </c>
      <c r="E761" s="156">
        <v>1.3873330461008181E-2</v>
      </c>
      <c r="F761" s="124">
        <v>755</v>
      </c>
      <c r="G761" s="238">
        <f t="shared" ca="1" si="24"/>
        <v>6.3882886228314529E-3</v>
      </c>
      <c r="I761" s="156"/>
    </row>
    <row r="762" spans="2:9" x14ac:dyDescent="0.2">
      <c r="B762" s="230">
        <v>44880</v>
      </c>
      <c r="C762" s="124">
        <v>343.14</v>
      </c>
      <c r="D762" s="156">
        <f t="shared" si="23"/>
        <v>3.3626714231409609E-3</v>
      </c>
      <c r="E762" s="156">
        <v>1.3869511694706705E-2</v>
      </c>
      <c r="F762" s="124">
        <v>756</v>
      </c>
      <c r="G762" s="238">
        <f t="shared" ca="1" si="24"/>
        <v>-2.7766970032712373E-2</v>
      </c>
      <c r="I762" s="156"/>
    </row>
    <row r="763" spans="2:9" x14ac:dyDescent="0.2">
      <c r="B763" s="230">
        <v>44879</v>
      </c>
      <c r="C763" s="124">
        <v>345.07</v>
      </c>
      <c r="D763" s="156">
        <f t="shared" si="23"/>
        <v>5.6245264323599902E-3</v>
      </c>
      <c r="E763" s="156">
        <v>1.3854930725346279E-2</v>
      </c>
      <c r="F763" s="124">
        <v>757</v>
      </c>
      <c r="G763" s="238">
        <f t="shared" ca="1" si="24"/>
        <v>4.36680634329056E-3</v>
      </c>
      <c r="I763" s="156"/>
    </row>
    <row r="764" spans="2:9" x14ac:dyDescent="0.2">
      <c r="B764" s="230">
        <v>44876</v>
      </c>
      <c r="C764" s="124">
        <v>354.17</v>
      </c>
      <c r="D764" s="156">
        <f t="shared" si="23"/>
        <v>2.6371460863013368E-2</v>
      </c>
      <c r="E764" s="156">
        <v>1.3808018632507042E-2</v>
      </c>
      <c r="F764" s="124">
        <v>758</v>
      </c>
      <c r="G764" s="238">
        <f t="shared" ca="1" si="24"/>
        <v>2.4530645602996344E-2</v>
      </c>
      <c r="I764" s="156"/>
    </row>
    <row r="765" spans="2:9" x14ac:dyDescent="0.2">
      <c r="B765" s="230">
        <v>44875</v>
      </c>
      <c r="C765" s="124">
        <v>353.82</v>
      </c>
      <c r="D765" s="156">
        <f t="shared" si="23"/>
        <v>-9.8822599316718729E-4</v>
      </c>
      <c r="E765" s="156">
        <v>1.3798823706831428E-2</v>
      </c>
      <c r="F765" s="124">
        <v>759</v>
      </c>
      <c r="G765" s="238">
        <f t="shared" ca="1" si="24"/>
        <v>5.4141385757528328E-4</v>
      </c>
      <c r="I765" s="156"/>
    </row>
    <row r="766" spans="2:9" x14ac:dyDescent="0.2">
      <c r="B766" s="230">
        <v>44874</v>
      </c>
      <c r="C766" s="124">
        <v>358.49</v>
      </c>
      <c r="D766" s="156">
        <f t="shared" ref="D766:D829" si="25">(C766-C765)/C765</f>
        <v>1.3198801650556825E-2</v>
      </c>
      <c r="E766" s="156">
        <v>1.3783418287735388E-2</v>
      </c>
      <c r="F766" s="124">
        <v>760</v>
      </c>
      <c r="G766" s="238">
        <f t="shared" ca="1" si="24"/>
        <v>-2.4053147607344699E-2</v>
      </c>
      <c r="I766" s="156"/>
    </row>
    <row r="767" spans="2:9" x14ac:dyDescent="0.2">
      <c r="B767" s="230">
        <v>44872</v>
      </c>
      <c r="C767" s="124">
        <v>351.34</v>
      </c>
      <c r="D767" s="156">
        <f t="shared" si="25"/>
        <v>-1.9944768333844832E-2</v>
      </c>
      <c r="E767" s="156">
        <v>1.3779709608804301E-2</v>
      </c>
      <c r="F767" s="124">
        <v>761</v>
      </c>
      <c r="G767" s="238">
        <f t="shared" ca="1" si="24"/>
        <v>-7.4206646390205817E-3</v>
      </c>
      <c r="I767" s="156"/>
    </row>
    <row r="768" spans="2:9" x14ac:dyDescent="0.2">
      <c r="B768" s="230">
        <v>44869</v>
      </c>
      <c r="C768" s="124">
        <v>351.43</v>
      </c>
      <c r="D768" s="156">
        <f t="shared" si="25"/>
        <v>2.5616212216096043E-4</v>
      </c>
      <c r="E768" s="156">
        <v>1.3779623747862169E-2</v>
      </c>
      <c r="F768" s="124">
        <v>762</v>
      </c>
      <c r="G768" s="238">
        <f t="shared" ca="1" si="24"/>
        <v>1.1823401028767406E-2</v>
      </c>
      <c r="I768" s="156"/>
    </row>
    <row r="769" spans="2:9" x14ac:dyDescent="0.2">
      <c r="B769" s="230">
        <v>44868</v>
      </c>
      <c r="C769" s="124">
        <v>351.53</v>
      </c>
      <c r="D769" s="156">
        <f t="shared" si="25"/>
        <v>2.8455168881417607E-4</v>
      </c>
      <c r="E769" s="156">
        <v>1.3710368466152478E-2</v>
      </c>
      <c r="F769" s="124">
        <v>763</v>
      </c>
      <c r="G769" s="238">
        <f t="shared" ca="1" si="24"/>
        <v>-3.3540186999098998E-3</v>
      </c>
      <c r="I769" s="156"/>
    </row>
    <row r="770" spans="2:9" x14ac:dyDescent="0.2">
      <c r="B770" s="230">
        <v>44867</v>
      </c>
      <c r="C770" s="124">
        <v>352.48</v>
      </c>
      <c r="D770" s="156">
        <f t="shared" si="25"/>
        <v>2.70247205074971E-3</v>
      </c>
      <c r="E770" s="156">
        <v>1.3659676027014664E-2</v>
      </c>
      <c r="F770" s="124">
        <v>764</v>
      </c>
      <c r="G770" s="238">
        <f t="shared" ca="1" si="24"/>
        <v>-1.0386176020654728E-2</v>
      </c>
      <c r="I770" s="156"/>
    </row>
    <row r="771" spans="2:9" x14ac:dyDescent="0.2">
      <c r="B771" s="230">
        <v>44866</v>
      </c>
      <c r="C771" s="124">
        <v>347.36</v>
      </c>
      <c r="D771" s="156">
        <f t="shared" si="25"/>
        <v>-1.4525646845211088E-2</v>
      </c>
      <c r="E771" s="156">
        <v>1.3657853265627755E-2</v>
      </c>
      <c r="F771" s="124">
        <v>765</v>
      </c>
      <c r="G771" s="238">
        <f t="shared" ca="1" si="24"/>
        <v>1.2559677783623791E-2</v>
      </c>
      <c r="I771" s="156"/>
    </row>
    <row r="772" spans="2:9" x14ac:dyDescent="0.2">
      <c r="B772" s="230">
        <v>44865</v>
      </c>
      <c r="C772" s="124">
        <v>346.57</v>
      </c>
      <c r="D772" s="156">
        <f t="shared" si="25"/>
        <v>-2.2742975587287553E-3</v>
      </c>
      <c r="E772" s="156">
        <v>1.3651030032266072E-2</v>
      </c>
      <c r="F772" s="124">
        <v>766</v>
      </c>
      <c r="G772" s="238">
        <f t="shared" ca="1" si="24"/>
        <v>3.7081947757491157E-2</v>
      </c>
      <c r="I772" s="156"/>
    </row>
    <row r="773" spans="2:9" x14ac:dyDescent="0.2">
      <c r="B773" s="230">
        <v>44862</v>
      </c>
      <c r="C773" s="124">
        <v>343.68</v>
      </c>
      <c r="D773" s="156">
        <f t="shared" si="25"/>
        <v>-8.3388637216146415E-3</v>
      </c>
      <c r="E773" s="156">
        <v>1.3609612555174098E-2</v>
      </c>
      <c r="F773" s="124">
        <v>767</v>
      </c>
      <c r="G773" s="238">
        <f t="shared" ca="1" si="24"/>
        <v>8.791281065651085E-3</v>
      </c>
      <c r="I773" s="156"/>
    </row>
    <row r="774" spans="2:9" x14ac:dyDescent="0.2">
      <c r="B774" s="230">
        <v>44861</v>
      </c>
      <c r="C774" s="124">
        <v>343.68</v>
      </c>
      <c r="D774" s="156">
        <f t="shared" si="25"/>
        <v>0</v>
      </c>
      <c r="E774" s="156">
        <v>1.3579957855303101E-2</v>
      </c>
      <c r="F774" s="124">
        <v>768</v>
      </c>
      <c r="G774" s="238">
        <f t="shared" ca="1" si="24"/>
        <v>-1.8296366979672952E-2</v>
      </c>
      <c r="I774" s="156"/>
    </row>
    <row r="775" spans="2:9" x14ac:dyDescent="0.2">
      <c r="B775" s="230">
        <v>44859</v>
      </c>
      <c r="C775" s="124">
        <v>344.18</v>
      </c>
      <c r="D775" s="156">
        <f t="shared" si="25"/>
        <v>1.4548417132216015E-3</v>
      </c>
      <c r="E775" s="156">
        <v>1.3554216867469904E-2</v>
      </c>
      <c r="F775" s="124">
        <v>769</v>
      </c>
      <c r="G775" s="238">
        <f t="shared" ref="G775:G838" ca="1" si="26">_xlfn.NORM.INV(RAND(),$L$8,$L$9)</f>
        <v>-1.4838236665293623E-3</v>
      </c>
      <c r="I775" s="156"/>
    </row>
    <row r="776" spans="2:9" x14ac:dyDescent="0.2">
      <c r="B776" s="230">
        <v>44858</v>
      </c>
      <c r="C776" s="124">
        <v>345.57</v>
      </c>
      <c r="D776" s="156">
        <f t="shared" si="25"/>
        <v>4.0385844616188807E-3</v>
      </c>
      <c r="E776" s="156">
        <v>1.3535977202564683E-2</v>
      </c>
      <c r="F776" s="124">
        <v>770</v>
      </c>
      <c r="G776" s="238">
        <f t="shared" ca="1" si="26"/>
        <v>-2.7306692106455914E-2</v>
      </c>
      <c r="I776" s="156"/>
    </row>
    <row r="777" spans="2:9" x14ac:dyDescent="0.2">
      <c r="B777" s="230">
        <v>44855</v>
      </c>
      <c r="C777" s="124">
        <v>343.48</v>
      </c>
      <c r="D777" s="156">
        <f t="shared" si="25"/>
        <v>-6.0479787018548345E-3</v>
      </c>
      <c r="E777" s="156">
        <v>1.3534218590398248E-2</v>
      </c>
      <c r="F777" s="124">
        <v>771</v>
      </c>
      <c r="G777" s="238">
        <f t="shared" ca="1" si="26"/>
        <v>-2.0099551808338636E-2</v>
      </c>
      <c r="I777" s="156"/>
    </row>
    <row r="778" spans="2:9" x14ac:dyDescent="0.2">
      <c r="B778" s="230">
        <v>44854</v>
      </c>
      <c r="C778" s="124">
        <v>347.56</v>
      </c>
      <c r="D778" s="156">
        <f t="shared" si="25"/>
        <v>1.1878420868755048E-2</v>
      </c>
      <c r="E778" s="156">
        <v>1.3533020570191266E-2</v>
      </c>
      <c r="F778" s="124">
        <v>772</v>
      </c>
      <c r="G778" s="238">
        <f t="shared" ca="1" si="26"/>
        <v>-7.2508931122206837E-3</v>
      </c>
      <c r="I778" s="156"/>
    </row>
    <row r="779" spans="2:9" x14ac:dyDescent="0.2">
      <c r="B779" s="230">
        <v>44853</v>
      </c>
      <c r="C779" s="124">
        <v>344.23</v>
      </c>
      <c r="D779" s="156">
        <f t="shared" si="25"/>
        <v>-9.5810795258372203E-3</v>
      </c>
      <c r="E779" s="156">
        <v>1.3494062612450524E-2</v>
      </c>
      <c r="F779" s="124">
        <v>773</v>
      </c>
      <c r="G779" s="238">
        <f t="shared" ca="1" si="26"/>
        <v>-1.1484702248558413E-2</v>
      </c>
      <c r="I779" s="156"/>
    </row>
    <row r="780" spans="2:9" x14ac:dyDescent="0.2">
      <c r="B780" s="230">
        <v>44852</v>
      </c>
      <c r="C780" s="124">
        <v>338.22</v>
      </c>
      <c r="D780" s="156">
        <f t="shared" si="25"/>
        <v>-1.7459256892194144E-2</v>
      </c>
      <c r="E780" s="156">
        <v>1.3492499085254378E-2</v>
      </c>
      <c r="F780" s="124">
        <v>774</v>
      </c>
      <c r="G780" s="238">
        <f t="shared" ca="1" si="26"/>
        <v>4.877708356150757E-3</v>
      </c>
      <c r="I780" s="156"/>
    </row>
    <row r="781" spans="2:9" x14ac:dyDescent="0.2">
      <c r="B781" s="230">
        <v>44851</v>
      </c>
      <c r="C781" s="124">
        <v>330.22</v>
      </c>
      <c r="D781" s="156">
        <f t="shared" si="25"/>
        <v>-2.3653243451008218E-2</v>
      </c>
      <c r="E781" s="156">
        <v>1.3484899141870038E-2</v>
      </c>
      <c r="F781" s="124">
        <v>775</v>
      </c>
      <c r="G781" s="238">
        <f t="shared" ca="1" si="26"/>
        <v>5.9922063047618572E-4</v>
      </c>
      <c r="I781" s="156"/>
    </row>
    <row r="782" spans="2:9" x14ac:dyDescent="0.2">
      <c r="B782" s="230">
        <v>44848</v>
      </c>
      <c r="C782" s="124">
        <v>330.07</v>
      </c>
      <c r="D782" s="156">
        <f t="shared" si="25"/>
        <v>-4.5424262612813907E-4</v>
      </c>
      <c r="E782" s="156">
        <v>1.3474314587816952E-2</v>
      </c>
      <c r="F782" s="124">
        <v>776</v>
      </c>
      <c r="G782" s="238">
        <f t="shared" ca="1" si="26"/>
        <v>3.3799201821444375E-4</v>
      </c>
      <c r="I782" s="156"/>
    </row>
    <row r="783" spans="2:9" x14ac:dyDescent="0.2">
      <c r="B783" s="230">
        <v>44847</v>
      </c>
      <c r="C783" s="124">
        <v>326.64</v>
      </c>
      <c r="D783" s="156">
        <f t="shared" si="25"/>
        <v>-1.0391735086496824E-2</v>
      </c>
      <c r="E783" s="156">
        <v>1.3469044157036959E-2</v>
      </c>
      <c r="F783" s="124">
        <v>777</v>
      </c>
      <c r="G783" s="238">
        <f t="shared" ca="1" si="26"/>
        <v>-7.9627136821529471E-4</v>
      </c>
      <c r="I783" s="156"/>
    </row>
    <row r="784" spans="2:9" x14ac:dyDescent="0.2">
      <c r="B784" s="230">
        <v>44846</v>
      </c>
      <c r="C784" s="124">
        <v>328.08</v>
      </c>
      <c r="D784" s="156">
        <f t="shared" si="25"/>
        <v>4.4085231447465031E-3</v>
      </c>
      <c r="E784" s="156">
        <v>1.3429034498726584E-2</v>
      </c>
      <c r="F784" s="124">
        <v>778</v>
      </c>
      <c r="G784" s="238">
        <f t="shared" ca="1" si="26"/>
        <v>1.4105751277051045E-2</v>
      </c>
      <c r="I784" s="156"/>
    </row>
    <row r="785" spans="2:9" x14ac:dyDescent="0.2">
      <c r="B785" s="230">
        <v>44845</v>
      </c>
      <c r="C785" s="124">
        <v>324.3</v>
      </c>
      <c r="D785" s="156">
        <f t="shared" si="25"/>
        <v>-1.1521580102413963E-2</v>
      </c>
      <c r="E785" s="156">
        <v>1.3422818791946281E-2</v>
      </c>
      <c r="F785" s="124">
        <v>779</v>
      </c>
      <c r="G785" s="238">
        <f t="shared" ca="1" si="26"/>
        <v>-3.7093918953087263E-3</v>
      </c>
      <c r="I785" s="156"/>
    </row>
    <row r="786" spans="2:9" x14ac:dyDescent="0.2">
      <c r="B786" s="230">
        <v>44844</v>
      </c>
      <c r="C786" s="124">
        <v>325.83999999999997</v>
      </c>
      <c r="D786" s="156">
        <f t="shared" si="25"/>
        <v>4.7486894850445995E-3</v>
      </c>
      <c r="E786" s="156">
        <v>1.3407441016333866E-2</v>
      </c>
      <c r="F786" s="124">
        <v>780</v>
      </c>
      <c r="G786" s="238">
        <f t="shared" ca="1" si="26"/>
        <v>-7.2196806609765105E-3</v>
      </c>
      <c r="I786" s="156"/>
    </row>
    <row r="787" spans="2:9" x14ac:dyDescent="0.2">
      <c r="B787" s="230">
        <v>44841</v>
      </c>
      <c r="C787" s="124">
        <v>332.05</v>
      </c>
      <c r="D787" s="156">
        <f t="shared" si="25"/>
        <v>1.9058433587036697E-2</v>
      </c>
      <c r="E787" s="156">
        <v>1.3381995133820006E-2</v>
      </c>
      <c r="F787" s="124">
        <v>781</v>
      </c>
      <c r="G787" s="238">
        <f t="shared" ca="1" si="26"/>
        <v>-1.3733812888919224E-2</v>
      </c>
      <c r="I787" s="156"/>
    </row>
    <row r="788" spans="2:9" x14ac:dyDescent="0.2">
      <c r="B788" s="230">
        <v>44840</v>
      </c>
      <c r="C788" s="124">
        <v>334.59</v>
      </c>
      <c r="D788" s="156">
        <f t="shared" si="25"/>
        <v>7.6494503839782063E-3</v>
      </c>
      <c r="E788" s="156">
        <v>1.3361611876988391E-2</v>
      </c>
      <c r="F788" s="124">
        <v>782</v>
      </c>
      <c r="G788" s="238">
        <f t="shared" ca="1" si="26"/>
        <v>-4.9674905782081599E-3</v>
      </c>
      <c r="I788" s="156"/>
    </row>
    <row r="789" spans="2:9" x14ac:dyDescent="0.2">
      <c r="B789" s="230">
        <v>44838</v>
      </c>
      <c r="C789" s="124">
        <v>330.81</v>
      </c>
      <c r="D789" s="156">
        <f t="shared" si="25"/>
        <v>-1.1297408768941012E-2</v>
      </c>
      <c r="E789" s="156">
        <v>1.3357307988697633E-2</v>
      </c>
      <c r="F789" s="124">
        <v>783</v>
      </c>
      <c r="G789" s="238">
        <f t="shared" ca="1" si="26"/>
        <v>-1.9493105401156834E-2</v>
      </c>
      <c r="I789" s="156"/>
    </row>
    <row r="790" spans="2:9" x14ac:dyDescent="0.2">
      <c r="B790" s="230">
        <v>44837</v>
      </c>
      <c r="C790" s="124">
        <v>322.41000000000003</v>
      </c>
      <c r="D790" s="156">
        <f t="shared" si="25"/>
        <v>-2.5392219098576155E-2</v>
      </c>
      <c r="E790" s="156">
        <v>1.3324222753672624E-2</v>
      </c>
      <c r="F790" s="124">
        <v>784</v>
      </c>
      <c r="G790" s="238">
        <f t="shared" ca="1" si="26"/>
        <v>-3.6637776157360753E-2</v>
      </c>
      <c r="I790" s="156"/>
    </row>
    <row r="791" spans="2:9" x14ac:dyDescent="0.2">
      <c r="B791" s="230">
        <v>44834</v>
      </c>
      <c r="C791" s="124">
        <v>330.17</v>
      </c>
      <c r="D791" s="156">
        <f t="shared" si="25"/>
        <v>2.4068732359418102E-2</v>
      </c>
      <c r="E791" s="156">
        <v>1.3322723655791648E-2</v>
      </c>
      <c r="F791" s="124">
        <v>785</v>
      </c>
      <c r="G791" s="238">
        <f t="shared" ca="1" si="26"/>
        <v>-2.996593671740877E-2</v>
      </c>
      <c r="I791" s="156"/>
    </row>
    <row r="792" spans="2:9" x14ac:dyDescent="0.2">
      <c r="B792" s="230">
        <v>44833</v>
      </c>
      <c r="C792" s="124">
        <v>331.01</v>
      </c>
      <c r="D792" s="156">
        <f t="shared" si="25"/>
        <v>2.5441439258563009E-3</v>
      </c>
      <c r="E792" s="156">
        <v>1.3321873657069081E-2</v>
      </c>
      <c r="F792" s="124">
        <v>786</v>
      </c>
      <c r="G792" s="238">
        <f t="shared" ca="1" si="26"/>
        <v>-1.8533832382663672E-2</v>
      </c>
      <c r="I792" s="156"/>
    </row>
    <row r="793" spans="2:9" x14ac:dyDescent="0.2">
      <c r="B793" s="230">
        <v>44832</v>
      </c>
      <c r="C793" s="124">
        <v>322.95999999999998</v>
      </c>
      <c r="D793" s="156">
        <f t="shared" si="25"/>
        <v>-2.4319506963535881E-2</v>
      </c>
      <c r="E793" s="156">
        <v>1.3311148086522548E-2</v>
      </c>
      <c r="F793" s="124">
        <v>787</v>
      </c>
      <c r="G793" s="238">
        <f t="shared" ca="1" si="26"/>
        <v>1.1583083828728195E-2</v>
      </c>
      <c r="I793" s="156"/>
    </row>
    <row r="794" spans="2:9" x14ac:dyDescent="0.2">
      <c r="B794" s="230">
        <v>44831</v>
      </c>
      <c r="C794" s="124">
        <v>332.8</v>
      </c>
      <c r="D794" s="156">
        <f t="shared" si="25"/>
        <v>3.0468169432747189E-2</v>
      </c>
      <c r="E794" s="156">
        <v>1.3310607905202505E-2</v>
      </c>
      <c r="F794" s="124">
        <v>788</v>
      </c>
      <c r="G794" s="238">
        <f t="shared" ca="1" si="26"/>
        <v>-4.6432480142401785E-3</v>
      </c>
      <c r="I794" s="156"/>
    </row>
    <row r="795" spans="2:9" x14ac:dyDescent="0.2">
      <c r="B795" s="230">
        <v>44830</v>
      </c>
      <c r="C795" s="124">
        <v>330.56</v>
      </c>
      <c r="D795" s="156">
        <f t="shared" si="25"/>
        <v>-6.730769230769258E-3</v>
      </c>
      <c r="E795" s="156">
        <v>1.330724070450089E-2</v>
      </c>
      <c r="F795" s="124">
        <v>789</v>
      </c>
      <c r="G795" s="238">
        <f t="shared" ca="1" si="26"/>
        <v>-2.6726094415467666E-2</v>
      </c>
      <c r="I795" s="156"/>
    </row>
    <row r="796" spans="2:9" x14ac:dyDescent="0.2">
      <c r="B796" s="230">
        <v>44827</v>
      </c>
      <c r="C796" s="124">
        <v>344.28</v>
      </c>
      <c r="D796" s="156">
        <f t="shared" si="25"/>
        <v>4.150532429816061E-2</v>
      </c>
      <c r="E796" s="156">
        <v>1.3295261889890329E-2</v>
      </c>
      <c r="F796" s="124">
        <v>790</v>
      </c>
      <c r="G796" s="238">
        <f t="shared" ca="1" si="26"/>
        <v>2.767946054415028E-2</v>
      </c>
      <c r="I796" s="156"/>
    </row>
    <row r="797" spans="2:9" x14ac:dyDescent="0.2">
      <c r="B797" s="230">
        <v>44826</v>
      </c>
      <c r="C797" s="124">
        <v>342.94</v>
      </c>
      <c r="D797" s="156">
        <f t="shared" si="25"/>
        <v>-3.8921807830834643E-3</v>
      </c>
      <c r="E797" s="156">
        <v>1.3291634089132046E-2</v>
      </c>
      <c r="F797" s="124">
        <v>791</v>
      </c>
      <c r="G797" s="238">
        <f t="shared" ca="1" si="26"/>
        <v>4.7589126013885237E-3</v>
      </c>
      <c r="I797" s="156"/>
    </row>
    <row r="798" spans="2:9" x14ac:dyDescent="0.2">
      <c r="B798" s="230">
        <v>44825</v>
      </c>
      <c r="C798" s="124">
        <v>338.86</v>
      </c>
      <c r="D798" s="156">
        <f t="shared" si="25"/>
        <v>-1.189712486149176E-2</v>
      </c>
      <c r="E798" s="156">
        <v>1.3288387317406804E-2</v>
      </c>
      <c r="F798" s="124">
        <v>792</v>
      </c>
      <c r="G798" s="238">
        <f t="shared" ca="1" si="26"/>
        <v>1.1443098582659881E-2</v>
      </c>
      <c r="I798" s="156"/>
    </row>
    <row r="799" spans="2:9" x14ac:dyDescent="0.2">
      <c r="B799" s="230">
        <v>44824</v>
      </c>
      <c r="C799" s="124">
        <v>333.94</v>
      </c>
      <c r="D799" s="156">
        <f t="shared" si="25"/>
        <v>-1.45192704951898E-2</v>
      </c>
      <c r="E799" s="156">
        <v>1.328777524677297E-2</v>
      </c>
      <c r="F799" s="124">
        <v>793</v>
      </c>
      <c r="G799" s="238">
        <f t="shared" ca="1" si="26"/>
        <v>2.094880048758616E-3</v>
      </c>
      <c r="I799" s="156"/>
    </row>
    <row r="800" spans="2:9" x14ac:dyDescent="0.2">
      <c r="B800" s="230">
        <v>44823</v>
      </c>
      <c r="C800" s="124">
        <v>333.55</v>
      </c>
      <c r="D800" s="156">
        <f t="shared" si="25"/>
        <v>-1.1678744684673484E-3</v>
      </c>
      <c r="E800" s="156">
        <v>1.3280827735310008E-2</v>
      </c>
      <c r="F800" s="124">
        <v>794</v>
      </c>
      <c r="G800" s="238">
        <f t="shared" ca="1" si="26"/>
        <v>-5.1500315563594553E-3</v>
      </c>
      <c r="I800" s="156"/>
    </row>
    <row r="801" spans="2:9" x14ac:dyDescent="0.2">
      <c r="B801" s="230">
        <v>44820</v>
      </c>
      <c r="C801" s="124">
        <v>329.27</v>
      </c>
      <c r="D801" s="156">
        <f t="shared" si="25"/>
        <v>-1.2831659421376193E-2</v>
      </c>
      <c r="E801" s="156">
        <v>1.3269749118805674E-2</v>
      </c>
      <c r="F801" s="124">
        <v>795</v>
      </c>
      <c r="G801" s="238">
        <f t="shared" ca="1" si="26"/>
        <v>-1.1725081263855318E-2</v>
      </c>
      <c r="I801" s="156"/>
    </row>
    <row r="802" spans="2:9" x14ac:dyDescent="0.2">
      <c r="B802" s="230">
        <v>44819</v>
      </c>
      <c r="C802" s="124">
        <v>332.05</v>
      </c>
      <c r="D802" s="156">
        <f t="shared" si="25"/>
        <v>8.442919184863576E-3</v>
      </c>
      <c r="E802" s="156">
        <v>1.3255599877263118E-2</v>
      </c>
      <c r="F802" s="124">
        <v>796</v>
      </c>
      <c r="G802" s="238">
        <f t="shared" ca="1" si="26"/>
        <v>-1.8286712472681949E-3</v>
      </c>
      <c r="I802" s="156"/>
    </row>
    <row r="803" spans="2:9" x14ac:dyDescent="0.2">
      <c r="B803" s="230">
        <v>44818</v>
      </c>
      <c r="C803" s="124">
        <v>333.3</v>
      </c>
      <c r="D803" s="156">
        <f t="shared" si="25"/>
        <v>3.7644932992019274E-3</v>
      </c>
      <c r="E803" s="156">
        <v>1.3237427466150857E-2</v>
      </c>
      <c r="F803" s="124">
        <v>797</v>
      </c>
      <c r="G803" s="238">
        <f t="shared" ca="1" si="26"/>
        <v>-1.6295100543185781E-3</v>
      </c>
      <c r="I803" s="156"/>
    </row>
    <row r="804" spans="2:9" x14ac:dyDescent="0.2">
      <c r="B804" s="230">
        <v>44817</v>
      </c>
      <c r="C804" s="124">
        <v>332.35</v>
      </c>
      <c r="D804" s="156">
        <f t="shared" si="25"/>
        <v>-2.8502850285028161E-3</v>
      </c>
      <c r="E804" s="156">
        <v>1.3213722875500104E-2</v>
      </c>
      <c r="F804" s="124">
        <v>798</v>
      </c>
      <c r="G804" s="238">
        <f t="shared" ca="1" si="26"/>
        <v>-2.6263915541784952E-2</v>
      </c>
      <c r="I804" s="156"/>
    </row>
    <row r="805" spans="2:9" x14ac:dyDescent="0.2">
      <c r="B805" s="230">
        <v>44816</v>
      </c>
      <c r="C805" s="124">
        <v>328.87</v>
      </c>
      <c r="D805" s="156">
        <f t="shared" si="25"/>
        <v>-1.0470889122912646E-2</v>
      </c>
      <c r="E805" s="156">
        <v>1.3204225352112678E-2</v>
      </c>
      <c r="F805" s="124">
        <v>799</v>
      </c>
      <c r="G805" s="238">
        <f t="shared" ca="1" si="26"/>
        <v>-3.2015903446088938E-3</v>
      </c>
      <c r="I805" s="156"/>
    </row>
    <row r="806" spans="2:9" x14ac:dyDescent="0.2">
      <c r="B806" s="230">
        <v>44813</v>
      </c>
      <c r="C806" s="124">
        <v>328.48</v>
      </c>
      <c r="D806" s="156">
        <f t="shared" si="25"/>
        <v>-1.1858789187216418E-3</v>
      </c>
      <c r="E806" s="156">
        <v>1.3198801650556825E-2</v>
      </c>
      <c r="F806" s="124">
        <v>800</v>
      </c>
      <c r="G806" s="238">
        <f t="shared" ca="1" si="26"/>
        <v>-2.0977323896217356E-2</v>
      </c>
      <c r="I806" s="156"/>
    </row>
    <row r="807" spans="2:9" x14ac:dyDescent="0.2">
      <c r="B807" s="230">
        <v>44812</v>
      </c>
      <c r="C807" s="124">
        <v>327.88</v>
      </c>
      <c r="D807" s="156">
        <f t="shared" si="25"/>
        <v>-1.8265952264978772E-3</v>
      </c>
      <c r="E807" s="156">
        <v>1.3198384460044258E-2</v>
      </c>
      <c r="F807" s="124">
        <v>801</v>
      </c>
      <c r="G807" s="238">
        <f t="shared" ca="1" si="26"/>
        <v>-1.6169514277015806E-2</v>
      </c>
      <c r="I807" s="156"/>
    </row>
    <row r="808" spans="2:9" x14ac:dyDescent="0.2">
      <c r="B808" s="230">
        <v>44811</v>
      </c>
      <c r="C808" s="124">
        <v>324.10000000000002</v>
      </c>
      <c r="D808" s="156">
        <f t="shared" si="25"/>
        <v>-1.1528608027326987E-2</v>
      </c>
      <c r="E808" s="156">
        <v>1.3162988772744782E-2</v>
      </c>
      <c r="F808" s="124">
        <v>802</v>
      </c>
      <c r="G808" s="238">
        <f t="shared" ca="1" si="26"/>
        <v>4.4302188346293084E-2</v>
      </c>
      <c r="I808" s="156"/>
    </row>
    <row r="809" spans="2:9" x14ac:dyDescent="0.2">
      <c r="B809" s="230">
        <v>44810</v>
      </c>
      <c r="C809" s="124">
        <v>325.14999999999998</v>
      </c>
      <c r="D809" s="156">
        <f t="shared" si="25"/>
        <v>3.2397408207342007E-3</v>
      </c>
      <c r="E809" s="156">
        <v>1.3160780872998339E-2</v>
      </c>
      <c r="F809" s="124">
        <v>803</v>
      </c>
      <c r="G809" s="238">
        <f t="shared" ca="1" si="26"/>
        <v>-3.9553495043665385E-3</v>
      </c>
      <c r="I809" s="156"/>
    </row>
    <row r="810" spans="2:9" x14ac:dyDescent="0.2">
      <c r="B810" s="230">
        <v>44809</v>
      </c>
      <c r="C810" s="124">
        <v>326.83999999999997</v>
      </c>
      <c r="D810" s="156">
        <f t="shared" si="25"/>
        <v>5.1976011071812947E-3</v>
      </c>
      <c r="E810" s="156">
        <v>1.3137592029272978E-2</v>
      </c>
      <c r="F810" s="124">
        <v>804</v>
      </c>
      <c r="G810" s="238">
        <f t="shared" ca="1" si="26"/>
        <v>2.2796303656152189E-2</v>
      </c>
      <c r="I810" s="156"/>
    </row>
    <row r="811" spans="2:9" x14ac:dyDescent="0.2">
      <c r="B811" s="230">
        <v>44806</v>
      </c>
      <c r="C811" s="124">
        <v>321.17</v>
      </c>
      <c r="D811" s="156">
        <f t="shared" si="25"/>
        <v>-1.7347937828906985E-2</v>
      </c>
      <c r="E811" s="156">
        <v>1.3116370808678484E-2</v>
      </c>
      <c r="F811" s="124">
        <v>805</v>
      </c>
      <c r="G811" s="238">
        <f t="shared" ca="1" si="26"/>
        <v>6.3429581297880224E-3</v>
      </c>
      <c r="I811" s="156"/>
    </row>
    <row r="812" spans="2:9" x14ac:dyDescent="0.2">
      <c r="B812" s="230">
        <v>44805</v>
      </c>
      <c r="C812" s="124">
        <v>315.64999999999998</v>
      </c>
      <c r="D812" s="156">
        <f t="shared" si="25"/>
        <v>-1.7187159448267392E-2</v>
      </c>
      <c r="E812" s="156">
        <v>1.3102282333051539E-2</v>
      </c>
      <c r="F812" s="124">
        <v>806</v>
      </c>
      <c r="G812" s="238">
        <f t="shared" ca="1" si="26"/>
        <v>1.2329159163225627E-2</v>
      </c>
      <c r="I812" s="156"/>
    </row>
    <row r="813" spans="2:9" x14ac:dyDescent="0.2">
      <c r="B813" s="230">
        <v>44803</v>
      </c>
      <c r="C813" s="124">
        <v>318.54000000000002</v>
      </c>
      <c r="D813" s="156">
        <f t="shared" si="25"/>
        <v>9.1557104387772637E-3</v>
      </c>
      <c r="E813" s="156">
        <v>1.3089509143407035E-2</v>
      </c>
      <c r="F813" s="124">
        <v>807</v>
      </c>
      <c r="G813" s="238">
        <f t="shared" ca="1" si="26"/>
        <v>7.8352779150031755E-3</v>
      </c>
      <c r="I813" s="156"/>
    </row>
    <row r="814" spans="2:9" x14ac:dyDescent="0.2">
      <c r="B814" s="230">
        <v>44802</v>
      </c>
      <c r="C814" s="124">
        <v>311.63</v>
      </c>
      <c r="D814" s="156">
        <f t="shared" si="25"/>
        <v>-2.1692723048910734E-2</v>
      </c>
      <c r="E814" s="156">
        <v>1.3070725156669594E-2</v>
      </c>
      <c r="F814" s="124">
        <v>808</v>
      </c>
      <c r="G814" s="238">
        <f t="shared" ca="1" si="26"/>
        <v>-9.5107024054484658E-3</v>
      </c>
      <c r="I814" s="156"/>
    </row>
    <row r="815" spans="2:9" x14ac:dyDescent="0.2">
      <c r="B815" s="230">
        <v>44799</v>
      </c>
      <c r="C815" s="124">
        <v>310.98</v>
      </c>
      <c r="D815" s="156">
        <f t="shared" si="25"/>
        <v>-2.0858068863715859E-3</v>
      </c>
      <c r="E815" s="156">
        <v>1.3059033989266619E-2</v>
      </c>
      <c r="F815" s="124">
        <v>809</v>
      </c>
      <c r="G815" s="238">
        <f t="shared" ca="1" si="26"/>
        <v>2.5565854916617666E-2</v>
      </c>
      <c r="I815" s="156"/>
    </row>
    <row r="816" spans="2:9" x14ac:dyDescent="0.2">
      <c r="B816" s="230">
        <v>44798</v>
      </c>
      <c r="C816" s="124">
        <v>310.44</v>
      </c>
      <c r="D816" s="156">
        <f t="shared" si="25"/>
        <v>-1.7364460737025547E-3</v>
      </c>
      <c r="E816" s="156">
        <v>1.3054363376251706E-2</v>
      </c>
      <c r="F816" s="124">
        <v>810</v>
      </c>
      <c r="G816" s="238">
        <f t="shared" ca="1" si="26"/>
        <v>-8.1872567085612483E-3</v>
      </c>
      <c r="I816" s="156"/>
    </row>
    <row r="817" spans="2:9" x14ac:dyDescent="0.2">
      <c r="B817" s="230">
        <v>44797</v>
      </c>
      <c r="C817" s="124">
        <v>312.18</v>
      </c>
      <c r="D817" s="156">
        <f t="shared" si="25"/>
        <v>5.6049478160031217E-3</v>
      </c>
      <c r="E817" s="156">
        <v>1.3052506674577209E-2</v>
      </c>
      <c r="F817" s="124">
        <v>811</v>
      </c>
      <c r="G817" s="238">
        <f t="shared" ca="1" si="26"/>
        <v>5.6613444806142871E-4</v>
      </c>
      <c r="I817" s="156"/>
    </row>
    <row r="818" spans="2:9" x14ac:dyDescent="0.2">
      <c r="B818" s="230">
        <v>44796</v>
      </c>
      <c r="C818" s="124">
        <v>313.97000000000003</v>
      </c>
      <c r="D818" s="156">
        <f t="shared" si="25"/>
        <v>5.733871484400091E-3</v>
      </c>
      <c r="E818" s="156">
        <v>1.3044303197040129E-2</v>
      </c>
      <c r="F818" s="124">
        <v>812</v>
      </c>
      <c r="G818" s="238">
        <f t="shared" ca="1" si="26"/>
        <v>-1.7726134455522411E-3</v>
      </c>
      <c r="I818" s="156"/>
    </row>
    <row r="819" spans="2:9" x14ac:dyDescent="0.2">
      <c r="B819" s="230">
        <v>44795</v>
      </c>
      <c r="C819" s="124">
        <v>312.48</v>
      </c>
      <c r="D819" s="156">
        <f t="shared" si="25"/>
        <v>-4.7456763385037076E-3</v>
      </c>
      <c r="E819" s="156">
        <v>1.3030219018575094E-2</v>
      </c>
      <c r="F819" s="124">
        <v>813</v>
      </c>
      <c r="G819" s="238">
        <f t="shared" ca="1" si="26"/>
        <v>5.9843835189087877E-3</v>
      </c>
      <c r="I819" s="156"/>
    </row>
    <row r="820" spans="2:9" x14ac:dyDescent="0.2">
      <c r="B820" s="230">
        <v>44792</v>
      </c>
      <c r="C820" s="124">
        <v>310.08999999999997</v>
      </c>
      <c r="D820" s="156">
        <f t="shared" si="25"/>
        <v>-7.6484895033283509E-3</v>
      </c>
      <c r="E820" s="156">
        <v>1.301832208293157E-2</v>
      </c>
      <c r="F820" s="124">
        <v>814</v>
      </c>
      <c r="G820" s="238">
        <f t="shared" ca="1" si="26"/>
        <v>1.229207529412917E-2</v>
      </c>
      <c r="I820" s="156"/>
    </row>
    <row r="821" spans="2:9" x14ac:dyDescent="0.2">
      <c r="B821" s="230">
        <v>44791</v>
      </c>
      <c r="C821" s="124">
        <v>313.72000000000003</v>
      </c>
      <c r="D821" s="156">
        <f t="shared" si="25"/>
        <v>1.1706278822277573E-2</v>
      </c>
      <c r="E821" s="156">
        <v>1.3010053222944936E-2</v>
      </c>
      <c r="F821" s="124">
        <v>815</v>
      </c>
      <c r="G821" s="238">
        <f t="shared" ca="1" si="26"/>
        <v>-5.5890129828229827E-3</v>
      </c>
      <c r="I821" s="156"/>
    </row>
    <row r="822" spans="2:9" x14ac:dyDescent="0.2">
      <c r="B822" s="230">
        <v>44790</v>
      </c>
      <c r="C822" s="124">
        <v>310.64</v>
      </c>
      <c r="D822" s="156">
        <f t="shared" si="25"/>
        <v>-9.8176718092567918E-3</v>
      </c>
      <c r="E822" s="156">
        <v>1.2995863884188828E-2</v>
      </c>
      <c r="F822" s="124">
        <v>816</v>
      </c>
      <c r="G822" s="238">
        <f t="shared" ca="1" si="26"/>
        <v>-4.2073022234228744E-3</v>
      </c>
      <c r="I822" s="156"/>
    </row>
    <row r="823" spans="2:9" x14ac:dyDescent="0.2">
      <c r="B823" s="230">
        <v>44789</v>
      </c>
      <c r="C823" s="124">
        <v>308.64999999999998</v>
      </c>
      <c r="D823" s="156">
        <f t="shared" si="25"/>
        <v>-6.406129281483419E-3</v>
      </c>
      <c r="E823" s="156">
        <v>1.2993356779992167E-2</v>
      </c>
      <c r="F823" s="124">
        <v>817</v>
      </c>
      <c r="G823" s="238">
        <f t="shared" ca="1" si="26"/>
        <v>1.272601238874237E-2</v>
      </c>
      <c r="I823" s="156"/>
    </row>
    <row r="824" spans="2:9" x14ac:dyDescent="0.2">
      <c r="B824" s="230">
        <v>44785</v>
      </c>
      <c r="C824" s="124">
        <v>306.66000000000003</v>
      </c>
      <c r="D824" s="156">
        <f t="shared" si="25"/>
        <v>-6.4474323667583098E-3</v>
      </c>
      <c r="E824" s="156">
        <v>1.2972271769093562E-2</v>
      </c>
      <c r="F824" s="124">
        <v>818</v>
      </c>
      <c r="G824" s="238">
        <f t="shared" ca="1" si="26"/>
        <v>-8.5014159955119282E-5</v>
      </c>
      <c r="I824" s="156"/>
    </row>
    <row r="825" spans="2:9" x14ac:dyDescent="0.2">
      <c r="B825" s="230">
        <v>44784</v>
      </c>
      <c r="C825" s="124">
        <v>304.38</v>
      </c>
      <c r="D825" s="156">
        <f t="shared" si="25"/>
        <v>-7.4349442379183115E-3</v>
      </c>
      <c r="E825" s="156">
        <v>1.2968299711815541E-2</v>
      </c>
      <c r="F825" s="124">
        <v>819</v>
      </c>
      <c r="G825" s="238">
        <f t="shared" ca="1" si="26"/>
        <v>4.3918163896961449E-3</v>
      </c>
      <c r="I825" s="156"/>
    </row>
    <row r="826" spans="2:9" x14ac:dyDescent="0.2">
      <c r="B826" s="230">
        <v>44783</v>
      </c>
      <c r="C826" s="124">
        <v>309.3</v>
      </c>
      <c r="D826" s="156">
        <f t="shared" si="25"/>
        <v>1.6164005519416571E-2</v>
      </c>
      <c r="E826" s="156">
        <v>1.2966287652104528E-2</v>
      </c>
      <c r="F826" s="124">
        <v>820</v>
      </c>
      <c r="G826" s="238">
        <f t="shared" ca="1" si="26"/>
        <v>-1.1624086677313201E-4</v>
      </c>
      <c r="I826" s="156"/>
    </row>
    <row r="827" spans="2:9" x14ac:dyDescent="0.2">
      <c r="B827" s="230">
        <v>44781</v>
      </c>
      <c r="C827" s="124">
        <v>311.23</v>
      </c>
      <c r="D827" s="156">
        <f t="shared" si="25"/>
        <v>6.2398965405755149E-3</v>
      </c>
      <c r="E827" s="156">
        <v>1.2964677867442648E-2</v>
      </c>
      <c r="F827" s="124">
        <v>821</v>
      </c>
      <c r="G827" s="238">
        <f t="shared" ca="1" si="26"/>
        <v>-5.089933883791589E-3</v>
      </c>
      <c r="I827" s="156"/>
    </row>
    <row r="828" spans="2:9" x14ac:dyDescent="0.2">
      <c r="B828" s="230">
        <v>44778</v>
      </c>
      <c r="C828" s="124">
        <v>308.95</v>
      </c>
      <c r="D828" s="156">
        <f t="shared" si="25"/>
        <v>-7.3257719371526827E-3</v>
      </c>
      <c r="E828" s="156">
        <v>1.2957533339638611E-2</v>
      </c>
      <c r="F828" s="124">
        <v>822</v>
      </c>
      <c r="G828" s="238">
        <f t="shared" ca="1" si="26"/>
        <v>1.0581541627214733E-2</v>
      </c>
      <c r="I828" s="156"/>
    </row>
    <row r="829" spans="2:9" x14ac:dyDescent="0.2">
      <c r="B829" s="230">
        <v>44777</v>
      </c>
      <c r="C829" s="124">
        <v>307.61</v>
      </c>
      <c r="D829" s="156">
        <f t="shared" si="25"/>
        <v>-4.3372714031395861E-3</v>
      </c>
      <c r="E829" s="156">
        <v>1.2914798206278109E-2</v>
      </c>
      <c r="F829" s="124">
        <v>823</v>
      </c>
      <c r="G829" s="238">
        <f t="shared" ca="1" si="26"/>
        <v>-2.0976535182099538E-2</v>
      </c>
      <c r="I829" s="156"/>
    </row>
    <row r="830" spans="2:9" x14ac:dyDescent="0.2">
      <c r="B830" s="230">
        <v>44776</v>
      </c>
      <c r="C830" s="124">
        <v>306.26</v>
      </c>
      <c r="D830" s="156">
        <f t="shared" ref="D830:D893" si="27">(C830-C829)/C829</f>
        <v>-4.3886739702871259E-3</v>
      </c>
      <c r="E830" s="156">
        <v>1.2830635609948677E-2</v>
      </c>
      <c r="F830" s="124">
        <v>824</v>
      </c>
      <c r="G830" s="238">
        <f t="shared" ca="1" si="26"/>
        <v>1.7026668026321121E-3</v>
      </c>
      <c r="I830" s="156"/>
    </row>
    <row r="831" spans="2:9" x14ac:dyDescent="0.2">
      <c r="B831" s="230">
        <v>44775</v>
      </c>
      <c r="C831" s="124">
        <v>308.05</v>
      </c>
      <c r="D831" s="156">
        <f t="shared" si="27"/>
        <v>5.844707111604586E-3</v>
      </c>
      <c r="E831" s="156">
        <v>1.2820512820512792E-2</v>
      </c>
      <c r="F831" s="124">
        <v>825</v>
      </c>
      <c r="G831" s="238">
        <f t="shared" ca="1" si="26"/>
        <v>1.7739465188422687E-2</v>
      </c>
      <c r="I831" s="156"/>
    </row>
    <row r="832" spans="2:9" x14ac:dyDescent="0.2">
      <c r="B832" s="230">
        <v>44774</v>
      </c>
      <c r="C832" s="124">
        <v>305.62</v>
      </c>
      <c r="D832" s="156">
        <f t="shared" si="27"/>
        <v>-7.8883298165882375E-3</v>
      </c>
      <c r="E832" s="156">
        <v>1.2808303971050365E-2</v>
      </c>
      <c r="F832" s="124">
        <v>826</v>
      </c>
      <c r="G832" s="238">
        <f t="shared" ca="1" si="26"/>
        <v>1.3781158772186932E-2</v>
      </c>
      <c r="I832" s="156"/>
    </row>
    <row r="833" spans="2:9" x14ac:dyDescent="0.2">
      <c r="B833" s="230">
        <v>44771</v>
      </c>
      <c r="C833" s="124">
        <v>301.19</v>
      </c>
      <c r="D833" s="156">
        <f t="shared" si="27"/>
        <v>-1.4495124664616213E-2</v>
      </c>
      <c r="E833" s="156">
        <v>1.2806911185207621E-2</v>
      </c>
      <c r="F833" s="124">
        <v>827</v>
      </c>
      <c r="G833" s="238">
        <f t="shared" ca="1" si="26"/>
        <v>4.918963939167134E-4</v>
      </c>
      <c r="I833" s="156"/>
    </row>
    <row r="834" spans="2:9" x14ac:dyDescent="0.2">
      <c r="B834" s="230">
        <v>44770</v>
      </c>
      <c r="C834" s="124">
        <v>301.58999999999997</v>
      </c>
      <c r="D834" s="156">
        <f t="shared" si="27"/>
        <v>1.3280653408146927E-3</v>
      </c>
      <c r="E834" s="156">
        <v>1.277955271565483E-2</v>
      </c>
      <c r="F834" s="124">
        <v>828</v>
      </c>
      <c r="G834" s="238">
        <f t="shared" ca="1" si="26"/>
        <v>-1.1241089115056589E-2</v>
      </c>
      <c r="I834" s="156"/>
    </row>
    <row r="835" spans="2:9" x14ac:dyDescent="0.2">
      <c r="B835" s="230">
        <v>44769</v>
      </c>
      <c r="C835" s="124">
        <v>302.29000000000002</v>
      </c>
      <c r="D835" s="156">
        <f t="shared" si="27"/>
        <v>2.3210318644518902E-3</v>
      </c>
      <c r="E835" s="156">
        <v>1.2771133184674693E-2</v>
      </c>
      <c r="F835" s="124">
        <v>829</v>
      </c>
      <c r="G835" s="238">
        <f t="shared" ca="1" si="26"/>
        <v>9.4820830960579659E-3</v>
      </c>
      <c r="I835" s="156"/>
    </row>
    <row r="836" spans="2:9" x14ac:dyDescent="0.2">
      <c r="B836" s="230">
        <v>44768</v>
      </c>
      <c r="C836" s="124">
        <v>300.60000000000002</v>
      </c>
      <c r="D836" s="156">
        <f t="shared" si="27"/>
        <v>-5.5906579774388752E-3</v>
      </c>
      <c r="E836" s="156">
        <v>1.2732070929209685E-2</v>
      </c>
      <c r="F836" s="124">
        <v>830</v>
      </c>
      <c r="G836" s="238">
        <f t="shared" ca="1" si="26"/>
        <v>-5.4161016087413338E-3</v>
      </c>
      <c r="I836" s="156"/>
    </row>
    <row r="837" spans="2:9" x14ac:dyDescent="0.2">
      <c r="B837" s="230">
        <v>44767</v>
      </c>
      <c r="C837" s="124">
        <v>299.26</v>
      </c>
      <c r="D837" s="156">
        <f t="shared" si="27"/>
        <v>-4.4577511643380963E-3</v>
      </c>
      <c r="E837" s="156">
        <v>1.2722231283640442E-2</v>
      </c>
      <c r="F837" s="124">
        <v>831</v>
      </c>
      <c r="G837" s="238">
        <f t="shared" ca="1" si="26"/>
        <v>4.2846270686007661E-4</v>
      </c>
      <c r="I837" s="156"/>
    </row>
    <row r="838" spans="2:9" x14ac:dyDescent="0.2">
      <c r="B838" s="230">
        <v>44764</v>
      </c>
      <c r="C838" s="124">
        <v>298.70999999999998</v>
      </c>
      <c r="D838" s="156">
        <f t="shared" si="27"/>
        <v>-1.837866737953657E-3</v>
      </c>
      <c r="E838" s="156">
        <v>1.2714370195150791E-2</v>
      </c>
      <c r="F838" s="124">
        <v>832</v>
      </c>
      <c r="G838" s="238">
        <f t="shared" ca="1" si="26"/>
        <v>-1.9486399973828179E-2</v>
      </c>
      <c r="I838" s="156"/>
    </row>
    <row r="839" spans="2:9" x14ac:dyDescent="0.2">
      <c r="B839" s="230">
        <v>44763</v>
      </c>
      <c r="C839" s="124">
        <v>297.72000000000003</v>
      </c>
      <c r="D839" s="156">
        <f t="shared" si="27"/>
        <v>-3.3142512805060171E-3</v>
      </c>
      <c r="E839" s="156">
        <v>1.2692656391659111E-2</v>
      </c>
      <c r="F839" s="124">
        <v>833</v>
      </c>
      <c r="G839" s="238">
        <f t="shared" ref="G839:G902" ca="1" si="28">_xlfn.NORM.INV(RAND(),$L$8,$L$9)</f>
        <v>1.5539510493665316E-2</v>
      </c>
      <c r="I839" s="156"/>
    </row>
    <row r="840" spans="2:9" x14ac:dyDescent="0.2">
      <c r="B840" s="230">
        <v>44762</v>
      </c>
      <c r="C840" s="124">
        <v>296.37</v>
      </c>
      <c r="D840" s="156">
        <f t="shared" si="27"/>
        <v>-4.5344619105200275E-3</v>
      </c>
      <c r="E840" s="156">
        <v>1.2683578104138954E-2</v>
      </c>
      <c r="F840" s="124">
        <v>834</v>
      </c>
      <c r="G840" s="238">
        <f t="shared" ca="1" si="28"/>
        <v>-3.2769205100993536E-2</v>
      </c>
      <c r="I840" s="156"/>
    </row>
    <row r="841" spans="2:9" x14ac:dyDescent="0.2">
      <c r="B841" s="230">
        <v>44761</v>
      </c>
      <c r="C841" s="124">
        <v>292.8</v>
      </c>
      <c r="D841" s="156">
        <f t="shared" si="27"/>
        <v>-1.2045753618787304E-2</v>
      </c>
      <c r="E841" s="156">
        <v>1.2675363032242129E-2</v>
      </c>
      <c r="F841" s="124">
        <v>835</v>
      </c>
      <c r="G841" s="238">
        <f t="shared" ca="1" si="28"/>
        <v>-6.6123946710478021E-3</v>
      </c>
      <c r="I841" s="156"/>
    </row>
    <row r="842" spans="2:9" x14ac:dyDescent="0.2">
      <c r="B842" s="230">
        <v>44760</v>
      </c>
      <c r="C842" s="124">
        <v>293.49</v>
      </c>
      <c r="D842" s="156">
        <f t="shared" si="27"/>
        <v>2.3565573770491723E-3</v>
      </c>
      <c r="E842" s="156">
        <v>1.2653363708725643E-2</v>
      </c>
      <c r="F842" s="124">
        <v>836</v>
      </c>
      <c r="G842" s="238">
        <f t="shared" ca="1" si="28"/>
        <v>7.6415374960553438E-3</v>
      </c>
      <c r="I842" s="156"/>
    </row>
    <row r="843" spans="2:9" x14ac:dyDescent="0.2">
      <c r="B843" s="230">
        <v>44757</v>
      </c>
      <c r="C843" s="124">
        <v>291.75</v>
      </c>
      <c r="D843" s="156">
        <f t="shared" si="27"/>
        <v>-5.9286517428192072E-3</v>
      </c>
      <c r="E843" s="156">
        <v>1.2635700302544952E-2</v>
      </c>
      <c r="F843" s="124">
        <v>837</v>
      </c>
      <c r="G843" s="238">
        <f t="shared" ca="1" si="28"/>
        <v>1.4526036802452218E-2</v>
      </c>
      <c r="I843" s="156"/>
    </row>
    <row r="844" spans="2:9" x14ac:dyDescent="0.2">
      <c r="B844" s="230">
        <v>44756</v>
      </c>
      <c r="C844" s="124">
        <v>289.07</v>
      </c>
      <c r="D844" s="156">
        <f t="shared" si="27"/>
        <v>-9.1859468723222166E-3</v>
      </c>
      <c r="E844" s="156">
        <v>1.2603005332040689E-2</v>
      </c>
      <c r="F844" s="124">
        <v>838</v>
      </c>
      <c r="G844" s="238">
        <f t="shared" ca="1" si="28"/>
        <v>-1.7683610301007235E-2</v>
      </c>
      <c r="I844" s="156"/>
    </row>
    <row r="845" spans="2:9" x14ac:dyDescent="0.2">
      <c r="B845" s="230">
        <v>44755</v>
      </c>
      <c r="C845" s="124">
        <v>292.25</v>
      </c>
      <c r="D845" s="156">
        <f t="shared" si="27"/>
        <v>1.1000795655031677E-2</v>
      </c>
      <c r="E845" s="156">
        <v>1.2582268679829655E-2</v>
      </c>
      <c r="F845" s="124">
        <v>839</v>
      </c>
      <c r="G845" s="238">
        <f t="shared" ca="1" si="28"/>
        <v>-4.598281349644167E-3</v>
      </c>
      <c r="I845" s="156"/>
    </row>
    <row r="846" spans="2:9" x14ac:dyDescent="0.2">
      <c r="B846" s="230">
        <v>44754</v>
      </c>
      <c r="C846" s="124">
        <v>290.91000000000003</v>
      </c>
      <c r="D846" s="156">
        <f t="shared" si="27"/>
        <v>-4.5851154833189906E-3</v>
      </c>
      <c r="E846" s="156">
        <v>1.2570356472795582E-2</v>
      </c>
      <c r="F846" s="124">
        <v>840</v>
      </c>
      <c r="G846" s="238">
        <f t="shared" ca="1" si="28"/>
        <v>-1.3941543326493978E-2</v>
      </c>
      <c r="I846" s="156"/>
    </row>
    <row r="847" spans="2:9" x14ac:dyDescent="0.2">
      <c r="B847" s="230">
        <v>44753</v>
      </c>
      <c r="C847" s="124">
        <v>293.19</v>
      </c>
      <c r="D847" s="156">
        <f t="shared" si="27"/>
        <v>7.8374755078889427E-3</v>
      </c>
      <c r="E847" s="156">
        <v>1.2561334641805703E-2</v>
      </c>
      <c r="F847" s="124">
        <v>841</v>
      </c>
      <c r="G847" s="238">
        <f t="shared" ca="1" si="28"/>
        <v>-1.8753615119325429E-2</v>
      </c>
      <c r="I847" s="156"/>
    </row>
    <row r="848" spans="2:9" x14ac:dyDescent="0.2">
      <c r="B848" s="230">
        <v>44750</v>
      </c>
      <c r="C848" s="124">
        <v>291.26</v>
      </c>
      <c r="D848" s="156">
        <f t="shared" si="27"/>
        <v>-6.5827620314472075E-3</v>
      </c>
      <c r="E848" s="156">
        <v>1.2557988995576639E-2</v>
      </c>
      <c r="F848" s="124">
        <v>842</v>
      </c>
      <c r="G848" s="238">
        <f t="shared" ca="1" si="28"/>
        <v>-7.7571606555200782E-3</v>
      </c>
      <c r="I848" s="156"/>
    </row>
    <row r="849" spans="2:9" x14ac:dyDescent="0.2">
      <c r="B849" s="230">
        <v>44749</v>
      </c>
      <c r="C849" s="124">
        <v>290.16000000000003</v>
      </c>
      <c r="D849" s="156">
        <f t="shared" si="27"/>
        <v>-3.7766943624252076E-3</v>
      </c>
      <c r="E849" s="156">
        <v>1.2554886973491669E-2</v>
      </c>
      <c r="F849" s="124">
        <v>843</v>
      </c>
      <c r="G849" s="238">
        <f t="shared" ca="1" si="28"/>
        <v>-1.3175710438700791E-2</v>
      </c>
      <c r="I849" s="156"/>
    </row>
    <row r="850" spans="2:9" x14ac:dyDescent="0.2">
      <c r="B850" s="230">
        <v>44748</v>
      </c>
      <c r="C850" s="124">
        <v>287.52999999999997</v>
      </c>
      <c r="D850" s="156">
        <f t="shared" si="27"/>
        <v>-9.0639647091261787E-3</v>
      </c>
      <c r="E850" s="156">
        <v>1.2512245079704221E-2</v>
      </c>
      <c r="F850" s="124">
        <v>844</v>
      </c>
      <c r="G850" s="238">
        <f t="shared" ca="1" si="28"/>
        <v>1.4150409023533867E-2</v>
      </c>
      <c r="I850" s="156"/>
    </row>
    <row r="851" spans="2:9" x14ac:dyDescent="0.2">
      <c r="B851" s="230">
        <v>44747</v>
      </c>
      <c r="C851" s="124">
        <v>285.14</v>
      </c>
      <c r="D851" s="156">
        <f t="shared" si="27"/>
        <v>-8.3121761207525704E-3</v>
      </c>
      <c r="E851" s="156">
        <v>1.2494981934965923E-2</v>
      </c>
      <c r="F851" s="124">
        <v>845</v>
      </c>
      <c r="G851" s="238">
        <f t="shared" ca="1" si="28"/>
        <v>1.6436891599355718E-3</v>
      </c>
      <c r="I851" s="156"/>
    </row>
    <row r="852" spans="2:9" x14ac:dyDescent="0.2">
      <c r="B852" s="230">
        <v>44746</v>
      </c>
      <c r="C852" s="124">
        <v>290.11</v>
      </c>
      <c r="D852" s="156">
        <f t="shared" si="27"/>
        <v>1.743003436908195E-2</v>
      </c>
      <c r="E852" s="156">
        <v>1.2472806381435815E-2</v>
      </c>
      <c r="F852" s="124">
        <v>846</v>
      </c>
      <c r="G852" s="238">
        <f t="shared" ca="1" si="28"/>
        <v>1.4077074701786249E-2</v>
      </c>
      <c r="I852" s="156"/>
    </row>
    <row r="853" spans="2:9" x14ac:dyDescent="0.2">
      <c r="B853" s="230">
        <v>44743</v>
      </c>
      <c r="C853" s="124">
        <v>282.61</v>
      </c>
      <c r="D853" s="156">
        <f t="shared" si="27"/>
        <v>-2.5852262934748887E-2</v>
      </c>
      <c r="E853" s="156">
        <v>1.2461059190031152E-2</v>
      </c>
      <c r="F853" s="124">
        <v>847</v>
      </c>
      <c r="G853" s="238">
        <f t="shared" ca="1" si="28"/>
        <v>-3.6510312847995354E-3</v>
      </c>
      <c r="I853" s="156"/>
    </row>
    <row r="854" spans="2:9" x14ac:dyDescent="0.2">
      <c r="B854" s="230">
        <v>44742</v>
      </c>
      <c r="C854" s="124">
        <v>271.83</v>
      </c>
      <c r="D854" s="156">
        <f t="shared" si="27"/>
        <v>-3.8144439333357025E-2</v>
      </c>
      <c r="E854" s="156">
        <v>1.2456084318109248E-2</v>
      </c>
      <c r="F854" s="124">
        <v>848</v>
      </c>
      <c r="G854" s="238">
        <f t="shared" ca="1" si="28"/>
        <v>-2.4875081075377246E-3</v>
      </c>
      <c r="I854" s="156"/>
    </row>
    <row r="855" spans="2:9" x14ac:dyDescent="0.2">
      <c r="B855" s="230">
        <v>44741</v>
      </c>
      <c r="C855" s="124">
        <v>272.37</v>
      </c>
      <c r="D855" s="156">
        <f t="shared" si="27"/>
        <v>1.9865357024611723E-3</v>
      </c>
      <c r="E855" s="156">
        <v>1.2437381240283277E-2</v>
      </c>
      <c r="F855" s="124">
        <v>849</v>
      </c>
      <c r="G855" s="238">
        <f t="shared" ca="1" si="28"/>
        <v>-3.9300125016547845E-2</v>
      </c>
      <c r="I855" s="156"/>
    </row>
    <row r="856" spans="2:9" x14ac:dyDescent="0.2">
      <c r="B856" s="230">
        <v>44740</v>
      </c>
      <c r="C856" s="124">
        <v>270.18</v>
      </c>
      <c r="D856" s="156">
        <f t="shared" si="27"/>
        <v>-8.0405330983588409E-3</v>
      </c>
      <c r="E856" s="156">
        <v>1.2415555961292594E-2</v>
      </c>
      <c r="F856" s="124">
        <v>850</v>
      </c>
      <c r="G856" s="238">
        <f t="shared" ca="1" si="28"/>
        <v>1.2219339934094709E-3</v>
      </c>
      <c r="I856" s="156"/>
    </row>
    <row r="857" spans="2:9" x14ac:dyDescent="0.2">
      <c r="B857" s="230">
        <v>44739</v>
      </c>
      <c r="C857" s="124">
        <v>268.3</v>
      </c>
      <c r="D857" s="156">
        <f t="shared" si="27"/>
        <v>-6.9583240802427839E-3</v>
      </c>
      <c r="E857" s="156">
        <v>1.2402241779785611E-2</v>
      </c>
      <c r="F857" s="124">
        <v>851</v>
      </c>
      <c r="G857" s="238">
        <f t="shared" ca="1" si="28"/>
        <v>2.9627409271221247E-2</v>
      </c>
      <c r="I857" s="156"/>
    </row>
    <row r="858" spans="2:9" x14ac:dyDescent="0.2">
      <c r="B858" s="230">
        <v>44736</v>
      </c>
      <c r="C858" s="124">
        <v>264.22000000000003</v>
      </c>
      <c r="D858" s="156">
        <f t="shared" si="27"/>
        <v>-1.52068579947819E-2</v>
      </c>
      <c r="E858" s="156">
        <v>1.2367183417523095E-2</v>
      </c>
      <c r="F858" s="124">
        <v>852</v>
      </c>
      <c r="G858" s="238">
        <f t="shared" ca="1" si="28"/>
        <v>8.1175413042855697E-3</v>
      </c>
      <c r="I858" s="156"/>
    </row>
    <row r="859" spans="2:9" x14ac:dyDescent="0.2">
      <c r="B859" s="230">
        <v>44735</v>
      </c>
      <c r="C859" s="124">
        <v>263.87</v>
      </c>
      <c r="D859" s="156">
        <f t="shared" si="27"/>
        <v>-1.3246536976762649E-3</v>
      </c>
      <c r="E859" s="156">
        <v>1.2350207874786039E-2</v>
      </c>
      <c r="F859" s="124">
        <v>853</v>
      </c>
      <c r="G859" s="238">
        <f t="shared" ca="1" si="28"/>
        <v>-1.9171844774266911E-2</v>
      </c>
      <c r="I859" s="156"/>
    </row>
    <row r="860" spans="2:9" x14ac:dyDescent="0.2">
      <c r="B860" s="230">
        <v>44734</v>
      </c>
      <c r="C860" s="124">
        <v>263.68</v>
      </c>
      <c r="D860" s="156">
        <f t="shared" si="27"/>
        <v>-7.2005154053131359E-4</v>
      </c>
      <c r="E860" s="156">
        <v>1.2323943661971882E-2</v>
      </c>
      <c r="F860" s="124">
        <v>854</v>
      </c>
      <c r="G860" s="238">
        <f t="shared" ca="1" si="28"/>
        <v>1.8452059523430177E-2</v>
      </c>
      <c r="I860" s="156"/>
    </row>
    <row r="861" spans="2:9" x14ac:dyDescent="0.2">
      <c r="B861" s="230">
        <v>44733</v>
      </c>
      <c r="C861" s="124">
        <v>268.25</v>
      </c>
      <c r="D861" s="156">
        <f t="shared" si="27"/>
        <v>1.7331614077669876E-2</v>
      </c>
      <c r="E861" s="156">
        <v>1.2302054704881531E-2</v>
      </c>
      <c r="F861" s="124">
        <v>855</v>
      </c>
      <c r="G861" s="238">
        <f t="shared" ca="1" si="28"/>
        <v>1.3318954635666786E-2</v>
      </c>
      <c r="I861" s="156"/>
    </row>
    <row r="862" spans="2:9" x14ac:dyDescent="0.2">
      <c r="B862" s="230">
        <v>44732</v>
      </c>
      <c r="C862" s="124">
        <v>262.48</v>
      </c>
      <c r="D862" s="156">
        <f t="shared" si="27"/>
        <v>-2.1509785647716613E-2</v>
      </c>
      <c r="E862" s="156">
        <v>1.2282930961456974E-2</v>
      </c>
      <c r="F862" s="124">
        <v>856</v>
      </c>
      <c r="G862" s="238">
        <f t="shared" ca="1" si="28"/>
        <v>-1.4237216600712548E-2</v>
      </c>
      <c r="I862" s="156"/>
    </row>
    <row r="863" spans="2:9" x14ac:dyDescent="0.2">
      <c r="B863" s="230">
        <v>44729</v>
      </c>
      <c r="C863" s="124">
        <v>261.69</v>
      </c>
      <c r="D863" s="156">
        <f t="shared" si="27"/>
        <v>-3.0097531240476242E-3</v>
      </c>
      <c r="E863" s="156">
        <v>1.2257912757115595E-2</v>
      </c>
      <c r="F863" s="124">
        <v>857</v>
      </c>
      <c r="G863" s="238">
        <f t="shared" ca="1" si="28"/>
        <v>9.2442230854122877E-3</v>
      </c>
      <c r="I863" s="156"/>
    </row>
    <row r="864" spans="2:9" x14ac:dyDescent="0.2">
      <c r="B864" s="230">
        <v>44728</v>
      </c>
      <c r="C864" s="124">
        <v>259.10000000000002</v>
      </c>
      <c r="D864" s="156">
        <f t="shared" si="27"/>
        <v>-9.8972066185179976E-3</v>
      </c>
      <c r="E864" s="156">
        <v>1.2236818427208921E-2</v>
      </c>
      <c r="F864" s="124">
        <v>858</v>
      </c>
      <c r="G864" s="238">
        <f t="shared" ca="1" si="28"/>
        <v>-3.0875711258798764E-2</v>
      </c>
      <c r="I864" s="156"/>
    </row>
    <row r="865" spans="2:9" x14ac:dyDescent="0.2">
      <c r="B865" s="230">
        <v>44727</v>
      </c>
      <c r="C865" s="124">
        <v>261.79000000000002</v>
      </c>
      <c r="D865" s="156">
        <f t="shared" si="27"/>
        <v>1.0382091856426081E-2</v>
      </c>
      <c r="E865" s="156">
        <v>1.223475434907279E-2</v>
      </c>
      <c r="F865" s="124">
        <v>859</v>
      </c>
      <c r="G865" s="238">
        <f t="shared" ca="1" si="28"/>
        <v>-6.9170114175459308E-3</v>
      </c>
      <c r="I865" s="156"/>
    </row>
    <row r="866" spans="2:9" x14ac:dyDescent="0.2">
      <c r="B866" s="230">
        <v>44726</v>
      </c>
      <c r="C866" s="124">
        <v>263.83</v>
      </c>
      <c r="D866" s="156">
        <f t="shared" si="27"/>
        <v>7.7925054432941036E-3</v>
      </c>
      <c r="E866" s="156">
        <v>1.223277909738712E-2</v>
      </c>
      <c r="F866" s="124">
        <v>860</v>
      </c>
      <c r="G866" s="238">
        <f t="shared" ca="1" si="28"/>
        <v>-3.6470233510419166E-3</v>
      </c>
      <c r="I866" s="156"/>
    </row>
    <row r="867" spans="2:9" x14ac:dyDescent="0.2">
      <c r="B867" s="230">
        <v>44725</v>
      </c>
      <c r="C867" s="124">
        <v>263.02999999999997</v>
      </c>
      <c r="D867" s="156">
        <f t="shared" si="27"/>
        <v>-3.0322556191487377E-3</v>
      </c>
      <c r="E867" s="156">
        <v>1.2223811061395848E-2</v>
      </c>
      <c r="F867" s="124">
        <v>861</v>
      </c>
      <c r="G867" s="238">
        <f t="shared" ca="1" si="28"/>
        <v>-1.3119823746770851E-3</v>
      </c>
      <c r="I867" s="156"/>
    </row>
    <row r="868" spans="2:9" x14ac:dyDescent="0.2">
      <c r="B868" s="230">
        <v>44722</v>
      </c>
      <c r="C868" s="124">
        <v>268.5</v>
      </c>
      <c r="D868" s="156">
        <f t="shared" si="27"/>
        <v>2.0796106907957374E-2</v>
      </c>
      <c r="E868" s="156">
        <v>1.2216071769421603E-2</v>
      </c>
      <c r="F868" s="124">
        <v>862</v>
      </c>
      <c r="G868" s="238">
        <f t="shared" ca="1" si="28"/>
        <v>-9.6969373599152149E-3</v>
      </c>
      <c r="I868" s="156"/>
    </row>
    <row r="869" spans="2:9" x14ac:dyDescent="0.2">
      <c r="B869" s="230">
        <v>44721</v>
      </c>
      <c r="C869" s="124">
        <v>269.19</v>
      </c>
      <c r="D869" s="156">
        <f t="shared" si="27"/>
        <v>2.5698324022346286E-3</v>
      </c>
      <c r="E869" s="156">
        <v>1.2210869712965238E-2</v>
      </c>
      <c r="F869" s="124">
        <v>863</v>
      </c>
      <c r="G869" s="238">
        <f t="shared" ca="1" si="28"/>
        <v>-1.4239503293399453E-2</v>
      </c>
      <c r="I869" s="156"/>
    </row>
    <row r="870" spans="2:9" x14ac:dyDescent="0.2">
      <c r="B870" s="230">
        <v>44720</v>
      </c>
      <c r="C870" s="124">
        <v>266.26</v>
      </c>
      <c r="D870" s="156">
        <f t="shared" si="27"/>
        <v>-1.0884505367955745E-2</v>
      </c>
      <c r="E870" s="156">
        <v>1.2207394443229018E-2</v>
      </c>
      <c r="F870" s="124">
        <v>864</v>
      </c>
      <c r="G870" s="238">
        <f t="shared" ca="1" si="28"/>
        <v>2.0155382844577518E-2</v>
      </c>
      <c r="I870" s="156"/>
    </row>
    <row r="871" spans="2:9" x14ac:dyDescent="0.2">
      <c r="B871" s="230">
        <v>44719</v>
      </c>
      <c r="C871" s="124">
        <v>272.22000000000003</v>
      </c>
      <c r="D871" s="156">
        <f t="shared" si="27"/>
        <v>2.2384135807105975E-2</v>
      </c>
      <c r="E871" s="156">
        <v>1.2196609342602758E-2</v>
      </c>
      <c r="F871" s="124">
        <v>865</v>
      </c>
      <c r="G871" s="238">
        <f t="shared" ca="1" si="28"/>
        <v>1.5804399595594598E-2</v>
      </c>
      <c r="I871" s="156"/>
    </row>
    <row r="872" spans="2:9" x14ac:dyDescent="0.2">
      <c r="B872" s="230">
        <v>44718</v>
      </c>
      <c r="C872" s="124">
        <v>273.12</v>
      </c>
      <c r="D872" s="156">
        <f t="shared" si="27"/>
        <v>3.3061494379545116E-3</v>
      </c>
      <c r="E872" s="156">
        <v>1.2188784428591736E-2</v>
      </c>
      <c r="F872" s="124">
        <v>866</v>
      </c>
      <c r="G872" s="238">
        <f t="shared" ca="1" si="28"/>
        <v>-4.7086956225958106E-2</v>
      </c>
      <c r="I872" s="156"/>
    </row>
    <row r="873" spans="2:9" x14ac:dyDescent="0.2">
      <c r="B873" s="230">
        <v>44715</v>
      </c>
      <c r="C873" s="124">
        <v>271.02999999999997</v>
      </c>
      <c r="D873" s="156">
        <f t="shared" si="27"/>
        <v>-7.6523140011717627E-3</v>
      </c>
      <c r="E873" s="156">
        <v>1.2174149167270084E-2</v>
      </c>
      <c r="F873" s="124">
        <v>867</v>
      </c>
      <c r="G873" s="238">
        <f t="shared" ca="1" si="28"/>
        <v>2.4033587477116911E-2</v>
      </c>
      <c r="I873" s="156"/>
    </row>
    <row r="874" spans="2:9" x14ac:dyDescent="0.2">
      <c r="B874" s="230">
        <v>44714</v>
      </c>
      <c r="C874" s="124">
        <v>271.83</v>
      </c>
      <c r="D874" s="156">
        <f t="shared" si="27"/>
        <v>2.9517027635317548E-3</v>
      </c>
      <c r="E874" s="156">
        <v>1.2170490444870239E-2</v>
      </c>
      <c r="F874" s="124">
        <v>868</v>
      </c>
      <c r="G874" s="238">
        <f t="shared" ca="1" si="28"/>
        <v>-1.4907971217575516E-2</v>
      </c>
      <c r="I874" s="156"/>
    </row>
    <row r="875" spans="2:9" x14ac:dyDescent="0.2">
      <c r="B875" s="230">
        <v>44713</v>
      </c>
      <c r="C875" s="124">
        <v>270.18</v>
      </c>
      <c r="D875" s="156">
        <f t="shared" si="27"/>
        <v>-6.0699702019643802E-3</v>
      </c>
      <c r="E875" s="156">
        <v>1.2155317951603968E-2</v>
      </c>
      <c r="F875" s="124">
        <v>869</v>
      </c>
      <c r="G875" s="238">
        <f t="shared" ca="1" si="28"/>
        <v>-7.4454246797367174E-3</v>
      </c>
      <c r="I875" s="156"/>
    </row>
    <row r="876" spans="2:9" x14ac:dyDescent="0.2">
      <c r="B876" s="230">
        <v>44712</v>
      </c>
      <c r="C876" s="124">
        <v>268.99</v>
      </c>
      <c r="D876" s="156">
        <f t="shared" si="27"/>
        <v>-4.4044710933451685E-3</v>
      </c>
      <c r="E876" s="156">
        <v>1.2154385964912235E-2</v>
      </c>
      <c r="F876" s="124">
        <v>870</v>
      </c>
      <c r="G876" s="238">
        <f t="shared" ca="1" si="28"/>
        <v>-3.1037184319488015E-3</v>
      </c>
      <c r="I876" s="156"/>
    </row>
    <row r="877" spans="2:9" x14ac:dyDescent="0.2">
      <c r="B877" s="230">
        <v>44711</v>
      </c>
      <c r="C877" s="124">
        <v>267.39999999999998</v>
      </c>
      <c r="D877" s="156">
        <f t="shared" si="27"/>
        <v>-5.9110004089372534E-3</v>
      </c>
      <c r="E877" s="156">
        <v>1.2150445719868171E-2</v>
      </c>
      <c r="F877" s="124">
        <v>871</v>
      </c>
      <c r="G877" s="238">
        <f t="shared" ca="1" si="28"/>
        <v>-1.4392598233252295E-2</v>
      </c>
      <c r="I877" s="156"/>
    </row>
    <row r="878" spans="2:9" x14ac:dyDescent="0.2">
      <c r="B878" s="230">
        <v>44708</v>
      </c>
      <c r="C878" s="124">
        <v>267.55</v>
      </c>
      <c r="D878" s="156">
        <f t="shared" si="27"/>
        <v>5.6095736724021735E-4</v>
      </c>
      <c r="E878" s="156">
        <v>1.2139966674601203E-2</v>
      </c>
      <c r="F878" s="124">
        <v>872</v>
      </c>
      <c r="G878" s="238">
        <f t="shared" ca="1" si="28"/>
        <v>-1.7575923721091916E-2</v>
      </c>
      <c r="I878" s="156"/>
    </row>
    <row r="879" spans="2:9" x14ac:dyDescent="0.2">
      <c r="B879" s="230">
        <v>44707</v>
      </c>
      <c r="C879" s="124">
        <v>265.07</v>
      </c>
      <c r="D879" s="156">
        <f t="shared" si="27"/>
        <v>-9.2692954587928165E-3</v>
      </c>
      <c r="E879" s="156">
        <v>1.2127697520955943E-2</v>
      </c>
      <c r="F879" s="124">
        <v>873</v>
      </c>
      <c r="G879" s="238">
        <f t="shared" ca="1" si="28"/>
        <v>-6.4181066557047724E-3</v>
      </c>
      <c r="I879" s="156"/>
    </row>
    <row r="880" spans="2:9" x14ac:dyDescent="0.2">
      <c r="B880" s="230">
        <v>44706</v>
      </c>
      <c r="C880" s="124">
        <v>271.02999999999997</v>
      </c>
      <c r="D880" s="156">
        <f t="shared" si="27"/>
        <v>2.2484626702380425E-2</v>
      </c>
      <c r="E880" s="156">
        <v>1.2113366313745455E-2</v>
      </c>
      <c r="F880" s="124">
        <v>874</v>
      </c>
      <c r="G880" s="238">
        <f t="shared" ca="1" si="28"/>
        <v>-1.8692173020900753E-2</v>
      </c>
      <c r="I880" s="156"/>
    </row>
    <row r="881" spans="2:9" x14ac:dyDescent="0.2">
      <c r="B881" s="230">
        <v>44705</v>
      </c>
      <c r="C881" s="124">
        <v>269.19</v>
      </c>
      <c r="D881" s="156">
        <f t="shared" si="27"/>
        <v>-6.7889163561228472E-3</v>
      </c>
      <c r="E881" s="156">
        <v>1.2079062957540306E-2</v>
      </c>
      <c r="F881" s="124">
        <v>875</v>
      </c>
      <c r="G881" s="238">
        <f t="shared" ca="1" si="28"/>
        <v>-2.2518779291831022E-3</v>
      </c>
      <c r="I881" s="156"/>
    </row>
    <row r="882" spans="2:9" x14ac:dyDescent="0.2">
      <c r="B882" s="230">
        <v>44704</v>
      </c>
      <c r="C882" s="124">
        <v>272.82</v>
      </c>
      <c r="D882" s="156">
        <f t="shared" si="27"/>
        <v>1.3484899141870038E-2</v>
      </c>
      <c r="E882" s="156">
        <v>1.2048192771084237E-2</v>
      </c>
      <c r="F882" s="124">
        <v>876</v>
      </c>
      <c r="G882" s="238">
        <f t="shared" ca="1" si="28"/>
        <v>1.1120515645899554E-2</v>
      </c>
      <c r="I882" s="156"/>
    </row>
    <row r="883" spans="2:9" x14ac:dyDescent="0.2">
      <c r="B883" s="230">
        <v>44701</v>
      </c>
      <c r="C883" s="124">
        <v>278.29000000000002</v>
      </c>
      <c r="D883" s="156">
        <f t="shared" si="27"/>
        <v>2.0049849717762729E-2</v>
      </c>
      <c r="E883" s="156">
        <v>1.2046148625721087E-2</v>
      </c>
      <c r="F883" s="124">
        <v>877</v>
      </c>
      <c r="G883" s="238">
        <f t="shared" ca="1" si="28"/>
        <v>-2.4194198579542945E-2</v>
      </c>
      <c r="I883" s="156"/>
    </row>
    <row r="884" spans="2:9" x14ac:dyDescent="0.2">
      <c r="B884" s="230">
        <v>44700</v>
      </c>
      <c r="C884" s="124">
        <v>273.95999999999998</v>
      </c>
      <c r="D884" s="156">
        <f t="shared" si="27"/>
        <v>-1.5559308634877433E-2</v>
      </c>
      <c r="E884" s="156">
        <v>1.2026548230949775E-2</v>
      </c>
      <c r="F884" s="124">
        <v>878</v>
      </c>
      <c r="G884" s="238">
        <f t="shared" ca="1" si="28"/>
        <v>-2.065301837180334E-2</v>
      </c>
      <c r="I884" s="156"/>
    </row>
    <row r="885" spans="2:9" x14ac:dyDescent="0.2">
      <c r="B885" s="230">
        <v>44699</v>
      </c>
      <c r="C885" s="124">
        <v>266.8</v>
      </c>
      <c r="D885" s="156">
        <f t="shared" si="27"/>
        <v>-2.6135202219301972E-2</v>
      </c>
      <c r="E885" s="156">
        <v>1.202519564802448E-2</v>
      </c>
      <c r="F885" s="124">
        <v>879</v>
      </c>
      <c r="G885" s="238">
        <f t="shared" ca="1" si="28"/>
        <v>8.801471604473074E-3</v>
      </c>
      <c r="I885" s="156"/>
    </row>
    <row r="886" spans="2:9" x14ac:dyDescent="0.2">
      <c r="B886" s="230">
        <v>44698</v>
      </c>
      <c r="C886" s="124">
        <v>264.7</v>
      </c>
      <c r="D886" s="156">
        <f t="shared" si="27"/>
        <v>-7.8710644677662013E-3</v>
      </c>
      <c r="E886" s="156">
        <v>1.2014016352411222E-2</v>
      </c>
      <c r="F886" s="124">
        <v>880</v>
      </c>
      <c r="G886" s="238">
        <f t="shared" ca="1" si="28"/>
        <v>-2.2226162976725937E-2</v>
      </c>
      <c r="I886" s="156"/>
    </row>
    <row r="887" spans="2:9" x14ac:dyDescent="0.2">
      <c r="B887" s="230">
        <v>44697</v>
      </c>
      <c r="C887" s="124">
        <v>254.1</v>
      </c>
      <c r="D887" s="156">
        <f t="shared" si="27"/>
        <v>-4.0045334340763107E-2</v>
      </c>
      <c r="E887" s="156">
        <v>1.1999999999999993E-2</v>
      </c>
      <c r="F887" s="124">
        <v>881</v>
      </c>
      <c r="G887" s="238">
        <f t="shared" ca="1" si="28"/>
        <v>-3.745503836202245E-2</v>
      </c>
      <c r="I887" s="156"/>
    </row>
    <row r="888" spans="2:9" x14ac:dyDescent="0.2">
      <c r="B888" s="230">
        <v>44694</v>
      </c>
      <c r="C888" s="124">
        <v>258.60000000000002</v>
      </c>
      <c r="D888" s="156">
        <f t="shared" si="27"/>
        <v>1.7709563164108731E-2</v>
      </c>
      <c r="E888" s="156">
        <v>1.199487597531153E-2</v>
      </c>
      <c r="F888" s="124">
        <v>882</v>
      </c>
      <c r="G888" s="238">
        <f t="shared" ca="1" si="28"/>
        <v>8.2079096646600208E-3</v>
      </c>
      <c r="I888" s="156"/>
    </row>
    <row r="889" spans="2:9" x14ac:dyDescent="0.2">
      <c r="B889" s="230">
        <v>44693</v>
      </c>
      <c r="C889" s="124">
        <v>251.35</v>
      </c>
      <c r="D889" s="156">
        <f t="shared" si="27"/>
        <v>-2.8035576179427795E-2</v>
      </c>
      <c r="E889" s="156">
        <v>1.1985505899842109E-2</v>
      </c>
      <c r="F889" s="124">
        <v>883</v>
      </c>
      <c r="G889" s="238">
        <f t="shared" ca="1" si="28"/>
        <v>3.1516152742832322E-2</v>
      </c>
      <c r="I889" s="156"/>
    </row>
    <row r="890" spans="2:9" x14ac:dyDescent="0.2">
      <c r="B890" s="230">
        <v>44692</v>
      </c>
      <c r="C890" s="124">
        <v>254.09</v>
      </c>
      <c r="D890" s="156">
        <f t="shared" si="27"/>
        <v>1.0901133877063892E-2</v>
      </c>
      <c r="E890" s="156">
        <v>1.198202695956058E-2</v>
      </c>
      <c r="F890" s="124">
        <v>884</v>
      </c>
      <c r="G890" s="238">
        <f t="shared" ca="1" si="28"/>
        <v>1.7013727272978625E-2</v>
      </c>
      <c r="I890" s="156"/>
    </row>
    <row r="891" spans="2:9" x14ac:dyDescent="0.2">
      <c r="B891" s="230">
        <v>44691</v>
      </c>
      <c r="C891" s="124">
        <v>259.75</v>
      </c>
      <c r="D891" s="156">
        <f t="shared" si="27"/>
        <v>2.2275571647841302E-2</v>
      </c>
      <c r="E891" s="156">
        <v>1.1981787682722261E-2</v>
      </c>
      <c r="F891" s="124">
        <v>885</v>
      </c>
      <c r="G891" s="238">
        <f t="shared" ca="1" si="28"/>
        <v>1.1564106588467843E-2</v>
      </c>
      <c r="I891" s="156"/>
    </row>
    <row r="892" spans="2:9" x14ac:dyDescent="0.2">
      <c r="B892" s="230">
        <v>44690</v>
      </c>
      <c r="C892" s="124">
        <v>261.33999999999997</v>
      </c>
      <c r="D892" s="156">
        <f t="shared" si="27"/>
        <v>6.12127045235794E-3</v>
      </c>
      <c r="E892" s="156">
        <v>1.1974909712982236E-2</v>
      </c>
      <c r="F892" s="124">
        <v>886</v>
      </c>
      <c r="G892" s="238">
        <f t="shared" ca="1" si="28"/>
        <v>8.363417904437731E-3</v>
      </c>
      <c r="I892" s="156"/>
    </row>
    <row r="893" spans="2:9" x14ac:dyDescent="0.2">
      <c r="B893" s="230">
        <v>44687</v>
      </c>
      <c r="C893" s="124">
        <v>266.64999999999998</v>
      </c>
      <c r="D893" s="156">
        <f t="shared" si="27"/>
        <v>2.0318359225529971E-2</v>
      </c>
      <c r="E893" s="156">
        <v>1.1952861952861967E-2</v>
      </c>
      <c r="F893" s="124">
        <v>887</v>
      </c>
      <c r="G893" s="238">
        <f t="shared" ca="1" si="28"/>
        <v>4.9876935693331055E-3</v>
      </c>
      <c r="I893" s="156"/>
    </row>
    <row r="894" spans="2:9" x14ac:dyDescent="0.2">
      <c r="B894" s="230">
        <v>44686</v>
      </c>
      <c r="C894" s="124">
        <v>262.05</v>
      </c>
      <c r="D894" s="156">
        <f t="shared" ref="D894:D957" si="29">(C894-C893)/C893</f>
        <v>-1.7251078192386898E-2</v>
      </c>
      <c r="E894" s="156">
        <v>1.1952191235059667E-2</v>
      </c>
      <c r="F894" s="124">
        <v>888</v>
      </c>
      <c r="G894" s="238">
        <f t="shared" ca="1" si="28"/>
        <v>-3.1127844968613302E-2</v>
      </c>
      <c r="I894" s="156"/>
    </row>
    <row r="895" spans="2:9" x14ac:dyDescent="0.2">
      <c r="B895" s="230">
        <v>44685</v>
      </c>
      <c r="C895" s="124">
        <v>259.75</v>
      </c>
      <c r="D895" s="156">
        <f t="shared" si="29"/>
        <v>-8.7769509635566168E-3</v>
      </c>
      <c r="E895" s="156">
        <v>1.1931917880329877E-2</v>
      </c>
      <c r="F895" s="124">
        <v>889</v>
      </c>
      <c r="G895" s="238">
        <f t="shared" ca="1" si="28"/>
        <v>1.1710697810107407E-2</v>
      </c>
      <c r="I895" s="156"/>
    </row>
    <row r="896" spans="2:9" x14ac:dyDescent="0.2">
      <c r="B896" s="230">
        <v>44683</v>
      </c>
      <c r="C896" s="124">
        <v>263.14999999999998</v>
      </c>
      <c r="D896" s="156">
        <f t="shared" si="29"/>
        <v>1.3089509143407035E-2</v>
      </c>
      <c r="E896" s="156">
        <v>1.1930688381782076E-2</v>
      </c>
      <c r="F896" s="124">
        <v>890</v>
      </c>
      <c r="G896" s="238">
        <f t="shared" ca="1" si="28"/>
        <v>4.3258650696731236E-4</v>
      </c>
      <c r="I896" s="156"/>
    </row>
    <row r="897" spans="2:9" x14ac:dyDescent="0.2">
      <c r="B897" s="230">
        <v>44680</v>
      </c>
      <c r="C897" s="124">
        <v>259.55</v>
      </c>
      <c r="D897" s="156">
        <f t="shared" si="29"/>
        <v>-1.368041041231224E-2</v>
      </c>
      <c r="E897" s="156">
        <v>1.1917611081129596E-2</v>
      </c>
      <c r="F897" s="124">
        <v>891</v>
      </c>
      <c r="G897" s="238">
        <f t="shared" ca="1" si="28"/>
        <v>-2.2861150189663473E-2</v>
      </c>
      <c r="I897" s="156"/>
    </row>
    <row r="898" spans="2:9" x14ac:dyDescent="0.2">
      <c r="B898" s="230">
        <v>44679</v>
      </c>
      <c r="C898" s="124">
        <v>261.10000000000002</v>
      </c>
      <c r="D898" s="156">
        <f t="shared" si="29"/>
        <v>5.9718743979965761E-3</v>
      </c>
      <c r="E898" s="156">
        <v>1.1904761904761934E-2</v>
      </c>
      <c r="F898" s="124">
        <v>892</v>
      </c>
      <c r="G898" s="238">
        <f t="shared" ca="1" si="28"/>
        <v>4.9435741731253275E-3</v>
      </c>
      <c r="I898" s="156"/>
    </row>
    <row r="899" spans="2:9" x14ac:dyDescent="0.2">
      <c r="B899" s="230">
        <v>44678</v>
      </c>
      <c r="C899" s="124">
        <v>257.5</v>
      </c>
      <c r="D899" s="156">
        <f t="shared" si="29"/>
        <v>-1.3787820758330228E-2</v>
      </c>
      <c r="E899" s="156">
        <v>1.1902929557231509E-2</v>
      </c>
      <c r="F899" s="124">
        <v>893</v>
      </c>
      <c r="G899" s="238">
        <f t="shared" ca="1" si="28"/>
        <v>1.2529295003639881E-2</v>
      </c>
      <c r="I899" s="156"/>
    </row>
    <row r="900" spans="2:9" x14ac:dyDescent="0.2">
      <c r="B900" s="230">
        <v>44677</v>
      </c>
      <c r="C900" s="124">
        <v>258.95</v>
      </c>
      <c r="D900" s="156">
        <f t="shared" si="29"/>
        <v>5.6310679611650044E-3</v>
      </c>
      <c r="E900" s="156">
        <v>1.1891891891891831E-2</v>
      </c>
      <c r="F900" s="124">
        <v>894</v>
      </c>
      <c r="G900" s="238">
        <f t="shared" ca="1" si="28"/>
        <v>4.2275763238116947E-3</v>
      </c>
      <c r="I900" s="156"/>
    </row>
    <row r="901" spans="2:9" x14ac:dyDescent="0.2">
      <c r="B901" s="230">
        <v>44676</v>
      </c>
      <c r="C901" s="124">
        <v>255.25</v>
      </c>
      <c r="D901" s="156">
        <f t="shared" si="29"/>
        <v>-1.4288472678123146E-2</v>
      </c>
      <c r="E901" s="156">
        <v>1.1889704022261544E-2</v>
      </c>
      <c r="F901" s="124">
        <v>895</v>
      </c>
      <c r="G901" s="238">
        <f t="shared" ca="1" si="28"/>
        <v>-3.1190129693868074E-3</v>
      </c>
      <c r="I901" s="156"/>
    </row>
    <row r="902" spans="2:9" x14ac:dyDescent="0.2">
      <c r="B902" s="230">
        <v>44673</v>
      </c>
      <c r="C902" s="124">
        <v>261.10000000000002</v>
      </c>
      <c r="D902" s="156">
        <f t="shared" si="29"/>
        <v>2.2918707149853175E-2</v>
      </c>
      <c r="E902" s="156">
        <v>1.1878420868755048E-2</v>
      </c>
      <c r="F902" s="124">
        <v>896</v>
      </c>
      <c r="G902" s="238">
        <f t="shared" ca="1" si="28"/>
        <v>-1.0155904530427884E-2</v>
      </c>
      <c r="I902" s="156"/>
    </row>
    <row r="903" spans="2:9" x14ac:dyDescent="0.2">
      <c r="B903" s="230">
        <v>44672</v>
      </c>
      <c r="C903" s="124">
        <v>260.39999999999998</v>
      </c>
      <c r="D903" s="156">
        <f t="shared" si="29"/>
        <v>-2.6809651474532571E-3</v>
      </c>
      <c r="E903" s="156">
        <v>1.1853668506029045E-2</v>
      </c>
      <c r="F903" s="124">
        <v>897</v>
      </c>
      <c r="G903" s="238">
        <f t="shared" ref="G903:G966" ca="1" si="30">_xlfn.NORM.INV(RAND(),$L$8,$L$9)</f>
        <v>1.5199124157531309E-3</v>
      </c>
      <c r="I903" s="156"/>
    </row>
    <row r="904" spans="2:9" x14ac:dyDescent="0.2">
      <c r="B904" s="230">
        <v>44671</v>
      </c>
      <c r="C904" s="124">
        <v>259.55</v>
      </c>
      <c r="D904" s="156">
        <f t="shared" si="29"/>
        <v>-3.264208909370069E-3</v>
      </c>
      <c r="E904" s="156">
        <v>1.1835987036776151E-2</v>
      </c>
      <c r="F904" s="124">
        <v>898</v>
      </c>
      <c r="G904" s="238">
        <f t="shared" ca="1" si="30"/>
        <v>-2.0975670479934514E-2</v>
      </c>
      <c r="I904" s="156"/>
    </row>
    <row r="905" spans="2:9" x14ac:dyDescent="0.2">
      <c r="B905" s="230">
        <v>44670</v>
      </c>
      <c r="C905" s="124">
        <v>261.55</v>
      </c>
      <c r="D905" s="156">
        <f t="shared" si="29"/>
        <v>7.7056443845116545E-3</v>
      </c>
      <c r="E905" s="156">
        <v>1.1801769053677462E-2</v>
      </c>
      <c r="F905" s="124">
        <v>899</v>
      </c>
      <c r="G905" s="238">
        <f t="shared" ca="1" si="30"/>
        <v>8.4613037245171527E-3</v>
      </c>
      <c r="I905" s="156"/>
    </row>
    <row r="906" spans="2:9" x14ac:dyDescent="0.2">
      <c r="B906" s="230">
        <v>44669</v>
      </c>
      <c r="C906" s="124">
        <v>268.45</v>
      </c>
      <c r="D906" s="156">
        <f t="shared" si="29"/>
        <v>2.6381189065188212E-2</v>
      </c>
      <c r="E906" s="156">
        <v>1.1794439764111132E-2</v>
      </c>
      <c r="F906" s="124">
        <v>900</v>
      </c>
      <c r="G906" s="238">
        <f t="shared" ca="1" si="30"/>
        <v>-7.0971120746371958E-3</v>
      </c>
      <c r="I906" s="156"/>
    </row>
    <row r="907" spans="2:9" x14ac:dyDescent="0.2">
      <c r="B907" s="230">
        <v>44664</v>
      </c>
      <c r="C907" s="124">
        <v>269.55</v>
      </c>
      <c r="D907" s="156">
        <f t="shared" si="29"/>
        <v>4.0975973179363861E-3</v>
      </c>
      <c r="E907" s="156">
        <v>1.1764110607938964E-2</v>
      </c>
      <c r="F907" s="124">
        <v>901</v>
      </c>
      <c r="G907" s="238">
        <f t="shared" ca="1" si="30"/>
        <v>4.7101310516338993E-2</v>
      </c>
      <c r="I907" s="156"/>
    </row>
    <row r="908" spans="2:9" x14ac:dyDescent="0.2">
      <c r="B908" s="230">
        <v>44663</v>
      </c>
      <c r="C908" s="124">
        <v>263.18</v>
      </c>
      <c r="D908" s="156">
        <f t="shared" si="29"/>
        <v>-2.3631979224633663E-2</v>
      </c>
      <c r="E908" s="156">
        <v>1.1758118701007967E-2</v>
      </c>
      <c r="F908" s="124">
        <v>902</v>
      </c>
      <c r="G908" s="238">
        <f t="shared" ca="1" si="30"/>
        <v>2.0856299186822504E-3</v>
      </c>
      <c r="I908" s="156"/>
    </row>
    <row r="909" spans="2:9" x14ac:dyDescent="0.2">
      <c r="B909" s="230">
        <v>44662</v>
      </c>
      <c r="C909" s="124">
        <v>267.5</v>
      </c>
      <c r="D909" s="156">
        <f t="shared" si="29"/>
        <v>1.641462117182154E-2</v>
      </c>
      <c r="E909" s="156">
        <v>1.1757802802915707E-2</v>
      </c>
      <c r="F909" s="124">
        <v>903</v>
      </c>
      <c r="G909" s="238">
        <f t="shared" ca="1" si="30"/>
        <v>4.9047735362268158E-3</v>
      </c>
      <c r="I909" s="156"/>
    </row>
    <row r="910" spans="2:9" x14ac:dyDescent="0.2">
      <c r="B910" s="230">
        <v>44659</v>
      </c>
      <c r="C910" s="124">
        <v>266.16000000000003</v>
      </c>
      <c r="D910" s="156">
        <f t="shared" si="29"/>
        <v>-5.0093457943924296E-3</v>
      </c>
      <c r="E910" s="156">
        <v>1.1757263764069423E-2</v>
      </c>
      <c r="F910" s="124">
        <v>904</v>
      </c>
      <c r="G910" s="238">
        <f t="shared" ca="1" si="30"/>
        <v>-2.1776498928718413E-2</v>
      </c>
      <c r="I910" s="156"/>
    </row>
    <row r="911" spans="2:9" x14ac:dyDescent="0.2">
      <c r="B911" s="230">
        <v>44658</v>
      </c>
      <c r="C911" s="124">
        <v>256.64999999999998</v>
      </c>
      <c r="D911" s="156">
        <f t="shared" si="29"/>
        <v>-3.5730387736699905E-2</v>
      </c>
      <c r="E911" s="156">
        <v>1.1735639283508324E-2</v>
      </c>
      <c r="F911" s="124">
        <v>905</v>
      </c>
      <c r="G911" s="238">
        <f t="shared" ca="1" si="30"/>
        <v>-2.5375411759733691E-3</v>
      </c>
      <c r="I911" s="156"/>
    </row>
    <row r="912" spans="2:9" x14ac:dyDescent="0.2">
      <c r="B912" s="230">
        <v>44657</v>
      </c>
      <c r="C912" s="124">
        <v>259.60000000000002</v>
      </c>
      <c r="D912" s="156">
        <f t="shared" si="29"/>
        <v>1.1494252873563397E-2</v>
      </c>
      <c r="E912" s="156">
        <v>1.1721999546245266E-2</v>
      </c>
      <c r="F912" s="124">
        <v>906</v>
      </c>
      <c r="G912" s="238">
        <f t="shared" ca="1" si="30"/>
        <v>1.1101162719485188E-2</v>
      </c>
      <c r="I912" s="156"/>
    </row>
    <row r="913" spans="2:9" x14ac:dyDescent="0.2">
      <c r="B913" s="230">
        <v>44656</v>
      </c>
      <c r="C913" s="124">
        <v>259.45</v>
      </c>
      <c r="D913" s="156">
        <f t="shared" si="29"/>
        <v>-5.7781201849011594E-4</v>
      </c>
      <c r="E913" s="156">
        <v>1.1721208307111462E-2</v>
      </c>
      <c r="F913" s="124">
        <v>907</v>
      </c>
      <c r="G913" s="238">
        <f t="shared" ca="1" si="30"/>
        <v>3.0079106908816062E-2</v>
      </c>
      <c r="I913" s="156"/>
    </row>
    <row r="914" spans="2:9" x14ac:dyDescent="0.2">
      <c r="B914" s="230">
        <v>44655</v>
      </c>
      <c r="C914" s="124">
        <v>255.45</v>
      </c>
      <c r="D914" s="156">
        <f t="shared" si="29"/>
        <v>-1.5417228753131625E-2</v>
      </c>
      <c r="E914" s="156">
        <v>1.1706278822277573E-2</v>
      </c>
      <c r="F914" s="124">
        <v>908</v>
      </c>
      <c r="G914" s="238">
        <f t="shared" ca="1" si="30"/>
        <v>-4.4457299173058882E-3</v>
      </c>
      <c r="I914" s="156"/>
    </row>
    <row r="915" spans="2:9" x14ac:dyDescent="0.2">
      <c r="B915" s="230">
        <v>44652</v>
      </c>
      <c r="C915" s="124">
        <v>253.3</v>
      </c>
      <c r="D915" s="156">
        <f t="shared" si="29"/>
        <v>-8.4165198669014576E-3</v>
      </c>
      <c r="E915" s="156">
        <v>1.1688019779725884E-2</v>
      </c>
      <c r="F915" s="124">
        <v>909</v>
      </c>
      <c r="G915" s="238">
        <f t="shared" ca="1" si="30"/>
        <v>-1.5179569897054108E-2</v>
      </c>
      <c r="I915" s="156"/>
    </row>
    <row r="916" spans="2:9" x14ac:dyDescent="0.2">
      <c r="B916" s="230">
        <v>44651</v>
      </c>
      <c r="C916" s="124">
        <v>250.65</v>
      </c>
      <c r="D916" s="156">
        <f t="shared" si="29"/>
        <v>-1.0461902881958174E-2</v>
      </c>
      <c r="E916" s="156">
        <v>1.1677378473793847E-2</v>
      </c>
      <c r="F916" s="124">
        <v>910</v>
      </c>
      <c r="G916" s="238">
        <f t="shared" ca="1" si="30"/>
        <v>-9.7519869753441239E-3</v>
      </c>
      <c r="I916" s="156"/>
    </row>
    <row r="917" spans="2:9" x14ac:dyDescent="0.2">
      <c r="B917" s="230">
        <v>44650</v>
      </c>
      <c r="C917" s="124">
        <v>249.2</v>
      </c>
      <c r="D917" s="156">
        <f t="shared" si="29"/>
        <v>-5.7849591063236262E-3</v>
      </c>
      <c r="E917" s="156">
        <v>1.1672278338945023E-2</v>
      </c>
      <c r="F917" s="124">
        <v>911</v>
      </c>
      <c r="G917" s="238">
        <f t="shared" ca="1" si="30"/>
        <v>3.6520073849379883E-3</v>
      </c>
      <c r="I917" s="156"/>
    </row>
    <row r="918" spans="2:9" x14ac:dyDescent="0.2">
      <c r="B918" s="230">
        <v>44649</v>
      </c>
      <c r="C918" s="124">
        <v>254.6</v>
      </c>
      <c r="D918" s="156">
        <f t="shared" si="29"/>
        <v>2.1669341894061018E-2</v>
      </c>
      <c r="E918" s="156">
        <v>1.1665586519766669E-2</v>
      </c>
      <c r="F918" s="124">
        <v>912</v>
      </c>
      <c r="G918" s="238">
        <f t="shared" ca="1" si="30"/>
        <v>2.0512906241098791E-2</v>
      </c>
      <c r="I918" s="156"/>
    </row>
    <row r="919" spans="2:9" x14ac:dyDescent="0.2">
      <c r="B919" s="230">
        <v>44648</v>
      </c>
      <c r="C919" s="124">
        <v>257.05</v>
      </c>
      <c r="D919" s="156">
        <f t="shared" si="29"/>
        <v>9.6229379418696671E-3</v>
      </c>
      <c r="E919" s="156">
        <v>1.1645813282001864E-2</v>
      </c>
      <c r="F919" s="124">
        <v>913</v>
      </c>
      <c r="G919" s="238">
        <f t="shared" ca="1" si="30"/>
        <v>1.4491916225124015E-3</v>
      </c>
      <c r="I919" s="156"/>
    </row>
    <row r="920" spans="2:9" x14ac:dyDescent="0.2">
      <c r="B920" s="230">
        <v>44645</v>
      </c>
      <c r="C920" s="124">
        <v>253.35</v>
      </c>
      <c r="D920" s="156">
        <f t="shared" si="29"/>
        <v>-1.4394086753549959E-2</v>
      </c>
      <c r="E920" s="156">
        <v>1.1627906976744075E-2</v>
      </c>
      <c r="F920" s="124">
        <v>914</v>
      </c>
      <c r="G920" s="238">
        <f t="shared" ca="1" si="30"/>
        <v>4.140538859856345E-3</v>
      </c>
      <c r="I920" s="156"/>
    </row>
    <row r="921" spans="2:9" x14ac:dyDescent="0.2">
      <c r="B921" s="230">
        <v>44644</v>
      </c>
      <c r="C921" s="124">
        <v>254.85</v>
      </c>
      <c r="D921" s="156">
        <f t="shared" si="29"/>
        <v>5.920663114268798E-3</v>
      </c>
      <c r="E921" s="156">
        <v>1.1613614207603868E-2</v>
      </c>
      <c r="F921" s="124">
        <v>915</v>
      </c>
      <c r="G921" s="238">
        <f t="shared" ca="1" si="30"/>
        <v>3.8130518783358019E-2</v>
      </c>
      <c r="I921" s="156"/>
    </row>
    <row r="922" spans="2:9" x14ac:dyDescent="0.2">
      <c r="B922" s="230">
        <v>44643</v>
      </c>
      <c r="C922" s="124">
        <v>252</v>
      </c>
      <c r="D922" s="156">
        <f t="shared" si="29"/>
        <v>-1.1183048852266017E-2</v>
      </c>
      <c r="E922" s="156">
        <v>1.1575714623198624E-2</v>
      </c>
      <c r="F922" s="124">
        <v>916</v>
      </c>
      <c r="G922" s="238">
        <f t="shared" ca="1" si="30"/>
        <v>-2.127886540609763E-3</v>
      </c>
      <c r="I922" s="156"/>
    </row>
    <row r="923" spans="2:9" x14ac:dyDescent="0.2">
      <c r="B923" s="230">
        <v>44642</v>
      </c>
      <c r="C923" s="124">
        <v>249.75</v>
      </c>
      <c r="D923" s="156">
        <f t="shared" si="29"/>
        <v>-8.9285714285714281E-3</v>
      </c>
      <c r="E923" s="156">
        <v>1.1568123393316242E-2</v>
      </c>
      <c r="F923" s="124">
        <v>917</v>
      </c>
      <c r="G923" s="238">
        <f t="shared" ca="1" si="30"/>
        <v>6.2162470404738849E-3</v>
      </c>
      <c r="I923" s="156"/>
    </row>
    <row r="924" spans="2:9" x14ac:dyDescent="0.2">
      <c r="B924" s="230">
        <v>44641</v>
      </c>
      <c r="C924" s="124">
        <v>244.5</v>
      </c>
      <c r="D924" s="156">
        <f t="shared" si="29"/>
        <v>-2.1021021021021023E-2</v>
      </c>
      <c r="E924" s="156">
        <v>1.1531190926276035E-2</v>
      </c>
      <c r="F924" s="124">
        <v>918</v>
      </c>
      <c r="G924" s="238">
        <f t="shared" ca="1" si="30"/>
        <v>1.1210111826798303E-2</v>
      </c>
      <c r="I924" s="156"/>
    </row>
    <row r="925" spans="2:9" x14ac:dyDescent="0.2">
      <c r="B925" s="230">
        <v>44637</v>
      </c>
      <c r="C925" s="124">
        <v>244.9</v>
      </c>
      <c r="D925" s="156">
        <f t="shared" si="29"/>
        <v>1.635991820040923E-3</v>
      </c>
      <c r="E925" s="156">
        <v>1.1526525786907065E-2</v>
      </c>
      <c r="F925" s="124">
        <v>919</v>
      </c>
      <c r="G925" s="238">
        <f t="shared" ca="1" si="30"/>
        <v>7.1784911279465886E-3</v>
      </c>
      <c r="I925" s="156"/>
    </row>
    <row r="926" spans="2:9" x14ac:dyDescent="0.2">
      <c r="B926" s="230">
        <v>44636</v>
      </c>
      <c r="C926" s="124">
        <v>242.6</v>
      </c>
      <c r="D926" s="156">
        <f t="shared" si="29"/>
        <v>-9.3915884034300179E-3</v>
      </c>
      <c r="E926" s="156">
        <v>1.1520737327188939E-2</v>
      </c>
      <c r="F926" s="124">
        <v>920</v>
      </c>
      <c r="G926" s="238">
        <f t="shared" ca="1" si="30"/>
        <v>-2.9423247817797968E-2</v>
      </c>
      <c r="I926" s="156"/>
    </row>
    <row r="927" spans="2:9" x14ac:dyDescent="0.2">
      <c r="B927" s="230">
        <v>44635</v>
      </c>
      <c r="C927" s="124">
        <v>237.85</v>
      </c>
      <c r="D927" s="156">
        <f t="shared" si="29"/>
        <v>-1.9579554822753503E-2</v>
      </c>
      <c r="E927" s="156">
        <v>1.1518872864010602E-2</v>
      </c>
      <c r="F927" s="124">
        <v>921</v>
      </c>
      <c r="G927" s="238">
        <f t="shared" ca="1" si="30"/>
        <v>-4.0270894592674758E-3</v>
      </c>
      <c r="I927" s="156"/>
    </row>
    <row r="928" spans="2:9" x14ac:dyDescent="0.2">
      <c r="B928" s="230">
        <v>44634</v>
      </c>
      <c r="C928" s="124">
        <v>239</v>
      </c>
      <c r="D928" s="156">
        <f t="shared" si="29"/>
        <v>4.8349800294303375E-3</v>
      </c>
      <c r="E928" s="156">
        <v>1.1494252873563397E-2</v>
      </c>
      <c r="F928" s="124">
        <v>922</v>
      </c>
      <c r="G928" s="238">
        <f t="shared" ca="1" si="30"/>
        <v>2.2297939032940337E-2</v>
      </c>
      <c r="I928" s="156"/>
    </row>
    <row r="929" spans="2:9" x14ac:dyDescent="0.2">
      <c r="B929" s="230">
        <v>44631</v>
      </c>
      <c r="C929" s="124">
        <v>236.35</v>
      </c>
      <c r="D929" s="156">
        <f t="shared" si="29"/>
        <v>-1.1087866108786634E-2</v>
      </c>
      <c r="E929" s="156">
        <v>1.1494252873563371E-2</v>
      </c>
      <c r="F929" s="124">
        <v>923</v>
      </c>
      <c r="G929" s="238">
        <f t="shared" ca="1" si="30"/>
        <v>2.3202035387296167E-2</v>
      </c>
      <c r="I929" s="156"/>
    </row>
    <row r="930" spans="2:9" x14ac:dyDescent="0.2">
      <c r="B930" s="230">
        <v>44630</v>
      </c>
      <c r="C930" s="124">
        <v>232</v>
      </c>
      <c r="D930" s="156">
        <f t="shared" si="29"/>
        <v>-1.84049079754601E-2</v>
      </c>
      <c r="E930" s="156">
        <v>1.1493668311040995E-2</v>
      </c>
      <c r="F930" s="124">
        <v>924</v>
      </c>
      <c r="G930" s="238">
        <f t="shared" ca="1" si="30"/>
        <v>4.9996297389204069E-3</v>
      </c>
      <c r="I930" s="156"/>
    </row>
    <row r="931" spans="2:9" x14ac:dyDescent="0.2">
      <c r="B931" s="230">
        <v>44629</v>
      </c>
      <c r="C931" s="124">
        <v>229.25</v>
      </c>
      <c r="D931" s="156">
        <f t="shared" si="29"/>
        <v>-1.1853448275862068E-2</v>
      </c>
      <c r="E931" s="156">
        <v>1.1478163493841049E-2</v>
      </c>
      <c r="F931" s="124">
        <v>925</v>
      </c>
      <c r="G931" s="238">
        <f t="shared" ca="1" si="30"/>
        <v>-3.3535343962986714E-3</v>
      </c>
      <c r="I931" s="156"/>
    </row>
    <row r="932" spans="2:9" x14ac:dyDescent="0.2">
      <c r="B932" s="230">
        <v>44628</v>
      </c>
      <c r="C932" s="124">
        <v>226.9</v>
      </c>
      <c r="D932" s="156">
        <f t="shared" si="29"/>
        <v>-1.0250817884405647E-2</v>
      </c>
      <c r="E932" s="156">
        <v>1.1469378922311089E-2</v>
      </c>
      <c r="F932" s="124">
        <v>926</v>
      </c>
      <c r="G932" s="238">
        <f t="shared" ca="1" si="30"/>
        <v>-1.6540739028183003E-2</v>
      </c>
      <c r="I932" s="156"/>
    </row>
    <row r="933" spans="2:9" x14ac:dyDescent="0.2">
      <c r="B933" s="230">
        <v>44627</v>
      </c>
      <c r="C933" s="124">
        <v>224.95</v>
      </c>
      <c r="D933" s="156">
        <f t="shared" si="29"/>
        <v>-8.5940943146761446E-3</v>
      </c>
      <c r="E933" s="156">
        <v>1.1452218265806925E-2</v>
      </c>
      <c r="F933" s="124">
        <v>927</v>
      </c>
      <c r="G933" s="238">
        <f t="shared" ca="1" si="30"/>
        <v>-2.6236084833275802E-2</v>
      </c>
      <c r="I933" s="156"/>
    </row>
    <row r="934" spans="2:9" x14ac:dyDescent="0.2">
      <c r="B934" s="230">
        <v>44624</v>
      </c>
      <c r="C934" s="124">
        <v>225.5</v>
      </c>
      <c r="D934" s="156">
        <f t="shared" si="29"/>
        <v>2.4449877750611754E-3</v>
      </c>
      <c r="E934" s="156">
        <v>1.1445756093181972E-2</v>
      </c>
      <c r="F934" s="124">
        <v>928</v>
      </c>
      <c r="G934" s="238">
        <f t="shared" ca="1" si="30"/>
        <v>-1.2587952339810922E-2</v>
      </c>
      <c r="I934" s="156"/>
    </row>
    <row r="935" spans="2:9" x14ac:dyDescent="0.2">
      <c r="B935" s="230">
        <v>44623</v>
      </c>
      <c r="C935" s="124">
        <v>219.4</v>
      </c>
      <c r="D935" s="156">
        <f t="shared" si="29"/>
        <v>-2.7050997782705075E-2</v>
      </c>
      <c r="E935" s="156">
        <v>1.1429961089494137E-2</v>
      </c>
      <c r="F935" s="124">
        <v>929</v>
      </c>
      <c r="G935" s="238">
        <f t="shared" ca="1" si="30"/>
        <v>-5.5223829022593368E-3</v>
      </c>
      <c r="I935" s="156"/>
    </row>
    <row r="936" spans="2:9" x14ac:dyDescent="0.2">
      <c r="B936" s="230">
        <v>44622</v>
      </c>
      <c r="C936" s="124">
        <v>215.3</v>
      </c>
      <c r="D936" s="156">
        <f t="shared" si="29"/>
        <v>-1.8687329079307174E-2</v>
      </c>
      <c r="E936" s="156">
        <v>1.1398221638718127E-2</v>
      </c>
      <c r="F936" s="124">
        <v>930</v>
      </c>
      <c r="G936" s="238">
        <f t="shared" ca="1" si="30"/>
        <v>-7.7675181580611529E-3</v>
      </c>
      <c r="I936" s="156"/>
    </row>
    <row r="937" spans="2:9" x14ac:dyDescent="0.2">
      <c r="B937" s="230">
        <v>44620</v>
      </c>
      <c r="C937" s="124">
        <v>215.85</v>
      </c>
      <c r="D937" s="156">
        <f t="shared" si="29"/>
        <v>2.5545750116116252E-3</v>
      </c>
      <c r="E937" s="156">
        <v>1.1353925039677779E-2</v>
      </c>
      <c r="F937" s="124">
        <v>931</v>
      </c>
      <c r="G937" s="238">
        <f t="shared" ca="1" si="30"/>
        <v>-1.9094754564801834E-3</v>
      </c>
      <c r="I937" s="156"/>
    </row>
    <row r="938" spans="2:9" x14ac:dyDescent="0.2">
      <c r="B938" s="230">
        <v>44617</v>
      </c>
      <c r="C938" s="124">
        <v>213.95</v>
      </c>
      <c r="D938" s="156">
        <f t="shared" si="29"/>
        <v>-8.8024090803799204E-3</v>
      </c>
      <c r="E938" s="156">
        <v>1.1338434242625789E-2</v>
      </c>
      <c r="F938" s="124">
        <v>932</v>
      </c>
      <c r="G938" s="238">
        <f t="shared" ca="1" si="30"/>
        <v>-1.8249890824682952E-2</v>
      </c>
      <c r="I938" s="156"/>
    </row>
    <row r="939" spans="2:9" x14ac:dyDescent="0.2">
      <c r="B939" s="230">
        <v>44616</v>
      </c>
      <c r="C939" s="124">
        <v>208.5</v>
      </c>
      <c r="D939" s="156">
        <f t="shared" si="29"/>
        <v>-2.5473241411544702E-2</v>
      </c>
      <c r="E939" s="156">
        <v>1.1320754716981228E-2</v>
      </c>
      <c r="F939" s="124">
        <v>933</v>
      </c>
      <c r="G939" s="238">
        <f t="shared" ca="1" si="30"/>
        <v>8.6850708626222128E-3</v>
      </c>
      <c r="I939" s="156"/>
    </row>
    <row r="940" spans="2:9" x14ac:dyDescent="0.2">
      <c r="B940" s="230">
        <v>44615</v>
      </c>
      <c r="C940" s="124">
        <v>215.95</v>
      </c>
      <c r="D940" s="156">
        <f t="shared" si="29"/>
        <v>3.5731414868105459E-2</v>
      </c>
      <c r="E940" s="156">
        <v>1.1293054771315687E-2</v>
      </c>
      <c r="F940" s="124">
        <v>934</v>
      </c>
      <c r="G940" s="238">
        <f t="shared" ca="1" si="30"/>
        <v>1.1209694307292841E-2</v>
      </c>
      <c r="I940" s="156"/>
    </row>
    <row r="941" spans="2:9" x14ac:dyDescent="0.2">
      <c r="B941" s="230">
        <v>44614</v>
      </c>
      <c r="C941" s="124">
        <v>214.85</v>
      </c>
      <c r="D941" s="156">
        <f t="shared" si="29"/>
        <v>-5.0937717064134958E-3</v>
      </c>
      <c r="E941" s="156">
        <v>1.1286681715575621E-2</v>
      </c>
      <c r="F941" s="124">
        <v>935</v>
      </c>
      <c r="G941" s="238">
        <f t="shared" ca="1" si="30"/>
        <v>-1.0336991720489656E-2</v>
      </c>
      <c r="I941" s="156"/>
    </row>
    <row r="942" spans="2:9" x14ac:dyDescent="0.2">
      <c r="B942" s="230">
        <v>44613</v>
      </c>
      <c r="C942" s="124">
        <v>218</v>
      </c>
      <c r="D942" s="156">
        <f t="shared" si="29"/>
        <v>1.4661391668606031E-2</v>
      </c>
      <c r="E942" s="156">
        <v>1.126237623762372E-2</v>
      </c>
      <c r="F942" s="124">
        <v>936</v>
      </c>
      <c r="G942" s="238">
        <f t="shared" ca="1" si="30"/>
        <v>-1.7481118685542352E-2</v>
      </c>
      <c r="I942" s="156"/>
    </row>
    <row r="943" spans="2:9" x14ac:dyDescent="0.2">
      <c r="B943" s="230">
        <v>44610</v>
      </c>
      <c r="C943" s="124">
        <v>221.9</v>
      </c>
      <c r="D943" s="156">
        <f t="shared" si="29"/>
        <v>1.7889908256880759E-2</v>
      </c>
      <c r="E943" s="156">
        <v>1.1255043533658976E-2</v>
      </c>
      <c r="F943" s="124">
        <v>937</v>
      </c>
      <c r="G943" s="238">
        <f t="shared" ca="1" si="30"/>
        <v>-1.8181885851426178E-2</v>
      </c>
      <c r="I943" s="156"/>
    </row>
    <row r="944" spans="2:9" x14ac:dyDescent="0.2">
      <c r="B944" s="230">
        <v>44609</v>
      </c>
      <c r="C944" s="124">
        <v>222.65</v>
      </c>
      <c r="D944" s="156">
        <f t="shared" si="29"/>
        <v>3.3799008562415502E-3</v>
      </c>
      <c r="E944" s="156">
        <v>1.1252939200537531E-2</v>
      </c>
      <c r="F944" s="124">
        <v>938</v>
      </c>
      <c r="G944" s="238">
        <f t="shared" ca="1" si="30"/>
        <v>-2.2705495691183172E-2</v>
      </c>
      <c r="I944" s="156"/>
    </row>
    <row r="945" spans="2:9" x14ac:dyDescent="0.2">
      <c r="B945" s="230">
        <v>44608</v>
      </c>
      <c r="C945" s="124">
        <v>222.75</v>
      </c>
      <c r="D945" s="156">
        <f t="shared" si="29"/>
        <v>4.491354143273942E-4</v>
      </c>
      <c r="E945" s="156">
        <v>1.1237510672173903E-2</v>
      </c>
      <c r="F945" s="124">
        <v>939</v>
      </c>
      <c r="G945" s="238">
        <f t="shared" ca="1" si="30"/>
        <v>4.9699792965854223E-3</v>
      </c>
      <c r="I945" s="156"/>
    </row>
    <row r="946" spans="2:9" x14ac:dyDescent="0.2">
      <c r="B946" s="230">
        <v>44607</v>
      </c>
      <c r="C946" s="124">
        <v>223</v>
      </c>
      <c r="D946" s="156">
        <f t="shared" si="29"/>
        <v>1.1223344556677891E-3</v>
      </c>
      <c r="E946" s="156">
        <v>1.1236918854005852E-2</v>
      </c>
      <c r="F946" s="124">
        <v>940</v>
      </c>
      <c r="G946" s="238">
        <f t="shared" ca="1" si="30"/>
        <v>-2.6625179092631925E-2</v>
      </c>
      <c r="I946" s="156"/>
    </row>
    <row r="947" spans="2:9" x14ac:dyDescent="0.2">
      <c r="B947" s="230">
        <v>44606</v>
      </c>
      <c r="C947" s="124">
        <v>219.45</v>
      </c>
      <c r="D947" s="156">
        <f t="shared" si="29"/>
        <v>-1.5919282511210813E-2</v>
      </c>
      <c r="E947" s="156">
        <v>1.1234597728920112E-2</v>
      </c>
      <c r="F947" s="124">
        <v>941</v>
      </c>
      <c r="G947" s="238">
        <f t="shared" ca="1" si="30"/>
        <v>-5.6699035069604515E-3</v>
      </c>
      <c r="I947" s="156"/>
    </row>
    <row r="948" spans="2:9" x14ac:dyDescent="0.2">
      <c r="B948" s="230">
        <v>44603</v>
      </c>
      <c r="C948" s="124">
        <v>232.45</v>
      </c>
      <c r="D948" s="156">
        <f t="shared" si="29"/>
        <v>5.9239006607427661E-2</v>
      </c>
      <c r="E948" s="156">
        <v>1.1229225932025751E-2</v>
      </c>
      <c r="F948" s="124">
        <v>942</v>
      </c>
      <c r="G948" s="238">
        <f t="shared" ca="1" si="30"/>
        <v>1.5442505852561107E-2</v>
      </c>
      <c r="I948" s="156"/>
    </row>
    <row r="949" spans="2:9" x14ac:dyDescent="0.2">
      <c r="B949" s="230">
        <v>44602</v>
      </c>
      <c r="C949" s="124">
        <v>232.25</v>
      </c>
      <c r="D949" s="156">
        <f t="shared" si="29"/>
        <v>-8.6040008603995976E-4</v>
      </c>
      <c r="E949" s="156">
        <v>1.1222136817832499E-2</v>
      </c>
      <c r="F949" s="124">
        <v>943</v>
      </c>
      <c r="G949" s="238">
        <f t="shared" ca="1" si="30"/>
        <v>-1.6443468870907044E-2</v>
      </c>
      <c r="I949" s="156"/>
    </row>
    <row r="950" spans="2:9" x14ac:dyDescent="0.2">
      <c r="B950" s="230">
        <v>44601</v>
      </c>
      <c r="C950" s="124">
        <v>230.15</v>
      </c>
      <c r="D950" s="156">
        <f t="shared" si="29"/>
        <v>-9.0419806243272095E-3</v>
      </c>
      <c r="E950" s="156">
        <v>1.1200298674631322E-2</v>
      </c>
      <c r="F950" s="124">
        <v>944</v>
      </c>
      <c r="G950" s="238">
        <f t="shared" ca="1" si="30"/>
        <v>1.4057523877118583E-2</v>
      </c>
      <c r="I950" s="156"/>
    </row>
    <row r="951" spans="2:9" x14ac:dyDescent="0.2">
      <c r="B951" s="230">
        <v>44600</v>
      </c>
      <c r="C951" s="124">
        <v>231.25</v>
      </c>
      <c r="D951" s="156">
        <f t="shared" si="29"/>
        <v>4.7794916358896121E-3</v>
      </c>
      <c r="E951" s="156">
        <v>1.1169494069959377E-2</v>
      </c>
      <c r="F951" s="124">
        <v>945</v>
      </c>
      <c r="G951" s="238">
        <f t="shared" ca="1" si="30"/>
        <v>-1.0820424157517562E-2</v>
      </c>
      <c r="I951" s="156"/>
    </row>
    <row r="952" spans="2:9" x14ac:dyDescent="0.2">
      <c r="B952" s="230">
        <v>44599</v>
      </c>
      <c r="C952" s="124">
        <v>230.2</v>
      </c>
      <c r="D952" s="156">
        <f t="shared" si="29"/>
        <v>-4.5405405405405897E-3</v>
      </c>
      <c r="E952" s="156">
        <v>1.1167298777918151E-2</v>
      </c>
      <c r="F952" s="124">
        <v>946</v>
      </c>
      <c r="G952" s="238">
        <f t="shared" ca="1" si="30"/>
        <v>-7.5826088434013516E-3</v>
      </c>
      <c r="I952" s="156"/>
    </row>
    <row r="953" spans="2:9" x14ac:dyDescent="0.2">
      <c r="B953" s="230">
        <v>44596</v>
      </c>
      <c r="C953" s="124">
        <v>234.3</v>
      </c>
      <c r="D953" s="156">
        <f t="shared" si="29"/>
        <v>1.7810599478714263E-2</v>
      </c>
      <c r="E953" s="156">
        <v>1.1140583554376703E-2</v>
      </c>
      <c r="F953" s="124">
        <v>947</v>
      </c>
      <c r="G953" s="238">
        <f t="shared" ca="1" si="30"/>
        <v>-9.2419679154578105E-3</v>
      </c>
      <c r="I953" s="156"/>
    </row>
    <row r="954" spans="2:9" x14ac:dyDescent="0.2">
      <c r="B954" s="230">
        <v>44595</v>
      </c>
      <c r="C954" s="124">
        <v>234.45</v>
      </c>
      <c r="D954" s="156">
        <f t="shared" si="29"/>
        <v>6.4020486555688117E-4</v>
      </c>
      <c r="E954" s="156">
        <v>1.1131209127591484E-2</v>
      </c>
      <c r="F954" s="124">
        <v>948</v>
      </c>
      <c r="G954" s="238">
        <f t="shared" ca="1" si="30"/>
        <v>1.0302743002745448E-2</v>
      </c>
      <c r="I954" s="156"/>
    </row>
    <row r="955" spans="2:9" x14ac:dyDescent="0.2">
      <c r="B955" s="230">
        <v>44594</v>
      </c>
      <c r="C955" s="124">
        <v>232.15</v>
      </c>
      <c r="D955" s="156">
        <f t="shared" si="29"/>
        <v>-9.8101940712304672E-3</v>
      </c>
      <c r="E955" s="156">
        <v>1.1117500479202519E-2</v>
      </c>
      <c r="F955" s="124">
        <v>949</v>
      </c>
      <c r="G955" s="238">
        <f t="shared" ca="1" si="30"/>
        <v>2.3512636115832194E-2</v>
      </c>
      <c r="I955" s="156"/>
    </row>
    <row r="956" spans="2:9" x14ac:dyDescent="0.2">
      <c r="B956" s="230">
        <v>44593</v>
      </c>
      <c r="C956" s="124">
        <v>227.75</v>
      </c>
      <c r="D956" s="156">
        <f t="shared" si="29"/>
        <v>-1.8953262976523822E-2</v>
      </c>
      <c r="E956" s="156">
        <v>1.1114764879973676E-2</v>
      </c>
      <c r="F956" s="124">
        <v>950</v>
      </c>
      <c r="G956" s="238">
        <f t="shared" ca="1" si="30"/>
        <v>1.3565016211817521E-2</v>
      </c>
      <c r="I956" s="156"/>
    </row>
    <row r="957" spans="2:9" x14ac:dyDescent="0.2">
      <c r="B957" s="230">
        <v>44592</v>
      </c>
      <c r="C957" s="124">
        <v>220.2</v>
      </c>
      <c r="D957" s="156">
        <f t="shared" si="29"/>
        <v>-3.315038419319434E-2</v>
      </c>
      <c r="E957" s="156">
        <v>1.1108737449262954E-2</v>
      </c>
      <c r="F957" s="124">
        <v>951</v>
      </c>
      <c r="G957" s="238">
        <f t="shared" ca="1" si="30"/>
        <v>-3.1482406468961565E-3</v>
      </c>
      <c r="I957" s="156"/>
    </row>
    <row r="958" spans="2:9" x14ac:dyDescent="0.2">
      <c r="B958" s="230">
        <v>44589</v>
      </c>
      <c r="C958" s="124">
        <v>217.6</v>
      </c>
      <c r="D958" s="156">
        <f t="shared" ref="D958:D1021" si="31">(C958-C957)/C957</f>
        <v>-1.1807447774750202E-2</v>
      </c>
      <c r="E958" s="156">
        <v>1.1107390042420234E-2</v>
      </c>
      <c r="F958" s="124">
        <v>952</v>
      </c>
      <c r="G958" s="238">
        <f t="shared" ca="1" si="30"/>
        <v>1.8920798242043981E-2</v>
      </c>
      <c r="I958" s="156"/>
    </row>
    <row r="959" spans="2:9" x14ac:dyDescent="0.2">
      <c r="B959" s="230">
        <v>44588</v>
      </c>
      <c r="C959" s="124">
        <v>214.6</v>
      </c>
      <c r="D959" s="156">
        <f t="shared" si="31"/>
        <v>-1.3786764705882353E-2</v>
      </c>
      <c r="E959" s="156">
        <v>1.1090909090909132E-2</v>
      </c>
      <c r="F959" s="124">
        <v>953</v>
      </c>
      <c r="G959" s="238">
        <f t="shared" ca="1" si="30"/>
        <v>-3.4592734280114892E-3</v>
      </c>
      <c r="I959" s="156"/>
    </row>
    <row r="960" spans="2:9" x14ac:dyDescent="0.2">
      <c r="B960" s="230">
        <v>44586</v>
      </c>
      <c r="C960" s="124">
        <v>214.3</v>
      </c>
      <c r="D960" s="156">
        <f t="shared" si="31"/>
        <v>-1.3979496738116633E-3</v>
      </c>
      <c r="E960" s="156">
        <v>1.1088230635197144E-2</v>
      </c>
      <c r="F960" s="124">
        <v>954</v>
      </c>
      <c r="G960" s="238">
        <f t="shared" ca="1" si="30"/>
        <v>4.8943176247423781E-3</v>
      </c>
      <c r="I960" s="156"/>
    </row>
    <row r="961" spans="2:9" x14ac:dyDescent="0.2">
      <c r="B961" s="230">
        <v>44585</v>
      </c>
      <c r="C961" s="124">
        <v>211.8</v>
      </c>
      <c r="D961" s="156">
        <f t="shared" si="31"/>
        <v>-1.1665888940737284E-2</v>
      </c>
      <c r="E961" s="156">
        <v>1.1070998796630621E-2</v>
      </c>
      <c r="F961" s="124">
        <v>955</v>
      </c>
      <c r="G961" s="238">
        <f t="shared" ca="1" si="30"/>
        <v>-1.463916811081566E-2</v>
      </c>
      <c r="I961" s="156"/>
    </row>
    <row r="962" spans="2:9" x14ac:dyDescent="0.2">
      <c r="B962" s="230">
        <v>44582</v>
      </c>
      <c r="C962" s="124">
        <v>217.05</v>
      </c>
      <c r="D962" s="156">
        <f t="shared" si="31"/>
        <v>2.4787535410764869E-2</v>
      </c>
      <c r="E962" s="156">
        <v>1.1045987376014473E-2</v>
      </c>
      <c r="F962" s="124">
        <v>956</v>
      </c>
      <c r="G962" s="238">
        <f t="shared" ca="1" si="30"/>
        <v>1.9894626493591947E-2</v>
      </c>
      <c r="I962" s="156"/>
    </row>
    <row r="963" spans="2:9" x14ac:dyDescent="0.2">
      <c r="B963" s="230">
        <v>44581</v>
      </c>
      <c r="C963" s="124">
        <v>218.75</v>
      </c>
      <c r="D963" s="156">
        <f t="shared" si="31"/>
        <v>7.8322967058280981E-3</v>
      </c>
      <c r="E963" s="156">
        <v>1.103955841766331E-2</v>
      </c>
      <c r="F963" s="124">
        <v>957</v>
      </c>
      <c r="G963" s="238">
        <f t="shared" ca="1" si="30"/>
        <v>2.1204474431321809E-2</v>
      </c>
      <c r="I963" s="156"/>
    </row>
    <row r="964" spans="2:9" x14ac:dyDescent="0.2">
      <c r="B964" s="230">
        <v>44580</v>
      </c>
      <c r="C964" s="124">
        <v>220.35</v>
      </c>
      <c r="D964" s="156">
        <f t="shared" si="31"/>
        <v>7.3142857142856881E-3</v>
      </c>
      <c r="E964" s="156">
        <v>1.1032462777642272E-2</v>
      </c>
      <c r="F964" s="124">
        <v>958</v>
      </c>
      <c r="G964" s="238">
        <f t="shared" ca="1" si="30"/>
        <v>1.004001471573035E-2</v>
      </c>
      <c r="I964" s="156"/>
    </row>
    <row r="965" spans="2:9" x14ac:dyDescent="0.2">
      <c r="B965" s="230">
        <v>44579</v>
      </c>
      <c r="C965" s="124">
        <v>220.75</v>
      </c>
      <c r="D965" s="156">
        <f t="shared" si="31"/>
        <v>1.8152938506921065E-3</v>
      </c>
      <c r="E965" s="156">
        <v>1.1028071454611812E-2</v>
      </c>
      <c r="F965" s="124">
        <v>959</v>
      </c>
      <c r="G965" s="238">
        <f t="shared" ca="1" si="30"/>
        <v>4.8032376483511732E-3</v>
      </c>
      <c r="I965" s="156"/>
    </row>
    <row r="966" spans="2:9" x14ac:dyDescent="0.2">
      <c r="B966" s="230">
        <v>44578</v>
      </c>
      <c r="C966" s="124">
        <v>224.6</v>
      </c>
      <c r="D966" s="156">
        <f t="shared" si="31"/>
        <v>1.7440543601358979E-2</v>
      </c>
      <c r="E966" s="156">
        <v>1.1020330609918428E-2</v>
      </c>
      <c r="F966" s="124">
        <v>960</v>
      </c>
      <c r="G966" s="238">
        <f t="shared" ca="1" si="30"/>
        <v>-2.449523510636344E-2</v>
      </c>
      <c r="I966" s="156"/>
    </row>
    <row r="967" spans="2:9" x14ac:dyDescent="0.2">
      <c r="B967" s="230">
        <v>44575</v>
      </c>
      <c r="C967" s="124">
        <v>222.6</v>
      </c>
      <c r="D967" s="156">
        <f t="shared" si="31"/>
        <v>-8.9047195013357075E-3</v>
      </c>
      <c r="E967" s="156">
        <v>1.1004448606883606E-2</v>
      </c>
      <c r="F967" s="124">
        <v>961</v>
      </c>
      <c r="G967" s="238">
        <f t="shared" ref="G967:G1030" ca="1" si="32">_xlfn.NORM.INV(RAND(),$L$8,$L$9)</f>
        <v>2.7366698386751074E-2</v>
      </c>
      <c r="I967" s="156"/>
    </row>
    <row r="968" spans="2:9" x14ac:dyDescent="0.2">
      <c r="B968" s="230">
        <v>44574</v>
      </c>
      <c r="C968" s="124">
        <v>223.95</v>
      </c>
      <c r="D968" s="156">
        <f t="shared" si="31"/>
        <v>6.0646900269541526E-3</v>
      </c>
      <c r="E968" s="156">
        <v>1.1000795655031677E-2</v>
      </c>
      <c r="F968" s="124">
        <v>962</v>
      </c>
      <c r="G968" s="238">
        <f t="shared" ca="1" si="32"/>
        <v>-1.5526543577859517E-2</v>
      </c>
      <c r="I968" s="156"/>
    </row>
    <row r="969" spans="2:9" x14ac:dyDescent="0.2">
      <c r="B969" s="230">
        <v>44573</v>
      </c>
      <c r="C969" s="124">
        <v>222.75</v>
      </c>
      <c r="D969" s="156">
        <f t="shared" si="31"/>
        <v>-5.3583389149363192E-3</v>
      </c>
      <c r="E969" s="156">
        <v>1.0985167966098157E-2</v>
      </c>
      <c r="F969" s="124">
        <v>963</v>
      </c>
      <c r="G969" s="238">
        <f t="shared" ca="1" si="32"/>
        <v>2.4111503000475897E-2</v>
      </c>
      <c r="I969" s="156"/>
    </row>
    <row r="970" spans="2:9" x14ac:dyDescent="0.2">
      <c r="B970" s="230">
        <v>44572</v>
      </c>
      <c r="C970" s="124">
        <v>221.95</v>
      </c>
      <c r="D970" s="156">
        <f t="shared" si="31"/>
        <v>-3.591470258136976E-3</v>
      </c>
      <c r="E970" s="156">
        <v>1.098015940308633E-2</v>
      </c>
      <c r="F970" s="124">
        <v>964</v>
      </c>
      <c r="G970" s="238">
        <f t="shared" ca="1" si="32"/>
        <v>1.581288200853374E-2</v>
      </c>
      <c r="I970" s="156"/>
    </row>
    <row r="971" spans="2:9" x14ac:dyDescent="0.2">
      <c r="B971" s="230">
        <v>44571</v>
      </c>
      <c r="C971" s="124">
        <v>223.3</v>
      </c>
      <c r="D971" s="156">
        <f t="shared" si="31"/>
        <v>6.0824510024781384E-3</v>
      </c>
      <c r="E971" s="156">
        <v>1.0943071437353997E-2</v>
      </c>
      <c r="F971" s="124">
        <v>965</v>
      </c>
      <c r="G971" s="238">
        <f t="shared" ca="1" si="32"/>
        <v>3.7462725668083355E-2</v>
      </c>
      <c r="I971" s="156"/>
    </row>
    <row r="972" spans="2:9" x14ac:dyDescent="0.2">
      <c r="B972" s="230">
        <v>44568</v>
      </c>
      <c r="C972" s="124">
        <v>218.4</v>
      </c>
      <c r="D972" s="156">
        <f t="shared" si="31"/>
        <v>-2.1943573667711623E-2</v>
      </c>
      <c r="E972" s="156">
        <v>1.0904896718045422E-2</v>
      </c>
      <c r="F972" s="124">
        <v>966</v>
      </c>
      <c r="G972" s="238">
        <f t="shared" ca="1" si="32"/>
        <v>-1.0537367796452018E-2</v>
      </c>
      <c r="I972" s="156"/>
    </row>
    <row r="973" spans="2:9" x14ac:dyDescent="0.2">
      <c r="B973" s="230">
        <v>44567</v>
      </c>
      <c r="C973" s="124">
        <v>218.7</v>
      </c>
      <c r="D973" s="156">
        <f t="shared" si="31"/>
        <v>1.3736263736262955E-3</v>
      </c>
      <c r="E973" s="156">
        <v>1.0903652241038215E-2</v>
      </c>
      <c r="F973" s="124">
        <v>967</v>
      </c>
      <c r="G973" s="238">
        <f t="shared" ca="1" si="32"/>
        <v>1.7873914108125475E-2</v>
      </c>
      <c r="I973" s="156"/>
    </row>
    <row r="974" spans="2:9" x14ac:dyDescent="0.2">
      <c r="B974" s="230">
        <v>44566</v>
      </c>
      <c r="C974" s="124">
        <v>220.55</v>
      </c>
      <c r="D974" s="156">
        <f t="shared" si="31"/>
        <v>8.4590763603110321E-3</v>
      </c>
      <c r="E974" s="156">
        <v>1.0903280383494657E-2</v>
      </c>
      <c r="F974" s="124">
        <v>968</v>
      </c>
      <c r="G974" s="238">
        <f t="shared" ca="1" si="32"/>
        <v>-6.5885474222997214E-3</v>
      </c>
      <c r="I974" s="156"/>
    </row>
    <row r="975" spans="2:9" x14ac:dyDescent="0.2">
      <c r="B975" s="230">
        <v>44565</v>
      </c>
      <c r="C975" s="124">
        <v>220.25</v>
      </c>
      <c r="D975" s="156">
        <f t="shared" si="31"/>
        <v>-1.360235774200913E-3</v>
      </c>
      <c r="E975" s="156">
        <v>1.0901518863302276E-2</v>
      </c>
      <c r="F975" s="124">
        <v>969</v>
      </c>
      <c r="G975" s="238">
        <f t="shared" ca="1" si="32"/>
        <v>1.0152209081834535E-2</v>
      </c>
      <c r="I975" s="156"/>
    </row>
    <row r="976" spans="2:9" x14ac:dyDescent="0.2">
      <c r="B976" s="230">
        <v>44564</v>
      </c>
      <c r="C976" s="124">
        <v>219.1</v>
      </c>
      <c r="D976" s="156">
        <f t="shared" si="31"/>
        <v>-5.2213393870601844E-3</v>
      </c>
      <c r="E976" s="156">
        <v>1.0901133877063892E-2</v>
      </c>
      <c r="F976" s="124">
        <v>970</v>
      </c>
      <c r="G976" s="238">
        <f t="shared" ca="1" si="32"/>
        <v>-4.0386873800816771E-3</v>
      </c>
      <c r="I976" s="156"/>
    </row>
    <row r="977" spans="2:9" x14ac:dyDescent="0.2">
      <c r="B977" s="230">
        <v>44561</v>
      </c>
      <c r="C977" s="124">
        <v>218.05</v>
      </c>
      <c r="D977" s="156">
        <f t="shared" si="31"/>
        <v>-4.7923322683705296E-3</v>
      </c>
      <c r="E977" s="156">
        <v>1.0893944248638252E-2</v>
      </c>
      <c r="F977" s="124">
        <v>971</v>
      </c>
      <c r="G977" s="238">
        <f t="shared" ca="1" si="32"/>
        <v>-1.6585981180696149E-2</v>
      </c>
      <c r="I977" s="156"/>
    </row>
    <row r="978" spans="2:9" x14ac:dyDescent="0.2">
      <c r="B978" s="230">
        <v>44560</v>
      </c>
      <c r="C978" s="124">
        <v>216</v>
      </c>
      <c r="D978" s="156">
        <f t="shared" si="31"/>
        <v>-9.4015134143545578E-3</v>
      </c>
      <c r="E978" s="156">
        <v>1.08912409878817E-2</v>
      </c>
      <c r="F978" s="124">
        <v>972</v>
      </c>
      <c r="G978" s="238">
        <f t="shared" ca="1" si="32"/>
        <v>-3.2958428685022044E-2</v>
      </c>
      <c r="I978" s="156"/>
    </row>
    <row r="979" spans="2:9" x14ac:dyDescent="0.2">
      <c r="B979" s="230">
        <v>44559</v>
      </c>
      <c r="C979" s="124">
        <v>216.75</v>
      </c>
      <c r="D979" s="156">
        <f t="shared" si="31"/>
        <v>3.472222222222222E-3</v>
      </c>
      <c r="E979" s="156">
        <v>1.0890052356020918E-2</v>
      </c>
      <c r="F979" s="124">
        <v>973</v>
      </c>
      <c r="G979" s="238">
        <f t="shared" ca="1" si="32"/>
        <v>1.4278345873570145E-2</v>
      </c>
      <c r="I979" s="156"/>
    </row>
    <row r="980" spans="2:9" x14ac:dyDescent="0.2">
      <c r="B980" s="230">
        <v>44558</v>
      </c>
      <c r="C980" s="124">
        <v>220.05</v>
      </c>
      <c r="D980" s="156">
        <f t="shared" si="31"/>
        <v>1.5224913494809741E-2</v>
      </c>
      <c r="E980" s="156">
        <v>1.0888710968775014E-2</v>
      </c>
      <c r="F980" s="124">
        <v>974</v>
      </c>
      <c r="G980" s="238">
        <f t="shared" ca="1" si="32"/>
        <v>-1.0242530388112804E-2</v>
      </c>
      <c r="I980" s="156"/>
    </row>
    <row r="981" spans="2:9" x14ac:dyDescent="0.2">
      <c r="B981" s="230">
        <v>44557</v>
      </c>
      <c r="C981" s="124">
        <v>217.55</v>
      </c>
      <c r="D981" s="156">
        <f t="shared" si="31"/>
        <v>-1.1361054305839582E-2</v>
      </c>
      <c r="E981" s="156">
        <v>1.0866536639732501E-2</v>
      </c>
      <c r="F981" s="124">
        <v>975</v>
      </c>
      <c r="G981" s="238">
        <f t="shared" ca="1" si="32"/>
        <v>-8.2022232944218183E-3</v>
      </c>
      <c r="I981" s="156"/>
    </row>
    <row r="982" spans="2:9" x14ac:dyDescent="0.2">
      <c r="B982" s="230">
        <v>44554</v>
      </c>
      <c r="C982" s="124">
        <v>218</v>
      </c>
      <c r="D982" s="156">
        <f t="shared" si="31"/>
        <v>2.0684900022982697E-3</v>
      </c>
      <c r="E982" s="156">
        <v>1.083932853717022E-2</v>
      </c>
      <c r="F982" s="124">
        <v>976</v>
      </c>
      <c r="G982" s="238">
        <f t="shared" ca="1" si="32"/>
        <v>-2.2176694051423808E-3</v>
      </c>
      <c r="I982" s="156"/>
    </row>
    <row r="983" spans="2:9" x14ac:dyDescent="0.2">
      <c r="B983" s="230">
        <v>44553</v>
      </c>
      <c r="C983" s="124">
        <v>217.3</v>
      </c>
      <c r="D983" s="156">
        <f t="shared" si="31"/>
        <v>-3.2110091743118743E-3</v>
      </c>
      <c r="E983" s="156">
        <v>1.0819549807237821E-2</v>
      </c>
      <c r="F983" s="124">
        <v>977</v>
      </c>
      <c r="G983" s="238">
        <f t="shared" ca="1" si="32"/>
        <v>-6.5335252650284576E-3</v>
      </c>
      <c r="I983" s="156"/>
    </row>
    <row r="984" spans="2:9" x14ac:dyDescent="0.2">
      <c r="B984" s="230">
        <v>44552</v>
      </c>
      <c r="C984" s="124">
        <v>212</v>
      </c>
      <c r="D984" s="156">
        <f t="shared" si="31"/>
        <v>-2.4390243902439074E-2</v>
      </c>
      <c r="E984" s="156">
        <v>1.0773130544993712E-2</v>
      </c>
      <c r="F984" s="124">
        <v>978</v>
      </c>
      <c r="G984" s="238">
        <f t="shared" ca="1" si="32"/>
        <v>-1.5727594098689811E-2</v>
      </c>
      <c r="I984" s="156"/>
    </row>
    <row r="985" spans="2:9" x14ac:dyDescent="0.2">
      <c r="B985" s="230">
        <v>44551</v>
      </c>
      <c r="C985" s="124">
        <v>212.5</v>
      </c>
      <c r="D985" s="156">
        <f t="shared" si="31"/>
        <v>2.3584905660377358E-3</v>
      </c>
      <c r="E985" s="156">
        <v>1.0760532555170694E-2</v>
      </c>
      <c r="F985" s="124">
        <v>979</v>
      </c>
      <c r="G985" s="238">
        <f t="shared" ca="1" si="32"/>
        <v>-2.8328667903497126E-3</v>
      </c>
      <c r="I985" s="156"/>
    </row>
    <row r="986" spans="2:9" x14ac:dyDescent="0.2">
      <c r="B986" s="230">
        <v>44550</v>
      </c>
      <c r="C986" s="124">
        <v>212.4</v>
      </c>
      <c r="D986" s="156">
        <f t="shared" si="31"/>
        <v>-4.7058823529409088E-4</v>
      </c>
      <c r="E986" s="156">
        <v>1.0750642184378227E-2</v>
      </c>
      <c r="F986" s="124">
        <v>980</v>
      </c>
      <c r="G986" s="238">
        <f t="shared" ca="1" si="32"/>
        <v>1.0063973859217586E-2</v>
      </c>
      <c r="I986" s="156"/>
    </row>
    <row r="987" spans="2:9" x14ac:dyDescent="0.2">
      <c r="B987" s="230">
        <v>44547</v>
      </c>
      <c r="C987" s="124">
        <v>217.95</v>
      </c>
      <c r="D987" s="156">
        <f t="shared" si="31"/>
        <v>2.6129943502824778E-2</v>
      </c>
      <c r="E987" s="156">
        <v>1.0739856801909262E-2</v>
      </c>
      <c r="F987" s="124">
        <v>981</v>
      </c>
      <c r="G987" s="238">
        <f t="shared" ca="1" si="32"/>
        <v>-5.3476559900387469E-4</v>
      </c>
      <c r="I987" s="156"/>
    </row>
    <row r="988" spans="2:9" x14ac:dyDescent="0.2">
      <c r="B988" s="230">
        <v>44546</v>
      </c>
      <c r="C988" s="124">
        <v>222.9</v>
      </c>
      <c r="D988" s="156">
        <f t="shared" si="31"/>
        <v>2.2711631108052386E-2</v>
      </c>
      <c r="E988" s="156">
        <v>1.072271070126528E-2</v>
      </c>
      <c r="F988" s="124">
        <v>982</v>
      </c>
      <c r="G988" s="238">
        <f t="shared" ca="1" si="32"/>
        <v>8.3839439718376707E-3</v>
      </c>
      <c r="I988" s="156"/>
    </row>
    <row r="989" spans="2:9" x14ac:dyDescent="0.2">
      <c r="B989" s="230">
        <v>44545</v>
      </c>
      <c r="C989" s="124">
        <v>224.05</v>
      </c>
      <c r="D989" s="156">
        <f t="shared" si="31"/>
        <v>5.1592642440556561E-3</v>
      </c>
      <c r="E989" s="156">
        <v>1.070780399274043E-2</v>
      </c>
      <c r="F989" s="124">
        <v>983</v>
      </c>
      <c r="G989" s="238">
        <f t="shared" ca="1" si="32"/>
        <v>1.2867671620749967E-3</v>
      </c>
      <c r="I989" s="156"/>
    </row>
    <row r="990" spans="2:9" x14ac:dyDescent="0.2">
      <c r="B990" s="230">
        <v>44544</v>
      </c>
      <c r="C990" s="124">
        <v>228.6</v>
      </c>
      <c r="D990" s="156">
        <f t="shared" si="31"/>
        <v>2.0307966971658035E-2</v>
      </c>
      <c r="E990" s="156">
        <v>1.0699031589630825E-2</v>
      </c>
      <c r="F990" s="124">
        <v>984</v>
      </c>
      <c r="G990" s="238">
        <f t="shared" ca="1" si="32"/>
        <v>4.9792692466378184E-3</v>
      </c>
      <c r="I990" s="156"/>
    </row>
    <row r="991" spans="2:9" x14ac:dyDescent="0.2">
      <c r="B991" s="230">
        <v>44543</v>
      </c>
      <c r="C991" s="124">
        <v>234.6</v>
      </c>
      <c r="D991" s="156">
        <f t="shared" si="31"/>
        <v>2.6246719160104987E-2</v>
      </c>
      <c r="E991" s="156">
        <v>1.0697787503039088E-2</v>
      </c>
      <c r="F991" s="124">
        <v>985</v>
      </c>
      <c r="G991" s="238">
        <f t="shared" ca="1" si="32"/>
        <v>-1.3674758738301193E-2</v>
      </c>
      <c r="I991" s="156"/>
    </row>
    <row r="992" spans="2:9" x14ac:dyDescent="0.2">
      <c r="B992" s="230">
        <v>44540</v>
      </c>
      <c r="C992" s="124">
        <v>236.1</v>
      </c>
      <c r="D992" s="156">
        <f t="shared" si="31"/>
        <v>6.3938618925831201E-3</v>
      </c>
      <c r="E992" s="156">
        <v>1.0678608336204005E-2</v>
      </c>
      <c r="F992" s="124">
        <v>986</v>
      </c>
      <c r="G992" s="238">
        <f t="shared" ca="1" si="32"/>
        <v>7.3262188558811834E-3</v>
      </c>
      <c r="I992" s="156"/>
    </row>
    <row r="993" spans="2:9" x14ac:dyDescent="0.2">
      <c r="B993" s="230">
        <v>44539</v>
      </c>
      <c r="C993" s="124">
        <v>235.4</v>
      </c>
      <c r="D993" s="156">
        <f t="shared" si="31"/>
        <v>-2.9648454044895749E-3</v>
      </c>
      <c r="E993" s="156">
        <v>1.0676156583629815E-2</v>
      </c>
      <c r="F993" s="124">
        <v>987</v>
      </c>
      <c r="G993" s="238">
        <f t="shared" ca="1" si="32"/>
        <v>-3.6015496237469351E-2</v>
      </c>
      <c r="I993" s="156"/>
    </row>
    <row r="994" spans="2:9" x14ac:dyDescent="0.2">
      <c r="B994" s="230">
        <v>44538</v>
      </c>
      <c r="C994" s="124">
        <v>224.95</v>
      </c>
      <c r="D994" s="156">
        <f t="shared" si="31"/>
        <v>-4.4392523364486056E-2</v>
      </c>
      <c r="E994" s="156">
        <v>1.0667948101874094E-2</v>
      </c>
      <c r="F994" s="124">
        <v>988</v>
      </c>
      <c r="G994" s="238">
        <f t="shared" ca="1" si="32"/>
        <v>-1.9030415179742275E-2</v>
      </c>
      <c r="I994" s="156"/>
    </row>
    <row r="995" spans="2:9" x14ac:dyDescent="0.2">
      <c r="B995" s="230">
        <v>44537</v>
      </c>
      <c r="C995" s="124">
        <v>220.65</v>
      </c>
      <c r="D995" s="156">
        <f t="shared" si="31"/>
        <v>-1.9115358968659627E-2</v>
      </c>
      <c r="E995" s="156">
        <v>1.0665312341290038E-2</v>
      </c>
      <c r="F995" s="124">
        <v>989</v>
      </c>
      <c r="G995" s="238">
        <f t="shared" ca="1" si="32"/>
        <v>1.6941764606496778E-2</v>
      </c>
      <c r="I995" s="156"/>
    </row>
    <row r="996" spans="2:9" x14ac:dyDescent="0.2">
      <c r="B996" s="230">
        <v>44536</v>
      </c>
      <c r="C996" s="124">
        <v>217.9</v>
      </c>
      <c r="D996" s="156">
        <f t="shared" si="31"/>
        <v>-1.2463176977113074E-2</v>
      </c>
      <c r="E996" s="156">
        <v>1.0659898477157283E-2</v>
      </c>
      <c r="F996" s="124">
        <v>990</v>
      </c>
      <c r="G996" s="238">
        <f t="shared" ca="1" si="32"/>
        <v>-2.9252381311945855E-2</v>
      </c>
      <c r="I996" s="156"/>
    </row>
    <row r="997" spans="2:9" x14ac:dyDescent="0.2">
      <c r="B997" s="230">
        <v>44533</v>
      </c>
      <c r="C997" s="124">
        <v>221.65</v>
      </c>
      <c r="D997" s="156">
        <f t="shared" si="31"/>
        <v>1.7209729233593391E-2</v>
      </c>
      <c r="E997" s="156">
        <v>1.0655433031842427E-2</v>
      </c>
      <c r="F997" s="124">
        <v>991</v>
      </c>
      <c r="G997" s="238">
        <f t="shared" ca="1" si="32"/>
        <v>-9.6727432550118338E-3</v>
      </c>
      <c r="I997" s="156"/>
    </row>
    <row r="998" spans="2:9" x14ac:dyDescent="0.2">
      <c r="B998" s="230">
        <v>44532</v>
      </c>
      <c r="C998" s="124">
        <v>225.45</v>
      </c>
      <c r="D998" s="156">
        <f t="shared" si="31"/>
        <v>1.7144146176404165E-2</v>
      </c>
      <c r="E998" s="156">
        <v>1.0618881699021034E-2</v>
      </c>
      <c r="F998" s="124">
        <v>992</v>
      </c>
      <c r="G998" s="238">
        <f t="shared" ca="1" si="32"/>
        <v>-2.9884005727137113E-2</v>
      </c>
      <c r="I998" s="156"/>
    </row>
    <row r="999" spans="2:9" x14ac:dyDescent="0.2">
      <c r="B999" s="230">
        <v>44531</v>
      </c>
      <c r="C999" s="124">
        <v>221.9</v>
      </c>
      <c r="D999" s="156">
        <f t="shared" si="31"/>
        <v>-1.5746285207362976E-2</v>
      </c>
      <c r="E999" s="156">
        <v>1.0612090202766631E-2</v>
      </c>
      <c r="F999" s="124">
        <v>993</v>
      </c>
      <c r="G999" s="238">
        <f t="shared" ca="1" si="32"/>
        <v>-1.133337556056016E-2</v>
      </c>
      <c r="I999" s="156"/>
    </row>
    <row r="1000" spans="2:9" x14ac:dyDescent="0.2">
      <c r="B1000" s="230">
        <v>44530</v>
      </c>
      <c r="C1000" s="124">
        <v>221.15</v>
      </c>
      <c r="D1000" s="156">
        <f t="shared" si="31"/>
        <v>-3.3799008562415502E-3</v>
      </c>
      <c r="E1000" s="156">
        <v>1.0610734114743978E-2</v>
      </c>
      <c r="F1000" s="124">
        <v>994</v>
      </c>
      <c r="G1000" s="238">
        <f t="shared" ca="1" si="32"/>
        <v>-4.2842599563747578E-2</v>
      </c>
      <c r="I1000" s="156"/>
    </row>
    <row r="1001" spans="2:9" x14ac:dyDescent="0.2">
      <c r="B1001" s="230">
        <v>44529</v>
      </c>
      <c r="C1001" s="124">
        <v>221.5</v>
      </c>
      <c r="D1001" s="156">
        <f t="shared" si="31"/>
        <v>1.5826362197603179E-3</v>
      </c>
      <c r="E1001" s="156">
        <v>1.05911330049261E-2</v>
      </c>
      <c r="F1001" s="124">
        <v>995</v>
      </c>
      <c r="G1001" s="238">
        <f t="shared" ca="1" si="32"/>
        <v>1.2599120418241889E-2</v>
      </c>
      <c r="I1001" s="156"/>
    </row>
    <row r="1002" spans="2:9" x14ac:dyDescent="0.2">
      <c r="B1002" s="230">
        <v>44526</v>
      </c>
      <c r="C1002" s="124">
        <v>224</v>
      </c>
      <c r="D1002" s="156">
        <f t="shared" si="31"/>
        <v>1.1286681715575621E-2</v>
      </c>
      <c r="E1002" s="156">
        <v>1.0582010582010653E-2</v>
      </c>
      <c r="F1002" s="124">
        <v>996</v>
      </c>
      <c r="G1002" s="238">
        <f t="shared" ca="1" si="32"/>
        <v>9.703819219558478E-3</v>
      </c>
      <c r="I1002" s="156"/>
    </row>
    <row r="1003" spans="2:9" x14ac:dyDescent="0.2">
      <c r="B1003" s="230">
        <v>44525</v>
      </c>
      <c r="C1003" s="124">
        <v>231.3</v>
      </c>
      <c r="D1003" s="156">
        <f t="shared" si="31"/>
        <v>3.2589285714285765E-2</v>
      </c>
      <c r="E1003" s="156">
        <v>1.0580912863070498E-2</v>
      </c>
      <c r="F1003" s="124">
        <v>997</v>
      </c>
      <c r="G1003" s="238">
        <f t="shared" ca="1" si="32"/>
        <v>-1.777971237515193E-2</v>
      </c>
      <c r="I1003" s="156"/>
    </row>
    <row r="1004" spans="2:9" x14ac:dyDescent="0.2">
      <c r="B1004" s="230">
        <v>44524</v>
      </c>
      <c r="C1004" s="124">
        <v>227.7</v>
      </c>
      <c r="D1004" s="156">
        <f t="shared" si="31"/>
        <v>-1.5564202334630448E-2</v>
      </c>
      <c r="E1004" s="156">
        <v>1.0576668830076283E-2</v>
      </c>
      <c r="F1004" s="124">
        <v>998</v>
      </c>
      <c r="G1004" s="238">
        <f t="shared" ca="1" si="32"/>
        <v>-1.9054090463450874E-2</v>
      </c>
      <c r="I1004" s="156"/>
    </row>
    <row r="1005" spans="2:9" x14ac:dyDescent="0.2">
      <c r="B1005" s="230">
        <v>44523</v>
      </c>
      <c r="C1005" s="124">
        <v>231.6</v>
      </c>
      <c r="D1005" s="156">
        <f t="shared" si="31"/>
        <v>1.7127799736495416E-2</v>
      </c>
      <c r="E1005" s="156">
        <v>1.0574620909816463E-2</v>
      </c>
      <c r="F1005" s="124">
        <v>999</v>
      </c>
      <c r="G1005" s="238">
        <f t="shared" ca="1" si="32"/>
        <v>-1.8157033289284599E-2</v>
      </c>
      <c r="I1005" s="156"/>
    </row>
    <row r="1006" spans="2:9" x14ac:dyDescent="0.2">
      <c r="B1006" s="230">
        <v>44522</v>
      </c>
      <c r="C1006" s="124">
        <v>230.9</v>
      </c>
      <c r="D1006" s="156">
        <f t="shared" si="31"/>
        <v>-3.0224525043177405E-3</v>
      </c>
      <c r="E1006" s="156">
        <v>1.0574263868553743E-2</v>
      </c>
      <c r="F1006" s="124">
        <v>1000</v>
      </c>
      <c r="G1006" s="238">
        <f t="shared" ca="1" si="32"/>
        <v>-3.8290308347748185E-3</v>
      </c>
      <c r="I1006" s="156"/>
    </row>
    <row r="1007" spans="2:9" x14ac:dyDescent="0.2">
      <c r="B1007" s="230">
        <v>44518</v>
      </c>
      <c r="C1007" s="124">
        <v>237.5</v>
      </c>
      <c r="D1007" s="156">
        <f t="shared" si="31"/>
        <v>2.8583802511909891E-2</v>
      </c>
      <c r="E1007" s="156">
        <v>1.0571931996761744E-2</v>
      </c>
      <c r="F1007" s="124">
        <v>1001</v>
      </c>
      <c r="G1007" s="238">
        <f t="shared" ca="1" si="32"/>
        <v>-1.0079789369192606E-3</v>
      </c>
      <c r="I1007" s="156"/>
    </row>
    <row r="1008" spans="2:9" x14ac:dyDescent="0.2">
      <c r="B1008" s="230">
        <v>44517</v>
      </c>
      <c r="C1008" s="124">
        <v>239.5</v>
      </c>
      <c r="D1008" s="156">
        <f t="shared" si="31"/>
        <v>8.4210526315789472E-3</v>
      </c>
      <c r="E1008" s="156">
        <v>1.0555482253595422E-2</v>
      </c>
      <c r="F1008" s="124">
        <v>1002</v>
      </c>
      <c r="G1008" s="238">
        <f t="shared" ca="1" si="32"/>
        <v>-9.9296523023892254E-3</v>
      </c>
      <c r="I1008" s="156"/>
    </row>
    <row r="1009" spans="2:9" x14ac:dyDescent="0.2">
      <c r="B1009" s="230">
        <v>44516</v>
      </c>
      <c r="C1009" s="124">
        <v>235.45</v>
      </c>
      <c r="D1009" s="156">
        <f t="shared" si="31"/>
        <v>-1.6910229645093994E-2</v>
      </c>
      <c r="E1009" s="156">
        <v>1.0502540937323623E-2</v>
      </c>
      <c r="F1009" s="124">
        <v>1003</v>
      </c>
      <c r="G1009" s="238">
        <f t="shared" ca="1" si="32"/>
        <v>2.5717870052566479E-2</v>
      </c>
      <c r="I1009" s="156"/>
    </row>
    <row r="1010" spans="2:9" x14ac:dyDescent="0.2">
      <c r="B1010" s="230">
        <v>44515</v>
      </c>
      <c r="C1010" s="124">
        <v>238.1</v>
      </c>
      <c r="D1010" s="156">
        <f t="shared" si="31"/>
        <v>1.1255043533658976E-2</v>
      </c>
      <c r="E1010" s="156">
        <v>1.0466560227071096E-2</v>
      </c>
      <c r="F1010" s="124">
        <v>1004</v>
      </c>
      <c r="G1010" s="238">
        <f t="shared" ca="1" si="32"/>
        <v>5.8525440093689144E-4</v>
      </c>
      <c r="I1010" s="156"/>
    </row>
    <row r="1011" spans="2:9" x14ac:dyDescent="0.2">
      <c r="B1011" s="230">
        <v>44512</v>
      </c>
      <c r="C1011" s="124">
        <v>232.9</v>
      </c>
      <c r="D1011" s="156">
        <f t="shared" si="31"/>
        <v>-2.1839563208735778E-2</v>
      </c>
      <c r="E1011" s="156">
        <v>1.0460866277360035E-2</v>
      </c>
      <c r="F1011" s="124">
        <v>1005</v>
      </c>
      <c r="G1011" s="238">
        <f t="shared" ca="1" si="32"/>
        <v>9.5921927270475691E-3</v>
      </c>
      <c r="I1011" s="156"/>
    </row>
    <row r="1012" spans="2:9" x14ac:dyDescent="0.2">
      <c r="B1012" s="230">
        <v>44511</v>
      </c>
      <c r="C1012" s="124">
        <v>230</v>
      </c>
      <c r="D1012" s="156">
        <f t="shared" si="31"/>
        <v>-1.2451696006869925E-2</v>
      </c>
      <c r="E1012" s="156">
        <v>1.045552461514202E-2</v>
      </c>
      <c r="F1012" s="124">
        <v>1006</v>
      </c>
      <c r="G1012" s="238">
        <f t="shared" ca="1" si="32"/>
        <v>-5.6608606880809167E-2</v>
      </c>
      <c r="I1012" s="156"/>
    </row>
    <row r="1013" spans="2:9" x14ac:dyDescent="0.2">
      <c r="B1013" s="230">
        <v>44510</v>
      </c>
      <c r="C1013" s="124">
        <v>230.85</v>
      </c>
      <c r="D1013" s="156">
        <f t="shared" si="31"/>
        <v>3.6956521739130188E-3</v>
      </c>
      <c r="E1013" s="156">
        <v>1.0420168067226968E-2</v>
      </c>
      <c r="F1013" s="124">
        <v>1007</v>
      </c>
      <c r="G1013" s="238">
        <f t="shared" ca="1" si="32"/>
        <v>1.5929200242093475E-3</v>
      </c>
      <c r="I1013" s="156"/>
    </row>
    <row r="1014" spans="2:9" x14ac:dyDescent="0.2">
      <c r="B1014" s="230">
        <v>44509</v>
      </c>
      <c r="C1014" s="124">
        <v>228.75</v>
      </c>
      <c r="D1014" s="156">
        <f t="shared" si="31"/>
        <v>-9.0968161143599492E-3</v>
      </c>
      <c r="E1014" s="156">
        <v>1.0405581175357637E-2</v>
      </c>
      <c r="F1014" s="124">
        <v>1008</v>
      </c>
      <c r="G1014" s="238">
        <f t="shared" ca="1" si="32"/>
        <v>2.386367916714446E-3</v>
      </c>
      <c r="I1014" s="156"/>
    </row>
    <row r="1015" spans="2:9" x14ac:dyDescent="0.2">
      <c r="B1015" s="230">
        <v>44508</v>
      </c>
      <c r="C1015" s="124">
        <v>229.8</v>
      </c>
      <c r="D1015" s="156">
        <f t="shared" si="31"/>
        <v>4.5901639344262789E-3</v>
      </c>
      <c r="E1015" s="156">
        <v>1.0402080416083308E-2</v>
      </c>
      <c r="F1015" s="124">
        <v>1009</v>
      </c>
      <c r="G1015" s="238">
        <f t="shared" ca="1" si="32"/>
        <v>-1.0380700347336154E-2</v>
      </c>
      <c r="I1015" s="156"/>
    </row>
    <row r="1016" spans="2:9" x14ac:dyDescent="0.2">
      <c r="B1016" s="230">
        <v>44504</v>
      </c>
      <c r="C1016" s="124">
        <v>226.55</v>
      </c>
      <c r="D1016" s="156">
        <f t="shared" si="31"/>
        <v>-1.4142732811140122E-2</v>
      </c>
      <c r="E1016" s="156">
        <v>1.0396975425330813E-2</v>
      </c>
      <c r="F1016" s="124">
        <v>1010</v>
      </c>
      <c r="G1016" s="238">
        <f t="shared" ca="1" si="32"/>
        <v>9.0646332964890372E-3</v>
      </c>
      <c r="I1016" s="156"/>
    </row>
    <row r="1017" spans="2:9" x14ac:dyDescent="0.2">
      <c r="B1017" s="230">
        <v>44503</v>
      </c>
      <c r="C1017" s="124">
        <v>222.45</v>
      </c>
      <c r="D1017" s="156">
        <f t="shared" si="31"/>
        <v>-1.809755020966684E-2</v>
      </c>
      <c r="E1017" s="156">
        <v>1.0396211158599976E-2</v>
      </c>
      <c r="F1017" s="124">
        <v>1011</v>
      </c>
      <c r="G1017" s="238">
        <f t="shared" ca="1" si="32"/>
        <v>9.6397510515905446E-3</v>
      </c>
      <c r="I1017" s="156"/>
    </row>
    <row r="1018" spans="2:9" x14ac:dyDescent="0.2">
      <c r="B1018" s="230">
        <v>44502</v>
      </c>
      <c r="C1018" s="124">
        <v>225.6</v>
      </c>
      <c r="D1018" s="156">
        <f t="shared" si="31"/>
        <v>1.4160485502360107E-2</v>
      </c>
      <c r="E1018" s="156">
        <v>1.0384759058647851E-2</v>
      </c>
      <c r="F1018" s="124">
        <v>1012</v>
      </c>
      <c r="G1018" s="238">
        <f t="shared" ca="1" si="32"/>
        <v>-6.9304231639886558E-3</v>
      </c>
      <c r="I1018" s="156"/>
    </row>
    <row r="1019" spans="2:9" x14ac:dyDescent="0.2">
      <c r="B1019" s="230">
        <v>44501</v>
      </c>
      <c r="C1019" s="124">
        <v>226.85</v>
      </c>
      <c r="D1019" s="156">
        <f t="shared" si="31"/>
        <v>5.5407801418439718E-3</v>
      </c>
      <c r="E1019" s="156">
        <v>1.0382091856426081E-2</v>
      </c>
      <c r="F1019" s="124">
        <v>1013</v>
      </c>
      <c r="G1019" s="238">
        <f t="shared" ca="1" si="32"/>
        <v>5.1406438663999382E-3</v>
      </c>
      <c r="I1019" s="156"/>
    </row>
    <row r="1020" spans="2:9" x14ac:dyDescent="0.2">
      <c r="B1020" s="230">
        <v>44498</v>
      </c>
      <c r="C1020" s="124">
        <v>223.2</v>
      </c>
      <c r="D1020" s="156">
        <f t="shared" si="31"/>
        <v>-1.6089927264712391E-2</v>
      </c>
      <c r="E1020" s="156">
        <v>1.0375880971025864E-2</v>
      </c>
      <c r="F1020" s="124">
        <v>1014</v>
      </c>
      <c r="G1020" s="238">
        <f t="shared" ca="1" si="32"/>
        <v>3.6467382634416496E-3</v>
      </c>
      <c r="I1020" s="156"/>
    </row>
    <row r="1021" spans="2:9" x14ac:dyDescent="0.2">
      <c r="B1021" s="230">
        <v>44497</v>
      </c>
      <c r="C1021" s="124">
        <v>225.1</v>
      </c>
      <c r="D1021" s="156">
        <f t="shared" si="31"/>
        <v>8.5125448028674101E-3</v>
      </c>
      <c r="E1021" s="156">
        <v>1.0347337770382744E-2</v>
      </c>
      <c r="F1021" s="124">
        <v>1015</v>
      </c>
      <c r="G1021" s="238">
        <f t="shared" ca="1" si="32"/>
        <v>2.7989209603176718E-2</v>
      </c>
      <c r="I1021" s="156"/>
    </row>
    <row r="1022" spans="2:9" x14ac:dyDescent="0.2">
      <c r="B1022" s="230">
        <v>44496</v>
      </c>
      <c r="C1022" s="124">
        <v>238.45</v>
      </c>
      <c r="D1022" s="156">
        <f t="shared" ref="D1022:D1085" si="33">(C1022-C1021)/C1021</f>
        <v>5.9306974677920898E-2</v>
      </c>
      <c r="E1022" s="156">
        <v>1.0347271438695949E-2</v>
      </c>
      <c r="F1022" s="124">
        <v>1016</v>
      </c>
      <c r="G1022" s="238">
        <f t="shared" ca="1" si="32"/>
        <v>2.2459933678642862E-2</v>
      </c>
      <c r="I1022" s="156"/>
    </row>
    <row r="1023" spans="2:9" x14ac:dyDescent="0.2">
      <c r="B1023" s="230">
        <v>44495</v>
      </c>
      <c r="C1023" s="124">
        <v>236.7</v>
      </c>
      <c r="D1023" s="156">
        <f t="shared" si="33"/>
        <v>-7.3390647934577485E-3</v>
      </c>
      <c r="E1023" s="156">
        <v>1.0345376412541758E-2</v>
      </c>
      <c r="F1023" s="124">
        <v>1017</v>
      </c>
      <c r="G1023" s="238">
        <f t="shared" ca="1" si="32"/>
        <v>-2.0026488385065624E-2</v>
      </c>
      <c r="I1023" s="156"/>
    </row>
    <row r="1024" spans="2:9" x14ac:dyDescent="0.2">
      <c r="B1024" s="230">
        <v>44494</v>
      </c>
      <c r="C1024" s="124">
        <v>233.4</v>
      </c>
      <c r="D1024" s="156">
        <f t="shared" si="33"/>
        <v>-1.3941698352344668E-2</v>
      </c>
      <c r="E1024" s="156">
        <v>1.0332434860736607E-2</v>
      </c>
      <c r="F1024" s="124">
        <v>1018</v>
      </c>
      <c r="G1024" s="238">
        <f t="shared" ca="1" si="32"/>
        <v>1.5467809668626355E-2</v>
      </c>
      <c r="I1024" s="156"/>
    </row>
    <row r="1025" spans="2:9" x14ac:dyDescent="0.2">
      <c r="B1025" s="230">
        <v>44491</v>
      </c>
      <c r="C1025" s="124">
        <v>236.6</v>
      </c>
      <c r="D1025" s="156">
        <f t="shared" si="33"/>
        <v>1.3710368466152478E-2</v>
      </c>
      <c r="E1025" s="156">
        <v>1.0296214161254532E-2</v>
      </c>
      <c r="F1025" s="124">
        <v>1019</v>
      </c>
      <c r="G1025" s="238">
        <f t="shared" ca="1" si="32"/>
        <v>1.2119404401770702E-3</v>
      </c>
      <c r="I1025" s="156"/>
    </row>
    <row r="1026" spans="2:9" x14ac:dyDescent="0.2">
      <c r="B1026" s="230">
        <v>44490</v>
      </c>
      <c r="C1026" s="124">
        <v>244.7</v>
      </c>
      <c r="D1026" s="156">
        <f t="shared" si="33"/>
        <v>3.4234995773457289E-2</v>
      </c>
      <c r="E1026" s="156">
        <v>1.0287779785902956E-2</v>
      </c>
      <c r="F1026" s="124">
        <v>1020</v>
      </c>
      <c r="G1026" s="238">
        <f t="shared" ca="1" si="32"/>
        <v>-2.3011068317282599E-2</v>
      </c>
      <c r="I1026" s="156"/>
    </row>
    <row r="1027" spans="2:9" x14ac:dyDescent="0.2">
      <c r="B1027" s="230">
        <v>44489</v>
      </c>
      <c r="C1027" s="124">
        <v>246.6</v>
      </c>
      <c r="D1027" s="156">
        <f t="shared" si="33"/>
        <v>7.7646097261953647E-3</v>
      </c>
      <c r="E1027" s="156">
        <v>1.0287081339712945E-2</v>
      </c>
      <c r="F1027" s="124">
        <v>1021</v>
      </c>
      <c r="G1027" s="238">
        <f t="shared" ca="1" si="32"/>
        <v>1.627449772616409E-2</v>
      </c>
      <c r="I1027" s="156"/>
    </row>
    <row r="1028" spans="2:9" x14ac:dyDescent="0.2">
      <c r="B1028" s="230">
        <v>44488</v>
      </c>
      <c r="C1028" s="124">
        <v>245.95</v>
      </c>
      <c r="D1028" s="156">
        <f t="shared" si="33"/>
        <v>-2.6358475263584982E-3</v>
      </c>
      <c r="E1028" s="156">
        <v>1.0282776349614499E-2</v>
      </c>
      <c r="F1028" s="124">
        <v>1022</v>
      </c>
      <c r="G1028" s="238">
        <f t="shared" ca="1" si="32"/>
        <v>-1.0634846195416105E-2</v>
      </c>
      <c r="I1028" s="156"/>
    </row>
    <row r="1029" spans="2:9" x14ac:dyDescent="0.2">
      <c r="B1029" s="230">
        <v>44487</v>
      </c>
      <c r="C1029" s="124">
        <v>262.55</v>
      </c>
      <c r="D1029" s="156">
        <f t="shared" si="33"/>
        <v>6.74933929660501E-2</v>
      </c>
      <c r="E1029" s="156">
        <v>1.0279253040945716E-2</v>
      </c>
      <c r="F1029" s="124">
        <v>1023</v>
      </c>
      <c r="G1029" s="238">
        <f t="shared" ca="1" si="32"/>
        <v>1.0599398748920323E-3</v>
      </c>
      <c r="I1029" s="156"/>
    </row>
    <row r="1030" spans="2:9" x14ac:dyDescent="0.2">
      <c r="B1030" s="230">
        <v>44483</v>
      </c>
      <c r="C1030" s="124">
        <v>256.55</v>
      </c>
      <c r="D1030" s="156">
        <f t="shared" si="33"/>
        <v>-2.2852789944772422E-2</v>
      </c>
      <c r="E1030" s="156">
        <v>1.0271903323262771E-2</v>
      </c>
      <c r="F1030" s="124">
        <v>1024</v>
      </c>
      <c r="G1030" s="238">
        <f t="shared" ca="1" si="32"/>
        <v>-1.8859394009158523E-2</v>
      </c>
      <c r="I1030" s="156"/>
    </row>
    <row r="1031" spans="2:9" x14ac:dyDescent="0.2">
      <c r="B1031" s="230">
        <v>44482</v>
      </c>
      <c r="C1031" s="124">
        <v>249.2</v>
      </c>
      <c r="D1031" s="156">
        <f t="shared" si="33"/>
        <v>-2.8649386084583988E-2</v>
      </c>
      <c r="E1031" s="156">
        <v>1.0268929706269771E-2</v>
      </c>
      <c r="F1031" s="124">
        <v>1025</v>
      </c>
      <c r="G1031" s="238">
        <f t="shared" ref="G1031:G1094" ca="1" si="34">_xlfn.NORM.INV(RAND(),$L$8,$L$9)</f>
        <v>-1.212624063373665E-2</v>
      </c>
      <c r="I1031" s="156"/>
    </row>
    <row r="1032" spans="2:9" x14ac:dyDescent="0.2">
      <c r="B1032" s="230">
        <v>44481</v>
      </c>
      <c r="C1032" s="124">
        <v>241.3</v>
      </c>
      <c r="D1032" s="156">
        <f t="shared" si="33"/>
        <v>-3.1701444622792847E-2</v>
      </c>
      <c r="E1032" s="156">
        <v>1.0223774295823161E-2</v>
      </c>
      <c r="F1032" s="124">
        <v>1026</v>
      </c>
      <c r="G1032" s="238">
        <f t="shared" ca="1" si="34"/>
        <v>-1.5756938216744229E-3</v>
      </c>
      <c r="I1032" s="156"/>
    </row>
    <row r="1033" spans="2:9" x14ac:dyDescent="0.2">
      <c r="B1033" s="230">
        <v>44480</v>
      </c>
      <c r="C1033" s="124">
        <v>238.05</v>
      </c>
      <c r="D1033" s="156">
        <f t="shared" si="33"/>
        <v>-1.3468711147948611E-2</v>
      </c>
      <c r="E1033" s="156">
        <v>1.0217308425467048E-2</v>
      </c>
      <c r="F1033" s="124">
        <v>1027</v>
      </c>
      <c r="G1033" s="238">
        <f t="shared" ca="1" si="34"/>
        <v>9.926119201741369E-3</v>
      </c>
      <c r="I1033" s="156"/>
    </row>
    <row r="1034" spans="2:9" x14ac:dyDescent="0.2">
      <c r="B1034" s="230">
        <v>44477</v>
      </c>
      <c r="C1034" s="124">
        <v>231.7</v>
      </c>
      <c r="D1034" s="156">
        <f t="shared" si="33"/>
        <v>-2.6675068262970059E-2</v>
      </c>
      <c r="E1034" s="156">
        <v>1.0215170615083652E-2</v>
      </c>
      <c r="F1034" s="124">
        <v>1028</v>
      </c>
      <c r="G1034" s="238">
        <f t="shared" ca="1" si="34"/>
        <v>-9.5193229481458953E-3</v>
      </c>
      <c r="I1034" s="156"/>
    </row>
    <row r="1035" spans="2:9" x14ac:dyDescent="0.2">
      <c r="B1035" s="230">
        <v>44476</v>
      </c>
      <c r="C1035" s="124">
        <v>232.95</v>
      </c>
      <c r="D1035" s="156">
        <f t="shared" si="33"/>
        <v>5.3949072075960298E-3</v>
      </c>
      <c r="E1035" s="156">
        <v>1.0208514335360656E-2</v>
      </c>
      <c r="F1035" s="124">
        <v>1029</v>
      </c>
      <c r="G1035" s="238">
        <f t="shared" ca="1" si="34"/>
        <v>-1.508487832926266E-2</v>
      </c>
      <c r="I1035" s="156"/>
    </row>
    <row r="1036" spans="2:9" x14ac:dyDescent="0.2">
      <c r="B1036" s="230">
        <v>44475</v>
      </c>
      <c r="C1036" s="124">
        <v>231.25</v>
      </c>
      <c r="D1036" s="156">
        <f t="shared" si="33"/>
        <v>-7.2977033698218017E-3</v>
      </c>
      <c r="E1036" s="156">
        <v>1.0205264988983033E-2</v>
      </c>
      <c r="F1036" s="124">
        <v>1030</v>
      </c>
      <c r="G1036" s="238">
        <f t="shared" ca="1" si="34"/>
        <v>7.5415474213345645E-3</v>
      </c>
      <c r="I1036" s="156"/>
    </row>
    <row r="1037" spans="2:9" x14ac:dyDescent="0.2">
      <c r="B1037" s="230">
        <v>44474</v>
      </c>
      <c r="C1037" s="124">
        <v>234.7</v>
      </c>
      <c r="D1037" s="156">
        <f t="shared" si="33"/>
        <v>1.491891891891887E-2</v>
      </c>
      <c r="E1037" s="156">
        <v>1.0199125789218033E-2</v>
      </c>
      <c r="F1037" s="124">
        <v>1031</v>
      </c>
      <c r="G1037" s="238">
        <f t="shared" ca="1" si="34"/>
        <v>-2.4134640444426904E-2</v>
      </c>
      <c r="I1037" s="156"/>
    </row>
    <row r="1038" spans="2:9" x14ac:dyDescent="0.2">
      <c r="B1038" s="230">
        <v>44473</v>
      </c>
      <c r="C1038" s="124">
        <v>236.6</v>
      </c>
      <c r="D1038" s="156">
        <f t="shared" si="33"/>
        <v>8.0954409884959767E-3</v>
      </c>
      <c r="E1038" s="156">
        <v>1.016260162601626E-2</v>
      </c>
      <c r="F1038" s="124">
        <v>1032</v>
      </c>
      <c r="G1038" s="238">
        <f t="shared" ca="1" si="34"/>
        <v>1.8374127927174574E-2</v>
      </c>
      <c r="I1038" s="156"/>
    </row>
    <row r="1039" spans="2:9" x14ac:dyDescent="0.2">
      <c r="B1039" s="230">
        <v>44470</v>
      </c>
      <c r="C1039" s="124">
        <v>235.35</v>
      </c>
      <c r="D1039" s="156">
        <f t="shared" si="33"/>
        <v>-5.2831783601014369E-3</v>
      </c>
      <c r="E1039" s="156">
        <v>1.014995901441737E-2</v>
      </c>
      <c r="F1039" s="124">
        <v>1033</v>
      </c>
      <c r="G1039" s="238">
        <f t="shared" ca="1" si="34"/>
        <v>-5.3872523366441903E-3</v>
      </c>
      <c r="I1039" s="156"/>
    </row>
    <row r="1040" spans="2:9" x14ac:dyDescent="0.2">
      <c r="B1040" s="230">
        <v>44469</v>
      </c>
      <c r="C1040" s="124">
        <v>236.15</v>
      </c>
      <c r="D1040" s="156">
        <f t="shared" si="33"/>
        <v>3.3991926917357612E-3</v>
      </c>
      <c r="E1040" s="156">
        <v>1.013451262207481E-2</v>
      </c>
      <c r="F1040" s="124">
        <v>1034</v>
      </c>
      <c r="G1040" s="238">
        <f t="shared" ca="1" si="34"/>
        <v>-2.017708418264022E-2</v>
      </c>
      <c r="I1040" s="156"/>
    </row>
    <row r="1041" spans="2:9" x14ac:dyDescent="0.2">
      <c r="B1041" s="230">
        <v>44468</v>
      </c>
      <c r="C1041" s="124">
        <v>238.1</v>
      </c>
      <c r="D1041" s="156">
        <f t="shared" si="33"/>
        <v>8.2574634766038046E-3</v>
      </c>
      <c r="E1041" s="156">
        <v>1.0121352956364616E-2</v>
      </c>
      <c r="F1041" s="124">
        <v>1035</v>
      </c>
      <c r="G1041" s="238">
        <f t="shared" ca="1" si="34"/>
        <v>3.0699911450116996E-2</v>
      </c>
      <c r="I1041" s="156"/>
    </row>
    <row r="1042" spans="2:9" x14ac:dyDescent="0.2">
      <c r="B1042" s="230">
        <v>44467</v>
      </c>
      <c r="C1042" s="124">
        <v>237.75</v>
      </c>
      <c r="D1042" s="156">
        <f t="shared" si="33"/>
        <v>-1.4699706005879645E-3</v>
      </c>
      <c r="E1042" s="156">
        <v>1.0120759056929217E-2</v>
      </c>
      <c r="F1042" s="124">
        <v>1036</v>
      </c>
      <c r="G1042" s="238">
        <f t="shared" ca="1" si="34"/>
        <v>-6.1965220801000779E-3</v>
      </c>
      <c r="I1042" s="156"/>
    </row>
    <row r="1043" spans="2:9" x14ac:dyDescent="0.2">
      <c r="B1043" s="230">
        <v>44466</v>
      </c>
      <c r="C1043" s="124">
        <v>238.7</v>
      </c>
      <c r="D1043" s="156">
        <f t="shared" si="33"/>
        <v>3.9957939011566294E-3</v>
      </c>
      <c r="E1043" s="156">
        <v>1.0116660590594235E-2</v>
      </c>
      <c r="F1043" s="124">
        <v>1037</v>
      </c>
      <c r="G1043" s="238">
        <f t="shared" ca="1" si="34"/>
        <v>1.4809493139315599E-2</v>
      </c>
      <c r="I1043" s="156"/>
    </row>
    <row r="1044" spans="2:9" x14ac:dyDescent="0.2">
      <c r="B1044" s="230">
        <v>44463</v>
      </c>
      <c r="C1044" s="124">
        <v>238.45</v>
      </c>
      <c r="D1044" s="156">
        <f t="shared" si="33"/>
        <v>-1.0473397570171764E-3</v>
      </c>
      <c r="E1044" s="156">
        <v>1.0102656020857172E-2</v>
      </c>
      <c r="F1044" s="124">
        <v>1038</v>
      </c>
      <c r="G1044" s="238">
        <f t="shared" ca="1" si="34"/>
        <v>7.1812755809785604E-3</v>
      </c>
      <c r="I1044" s="156"/>
    </row>
    <row r="1045" spans="2:9" x14ac:dyDescent="0.2">
      <c r="B1045" s="230">
        <v>44462</v>
      </c>
      <c r="C1045" s="124">
        <v>242.5</v>
      </c>
      <c r="D1045" s="156">
        <f t="shared" si="33"/>
        <v>1.6984692807716553E-2</v>
      </c>
      <c r="E1045" s="156">
        <v>1.0099188458070375E-2</v>
      </c>
      <c r="F1045" s="124">
        <v>1039</v>
      </c>
      <c r="G1045" s="238">
        <f t="shared" ca="1" si="34"/>
        <v>-2.6640318874337217E-2</v>
      </c>
      <c r="I1045" s="156"/>
    </row>
    <row r="1046" spans="2:9" x14ac:dyDescent="0.2">
      <c r="B1046" s="230">
        <v>44461</v>
      </c>
      <c r="C1046" s="124">
        <v>243.5</v>
      </c>
      <c r="D1046" s="156">
        <f t="shared" si="33"/>
        <v>4.1237113402061857E-3</v>
      </c>
      <c r="E1046" s="156">
        <v>1.0097996465701184E-2</v>
      </c>
      <c r="F1046" s="124">
        <v>1040</v>
      </c>
      <c r="G1046" s="238">
        <f t="shared" ca="1" si="34"/>
        <v>-7.055576333705231E-3</v>
      </c>
      <c r="I1046" s="156"/>
    </row>
    <row r="1047" spans="2:9" x14ac:dyDescent="0.2">
      <c r="B1047" s="230">
        <v>44460</v>
      </c>
      <c r="C1047" s="124">
        <v>241.5</v>
      </c>
      <c r="D1047" s="156">
        <f t="shared" si="33"/>
        <v>-8.2135523613963042E-3</v>
      </c>
      <c r="E1047" s="156">
        <v>1.0090913418058949E-2</v>
      </c>
      <c r="F1047" s="124">
        <v>1041</v>
      </c>
      <c r="G1047" s="238">
        <f t="shared" ca="1" si="34"/>
        <v>2.604499995742194E-4</v>
      </c>
      <c r="I1047" s="156"/>
    </row>
    <row r="1048" spans="2:9" x14ac:dyDescent="0.2">
      <c r="B1048" s="230">
        <v>44459</v>
      </c>
      <c r="C1048" s="124">
        <v>233.75</v>
      </c>
      <c r="D1048" s="156">
        <f t="shared" si="33"/>
        <v>-3.2091097308488616E-2</v>
      </c>
      <c r="E1048" s="156">
        <v>1.0072450963067761E-2</v>
      </c>
      <c r="F1048" s="124">
        <v>1042</v>
      </c>
      <c r="G1048" s="238">
        <f t="shared" ca="1" si="34"/>
        <v>-2.9113702799754171E-2</v>
      </c>
      <c r="I1048" s="156"/>
    </row>
    <row r="1049" spans="2:9" x14ac:dyDescent="0.2">
      <c r="B1049" s="230">
        <v>44456</v>
      </c>
      <c r="C1049" s="124">
        <v>231.15</v>
      </c>
      <c r="D1049" s="156">
        <f t="shared" si="33"/>
        <v>-1.1122994652406393E-2</v>
      </c>
      <c r="E1049" s="156">
        <v>1.0071235568656266E-2</v>
      </c>
      <c r="F1049" s="124">
        <v>1043</v>
      </c>
      <c r="G1049" s="238">
        <f t="shared" ca="1" si="34"/>
        <v>-2.5421019400758528E-3</v>
      </c>
      <c r="I1049" s="156"/>
    </row>
    <row r="1050" spans="2:9" x14ac:dyDescent="0.2">
      <c r="B1050" s="230">
        <v>44455</v>
      </c>
      <c r="C1050" s="124">
        <v>230.75</v>
      </c>
      <c r="D1050" s="156">
        <f t="shared" si="33"/>
        <v>-1.7304780445598343E-3</v>
      </c>
      <c r="E1050" s="156">
        <v>1.0070186145865155E-2</v>
      </c>
      <c r="F1050" s="124">
        <v>1044</v>
      </c>
      <c r="G1050" s="238">
        <f t="shared" ca="1" si="34"/>
        <v>-3.0396769837692492E-2</v>
      </c>
      <c r="I1050" s="156"/>
    </row>
    <row r="1051" spans="2:9" x14ac:dyDescent="0.2">
      <c r="B1051" s="230">
        <v>44454</v>
      </c>
      <c r="C1051" s="124">
        <v>216</v>
      </c>
      <c r="D1051" s="156">
        <f t="shared" si="33"/>
        <v>-6.3921993499458291E-2</v>
      </c>
      <c r="E1051" s="156">
        <v>1.0050251256281463E-2</v>
      </c>
      <c r="F1051" s="124">
        <v>1045</v>
      </c>
      <c r="G1051" s="238">
        <f t="shared" ca="1" si="34"/>
        <v>-1.1512265184194534E-2</v>
      </c>
      <c r="I1051" s="156"/>
    </row>
    <row r="1052" spans="2:9" x14ac:dyDescent="0.2">
      <c r="B1052" s="230">
        <v>44453</v>
      </c>
      <c r="C1052" s="124">
        <v>216.1</v>
      </c>
      <c r="D1052" s="156">
        <f t="shared" si="33"/>
        <v>4.6296296296293663E-4</v>
      </c>
      <c r="E1052" s="156">
        <v>1.0027347310847767E-2</v>
      </c>
      <c r="F1052" s="124">
        <v>1046</v>
      </c>
      <c r="G1052" s="238">
        <f t="shared" ca="1" si="34"/>
        <v>2.2389219576618756E-3</v>
      </c>
      <c r="I1052" s="156"/>
    </row>
    <row r="1053" spans="2:9" x14ac:dyDescent="0.2">
      <c r="B1053" s="230">
        <v>44452</v>
      </c>
      <c r="C1053" s="124">
        <v>214.15</v>
      </c>
      <c r="D1053" s="156">
        <f t="shared" si="33"/>
        <v>-9.0236001850994389E-3</v>
      </c>
      <c r="E1053" s="156">
        <v>1.0025993316004414E-2</v>
      </c>
      <c r="F1053" s="124">
        <v>1047</v>
      </c>
      <c r="G1053" s="238">
        <f t="shared" ca="1" si="34"/>
        <v>-2.553952242595893E-3</v>
      </c>
      <c r="I1053" s="156"/>
    </row>
    <row r="1054" spans="2:9" x14ac:dyDescent="0.2">
      <c r="B1054" s="230">
        <v>44448</v>
      </c>
      <c r="C1054" s="124">
        <v>212.65</v>
      </c>
      <c r="D1054" s="156">
        <f t="shared" si="33"/>
        <v>-7.0044361428904973E-3</v>
      </c>
      <c r="E1054" s="156">
        <v>1.0008732451131921E-2</v>
      </c>
      <c r="F1054" s="124">
        <v>1048</v>
      </c>
      <c r="G1054" s="238">
        <f t="shared" ca="1" si="34"/>
        <v>-1.5872525762017923E-2</v>
      </c>
      <c r="I1054" s="156"/>
    </row>
    <row r="1055" spans="2:9" x14ac:dyDescent="0.2">
      <c r="B1055" s="230">
        <v>44447</v>
      </c>
      <c r="C1055" s="124">
        <v>211.25</v>
      </c>
      <c r="D1055" s="156">
        <f t="shared" si="33"/>
        <v>-6.5835880554902691E-3</v>
      </c>
      <c r="E1055" s="156">
        <v>1.0004413711931835E-2</v>
      </c>
      <c r="F1055" s="124">
        <v>1049</v>
      </c>
      <c r="G1055" s="238">
        <f t="shared" ca="1" si="34"/>
        <v>-4.9529676645293707E-3</v>
      </c>
      <c r="I1055" s="156"/>
    </row>
    <row r="1056" spans="2:9" x14ac:dyDescent="0.2">
      <c r="B1056" s="230">
        <v>44446</v>
      </c>
      <c r="C1056" s="124">
        <v>211.75</v>
      </c>
      <c r="D1056" s="156">
        <f t="shared" si="33"/>
        <v>2.3668639053254438E-3</v>
      </c>
      <c r="E1056" s="156">
        <v>9.9919347611792716E-3</v>
      </c>
      <c r="F1056" s="124">
        <v>1050</v>
      </c>
      <c r="G1056" s="238">
        <f t="shared" ca="1" si="34"/>
        <v>-6.8137103112216975E-3</v>
      </c>
      <c r="I1056" s="156"/>
    </row>
    <row r="1057" spans="2:9" x14ac:dyDescent="0.2">
      <c r="B1057" s="230">
        <v>44445</v>
      </c>
      <c r="C1057" s="124">
        <v>209.3</v>
      </c>
      <c r="D1057" s="156">
        <f t="shared" si="33"/>
        <v>-1.1570247933884243E-2</v>
      </c>
      <c r="E1057" s="156">
        <v>9.9241376019847515E-3</v>
      </c>
      <c r="F1057" s="124">
        <v>1051</v>
      </c>
      <c r="G1057" s="238">
        <f t="shared" ca="1" si="34"/>
        <v>1.0753493237627287E-2</v>
      </c>
      <c r="I1057" s="156"/>
    </row>
    <row r="1058" spans="2:9" x14ac:dyDescent="0.2">
      <c r="B1058" s="230">
        <v>44442</v>
      </c>
      <c r="C1058" s="124">
        <v>210.6</v>
      </c>
      <c r="D1058" s="156">
        <f t="shared" si="33"/>
        <v>6.2111801242235205E-3</v>
      </c>
      <c r="E1058" s="156">
        <v>9.9046907120163598E-3</v>
      </c>
      <c r="F1058" s="124">
        <v>1052</v>
      </c>
      <c r="G1058" s="238">
        <f t="shared" ca="1" si="34"/>
        <v>-1.5740356834326192E-2</v>
      </c>
      <c r="I1058" s="156"/>
    </row>
    <row r="1059" spans="2:9" x14ac:dyDescent="0.2">
      <c r="B1059" s="230">
        <v>44441</v>
      </c>
      <c r="C1059" s="124">
        <v>209.75</v>
      </c>
      <c r="D1059" s="156">
        <f t="shared" si="33"/>
        <v>-4.0360873694206762E-3</v>
      </c>
      <c r="E1059" s="156">
        <v>9.899239879794984E-3</v>
      </c>
      <c r="F1059" s="124">
        <v>1053</v>
      </c>
      <c r="G1059" s="238">
        <f t="shared" ca="1" si="34"/>
        <v>-1.3514956183858366E-2</v>
      </c>
      <c r="I1059" s="156"/>
    </row>
    <row r="1060" spans="2:9" x14ac:dyDescent="0.2">
      <c r="B1060" s="230">
        <v>44440</v>
      </c>
      <c r="C1060" s="124">
        <v>209.5</v>
      </c>
      <c r="D1060" s="156">
        <f t="shared" si="33"/>
        <v>-1.1918951132300357E-3</v>
      </c>
      <c r="E1060" s="156">
        <v>9.8972922502333412E-3</v>
      </c>
      <c r="F1060" s="124">
        <v>1054</v>
      </c>
      <c r="G1060" s="238">
        <f t="shared" ca="1" si="34"/>
        <v>-1.6565059061600728E-2</v>
      </c>
      <c r="I1060" s="156"/>
    </row>
    <row r="1061" spans="2:9" x14ac:dyDescent="0.2">
      <c r="B1061" s="230">
        <v>44439</v>
      </c>
      <c r="C1061" s="124">
        <v>211.3</v>
      </c>
      <c r="D1061" s="156">
        <f t="shared" si="33"/>
        <v>8.5918854415275008E-3</v>
      </c>
      <c r="E1061" s="156">
        <v>9.8902587725240385E-3</v>
      </c>
      <c r="F1061" s="124">
        <v>1055</v>
      </c>
      <c r="G1061" s="238">
        <f t="shared" ca="1" si="34"/>
        <v>1.8395269660063329E-2</v>
      </c>
      <c r="I1061" s="156"/>
    </row>
    <row r="1062" spans="2:9" x14ac:dyDescent="0.2">
      <c r="B1062" s="230">
        <v>44438</v>
      </c>
      <c r="C1062" s="124">
        <v>208</v>
      </c>
      <c r="D1062" s="156">
        <f t="shared" si="33"/>
        <v>-1.5617605300520639E-2</v>
      </c>
      <c r="E1062" s="156">
        <v>9.8892405063291128E-3</v>
      </c>
      <c r="F1062" s="124">
        <v>1056</v>
      </c>
      <c r="G1062" s="238">
        <f t="shared" ca="1" si="34"/>
        <v>-8.7290937002784084E-3</v>
      </c>
      <c r="I1062" s="156"/>
    </row>
    <row r="1063" spans="2:9" x14ac:dyDescent="0.2">
      <c r="B1063" s="230">
        <v>44435</v>
      </c>
      <c r="C1063" s="124">
        <v>205.9</v>
      </c>
      <c r="D1063" s="156">
        <f t="shared" si="33"/>
        <v>-1.0096153846153819E-2</v>
      </c>
      <c r="E1063" s="156">
        <v>9.8826436071648514E-3</v>
      </c>
      <c r="F1063" s="124">
        <v>1057</v>
      </c>
      <c r="G1063" s="238">
        <f t="shared" ca="1" si="34"/>
        <v>-2.3315414587192558E-2</v>
      </c>
      <c r="I1063" s="156"/>
    </row>
    <row r="1064" spans="2:9" x14ac:dyDescent="0.2">
      <c r="B1064" s="230">
        <v>44434</v>
      </c>
      <c r="C1064" s="124">
        <v>204.6</v>
      </c>
      <c r="D1064" s="156">
        <f t="shared" si="33"/>
        <v>-6.3137445361826682E-3</v>
      </c>
      <c r="E1064" s="156">
        <v>9.8706845414640535E-3</v>
      </c>
      <c r="F1064" s="124">
        <v>1058</v>
      </c>
      <c r="G1064" s="238">
        <f t="shared" ca="1" si="34"/>
        <v>-1.4261287992198602E-2</v>
      </c>
      <c r="I1064" s="156"/>
    </row>
    <row r="1065" spans="2:9" x14ac:dyDescent="0.2">
      <c r="B1065" s="230">
        <v>44433</v>
      </c>
      <c r="C1065" s="124">
        <v>206.4</v>
      </c>
      <c r="D1065" s="156">
        <f t="shared" si="33"/>
        <v>8.7976539589443379E-3</v>
      </c>
      <c r="E1065" s="156">
        <v>9.8642533936651889E-3</v>
      </c>
      <c r="F1065" s="124">
        <v>1059</v>
      </c>
      <c r="G1065" s="238">
        <f t="shared" ca="1" si="34"/>
        <v>1.1167623305553693E-2</v>
      </c>
      <c r="I1065" s="156"/>
    </row>
    <row r="1066" spans="2:9" x14ac:dyDescent="0.2">
      <c r="B1066" s="230">
        <v>44432</v>
      </c>
      <c r="C1066" s="124">
        <v>205.75</v>
      </c>
      <c r="D1066" s="156">
        <f t="shared" si="33"/>
        <v>-3.1492248062015777E-3</v>
      </c>
      <c r="E1066" s="156">
        <v>9.855769230769286E-3</v>
      </c>
      <c r="F1066" s="124">
        <v>1060</v>
      </c>
      <c r="G1066" s="238">
        <f t="shared" ca="1" si="34"/>
        <v>-1.4748438191935416E-2</v>
      </c>
      <c r="I1066" s="156"/>
    </row>
    <row r="1067" spans="2:9" x14ac:dyDescent="0.2">
      <c r="B1067" s="230">
        <v>44431</v>
      </c>
      <c r="C1067" s="124">
        <v>206.3</v>
      </c>
      <c r="D1067" s="156">
        <f t="shared" si="33"/>
        <v>2.6731470230863248E-3</v>
      </c>
      <c r="E1067" s="156">
        <v>9.8550724637680494E-3</v>
      </c>
      <c r="F1067" s="124">
        <v>1061</v>
      </c>
      <c r="G1067" s="238">
        <f t="shared" ca="1" si="34"/>
        <v>2.4084835838220922E-2</v>
      </c>
      <c r="I1067" s="156"/>
    </row>
    <row r="1068" spans="2:9" x14ac:dyDescent="0.2">
      <c r="B1068" s="230">
        <v>44428</v>
      </c>
      <c r="C1068" s="124">
        <v>208.9</v>
      </c>
      <c r="D1068" s="156">
        <f t="shared" si="33"/>
        <v>1.2603005332040689E-2</v>
      </c>
      <c r="E1068" s="156">
        <v>9.8533171179667183E-3</v>
      </c>
      <c r="F1068" s="124">
        <v>1062</v>
      </c>
      <c r="G1068" s="238">
        <f t="shared" ca="1" si="34"/>
        <v>5.2443820379768826E-3</v>
      </c>
      <c r="I1068" s="156"/>
    </row>
    <row r="1069" spans="2:9" x14ac:dyDescent="0.2">
      <c r="B1069" s="230">
        <v>44426</v>
      </c>
      <c r="C1069" s="124">
        <v>208.95</v>
      </c>
      <c r="D1069" s="156">
        <f t="shared" si="33"/>
        <v>2.3934897079934392E-4</v>
      </c>
      <c r="E1069" s="156">
        <v>9.8513344080243606E-3</v>
      </c>
      <c r="F1069" s="124">
        <v>1063</v>
      </c>
      <c r="G1069" s="238">
        <f t="shared" ca="1" si="34"/>
        <v>-1.1147827049940958E-2</v>
      </c>
      <c r="I1069" s="156"/>
    </row>
    <row r="1070" spans="2:9" x14ac:dyDescent="0.2">
      <c r="B1070" s="230">
        <v>44425</v>
      </c>
      <c r="C1070" s="124">
        <v>209.2</v>
      </c>
      <c r="D1070" s="156">
        <f t="shared" si="33"/>
        <v>1.1964584828906438E-3</v>
      </c>
      <c r="E1070" s="156">
        <v>9.8455598455598897E-3</v>
      </c>
      <c r="F1070" s="124">
        <v>1064</v>
      </c>
      <c r="G1070" s="238">
        <f t="shared" ca="1" si="34"/>
        <v>1.9670583439889429E-2</v>
      </c>
      <c r="I1070" s="156"/>
    </row>
    <row r="1071" spans="2:9" x14ac:dyDescent="0.2">
      <c r="B1071" s="230">
        <v>44424</v>
      </c>
      <c r="C1071" s="124">
        <v>210.9</v>
      </c>
      <c r="D1071" s="156">
        <f t="shared" si="33"/>
        <v>8.1261950286807706E-3</v>
      </c>
      <c r="E1071" s="156">
        <v>9.8425196850393179E-3</v>
      </c>
      <c r="F1071" s="124">
        <v>1065</v>
      </c>
      <c r="G1071" s="238">
        <f t="shared" ca="1" si="34"/>
        <v>3.1795074992535216E-3</v>
      </c>
      <c r="I1071" s="156"/>
    </row>
    <row r="1072" spans="2:9" x14ac:dyDescent="0.2">
      <c r="B1072" s="230">
        <v>44421</v>
      </c>
      <c r="C1072" s="124">
        <v>211.45</v>
      </c>
      <c r="D1072" s="156">
        <f t="shared" si="33"/>
        <v>2.6078710289235796E-3</v>
      </c>
      <c r="E1072" s="156">
        <v>9.8397079828599354E-3</v>
      </c>
      <c r="F1072" s="124">
        <v>1066</v>
      </c>
      <c r="G1072" s="238">
        <f t="shared" ca="1" si="34"/>
        <v>-1.6095221148956299E-2</v>
      </c>
      <c r="I1072" s="156"/>
    </row>
    <row r="1073" spans="2:9" x14ac:dyDescent="0.2">
      <c r="B1073" s="230">
        <v>44420</v>
      </c>
      <c r="C1073" s="124">
        <v>208.9</v>
      </c>
      <c r="D1073" s="156">
        <f t="shared" si="33"/>
        <v>-1.2059588555213918E-2</v>
      </c>
      <c r="E1073" s="156">
        <v>9.8396810586139326E-3</v>
      </c>
      <c r="F1073" s="124">
        <v>1067</v>
      </c>
      <c r="G1073" s="238">
        <f t="shared" ca="1" si="34"/>
        <v>-1.3007031165581296E-2</v>
      </c>
      <c r="I1073" s="156"/>
    </row>
    <row r="1074" spans="2:9" x14ac:dyDescent="0.2">
      <c r="B1074" s="230">
        <v>44419</v>
      </c>
      <c r="C1074" s="124">
        <v>208.65</v>
      </c>
      <c r="D1074" s="156">
        <f t="shared" si="33"/>
        <v>-1.1967448539971278E-3</v>
      </c>
      <c r="E1074" s="156">
        <v>9.7680097680097333E-3</v>
      </c>
      <c r="F1074" s="124">
        <v>1068</v>
      </c>
      <c r="G1074" s="238">
        <f t="shared" ca="1" si="34"/>
        <v>1.6417898952860156E-2</v>
      </c>
      <c r="I1074" s="156"/>
    </row>
    <row r="1075" spans="2:9" x14ac:dyDescent="0.2">
      <c r="B1075" s="230">
        <v>44418</v>
      </c>
      <c r="C1075" s="124">
        <v>209.85</v>
      </c>
      <c r="D1075" s="156">
        <f t="shared" si="33"/>
        <v>5.7512580877066314E-3</v>
      </c>
      <c r="E1075" s="156">
        <v>9.7672027612544076E-3</v>
      </c>
      <c r="F1075" s="124">
        <v>1069</v>
      </c>
      <c r="G1075" s="238">
        <f t="shared" ca="1" si="34"/>
        <v>2.5834190500942764E-3</v>
      </c>
      <c r="I1075" s="156"/>
    </row>
    <row r="1076" spans="2:9" x14ac:dyDescent="0.2">
      <c r="B1076" s="230">
        <v>44417</v>
      </c>
      <c r="C1076" s="124">
        <v>213.8</v>
      </c>
      <c r="D1076" s="156">
        <f t="shared" si="33"/>
        <v>1.8822968787229055E-2</v>
      </c>
      <c r="E1076" s="156">
        <v>9.7659277631374272E-3</v>
      </c>
      <c r="F1076" s="124">
        <v>1070</v>
      </c>
      <c r="G1076" s="238">
        <f t="shared" ca="1" si="34"/>
        <v>-5.5684168312354534E-4</v>
      </c>
      <c r="I1076" s="156"/>
    </row>
    <row r="1077" spans="2:9" x14ac:dyDescent="0.2">
      <c r="B1077" s="230">
        <v>44414</v>
      </c>
      <c r="C1077" s="124">
        <v>214.25</v>
      </c>
      <c r="D1077" s="156">
        <f t="shared" si="33"/>
        <v>2.1047708138446615E-3</v>
      </c>
      <c r="E1077" s="156">
        <v>9.7360044935404077E-3</v>
      </c>
      <c r="F1077" s="124">
        <v>1071</v>
      </c>
      <c r="G1077" s="238">
        <f t="shared" ca="1" si="34"/>
        <v>2.173222508514619E-2</v>
      </c>
      <c r="I1077" s="156"/>
    </row>
    <row r="1078" spans="2:9" x14ac:dyDescent="0.2">
      <c r="B1078" s="230">
        <v>44413</v>
      </c>
      <c r="C1078" s="124">
        <v>215.25</v>
      </c>
      <c r="D1078" s="156">
        <f t="shared" si="33"/>
        <v>4.6674445740956822E-3</v>
      </c>
      <c r="E1078" s="156">
        <v>9.7332372025956942E-3</v>
      </c>
      <c r="F1078" s="124">
        <v>1072</v>
      </c>
      <c r="G1078" s="238">
        <f t="shared" ca="1" si="34"/>
        <v>2.1362610896942361E-2</v>
      </c>
      <c r="I1078" s="156"/>
    </row>
    <row r="1079" spans="2:9" x14ac:dyDescent="0.2">
      <c r="B1079" s="230">
        <v>44412</v>
      </c>
      <c r="C1079" s="124">
        <v>208.6</v>
      </c>
      <c r="D1079" s="156">
        <f t="shared" si="33"/>
        <v>-3.0894308943089456E-2</v>
      </c>
      <c r="E1079" s="156">
        <v>9.729240515875948E-3</v>
      </c>
      <c r="F1079" s="124">
        <v>1073</v>
      </c>
      <c r="G1079" s="238">
        <f t="shared" ca="1" si="34"/>
        <v>-1.686405129186486E-2</v>
      </c>
      <c r="I1079" s="156"/>
    </row>
    <row r="1080" spans="2:9" x14ac:dyDescent="0.2">
      <c r="B1080" s="230">
        <v>44411</v>
      </c>
      <c r="C1080" s="124">
        <v>209.9</v>
      </c>
      <c r="D1080" s="156">
        <f t="shared" si="33"/>
        <v>6.2320230105465555E-3</v>
      </c>
      <c r="E1080" s="156">
        <v>9.727186354793492E-3</v>
      </c>
      <c r="F1080" s="124">
        <v>1074</v>
      </c>
      <c r="G1080" s="238">
        <f t="shared" ca="1" si="34"/>
        <v>1.1345217407772905E-2</v>
      </c>
      <c r="I1080" s="156"/>
    </row>
    <row r="1081" spans="2:9" x14ac:dyDescent="0.2">
      <c r="B1081" s="230">
        <v>44410</v>
      </c>
      <c r="C1081" s="124">
        <v>207.3</v>
      </c>
      <c r="D1081" s="156">
        <f t="shared" si="33"/>
        <v>-1.2386850881372055E-2</v>
      </c>
      <c r="E1081" s="156">
        <v>9.7105864432595369E-3</v>
      </c>
      <c r="F1081" s="124">
        <v>1075</v>
      </c>
      <c r="G1081" s="238">
        <f t="shared" ca="1" si="34"/>
        <v>7.854967888179902E-3</v>
      </c>
      <c r="I1081" s="156"/>
    </row>
    <row r="1082" spans="2:9" x14ac:dyDescent="0.2">
      <c r="B1082" s="230">
        <v>44407</v>
      </c>
      <c r="C1082" s="124">
        <v>204.95</v>
      </c>
      <c r="D1082" s="156">
        <f t="shared" si="33"/>
        <v>-1.1336227689339231E-2</v>
      </c>
      <c r="E1082" s="156">
        <v>9.7091888878565614E-3</v>
      </c>
      <c r="F1082" s="124">
        <v>1076</v>
      </c>
      <c r="G1082" s="238">
        <f t="shared" ca="1" si="34"/>
        <v>1.8588673830313106E-2</v>
      </c>
      <c r="I1082" s="156"/>
    </row>
    <row r="1083" spans="2:9" x14ac:dyDescent="0.2">
      <c r="B1083" s="230">
        <v>44406</v>
      </c>
      <c r="C1083" s="124">
        <v>206.05</v>
      </c>
      <c r="D1083" s="156">
        <f t="shared" si="33"/>
        <v>5.3671627226153833E-3</v>
      </c>
      <c r="E1083" s="156">
        <v>9.7091531223266973E-3</v>
      </c>
      <c r="F1083" s="124">
        <v>1077</v>
      </c>
      <c r="G1083" s="238">
        <f t="shared" ca="1" si="34"/>
        <v>-1.4070554225182687E-2</v>
      </c>
      <c r="I1083" s="156"/>
    </row>
    <row r="1084" spans="2:9" x14ac:dyDescent="0.2">
      <c r="B1084" s="230">
        <v>44405</v>
      </c>
      <c r="C1084" s="124">
        <v>209.1</v>
      </c>
      <c r="D1084" s="156">
        <f t="shared" si="33"/>
        <v>1.4802232467847527E-2</v>
      </c>
      <c r="E1084" s="156">
        <v>9.7021276595744728E-3</v>
      </c>
      <c r="F1084" s="124">
        <v>1078</v>
      </c>
      <c r="G1084" s="238">
        <f t="shared" ca="1" si="34"/>
        <v>5.9377287543189869E-2</v>
      </c>
      <c r="I1084" s="156"/>
    </row>
    <row r="1085" spans="2:9" x14ac:dyDescent="0.2">
      <c r="B1085" s="230">
        <v>44404</v>
      </c>
      <c r="C1085" s="124">
        <v>208.65</v>
      </c>
      <c r="D1085" s="156">
        <f t="shared" si="33"/>
        <v>-2.1520803443328008E-3</v>
      </c>
      <c r="E1085" s="156">
        <v>9.6913137114142418E-3</v>
      </c>
      <c r="F1085" s="124">
        <v>1079</v>
      </c>
      <c r="G1085" s="238">
        <f t="shared" ca="1" si="34"/>
        <v>-1.2399997965733269E-2</v>
      </c>
      <c r="I1085" s="156"/>
    </row>
    <row r="1086" spans="2:9" x14ac:dyDescent="0.2">
      <c r="B1086" s="230">
        <v>44403</v>
      </c>
      <c r="C1086" s="124">
        <v>211.15</v>
      </c>
      <c r="D1086" s="156">
        <f t="shared" ref="D1086:D1149" si="35">(C1086-C1085)/C1085</f>
        <v>1.1981787682722261E-2</v>
      </c>
      <c r="E1086" s="156">
        <v>9.6758587324625063E-3</v>
      </c>
      <c r="F1086" s="124">
        <v>1080</v>
      </c>
      <c r="G1086" s="238">
        <f t="shared" ca="1" si="34"/>
        <v>5.1191210090113983E-3</v>
      </c>
      <c r="I1086" s="156"/>
    </row>
    <row r="1087" spans="2:9" x14ac:dyDescent="0.2">
      <c r="B1087" s="230">
        <v>44400</v>
      </c>
      <c r="C1087" s="124">
        <v>212.4</v>
      </c>
      <c r="D1087" s="156">
        <f t="shared" si="35"/>
        <v>5.9199621122424818E-3</v>
      </c>
      <c r="E1087" s="156">
        <v>9.6229379418696671E-3</v>
      </c>
      <c r="F1087" s="124">
        <v>1081</v>
      </c>
      <c r="G1087" s="238">
        <f t="shared" ca="1" si="34"/>
        <v>3.9133028949886982E-5</v>
      </c>
      <c r="I1087" s="156"/>
    </row>
    <row r="1088" spans="2:9" x14ac:dyDescent="0.2">
      <c r="B1088" s="230">
        <v>44399</v>
      </c>
      <c r="C1088" s="124">
        <v>207</v>
      </c>
      <c r="D1088" s="156">
        <f t="shared" si="35"/>
        <v>-2.5423728813559348E-2</v>
      </c>
      <c r="E1088" s="156">
        <v>9.6094616237525615E-3</v>
      </c>
      <c r="F1088" s="124">
        <v>1082</v>
      </c>
      <c r="G1088" s="238">
        <f t="shared" ca="1" si="34"/>
        <v>-2.8209246295987749E-2</v>
      </c>
      <c r="I1088" s="156"/>
    </row>
    <row r="1089" spans="2:9" x14ac:dyDescent="0.2">
      <c r="B1089" s="230">
        <v>44397</v>
      </c>
      <c r="C1089" s="124">
        <v>206.8</v>
      </c>
      <c r="D1089" s="156">
        <f t="shared" si="35"/>
        <v>-9.6618357487917217E-4</v>
      </c>
      <c r="E1089" s="156">
        <v>9.5906432748537208E-3</v>
      </c>
      <c r="F1089" s="124">
        <v>1083</v>
      </c>
      <c r="G1089" s="238">
        <f t="shared" ca="1" si="34"/>
        <v>2.7820214131383057E-2</v>
      </c>
      <c r="I1089" s="156"/>
    </row>
    <row r="1090" spans="2:9" x14ac:dyDescent="0.2">
      <c r="B1090" s="230">
        <v>44396</v>
      </c>
      <c r="C1090" s="124">
        <v>207.75</v>
      </c>
      <c r="D1090" s="156">
        <f t="shared" si="35"/>
        <v>4.5938104448742193E-3</v>
      </c>
      <c r="E1090" s="156">
        <v>9.5312704008354843E-3</v>
      </c>
      <c r="F1090" s="124">
        <v>1084</v>
      </c>
      <c r="G1090" s="238">
        <f t="shared" ca="1" si="34"/>
        <v>-3.7135063964677813E-2</v>
      </c>
      <c r="I1090" s="156"/>
    </row>
    <row r="1091" spans="2:9" x14ac:dyDescent="0.2">
      <c r="B1091" s="230">
        <v>44393</v>
      </c>
      <c r="C1091" s="124">
        <v>207.9</v>
      </c>
      <c r="D1091" s="156">
        <f t="shared" si="35"/>
        <v>7.2202166064984689E-4</v>
      </c>
      <c r="E1091" s="156">
        <v>9.5293098469534585E-3</v>
      </c>
      <c r="F1091" s="124">
        <v>1085</v>
      </c>
      <c r="G1091" s="238">
        <f t="shared" ca="1" si="34"/>
        <v>2.6461084661558283E-2</v>
      </c>
      <c r="I1091" s="156"/>
    </row>
    <row r="1092" spans="2:9" x14ac:dyDescent="0.2">
      <c r="B1092" s="230">
        <v>44392</v>
      </c>
      <c r="C1092" s="124">
        <v>206.25</v>
      </c>
      <c r="D1092" s="156">
        <f t="shared" si="35"/>
        <v>-7.9365079365079638E-3</v>
      </c>
      <c r="E1092" s="156">
        <v>9.4883720930232195E-3</v>
      </c>
      <c r="F1092" s="124">
        <v>1086</v>
      </c>
      <c r="G1092" s="238">
        <f t="shared" ca="1" si="34"/>
        <v>-1.8283674268446692E-2</v>
      </c>
      <c r="I1092" s="156"/>
    </row>
    <row r="1093" spans="2:9" x14ac:dyDescent="0.2">
      <c r="B1093" s="230">
        <v>44391</v>
      </c>
      <c r="C1093" s="124">
        <v>204.1</v>
      </c>
      <c r="D1093" s="156">
        <f t="shared" si="35"/>
        <v>-1.0424242424242452E-2</v>
      </c>
      <c r="E1093" s="156">
        <v>9.4691414924373378E-3</v>
      </c>
      <c r="F1093" s="124">
        <v>1087</v>
      </c>
      <c r="G1093" s="238">
        <f t="shared" ca="1" si="34"/>
        <v>1.1938732411820362E-3</v>
      </c>
      <c r="I1093" s="156"/>
    </row>
    <row r="1094" spans="2:9" x14ac:dyDescent="0.2">
      <c r="B1094" s="230">
        <v>44390</v>
      </c>
      <c r="C1094" s="124">
        <v>201.85</v>
      </c>
      <c r="D1094" s="156">
        <f t="shared" si="35"/>
        <v>-1.1024007839294464E-2</v>
      </c>
      <c r="E1094" s="156">
        <v>9.4637223974764016E-3</v>
      </c>
      <c r="F1094" s="124">
        <v>1088</v>
      </c>
      <c r="G1094" s="238">
        <f t="shared" ca="1" si="34"/>
        <v>-2.2840677273314611E-2</v>
      </c>
      <c r="I1094" s="156"/>
    </row>
    <row r="1095" spans="2:9" x14ac:dyDescent="0.2">
      <c r="B1095" s="230">
        <v>44389</v>
      </c>
      <c r="C1095" s="124">
        <v>201.1</v>
      </c>
      <c r="D1095" s="156">
        <f t="shared" si="35"/>
        <v>-3.7156304186276939E-3</v>
      </c>
      <c r="E1095" s="156">
        <v>9.4608800120137473E-3</v>
      </c>
      <c r="F1095" s="124">
        <v>1089</v>
      </c>
      <c r="G1095" s="238">
        <f t="shared" ref="G1095:G1158" ca="1" si="36">_xlfn.NORM.INV(RAND(),$L$8,$L$9)</f>
        <v>-1.5110907480314691E-2</v>
      </c>
      <c r="I1095" s="156"/>
    </row>
    <row r="1096" spans="2:9" x14ac:dyDescent="0.2">
      <c r="B1096" s="230">
        <v>44386</v>
      </c>
      <c r="C1096" s="124">
        <v>201.35</v>
      </c>
      <c r="D1096" s="156">
        <f t="shared" si="35"/>
        <v>1.2431626056688214E-3</v>
      </c>
      <c r="E1096" s="156">
        <v>9.4534711964549146E-3</v>
      </c>
      <c r="F1096" s="124">
        <v>1090</v>
      </c>
      <c r="G1096" s="238">
        <f t="shared" ca="1" si="36"/>
        <v>1.9588569984341016E-3</v>
      </c>
      <c r="I1096" s="156"/>
    </row>
    <row r="1097" spans="2:9" x14ac:dyDescent="0.2">
      <c r="B1097" s="230">
        <v>44385</v>
      </c>
      <c r="C1097" s="124">
        <v>202</v>
      </c>
      <c r="D1097" s="156">
        <f t="shared" si="35"/>
        <v>3.2282095852992584E-3</v>
      </c>
      <c r="E1097" s="156">
        <v>9.4181665969024688E-3</v>
      </c>
      <c r="F1097" s="124">
        <v>1091</v>
      </c>
      <c r="G1097" s="238">
        <f t="shared" ca="1" si="36"/>
        <v>-1.7122381349617712E-2</v>
      </c>
      <c r="I1097" s="156"/>
    </row>
    <row r="1098" spans="2:9" x14ac:dyDescent="0.2">
      <c r="B1098" s="230">
        <v>44384</v>
      </c>
      <c r="C1098" s="124">
        <v>203.75</v>
      </c>
      <c r="D1098" s="156">
        <f t="shared" si="35"/>
        <v>8.6633663366336641E-3</v>
      </c>
      <c r="E1098" s="156">
        <v>9.4156743284408116E-3</v>
      </c>
      <c r="F1098" s="124">
        <v>1092</v>
      </c>
      <c r="G1098" s="238">
        <f t="shared" ca="1" si="36"/>
        <v>5.6762512464572428E-3</v>
      </c>
      <c r="I1098" s="156"/>
    </row>
    <row r="1099" spans="2:9" x14ac:dyDescent="0.2">
      <c r="B1099" s="230">
        <v>44383</v>
      </c>
      <c r="C1099" s="124">
        <v>202.5</v>
      </c>
      <c r="D1099" s="156">
        <f t="shared" si="35"/>
        <v>-6.1349693251533744E-3</v>
      </c>
      <c r="E1099" s="156">
        <v>9.4144228958764828E-3</v>
      </c>
      <c r="F1099" s="124">
        <v>1093</v>
      </c>
      <c r="G1099" s="238">
        <f t="shared" ca="1" si="36"/>
        <v>2.1615993049304397E-2</v>
      </c>
      <c r="I1099" s="156"/>
    </row>
    <row r="1100" spans="2:9" x14ac:dyDescent="0.2">
      <c r="B1100" s="230">
        <v>44382</v>
      </c>
      <c r="C1100" s="124">
        <v>203.65</v>
      </c>
      <c r="D1100" s="156">
        <f t="shared" si="35"/>
        <v>5.6790123456790407E-3</v>
      </c>
      <c r="E1100" s="156">
        <v>9.4108645753635672E-3</v>
      </c>
      <c r="F1100" s="124">
        <v>1094</v>
      </c>
      <c r="G1100" s="238">
        <f t="shared" ca="1" si="36"/>
        <v>4.9199103180884779E-3</v>
      </c>
      <c r="I1100" s="156"/>
    </row>
    <row r="1101" spans="2:9" x14ac:dyDescent="0.2">
      <c r="B1101" s="230">
        <v>44379</v>
      </c>
      <c r="C1101" s="124">
        <v>202.4</v>
      </c>
      <c r="D1101" s="156">
        <f t="shared" si="35"/>
        <v>-6.1379818315737784E-3</v>
      </c>
      <c r="E1101" s="156">
        <v>9.4094743672939376E-3</v>
      </c>
      <c r="F1101" s="124">
        <v>1095</v>
      </c>
      <c r="G1101" s="238">
        <f t="shared" ca="1" si="36"/>
        <v>-5.3111822752947803E-3</v>
      </c>
      <c r="I1101" s="156"/>
    </row>
    <row r="1102" spans="2:9" x14ac:dyDescent="0.2">
      <c r="B1102" s="230">
        <v>44378</v>
      </c>
      <c r="C1102" s="124">
        <v>203</v>
      </c>
      <c r="D1102" s="156">
        <f t="shared" si="35"/>
        <v>2.9644268774703278E-3</v>
      </c>
      <c r="E1102" s="156">
        <v>9.4013399610979528E-3</v>
      </c>
      <c r="F1102" s="124">
        <v>1096</v>
      </c>
      <c r="G1102" s="238">
        <f t="shared" ca="1" si="36"/>
        <v>-8.4276311852088531E-3</v>
      </c>
      <c r="I1102" s="156"/>
    </row>
    <row r="1103" spans="2:9" x14ac:dyDescent="0.2">
      <c r="B1103" s="230">
        <v>44377</v>
      </c>
      <c r="C1103" s="124">
        <v>202.7</v>
      </c>
      <c r="D1103" s="156">
        <f t="shared" si="35"/>
        <v>-1.477832512315327E-3</v>
      </c>
      <c r="E1103" s="156">
        <v>9.3905031892276194E-3</v>
      </c>
      <c r="F1103" s="124">
        <v>1097</v>
      </c>
      <c r="G1103" s="238">
        <f t="shared" ca="1" si="36"/>
        <v>6.2461939550164216E-3</v>
      </c>
      <c r="I1103" s="156"/>
    </row>
    <row r="1104" spans="2:9" x14ac:dyDescent="0.2">
      <c r="B1104" s="230">
        <v>44376</v>
      </c>
      <c r="C1104" s="124">
        <v>203.3</v>
      </c>
      <c r="D1104" s="156">
        <f t="shared" si="35"/>
        <v>2.9600394671930081E-3</v>
      </c>
      <c r="E1104" s="156">
        <v>9.3879391628745625E-3</v>
      </c>
      <c r="F1104" s="124">
        <v>1098</v>
      </c>
      <c r="G1104" s="238">
        <f t="shared" ca="1" si="36"/>
        <v>1.5860962222994789E-2</v>
      </c>
      <c r="I1104" s="156"/>
    </row>
    <row r="1105" spans="2:9" x14ac:dyDescent="0.2">
      <c r="B1105" s="230">
        <v>44375</v>
      </c>
      <c r="C1105" s="124">
        <v>203.6</v>
      </c>
      <c r="D1105" s="156">
        <f t="shared" si="35"/>
        <v>1.4756517461878157E-3</v>
      </c>
      <c r="E1105" s="156">
        <v>9.3841009599826674E-3</v>
      </c>
      <c r="F1105" s="124">
        <v>1099</v>
      </c>
      <c r="G1105" s="238">
        <f t="shared" ca="1" si="36"/>
        <v>-2.0835460082885863E-3</v>
      </c>
      <c r="I1105" s="156"/>
    </row>
    <row r="1106" spans="2:9" x14ac:dyDescent="0.2">
      <c r="B1106" s="230">
        <v>44372</v>
      </c>
      <c r="C1106" s="124">
        <v>205.05</v>
      </c>
      <c r="D1106" s="156">
        <f t="shared" si="35"/>
        <v>7.1218074656189444E-3</v>
      </c>
      <c r="E1106" s="156">
        <v>9.3797856049003606E-3</v>
      </c>
      <c r="F1106" s="124">
        <v>1100</v>
      </c>
      <c r="G1106" s="238">
        <f t="shared" ca="1" si="36"/>
        <v>-6.1579873237211065E-3</v>
      </c>
      <c r="I1106" s="156"/>
    </row>
    <row r="1107" spans="2:9" x14ac:dyDescent="0.2">
      <c r="B1107" s="230">
        <v>44371</v>
      </c>
      <c r="C1107" s="124">
        <v>203.25</v>
      </c>
      <c r="D1107" s="156">
        <f t="shared" si="35"/>
        <v>-8.7783467446964705E-3</v>
      </c>
      <c r="E1107" s="156">
        <v>9.379263301500634E-3</v>
      </c>
      <c r="F1107" s="124">
        <v>1101</v>
      </c>
      <c r="G1107" s="238">
        <f t="shared" ca="1" si="36"/>
        <v>-1.0045350287587336E-2</v>
      </c>
      <c r="I1107" s="156"/>
    </row>
    <row r="1108" spans="2:9" x14ac:dyDescent="0.2">
      <c r="B1108" s="230">
        <v>44370</v>
      </c>
      <c r="C1108" s="124">
        <v>203.95</v>
      </c>
      <c r="D1108" s="156">
        <f t="shared" si="35"/>
        <v>3.4440344403443477E-3</v>
      </c>
      <c r="E1108" s="156">
        <v>9.3791033577190017E-3</v>
      </c>
      <c r="F1108" s="124">
        <v>1102</v>
      </c>
      <c r="G1108" s="238">
        <f t="shared" ca="1" si="36"/>
        <v>1.5314311535334071E-2</v>
      </c>
      <c r="I1108" s="156"/>
    </row>
    <row r="1109" spans="2:9" x14ac:dyDescent="0.2">
      <c r="B1109" s="230">
        <v>44369</v>
      </c>
      <c r="C1109" s="124">
        <v>205.1</v>
      </c>
      <c r="D1109" s="156">
        <f t="shared" si="35"/>
        <v>5.6386369208139536E-3</v>
      </c>
      <c r="E1109" s="156">
        <v>9.3763440860215354E-3</v>
      </c>
      <c r="F1109" s="124">
        <v>1103</v>
      </c>
      <c r="G1109" s="238">
        <f t="shared" ca="1" si="36"/>
        <v>-2.1381717953981333E-2</v>
      </c>
      <c r="I1109" s="156"/>
    </row>
    <row r="1110" spans="2:9" x14ac:dyDescent="0.2">
      <c r="B1110" s="230">
        <v>44368</v>
      </c>
      <c r="C1110" s="124">
        <v>204.45</v>
      </c>
      <c r="D1110" s="156">
        <f t="shared" si="35"/>
        <v>-3.1691857630424462E-3</v>
      </c>
      <c r="E1110" s="156">
        <v>9.3646713183988661E-3</v>
      </c>
      <c r="F1110" s="124">
        <v>1104</v>
      </c>
      <c r="G1110" s="238">
        <f t="shared" ca="1" si="36"/>
        <v>-1.2581764725098164E-3</v>
      </c>
      <c r="I1110" s="156"/>
    </row>
    <row r="1111" spans="2:9" x14ac:dyDescent="0.2">
      <c r="B1111" s="230">
        <v>44365</v>
      </c>
      <c r="C1111" s="124">
        <v>204.55</v>
      </c>
      <c r="D1111" s="156">
        <f t="shared" si="35"/>
        <v>4.891171435559929E-4</v>
      </c>
      <c r="E1111" s="156">
        <v>9.356081452944396E-3</v>
      </c>
      <c r="F1111" s="124">
        <v>1105</v>
      </c>
      <c r="G1111" s="238">
        <f t="shared" ca="1" si="36"/>
        <v>-9.6470075601042399E-3</v>
      </c>
      <c r="I1111" s="156"/>
    </row>
    <row r="1112" spans="2:9" x14ac:dyDescent="0.2">
      <c r="B1112" s="230">
        <v>44364</v>
      </c>
      <c r="C1112" s="124">
        <v>205.65</v>
      </c>
      <c r="D1112" s="156">
        <f t="shared" si="35"/>
        <v>5.3776582742605435E-3</v>
      </c>
      <c r="E1112" s="156">
        <v>9.3411008437122595E-3</v>
      </c>
      <c r="F1112" s="124">
        <v>1106</v>
      </c>
      <c r="G1112" s="238">
        <f t="shared" ca="1" si="36"/>
        <v>-2.9273419917198413E-2</v>
      </c>
      <c r="I1112" s="156"/>
    </row>
    <row r="1113" spans="2:9" x14ac:dyDescent="0.2">
      <c r="B1113" s="230">
        <v>44363</v>
      </c>
      <c r="C1113" s="124">
        <v>207.85</v>
      </c>
      <c r="D1113" s="156">
        <f t="shared" si="35"/>
        <v>1.0697787503039088E-2</v>
      </c>
      <c r="E1113" s="156">
        <v>9.340422474493338E-3</v>
      </c>
      <c r="F1113" s="124">
        <v>1107</v>
      </c>
      <c r="G1113" s="238">
        <f t="shared" ca="1" si="36"/>
        <v>5.0160456115517522E-3</v>
      </c>
      <c r="I1113" s="156"/>
    </row>
    <row r="1114" spans="2:9" x14ac:dyDescent="0.2">
      <c r="B1114" s="230">
        <v>44362</v>
      </c>
      <c r="C1114" s="124">
        <v>207.05</v>
      </c>
      <c r="D1114" s="156">
        <f t="shared" si="35"/>
        <v>-3.8489295164781476E-3</v>
      </c>
      <c r="E1114" s="156">
        <v>9.3326688714719455E-3</v>
      </c>
      <c r="F1114" s="124">
        <v>1108</v>
      </c>
      <c r="G1114" s="238">
        <f t="shared" ca="1" si="36"/>
        <v>2.2120393310214304E-2</v>
      </c>
      <c r="I1114" s="156"/>
    </row>
    <row r="1115" spans="2:9" x14ac:dyDescent="0.2">
      <c r="B1115" s="230">
        <v>44361</v>
      </c>
      <c r="C1115" s="124">
        <v>207.3</v>
      </c>
      <c r="D1115" s="156">
        <f t="shared" si="35"/>
        <v>1.2074378169524269E-3</v>
      </c>
      <c r="E1115" s="156">
        <v>9.3206667861624772E-3</v>
      </c>
      <c r="F1115" s="124">
        <v>1109</v>
      </c>
      <c r="G1115" s="238">
        <f t="shared" ca="1" si="36"/>
        <v>1.4183416994938225E-2</v>
      </c>
      <c r="I1115" s="156"/>
    </row>
    <row r="1116" spans="2:9" x14ac:dyDescent="0.2">
      <c r="B1116" s="230">
        <v>44358</v>
      </c>
      <c r="C1116" s="124">
        <v>207.9</v>
      </c>
      <c r="D1116" s="156">
        <f t="shared" si="35"/>
        <v>2.8943560057886845E-3</v>
      </c>
      <c r="E1116" s="156">
        <v>9.3161546085232666E-3</v>
      </c>
      <c r="F1116" s="124">
        <v>1110</v>
      </c>
      <c r="G1116" s="238">
        <f t="shared" ca="1" si="36"/>
        <v>-5.1710450833123006E-3</v>
      </c>
      <c r="I1116" s="156"/>
    </row>
    <row r="1117" spans="2:9" x14ac:dyDescent="0.2">
      <c r="B1117" s="230">
        <v>44357</v>
      </c>
      <c r="C1117" s="124">
        <v>209.3</v>
      </c>
      <c r="D1117" s="156">
        <f t="shared" si="35"/>
        <v>6.7340067340067615E-3</v>
      </c>
      <c r="E1117" s="156">
        <v>9.300595238095238E-3</v>
      </c>
      <c r="F1117" s="124">
        <v>1111</v>
      </c>
      <c r="G1117" s="238">
        <f t="shared" ca="1" si="36"/>
        <v>6.1379729789861033E-3</v>
      </c>
      <c r="I1117" s="156"/>
    </row>
    <row r="1118" spans="2:9" x14ac:dyDescent="0.2">
      <c r="B1118" s="230">
        <v>44356</v>
      </c>
      <c r="C1118" s="124">
        <v>212.5</v>
      </c>
      <c r="D1118" s="156">
        <f t="shared" si="35"/>
        <v>1.5289058767319582E-2</v>
      </c>
      <c r="E1118" s="156">
        <v>9.2928706258166953E-3</v>
      </c>
      <c r="F1118" s="124">
        <v>1112</v>
      </c>
      <c r="G1118" s="238">
        <f t="shared" ca="1" si="36"/>
        <v>-3.0451639585635997E-2</v>
      </c>
      <c r="I1118" s="156"/>
    </row>
    <row r="1119" spans="2:9" x14ac:dyDescent="0.2">
      <c r="B1119" s="230">
        <v>44355</v>
      </c>
      <c r="C1119" s="124">
        <v>213.65</v>
      </c>
      <c r="D1119" s="156">
        <f t="shared" si="35"/>
        <v>5.4117647058823798E-3</v>
      </c>
      <c r="E1119" s="156">
        <v>9.2873006258832342E-3</v>
      </c>
      <c r="F1119" s="124">
        <v>1113</v>
      </c>
      <c r="G1119" s="238">
        <f t="shared" ca="1" si="36"/>
        <v>6.8268071175232002E-3</v>
      </c>
      <c r="I1119" s="156"/>
    </row>
    <row r="1120" spans="2:9" x14ac:dyDescent="0.2">
      <c r="B1120" s="230">
        <v>44354</v>
      </c>
      <c r="C1120" s="124">
        <v>211.45</v>
      </c>
      <c r="D1120" s="156">
        <f t="shared" si="35"/>
        <v>-1.0297215071378502E-2</v>
      </c>
      <c r="E1120" s="156">
        <v>9.2841436599071861E-3</v>
      </c>
      <c r="F1120" s="124">
        <v>1114</v>
      </c>
      <c r="G1120" s="238">
        <f t="shared" ca="1" si="36"/>
        <v>-3.5552309914233735E-2</v>
      </c>
      <c r="I1120" s="156"/>
    </row>
    <row r="1121" spans="2:9" x14ac:dyDescent="0.2">
      <c r="B1121" s="230">
        <v>44351</v>
      </c>
      <c r="C1121" s="124">
        <v>208.75</v>
      </c>
      <c r="D1121" s="156">
        <f t="shared" si="35"/>
        <v>-1.2768976117285356E-2</v>
      </c>
      <c r="E1121" s="156">
        <v>9.2748735244520108E-3</v>
      </c>
      <c r="F1121" s="124">
        <v>1115</v>
      </c>
      <c r="G1121" s="238">
        <f t="shared" ca="1" si="36"/>
        <v>1.4353739715099902E-2</v>
      </c>
      <c r="I1121" s="156"/>
    </row>
    <row r="1122" spans="2:9" x14ac:dyDescent="0.2">
      <c r="B1122" s="230">
        <v>44350</v>
      </c>
      <c r="C1122" s="124">
        <v>209.05</v>
      </c>
      <c r="D1122" s="156">
        <f t="shared" si="35"/>
        <v>1.4371257485030484E-3</v>
      </c>
      <c r="E1122" s="156">
        <v>9.260484191030597E-3</v>
      </c>
      <c r="F1122" s="124">
        <v>1116</v>
      </c>
      <c r="G1122" s="238">
        <f t="shared" ca="1" si="36"/>
        <v>-1.1244537425473131E-2</v>
      </c>
      <c r="I1122" s="156"/>
    </row>
    <row r="1123" spans="2:9" x14ac:dyDescent="0.2">
      <c r="B1123" s="230">
        <v>44349</v>
      </c>
      <c r="C1123" s="124">
        <v>209</v>
      </c>
      <c r="D1123" s="156">
        <f t="shared" si="35"/>
        <v>-2.3917723032772716E-4</v>
      </c>
      <c r="E1123" s="156">
        <v>9.2576864277221296E-3</v>
      </c>
      <c r="F1123" s="124">
        <v>1117</v>
      </c>
      <c r="G1123" s="238">
        <f t="shared" ca="1" si="36"/>
        <v>-8.0462951146314512E-4</v>
      </c>
      <c r="I1123" s="156"/>
    </row>
    <row r="1124" spans="2:9" x14ac:dyDescent="0.2">
      <c r="B1124" s="230">
        <v>44348</v>
      </c>
      <c r="C1124" s="124">
        <v>215.25</v>
      </c>
      <c r="D1124" s="156">
        <f t="shared" si="35"/>
        <v>2.9904306220095694E-2</v>
      </c>
      <c r="E1124" s="156">
        <v>9.2570614763826387E-3</v>
      </c>
      <c r="F1124" s="124">
        <v>1118</v>
      </c>
      <c r="G1124" s="238">
        <f t="shared" ca="1" si="36"/>
        <v>6.7911710605730565E-3</v>
      </c>
      <c r="I1124" s="156"/>
    </row>
    <row r="1125" spans="2:9" x14ac:dyDescent="0.2">
      <c r="B1125" s="230">
        <v>44347</v>
      </c>
      <c r="C1125" s="124">
        <v>216.6</v>
      </c>
      <c r="D1125" s="156">
        <f t="shared" si="35"/>
        <v>6.2717770034842945E-3</v>
      </c>
      <c r="E1125" s="156">
        <v>9.2523130782696823E-3</v>
      </c>
      <c r="F1125" s="124">
        <v>1119</v>
      </c>
      <c r="G1125" s="238">
        <f t="shared" ca="1" si="36"/>
        <v>-2.0855221156745301E-2</v>
      </c>
      <c r="I1125" s="156"/>
    </row>
    <row r="1126" spans="2:9" x14ac:dyDescent="0.2">
      <c r="B1126" s="230">
        <v>44344</v>
      </c>
      <c r="C1126" s="124">
        <v>212.9</v>
      </c>
      <c r="D1126" s="156">
        <f t="shared" si="35"/>
        <v>-1.7082179132040576E-2</v>
      </c>
      <c r="E1126" s="156">
        <v>9.2514718250630776E-3</v>
      </c>
      <c r="F1126" s="124">
        <v>1120</v>
      </c>
      <c r="G1126" s="238">
        <f t="shared" ca="1" si="36"/>
        <v>-1.6009122310287064E-2</v>
      </c>
      <c r="I1126" s="156"/>
    </row>
    <row r="1127" spans="2:9" x14ac:dyDescent="0.2">
      <c r="B1127" s="230">
        <v>44343</v>
      </c>
      <c r="C1127" s="124">
        <v>211.15</v>
      </c>
      <c r="D1127" s="156">
        <f t="shared" si="35"/>
        <v>-8.219821512447158E-3</v>
      </c>
      <c r="E1127" s="156">
        <v>9.2312348668280794E-3</v>
      </c>
      <c r="F1127" s="124">
        <v>1121</v>
      </c>
      <c r="G1127" s="238">
        <f t="shared" ca="1" si="36"/>
        <v>3.3636671689273458E-2</v>
      </c>
      <c r="I1127" s="156"/>
    </row>
    <row r="1128" spans="2:9" x14ac:dyDescent="0.2">
      <c r="B1128" s="230">
        <v>44342</v>
      </c>
      <c r="C1128" s="124">
        <v>210.6</v>
      </c>
      <c r="D1128" s="156">
        <f t="shared" si="35"/>
        <v>-2.6047833293867456E-3</v>
      </c>
      <c r="E1128" s="156">
        <v>9.2302256768096256E-3</v>
      </c>
      <c r="F1128" s="124">
        <v>1122</v>
      </c>
      <c r="G1128" s="238">
        <f t="shared" ca="1" si="36"/>
        <v>8.8668248373872521E-3</v>
      </c>
      <c r="I1128" s="156"/>
    </row>
    <row r="1129" spans="2:9" x14ac:dyDescent="0.2">
      <c r="B1129" s="230">
        <v>44341</v>
      </c>
      <c r="C1129" s="124">
        <v>210.9</v>
      </c>
      <c r="D1129" s="156">
        <f t="shared" si="35"/>
        <v>1.4245014245014786E-3</v>
      </c>
      <c r="E1129" s="156">
        <v>9.2220383069284324E-3</v>
      </c>
      <c r="F1129" s="124">
        <v>1123</v>
      </c>
      <c r="G1129" s="238">
        <f t="shared" ca="1" si="36"/>
        <v>-1.7382193803605801E-2</v>
      </c>
      <c r="I1129" s="156"/>
    </row>
    <row r="1130" spans="2:9" x14ac:dyDescent="0.2">
      <c r="B1130" s="230">
        <v>44340</v>
      </c>
      <c r="C1130" s="124">
        <v>211.5</v>
      </c>
      <c r="D1130" s="156">
        <f t="shared" si="35"/>
        <v>2.8449502133712388E-3</v>
      </c>
      <c r="E1130" s="156">
        <v>9.1984231274639013E-3</v>
      </c>
      <c r="F1130" s="124">
        <v>1124</v>
      </c>
      <c r="G1130" s="238">
        <f t="shared" ca="1" si="36"/>
        <v>4.394298615738617E-2</v>
      </c>
      <c r="I1130" s="156"/>
    </row>
    <row r="1131" spans="2:9" x14ac:dyDescent="0.2">
      <c r="B1131" s="230">
        <v>44337</v>
      </c>
      <c r="C1131" s="124">
        <v>209.05</v>
      </c>
      <c r="D1131" s="156">
        <f t="shared" si="35"/>
        <v>-1.1583924349881742E-2</v>
      </c>
      <c r="E1131" s="156">
        <v>9.1844813935074952E-3</v>
      </c>
      <c r="F1131" s="124">
        <v>1125</v>
      </c>
      <c r="G1131" s="238">
        <f t="shared" ca="1" si="36"/>
        <v>-2.1658363978259189E-2</v>
      </c>
      <c r="I1131" s="156"/>
    </row>
    <row r="1132" spans="2:9" x14ac:dyDescent="0.2">
      <c r="B1132" s="230">
        <v>44336</v>
      </c>
      <c r="C1132" s="124">
        <v>207</v>
      </c>
      <c r="D1132" s="156">
        <f t="shared" si="35"/>
        <v>-9.8062664434346389E-3</v>
      </c>
      <c r="E1132" s="156">
        <v>9.1808581486062541E-3</v>
      </c>
      <c r="F1132" s="124">
        <v>1126</v>
      </c>
      <c r="G1132" s="238">
        <f t="shared" ca="1" si="36"/>
        <v>1.0708511481871928E-2</v>
      </c>
      <c r="I1132" s="156"/>
    </row>
    <row r="1133" spans="2:9" x14ac:dyDescent="0.2">
      <c r="B1133" s="230">
        <v>44335</v>
      </c>
      <c r="C1133" s="124">
        <v>207.75</v>
      </c>
      <c r="D1133" s="156">
        <f t="shared" si="35"/>
        <v>3.6231884057971015E-3</v>
      </c>
      <c r="E1133" s="156">
        <v>9.1795628150659649E-3</v>
      </c>
      <c r="F1133" s="124">
        <v>1127</v>
      </c>
      <c r="G1133" s="238">
        <f t="shared" ca="1" si="36"/>
        <v>1.4463168944417975E-2</v>
      </c>
      <c r="I1133" s="156"/>
    </row>
    <row r="1134" spans="2:9" x14ac:dyDescent="0.2">
      <c r="B1134" s="230">
        <v>44334</v>
      </c>
      <c r="C1134" s="124">
        <v>210.05</v>
      </c>
      <c r="D1134" s="156">
        <f t="shared" si="35"/>
        <v>1.1070998796630621E-2</v>
      </c>
      <c r="E1134" s="156">
        <v>9.1710124078403562E-3</v>
      </c>
      <c r="F1134" s="124">
        <v>1128</v>
      </c>
      <c r="G1134" s="238">
        <f t="shared" ca="1" si="36"/>
        <v>2.0960184685304396E-2</v>
      </c>
      <c r="I1134" s="156"/>
    </row>
    <row r="1135" spans="2:9" x14ac:dyDescent="0.2">
      <c r="B1135" s="230">
        <v>44333</v>
      </c>
      <c r="C1135" s="124">
        <v>212.6</v>
      </c>
      <c r="D1135" s="156">
        <f t="shared" si="35"/>
        <v>1.2139966674601203E-2</v>
      </c>
      <c r="E1135" s="156">
        <v>9.1639069092227989E-3</v>
      </c>
      <c r="F1135" s="124">
        <v>1129</v>
      </c>
      <c r="G1135" s="238">
        <f t="shared" ca="1" si="36"/>
        <v>6.7049702656616639E-3</v>
      </c>
      <c r="I1135" s="156"/>
    </row>
    <row r="1136" spans="2:9" x14ac:dyDescent="0.2">
      <c r="B1136" s="230">
        <v>44330</v>
      </c>
      <c r="C1136" s="124">
        <v>212.25</v>
      </c>
      <c r="D1136" s="156">
        <f t="shared" si="35"/>
        <v>-1.6462841015992208E-3</v>
      </c>
      <c r="E1136" s="156">
        <v>9.1557104387772637E-3</v>
      </c>
      <c r="F1136" s="124">
        <v>1130</v>
      </c>
      <c r="G1136" s="238">
        <f t="shared" ca="1" si="36"/>
        <v>-7.4233417645405879E-3</v>
      </c>
      <c r="I1136" s="156"/>
    </row>
    <row r="1137" spans="2:9" x14ac:dyDescent="0.2">
      <c r="B1137" s="230">
        <v>44328</v>
      </c>
      <c r="C1137" s="124">
        <v>203.25</v>
      </c>
      <c r="D1137" s="156">
        <f t="shared" si="35"/>
        <v>-4.2402826855123678E-2</v>
      </c>
      <c r="E1137" s="156">
        <v>9.1533180778033338E-3</v>
      </c>
      <c r="F1137" s="124">
        <v>1131</v>
      </c>
      <c r="G1137" s="238">
        <f t="shared" ca="1" si="36"/>
        <v>-5.6371820186083329E-3</v>
      </c>
      <c r="I1137" s="156"/>
    </row>
    <row r="1138" spans="2:9" x14ac:dyDescent="0.2">
      <c r="B1138" s="230">
        <v>44327</v>
      </c>
      <c r="C1138" s="124">
        <v>204</v>
      </c>
      <c r="D1138" s="156">
        <f t="shared" si="35"/>
        <v>3.6900369003690036E-3</v>
      </c>
      <c r="E1138" s="156">
        <v>9.145905778116456E-3</v>
      </c>
      <c r="F1138" s="124">
        <v>1132</v>
      </c>
      <c r="G1138" s="238">
        <f t="shared" ca="1" si="36"/>
        <v>-1.3523336159577251E-2</v>
      </c>
      <c r="I1138" s="156"/>
    </row>
    <row r="1139" spans="2:9" x14ac:dyDescent="0.2">
      <c r="B1139" s="230">
        <v>44326</v>
      </c>
      <c r="C1139" s="124">
        <v>205.55</v>
      </c>
      <c r="D1139" s="156">
        <f t="shared" si="35"/>
        <v>7.5980392156863299E-3</v>
      </c>
      <c r="E1139" s="156">
        <v>9.1352009744213505E-3</v>
      </c>
      <c r="F1139" s="124">
        <v>1133</v>
      </c>
      <c r="G1139" s="238">
        <f t="shared" ca="1" si="36"/>
        <v>-2.3554416885971118E-2</v>
      </c>
      <c r="I1139" s="156"/>
    </row>
    <row r="1140" spans="2:9" x14ac:dyDescent="0.2">
      <c r="B1140" s="230">
        <v>44323</v>
      </c>
      <c r="C1140" s="124">
        <v>205.35</v>
      </c>
      <c r="D1140" s="156">
        <f t="shared" si="35"/>
        <v>-9.7299927025063025E-4</v>
      </c>
      <c r="E1140" s="156">
        <v>9.1264667535854351E-3</v>
      </c>
      <c r="F1140" s="124">
        <v>1134</v>
      </c>
      <c r="G1140" s="238">
        <f t="shared" ca="1" si="36"/>
        <v>7.498019403776375E-3</v>
      </c>
      <c r="I1140" s="156"/>
    </row>
    <row r="1141" spans="2:9" x14ac:dyDescent="0.2">
      <c r="B1141" s="230">
        <v>44322</v>
      </c>
      <c r="C1141" s="124">
        <v>202.75</v>
      </c>
      <c r="D1141" s="156">
        <f t="shared" si="35"/>
        <v>-1.2661309958607229E-2</v>
      </c>
      <c r="E1141" s="156">
        <v>9.1259830835434767E-3</v>
      </c>
      <c r="F1141" s="124">
        <v>1135</v>
      </c>
      <c r="G1141" s="238">
        <f t="shared" ca="1" si="36"/>
        <v>-8.6450146816532993E-3</v>
      </c>
      <c r="I1141" s="156"/>
    </row>
    <row r="1142" spans="2:9" x14ac:dyDescent="0.2">
      <c r="B1142" s="230">
        <v>44321</v>
      </c>
      <c r="C1142" s="124">
        <v>201.4</v>
      </c>
      <c r="D1142" s="156">
        <f t="shared" si="35"/>
        <v>-6.6584463625153851E-3</v>
      </c>
      <c r="E1142" s="156">
        <v>9.1255854376900494E-3</v>
      </c>
      <c r="F1142" s="124">
        <v>1136</v>
      </c>
      <c r="G1142" s="238">
        <f t="shared" ca="1" si="36"/>
        <v>-5.1142364035081057E-3</v>
      </c>
      <c r="I1142" s="156"/>
    </row>
    <row r="1143" spans="2:9" x14ac:dyDescent="0.2">
      <c r="B1143" s="230">
        <v>44320</v>
      </c>
      <c r="C1143" s="124">
        <v>199.6</v>
      </c>
      <c r="D1143" s="156">
        <f t="shared" si="35"/>
        <v>-8.9374379344588448E-3</v>
      </c>
      <c r="E1143" s="156">
        <v>9.0920260474259464E-3</v>
      </c>
      <c r="F1143" s="124">
        <v>1137</v>
      </c>
      <c r="G1143" s="238">
        <f t="shared" ca="1" si="36"/>
        <v>1.1275435830235972E-3</v>
      </c>
      <c r="I1143" s="156"/>
    </row>
    <row r="1144" spans="2:9" x14ac:dyDescent="0.2">
      <c r="B1144" s="230">
        <v>44319</v>
      </c>
      <c r="C1144" s="124">
        <v>200.95</v>
      </c>
      <c r="D1144" s="156">
        <f t="shared" si="35"/>
        <v>6.7635270541081885E-3</v>
      </c>
      <c r="E1144" s="156">
        <v>9.0815584154938529E-3</v>
      </c>
      <c r="F1144" s="124">
        <v>1138</v>
      </c>
      <c r="G1144" s="238">
        <f t="shared" ca="1" si="36"/>
        <v>1.5150560189003933E-3</v>
      </c>
      <c r="I1144" s="156"/>
    </row>
    <row r="1145" spans="2:9" x14ac:dyDescent="0.2">
      <c r="B1145" s="230">
        <v>44316</v>
      </c>
      <c r="C1145" s="124">
        <v>202.6</v>
      </c>
      <c r="D1145" s="156">
        <f t="shared" si="35"/>
        <v>8.2109977606370024E-3</v>
      </c>
      <c r="E1145" s="156">
        <v>9.073233959818388E-3</v>
      </c>
      <c r="F1145" s="124">
        <v>1139</v>
      </c>
      <c r="G1145" s="238">
        <f t="shared" ca="1" si="36"/>
        <v>3.7461706760701496E-3</v>
      </c>
      <c r="I1145" s="156"/>
    </row>
    <row r="1146" spans="2:9" x14ac:dyDescent="0.2">
      <c r="B1146" s="230">
        <v>44315</v>
      </c>
      <c r="C1146" s="124">
        <v>204.3</v>
      </c>
      <c r="D1146" s="156">
        <f t="shared" si="35"/>
        <v>8.3909180651530954E-3</v>
      </c>
      <c r="E1146" s="156">
        <v>9.0459661302199814E-3</v>
      </c>
      <c r="F1146" s="124">
        <v>1140</v>
      </c>
      <c r="G1146" s="238">
        <f t="shared" ca="1" si="36"/>
        <v>-1.4581445545292688E-2</v>
      </c>
      <c r="I1146" s="156"/>
    </row>
    <row r="1147" spans="2:9" x14ac:dyDescent="0.2">
      <c r="B1147" s="230">
        <v>44314</v>
      </c>
      <c r="C1147" s="124">
        <v>205.5</v>
      </c>
      <c r="D1147" s="156">
        <f t="shared" si="35"/>
        <v>5.8737151248163906E-3</v>
      </c>
      <c r="E1147" s="156">
        <v>9.0376160234490605E-3</v>
      </c>
      <c r="F1147" s="124">
        <v>1141</v>
      </c>
      <c r="G1147" s="238">
        <f t="shared" ca="1" si="36"/>
        <v>-2.6253484513894351E-2</v>
      </c>
      <c r="I1147" s="156"/>
    </row>
    <row r="1148" spans="2:9" x14ac:dyDescent="0.2">
      <c r="B1148" s="230">
        <v>44313</v>
      </c>
      <c r="C1148" s="124">
        <v>205.4</v>
      </c>
      <c r="D1148" s="156">
        <f t="shared" si="35"/>
        <v>-4.8661800486615237E-4</v>
      </c>
      <c r="E1148" s="156">
        <v>9.0105852506342492E-3</v>
      </c>
      <c r="F1148" s="124">
        <v>1142</v>
      </c>
      <c r="G1148" s="238">
        <f t="shared" ca="1" si="36"/>
        <v>-3.0178276086726546E-2</v>
      </c>
      <c r="I1148" s="156"/>
    </row>
    <row r="1149" spans="2:9" x14ac:dyDescent="0.2">
      <c r="B1149" s="230">
        <v>44312</v>
      </c>
      <c r="C1149" s="124">
        <v>205.3</v>
      </c>
      <c r="D1149" s="156">
        <f t="shared" si="35"/>
        <v>-4.8685491723463639E-4</v>
      </c>
      <c r="E1149" s="156">
        <v>9.0083492016991302E-3</v>
      </c>
      <c r="F1149" s="124">
        <v>1143</v>
      </c>
      <c r="G1149" s="238">
        <f t="shared" ca="1" si="36"/>
        <v>2.2719561207751753E-2</v>
      </c>
      <c r="I1149" s="156"/>
    </row>
    <row r="1150" spans="2:9" x14ac:dyDescent="0.2">
      <c r="B1150" s="230">
        <v>44309</v>
      </c>
      <c r="C1150" s="124">
        <v>205.35</v>
      </c>
      <c r="D1150" s="156">
        <f t="shared" ref="D1150:D1213" si="37">(C1150-C1149)/C1149</f>
        <v>2.4354603019962468E-4</v>
      </c>
      <c r="E1150" s="156">
        <v>8.9958158995815853E-3</v>
      </c>
      <c r="F1150" s="124">
        <v>1144</v>
      </c>
      <c r="G1150" s="238">
        <f t="shared" ca="1" si="36"/>
        <v>-1.4881661214268881E-2</v>
      </c>
      <c r="I1150" s="156"/>
    </row>
    <row r="1151" spans="2:9" x14ac:dyDescent="0.2">
      <c r="B1151" s="230">
        <v>44308</v>
      </c>
      <c r="C1151" s="124">
        <v>205.9</v>
      </c>
      <c r="D1151" s="156">
        <f t="shared" si="37"/>
        <v>2.6783540297054364E-3</v>
      </c>
      <c r="E1151" s="156">
        <v>8.9956869993837296E-3</v>
      </c>
      <c r="F1151" s="124">
        <v>1145</v>
      </c>
      <c r="G1151" s="238">
        <f t="shared" ca="1" si="36"/>
        <v>1.0115042108238112E-2</v>
      </c>
      <c r="I1151" s="156"/>
    </row>
    <row r="1152" spans="2:9" x14ac:dyDescent="0.2">
      <c r="B1152" s="230">
        <v>44306</v>
      </c>
      <c r="C1152" s="124">
        <v>203.55</v>
      </c>
      <c r="D1152" s="156">
        <f t="shared" si="37"/>
        <v>-1.1413307430791619E-2</v>
      </c>
      <c r="E1152" s="156">
        <v>8.9890407585272187E-3</v>
      </c>
      <c r="F1152" s="124">
        <v>1146</v>
      </c>
      <c r="G1152" s="238">
        <f t="shared" ca="1" si="36"/>
        <v>-4.0700173167656775E-3</v>
      </c>
      <c r="I1152" s="156"/>
    </row>
    <row r="1153" spans="2:9" x14ac:dyDescent="0.2">
      <c r="B1153" s="230">
        <v>44305</v>
      </c>
      <c r="C1153" s="124">
        <v>205.6</v>
      </c>
      <c r="D1153" s="156">
        <f t="shared" si="37"/>
        <v>1.0071235568656266E-2</v>
      </c>
      <c r="E1153" s="156">
        <v>8.9843750000000444E-3</v>
      </c>
      <c r="F1153" s="124">
        <v>1147</v>
      </c>
      <c r="G1153" s="238">
        <f t="shared" ca="1" si="36"/>
        <v>-1.9902211061224598E-2</v>
      </c>
      <c r="I1153" s="156"/>
    </row>
    <row r="1154" spans="2:9" x14ac:dyDescent="0.2">
      <c r="B1154" s="230">
        <v>44302</v>
      </c>
      <c r="C1154" s="124">
        <v>207.95</v>
      </c>
      <c r="D1154" s="156">
        <f t="shared" si="37"/>
        <v>1.1429961089494137E-2</v>
      </c>
      <c r="E1154" s="156">
        <v>8.9811480618512008E-3</v>
      </c>
      <c r="F1154" s="124">
        <v>1148</v>
      </c>
      <c r="G1154" s="238">
        <f t="shared" ca="1" si="36"/>
        <v>3.8820202130646526E-2</v>
      </c>
      <c r="I1154" s="156"/>
    </row>
    <row r="1155" spans="2:9" x14ac:dyDescent="0.2">
      <c r="B1155" s="230">
        <v>44301</v>
      </c>
      <c r="C1155" s="124">
        <v>206.7</v>
      </c>
      <c r="D1155" s="156">
        <f t="shared" si="37"/>
        <v>-6.0110603510459245E-3</v>
      </c>
      <c r="E1155" s="156">
        <v>8.9602389397049724E-3</v>
      </c>
      <c r="F1155" s="124">
        <v>1149</v>
      </c>
      <c r="G1155" s="238">
        <f t="shared" ca="1" si="36"/>
        <v>1.9456316179991488E-2</v>
      </c>
      <c r="I1155" s="156"/>
    </row>
    <row r="1156" spans="2:9" x14ac:dyDescent="0.2">
      <c r="B1156" s="230">
        <v>44299</v>
      </c>
      <c r="C1156" s="124">
        <v>208.7</v>
      </c>
      <c r="D1156" s="156">
        <f t="shared" si="37"/>
        <v>9.6758587324625063E-3</v>
      </c>
      <c r="E1156" s="156">
        <v>8.9485458612976083E-3</v>
      </c>
      <c r="F1156" s="124">
        <v>1150</v>
      </c>
      <c r="G1156" s="238">
        <f t="shared" ca="1" si="36"/>
        <v>3.9557178791899128E-2</v>
      </c>
      <c r="I1156" s="156"/>
    </row>
    <row r="1157" spans="2:9" x14ac:dyDescent="0.2">
      <c r="B1157" s="230">
        <v>44298</v>
      </c>
      <c r="C1157" s="124">
        <v>205.3</v>
      </c>
      <c r="D1157" s="156">
        <f t="shared" si="37"/>
        <v>-1.6291327264015224E-2</v>
      </c>
      <c r="E1157" s="156">
        <v>8.942766295707472E-3</v>
      </c>
      <c r="F1157" s="124">
        <v>1151</v>
      </c>
      <c r="G1157" s="238">
        <f t="shared" ca="1" si="36"/>
        <v>-9.0613005545609072E-3</v>
      </c>
      <c r="I1157" s="156"/>
    </row>
    <row r="1158" spans="2:9" x14ac:dyDescent="0.2">
      <c r="B1158" s="230">
        <v>44295</v>
      </c>
      <c r="C1158" s="124">
        <v>213.1</v>
      </c>
      <c r="D1158" s="156">
        <f t="shared" si="37"/>
        <v>3.7993180711154324E-2</v>
      </c>
      <c r="E1158" s="156">
        <v>8.9422284974703514E-3</v>
      </c>
      <c r="F1158" s="124">
        <v>1152</v>
      </c>
      <c r="G1158" s="238">
        <f t="shared" ca="1" si="36"/>
        <v>1.2037218036507605E-2</v>
      </c>
      <c r="I1158" s="156"/>
    </row>
    <row r="1159" spans="2:9" x14ac:dyDescent="0.2">
      <c r="B1159" s="230">
        <v>44294</v>
      </c>
      <c r="C1159" s="124">
        <v>213.25</v>
      </c>
      <c r="D1159" s="156">
        <f t="shared" si="37"/>
        <v>7.0389488503052884E-4</v>
      </c>
      <c r="E1159" s="156">
        <v>8.9220014716703353E-3</v>
      </c>
      <c r="F1159" s="124">
        <v>1153</v>
      </c>
      <c r="G1159" s="238">
        <f t="shared" ref="G1159:G1222" ca="1" si="38">_xlfn.NORM.INV(RAND(),$L$8,$L$9)</f>
        <v>-8.2166342696329085E-3</v>
      </c>
      <c r="I1159" s="156"/>
    </row>
    <row r="1160" spans="2:9" x14ac:dyDescent="0.2">
      <c r="B1160" s="230">
        <v>44293</v>
      </c>
      <c r="C1160" s="124">
        <v>213.8</v>
      </c>
      <c r="D1160" s="156">
        <f t="shared" si="37"/>
        <v>2.5791324736225622E-3</v>
      </c>
      <c r="E1160" s="156">
        <v>8.9086859688196681E-3</v>
      </c>
      <c r="F1160" s="124">
        <v>1154</v>
      </c>
      <c r="G1160" s="238">
        <f t="shared" ca="1" si="38"/>
        <v>-1.0381156931495227E-2</v>
      </c>
      <c r="I1160" s="156"/>
    </row>
    <row r="1161" spans="2:9" x14ac:dyDescent="0.2">
      <c r="B1161" s="230">
        <v>44292</v>
      </c>
      <c r="C1161" s="124">
        <v>212.65</v>
      </c>
      <c r="D1161" s="156">
        <f t="shared" si="37"/>
        <v>-5.378858746492075E-3</v>
      </c>
      <c r="E1161" s="156">
        <v>8.8981446421808625E-3</v>
      </c>
      <c r="F1161" s="124">
        <v>1155</v>
      </c>
      <c r="G1161" s="238">
        <f t="shared" ca="1" si="38"/>
        <v>-1.8685916695880014E-2</v>
      </c>
      <c r="I1161" s="156"/>
    </row>
    <row r="1162" spans="2:9" x14ac:dyDescent="0.2">
      <c r="B1162" s="230">
        <v>44291</v>
      </c>
      <c r="C1162" s="124">
        <v>212.55</v>
      </c>
      <c r="D1162" s="156">
        <f t="shared" si="37"/>
        <v>-4.7025628967784769E-4</v>
      </c>
      <c r="E1162" s="156">
        <v>8.8978185993112031E-3</v>
      </c>
      <c r="F1162" s="124">
        <v>1156</v>
      </c>
      <c r="G1162" s="238">
        <f t="shared" ca="1" si="38"/>
        <v>1.0847174466003588E-2</v>
      </c>
      <c r="I1162" s="156"/>
    </row>
    <row r="1163" spans="2:9" x14ac:dyDescent="0.2">
      <c r="B1163" s="230">
        <v>44287</v>
      </c>
      <c r="C1163" s="124">
        <v>220.05</v>
      </c>
      <c r="D1163" s="156">
        <f t="shared" si="37"/>
        <v>3.5285815102328859E-2</v>
      </c>
      <c r="E1163" s="156">
        <v>8.8958660387232717E-3</v>
      </c>
      <c r="F1163" s="124">
        <v>1157</v>
      </c>
      <c r="G1163" s="238">
        <f t="shared" ca="1" si="38"/>
        <v>-1.7779400863981505E-2</v>
      </c>
      <c r="I1163" s="156"/>
    </row>
    <row r="1164" spans="2:9" x14ac:dyDescent="0.2">
      <c r="B1164" s="230">
        <v>44286</v>
      </c>
      <c r="C1164" s="124">
        <v>218.5</v>
      </c>
      <c r="D1164" s="156">
        <f t="shared" si="37"/>
        <v>-7.0438536696205917E-3</v>
      </c>
      <c r="E1164" s="156">
        <v>8.8916718847839981E-3</v>
      </c>
      <c r="F1164" s="124">
        <v>1158</v>
      </c>
      <c r="G1164" s="238">
        <f t="shared" ca="1" si="38"/>
        <v>-2.6408572519251224E-2</v>
      </c>
      <c r="I1164" s="156"/>
    </row>
    <row r="1165" spans="2:9" x14ac:dyDescent="0.2">
      <c r="B1165" s="230">
        <v>44285</v>
      </c>
      <c r="C1165" s="124">
        <v>214.55</v>
      </c>
      <c r="D1165" s="156">
        <f t="shared" si="37"/>
        <v>-1.8077803203661275E-2</v>
      </c>
      <c r="E1165" s="156">
        <v>8.8869673824279339E-3</v>
      </c>
      <c r="F1165" s="124">
        <v>1159</v>
      </c>
      <c r="G1165" s="238">
        <f t="shared" ca="1" si="38"/>
        <v>-1.9433271259804874E-2</v>
      </c>
      <c r="I1165" s="156"/>
    </row>
    <row r="1166" spans="2:9" x14ac:dyDescent="0.2">
      <c r="B1166" s="230">
        <v>44281</v>
      </c>
      <c r="C1166" s="124">
        <v>210.9</v>
      </c>
      <c r="D1166" s="156">
        <f t="shared" si="37"/>
        <v>-1.7012351433232372E-2</v>
      </c>
      <c r="E1166" s="156">
        <v>8.8774540481653657E-3</v>
      </c>
      <c r="F1166" s="124">
        <v>1160</v>
      </c>
      <c r="G1166" s="238">
        <f t="shared" ca="1" si="38"/>
        <v>7.2297629585901082E-3</v>
      </c>
      <c r="I1166" s="156"/>
    </row>
    <row r="1167" spans="2:9" x14ac:dyDescent="0.2">
      <c r="B1167" s="230">
        <v>44280</v>
      </c>
      <c r="C1167" s="124">
        <v>211.6</v>
      </c>
      <c r="D1167" s="156">
        <f t="shared" si="37"/>
        <v>3.3191085822664229E-3</v>
      </c>
      <c r="E1167" s="156">
        <v>8.8583905177791918E-3</v>
      </c>
      <c r="F1167" s="124">
        <v>1161</v>
      </c>
      <c r="G1167" s="238">
        <f t="shared" ca="1" si="38"/>
        <v>7.6265704236024344E-3</v>
      </c>
      <c r="I1167" s="156"/>
    </row>
    <row r="1168" spans="2:9" x14ac:dyDescent="0.2">
      <c r="B1168" s="230">
        <v>44279</v>
      </c>
      <c r="C1168" s="124">
        <v>215.95</v>
      </c>
      <c r="D1168" s="156">
        <f t="shared" si="37"/>
        <v>2.0557655954631354E-2</v>
      </c>
      <c r="E1168" s="156">
        <v>8.829300196206773E-3</v>
      </c>
      <c r="F1168" s="124">
        <v>1162</v>
      </c>
      <c r="G1168" s="238">
        <f t="shared" ca="1" si="38"/>
        <v>-2.7668310243703788E-2</v>
      </c>
      <c r="I1168" s="156"/>
    </row>
    <row r="1169" spans="2:9" x14ac:dyDescent="0.2">
      <c r="B1169" s="230">
        <v>44278</v>
      </c>
      <c r="C1169" s="124">
        <v>222.2</v>
      </c>
      <c r="D1169" s="156">
        <f t="shared" si="37"/>
        <v>2.8941884695531373E-2</v>
      </c>
      <c r="E1169" s="156">
        <v>8.8243666382008708E-3</v>
      </c>
      <c r="F1169" s="124">
        <v>1163</v>
      </c>
      <c r="G1169" s="238">
        <f t="shared" ca="1" si="38"/>
        <v>-7.3479474016193195E-4</v>
      </c>
      <c r="I1169" s="156"/>
    </row>
    <row r="1170" spans="2:9" x14ac:dyDescent="0.2">
      <c r="B1170" s="230">
        <v>44277</v>
      </c>
      <c r="C1170" s="124">
        <v>226</v>
      </c>
      <c r="D1170" s="156">
        <f t="shared" si="37"/>
        <v>1.7101710171017154E-2</v>
      </c>
      <c r="E1170" s="156">
        <v>8.8172313893437465E-3</v>
      </c>
      <c r="F1170" s="124">
        <v>1164</v>
      </c>
      <c r="G1170" s="238">
        <f t="shared" ca="1" si="38"/>
        <v>-6.4637761083587908E-3</v>
      </c>
      <c r="I1170" s="156"/>
    </row>
    <row r="1171" spans="2:9" x14ac:dyDescent="0.2">
      <c r="B1171" s="230">
        <v>44274</v>
      </c>
      <c r="C1171" s="124">
        <v>222.95</v>
      </c>
      <c r="D1171" s="156">
        <f t="shared" si="37"/>
        <v>-1.3495575221238988E-2</v>
      </c>
      <c r="E1171" s="156">
        <v>8.7976539589443379E-3</v>
      </c>
      <c r="F1171" s="124">
        <v>1165</v>
      </c>
      <c r="G1171" s="238">
        <f t="shared" ca="1" si="38"/>
        <v>-2.9888297761998589E-3</v>
      </c>
      <c r="I1171" s="156"/>
    </row>
    <row r="1172" spans="2:9" x14ac:dyDescent="0.2">
      <c r="B1172" s="230">
        <v>44273</v>
      </c>
      <c r="C1172" s="124">
        <v>217.65</v>
      </c>
      <c r="D1172" s="156">
        <f t="shared" si="37"/>
        <v>-2.3772146221125737E-2</v>
      </c>
      <c r="E1172" s="156">
        <v>8.7898856110777118E-3</v>
      </c>
      <c r="F1172" s="124">
        <v>1166</v>
      </c>
      <c r="G1172" s="238">
        <f t="shared" ca="1" si="38"/>
        <v>8.9037818744372166E-3</v>
      </c>
      <c r="I1172" s="156"/>
    </row>
    <row r="1173" spans="2:9" x14ac:dyDescent="0.2">
      <c r="B1173" s="230">
        <v>44272</v>
      </c>
      <c r="C1173" s="124">
        <v>210.6</v>
      </c>
      <c r="D1173" s="156">
        <f t="shared" si="37"/>
        <v>-3.23914541695383E-2</v>
      </c>
      <c r="E1173" s="156">
        <v>8.7781885797063898E-3</v>
      </c>
      <c r="F1173" s="124">
        <v>1167</v>
      </c>
      <c r="G1173" s="238">
        <f t="shared" ca="1" si="38"/>
        <v>3.7690103527057844E-2</v>
      </c>
      <c r="I1173" s="156"/>
    </row>
    <row r="1174" spans="2:9" x14ac:dyDescent="0.2">
      <c r="B1174" s="230">
        <v>44271</v>
      </c>
      <c r="C1174" s="124">
        <v>207.85</v>
      </c>
      <c r="D1174" s="156">
        <f t="shared" si="37"/>
        <v>-1.3057929724596391E-2</v>
      </c>
      <c r="E1174" s="156">
        <v>8.777239709443203E-3</v>
      </c>
      <c r="F1174" s="124">
        <v>1168</v>
      </c>
      <c r="G1174" s="238">
        <f t="shared" ca="1" si="38"/>
        <v>-1.5211904486043459E-2</v>
      </c>
      <c r="I1174" s="156"/>
    </row>
    <row r="1175" spans="2:9" x14ac:dyDescent="0.2">
      <c r="B1175" s="230">
        <v>44270</v>
      </c>
      <c r="C1175" s="124">
        <v>205.45</v>
      </c>
      <c r="D1175" s="156">
        <f t="shared" si="37"/>
        <v>-1.1546788549434715E-2</v>
      </c>
      <c r="E1175" s="156">
        <v>8.7741393786733984E-3</v>
      </c>
      <c r="F1175" s="124">
        <v>1169</v>
      </c>
      <c r="G1175" s="238">
        <f t="shared" ca="1" si="38"/>
        <v>1.5845615325988327E-2</v>
      </c>
      <c r="I1175" s="156"/>
    </row>
    <row r="1176" spans="2:9" x14ac:dyDescent="0.2">
      <c r="B1176" s="230">
        <v>44267</v>
      </c>
      <c r="C1176" s="124">
        <v>205.2</v>
      </c>
      <c r="D1176" s="156">
        <f t="shared" si="37"/>
        <v>-1.2168410805548796E-3</v>
      </c>
      <c r="E1176" s="156">
        <v>8.7726423523677866E-3</v>
      </c>
      <c r="F1176" s="124">
        <v>1170</v>
      </c>
      <c r="G1176" s="238">
        <f t="shared" ca="1" si="38"/>
        <v>1.1603981918938553E-2</v>
      </c>
      <c r="I1176" s="156"/>
    </row>
    <row r="1177" spans="2:9" x14ac:dyDescent="0.2">
      <c r="B1177" s="230">
        <v>44265</v>
      </c>
      <c r="C1177" s="124">
        <v>206.5</v>
      </c>
      <c r="D1177" s="156">
        <f t="shared" si="37"/>
        <v>6.3352826510721808E-3</v>
      </c>
      <c r="E1177" s="156">
        <v>8.7722877310376004E-3</v>
      </c>
      <c r="F1177" s="124">
        <v>1171</v>
      </c>
      <c r="G1177" s="238">
        <f t="shared" ca="1" si="38"/>
        <v>-4.8824195839482732E-3</v>
      </c>
      <c r="I1177" s="156"/>
    </row>
    <row r="1178" spans="2:9" x14ac:dyDescent="0.2">
      <c r="B1178" s="230">
        <v>44264</v>
      </c>
      <c r="C1178" s="124">
        <v>207.8</v>
      </c>
      <c r="D1178" s="156">
        <f t="shared" si="37"/>
        <v>6.2953995157385536E-3</v>
      </c>
      <c r="E1178" s="156">
        <v>8.7696672685066649E-3</v>
      </c>
      <c r="F1178" s="124">
        <v>1172</v>
      </c>
      <c r="G1178" s="238">
        <f t="shared" ca="1" si="38"/>
        <v>2.1367719223817062E-2</v>
      </c>
      <c r="I1178" s="156"/>
    </row>
    <row r="1179" spans="2:9" x14ac:dyDescent="0.2">
      <c r="B1179" s="230">
        <v>44263</v>
      </c>
      <c r="C1179" s="124">
        <v>208</v>
      </c>
      <c r="D1179" s="156">
        <f t="shared" si="37"/>
        <v>9.6246390760341006E-4</v>
      </c>
      <c r="E1179" s="156">
        <v>8.768913342503527E-3</v>
      </c>
      <c r="F1179" s="124">
        <v>1173</v>
      </c>
      <c r="G1179" s="238">
        <f t="shared" ca="1" si="38"/>
        <v>-3.6920467162136804E-3</v>
      </c>
      <c r="I1179" s="156"/>
    </row>
    <row r="1180" spans="2:9" x14ac:dyDescent="0.2">
      <c r="B1180" s="230">
        <v>44260</v>
      </c>
      <c r="C1180" s="124">
        <v>208.55</v>
      </c>
      <c r="D1180" s="156">
        <f t="shared" si="37"/>
        <v>2.644230769230824E-3</v>
      </c>
      <c r="E1180" s="156">
        <v>8.7548638132295721E-3</v>
      </c>
      <c r="F1180" s="124">
        <v>1174</v>
      </c>
      <c r="G1180" s="238">
        <f t="shared" ca="1" si="38"/>
        <v>7.0667889814427847E-3</v>
      </c>
      <c r="I1180" s="156"/>
    </row>
    <row r="1181" spans="2:9" x14ac:dyDescent="0.2">
      <c r="B1181" s="230">
        <v>44259</v>
      </c>
      <c r="C1181" s="124">
        <v>209.7</v>
      </c>
      <c r="D1181" s="156">
        <f t="shared" si="37"/>
        <v>5.5142651642290921E-3</v>
      </c>
      <c r="E1181" s="156">
        <v>8.7412587412587419E-3</v>
      </c>
      <c r="F1181" s="124">
        <v>1175</v>
      </c>
      <c r="G1181" s="238">
        <f t="shared" ca="1" si="38"/>
        <v>-1.2725614474923888E-2</v>
      </c>
      <c r="I1181" s="156"/>
    </row>
    <row r="1182" spans="2:9" x14ac:dyDescent="0.2">
      <c r="B1182" s="230">
        <v>44258</v>
      </c>
      <c r="C1182" s="124">
        <v>209.95</v>
      </c>
      <c r="D1182" s="156">
        <f t="shared" si="37"/>
        <v>1.1921793037672867E-3</v>
      </c>
      <c r="E1182" s="156">
        <v>8.7406350338922172E-3</v>
      </c>
      <c r="F1182" s="124">
        <v>1176</v>
      </c>
      <c r="G1182" s="238">
        <f t="shared" ca="1" si="38"/>
        <v>1.3297219681500038E-3</v>
      </c>
      <c r="I1182" s="156"/>
    </row>
    <row r="1183" spans="2:9" x14ac:dyDescent="0.2">
      <c r="B1183" s="230">
        <v>44257</v>
      </c>
      <c r="C1183" s="124">
        <v>209.9</v>
      </c>
      <c r="D1183" s="156">
        <f t="shared" si="37"/>
        <v>-2.3815194093823743E-4</v>
      </c>
      <c r="E1183" s="156">
        <v>8.7232755143203822E-3</v>
      </c>
      <c r="F1183" s="124">
        <v>1177</v>
      </c>
      <c r="G1183" s="238">
        <f t="shared" ca="1" si="38"/>
        <v>-3.080439579115269E-2</v>
      </c>
      <c r="I1183" s="156"/>
    </row>
    <row r="1184" spans="2:9" x14ac:dyDescent="0.2">
      <c r="B1184" s="230">
        <v>44256</v>
      </c>
      <c r="C1184" s="124">
        <v>206.9</v>
      </c>
      <c r="D1184" s="156">
        <f t="shared" si="37"/>
        <v>-1.4292520247737018E-2</v>
      </c>
      <c r="E1184" s="156">
        <v>8.7209302325582522E-3</v>
      </c>
      <c r="F1184" s="124">
        <v>1178</v>
      </c>
      <c r="G1184" s="238">
        <f t="shared" ca="1" si="38"/>
        <v>-4.6571558562305272E-4</v>
      </c>
      <c r="I1184" s="156"/>
    </row>
    <row r="1185" spans="2:9" x14ac:dyDescent="0.2">
      <c r="B1185" s="230">
        <v>44253</v>
      </c>
      <c r="C1185" s="124">
        <v>203.85</v>
      </c>
      <c r="D1185" s="156">
        <f t="shared" si="37"/>
        <v>-1.4741420976317116E-2</v>
      </c>
      <c r="E1185" s="156">
        <v>8.7203791469194752E-3</v>
      </c>
      <c r="F1185" s="124">
        <v>1179</v>
      </c>
      <c r="G1185" s="238">
        <f t="shared" ca="1" si="38"/>
        <v>-7.6071418650375108E-3</v>
      </c>
      <c r="I1185" s="156"/>
    </row>
    <row r="1186" spans="2:9" x14ac:dyDescent="0.2">
      <c r="B1186" s="230">
        <v>44252</v>
      </c>
      <c r="C1186" s="124">
        <v>209.15</v>
      </c>
      <c r="D1186" s="156">
        <f t="shared" si="37"/>
        <v>2.5999509443218109E-2</v>
      </c>
      <c r="E1186" s="156">
        <v>8.6838534599729348E-3</v>
      </c>
      <c r="F1186" s="124">
        <v>1180</v>
      </c>
      <c r="G1186" s="238">
        <f t="shared" ca="1" si="38"/>
        <v>-5.3629546979568248E-3</v>
      </c>
      <c r="I1186" s="156"/>
    </row>
    <row r="1187" spans="2:9" x14ac:dyDescent="0.2">
      <c r="B1187" s="230">
        <v>44251</v>
      </c>
      <c r="C1187" s="124">
        <v>208.85</v>
      </c>
      <c r="D1187" s="156">
        <f t="shared" si="37"/>
        <v>-1.4343772412144936E-3</v>
      </c>
      <c r="E1187" s="156">
        <v>8.679299869810626E-3</v>
      </c>
      <c r="F1187" s="124">
        <v>1181</v>
      </c>
      <c r="G1187" s="238">
        <f t="shared" ca="1" si="38"/>
        <v>1.160425919472321E-2</v>
      </c>
      <c r="I1187" s="156"/>
    </row>
    <row r="1188" spans="2:9" x14ac:dyDescent="0.2">
      <c r="B1188" s="230">
        <v>44250</v>
      </c>
      <c r="C1188" s="124">
        <v>208.5</v>
      </c>
      <c r="D1188" s="156">
        <f t="shared" si="37"/>
        <v>-1.6758439071103391E-3</v>
      </c>
      <c r="E1188" s="156">
        <v>8.6767895878524948E-3</v>
      </c>
      <c r="F1188" s="124">
        <v>1182</v>
      </c>
      <c r="G1188" s="238">
        <f t="shared" ca="1" si="38"/>
        <v>-3.3328150555920512E-2</v>
      </c>
      <c r="I1188" s="156"/>
    </row>
    <row r="1189" spans="2:9" x14ac:dyDescent="0.2">
      <c r="B1189" s="230">
        <v>44249</v>
      </c>
      <c r="C1189" s="124">
        <v>207.05</v>
      </c>
      <c r="D1189" s="156">
        <f t="shared" si="37"/>
        <v>-6.9544364508392744E-3</v>
      </c>
      <c r="E1189" s="156">
        <v>8.6738799964231322E-3</v>
      </c>
      <c r="F1189" s="124">
        <v>1183</v>
      </c>
      <c r="G1189" s="238">
        <f t="shared" ca="1" si="38"/>
        <v>5.4009651844504434E-3</v>
      </c>
      <c r="I1189" s="156"/>
    </row>
    <row r="1190" spans="2:9" x14ac:dyDescent="0.2">
      <c r="B1190" s="230">
        <v>44246</v>
      </c>
      <c r="C1190" s="124">
        <v>215.95</v>
      </c>
      <c r="D1190" s="156">
        <f t="shared" si="37"/>
        <v>4.2984786283506285E-2</v>
      </c>
      <c r="E1190" s="156">
        <v>8.6633663366336641E-3</v>
      </c>
      <c r="F1190" s="124">
        <v>1184</v>
      </c>
      <c r="G1190" s="238">
        <f t="shared" ca="1" si="38"/>
        <v>1.4276417503242791E-2</v>
      </c>
      <c r="I1190" s="156"/>
    </row>
    <row r="1191" spans="2:9" x14ac:dyDescent="0.2">
      <c r="B1191" s="230">
        <v>44245</v>
      </c>
      <c r="C1191" s="124">
        <v>218.85</v>
      </c>
      <c r="D1191" s="156">
        <f t="shared" si="37"/>
        <v>1.3429034498726584E-2</v>
      </c>
      <c r="E1191" s="156">
        <v>8.6495308037535888E-3</v>
      </c>
      <c r="F1191" s="124">
        <v>1185</v>
      </c>
      <c r="G1191" s="238">
        <f t="shared" ca="1" si="38"/>
        <v>3.397523935640457E-3</v>
      </c>
      <c r="I1191" s="156"/>
    </row>
    <row r="1192" spans="2:9" x14ac:dyDescent="0.2">
      <c r="B1192" s="230">
        <v>44244</v>
      </c>
      <c r="C1192" s="124">
        <v>217.75</v>
      </c>
      <c r="D1192" s="156">
        <f t="shared" si="37"/>
        <v>-5.0262737034498257E-3</v>
      </c>
      <c r="E1192" s="156">
        <v>8.6409085298109929E-3</v>
      </c>
      <c r="F1192" s="124">
        <v>1186</v>
      </c>
      <c r="G1192" s="238">
        <f t="shared" ca="1" si="38"/>
        <v>1.7773517280799702E-2</v>
      </c>
      <c r="I1192" s="156"/>
    </row>
    <row r="1193" spans="2:9" x14ac:dyDescent="0.2">
      <c r="B1193" s="230">
        <v>44243</v>
      </c>
      <c r="C1193" s="124">
        <v>218.25</v>
      </c>
      <c r="D1193" s="156">
        <f t="shared" si="37"/>
        <v>2.2962112514351321E-3</v>
      </c>
      <c r="E1193" s="156">
        <v>8.6372360844529754E-3</v>
      </c>
      <c r="F1193" s="124">
        <v>1187</v>
      </c>
      <c r="G1193" s="238">
        <f t="shared" ca="1" si="38"/>
        <v>-1.3871286179867423E-2</v>
      </c>
      <c r="I1193" s="156"/>
    </row>
    <row r="1194" spans="2:9" x14ac:dyDescent="0.2">
      <c r="B1194" s="230">
        <v>44242</v>
      </c>
      <c r="C1194" s="124">
        <v>218.6</v>
      </c>
      <c r="D1194" s="156">
        <f t="shared" si="37"/>
        <v>1.6036655211912683E-3</v>
      </c>
      <c r="E1194" s="156">
        <v>8.6344314558980569E-3</v>
      </c>
      <c r="F1194" s="124">
        <v>1188</v>
      </c>
      <c r="G1194" s="238">
        <f t="shared" ca="1" si="38"/>
        <v>1.9994903731086432E-2</v>
      </c>
      <c r="I1194" s="156"/>
    </row>
    <row r="1195" spans="2:9" x14ac:dyDescent="0.2">
      <c r="B1195" s="230">
        <v>44239</v>
      </c>
      <c r="C1195" s="124">
        <v>217.45</v>
      </c>
      <c r="D1195" s="156">
        <f t="shared" si="37"/>
        <v>-5.2607502287282965E-3</v>
      </c>
      <c r="E1195" s="156">
        <v>8.6206896551723512E-3</v>
      </c>
      <c r="F1195" s="124">
        <v>1189</v>
      </c>
      <c r="G1195" s="238">
        <f t="shared" ca="1" si="38"/>
        <v>-2.2754769781361131E-3</v>
      </c>
      <c r="I1195" s="156"/>
    </row>
    <row r="1196" spans="2:9" x14ac:dyDescent="0.2">
      <c r="B1196" s="230">
        <v>44238</v>
      </c>
      <c r="C1196" s="124">
        <v>226.45</v>
      </c>
      <c r="D1196" s="156">
        <f t="shared" si="37"/>
        <v>4.1388825017245348E-2</v>
      </c>
      <c r="E1196" s="156">
        <v>8.6149768058315628E-3</v>
      </c>
      <c r="F1196" s="124">
        <v>1190</v>
      </c>
      <c r="G1196" s="238">
        <f t="shared" ca="1" si="38"/>
        <v>-8.1729487268887256E-3</v>
      </c>
      <c r="I1196" s="156"/>
    </row>
    <row r="1197" spans="2:9" x14ac:dyDescent="0.2">
      <c r="B1197" s="230">
        <v>44237</v>
      </c>
      <c r="C1197" s="124">
        <v>227.55</v>
      </c>
      <c r="D1197" s="156">
        <f t="shared" si="37"/>
        <v>4.8575844557298426E-3</v>
      </c>
      <c r="E1197" s="156">
        <v>8.6142322097378706E-3</v>
      </c>
      <c r="F1197" s="124">
        <v>1191</v>
      </c>
      <c r="G1197" s="238">
        <f t="shared" ca="1" si="38"/>
        <v>1.5056496108700209E-2</v>
      </c>
      <c r="I1197" s="156"/>
    </row>
    <row r="1198" spans="2:9" x14ac:dyDescent="0.2">
      <c r="B1198" s="230">
        <v>44236</v>
      </c>
      <c r="C1198" s="124">
        <v>229</v>
      </c>
      <c r="D1198" s="156">
        <f t="shared" si="37"/>
        <v>6.3722258844209562E-3</v>
      </c>
      <c r="E1198" s="156">
        <v>8.6060948081264702E-3</v>
      </c>
      <c r="F1198" s="124">
        <v>1192</v>
      </c>
      <c r="G1198" s="238">
        <f t="shared" ca="1" si="38"/>
        <v>2.0283317854295105E-3</v>
      </c>
      <c r="I1198" s="156"/>
    </row>
    <row r="1199" spans="2:9" x14ac:dyDescent="0.2">
      <c r="B1199" s="230">
        <v>44235</v>
      </c>
      <c r="C1199" s="124">
        <v>233.1</v>
      </c>
      <c r="D1199" s="156">
        <f t="shared" si="37"/>
        <v>1.7903930131004341E-2</v>
      </c>
      <c r="E1199" s="156">
        <v>8.6006508600650258E-3</v>
      </c>
      <c r="F1199" s="124">
        <v>1193</v>
      </c>
      <c r="G1199" s="238">
        <f t="shared" ca="1" si="38"/>
        <v>-4.9559912993953808E-3</v>
      </c>
      <c r="I1199" s="156"/>
    </row>
    <row r="1200" spans="2:9" x14ac:dyDescent="0.2">
      <c r="B1200" s="230">
        <v>44232</v>
      </c>
      <c r="C1200" s="124">
        <v>234.35</v>
      </c>
      <c r="D1200" s="156">
        <f t="shared" si="37"/>
        <v>5.3625053625053626E-3</v>
      </c>
      <c r="E1200" s="156">
        <v>8.5938928506125237E-3</v>
      </c>
      <c r="F1200" s="124">
        <v>1194</v>
      </c>
      <c r="G1200" s="238">
        <f t="shared" ca="1" si="38"/>
        <v>-2.0069238796757462E-2</v>
      </c>
      <c r="I1200" s="156"/>
    </row>
    <row r="1201" spans="2:9" x14ac:dyDescent="0.2">
      <c r="B1201" s="230">
        <v>44231</v>
      </c>
      <c r="C1201" s="124">
        <v>229.95</v>
      </c>
      <c r="D1201" s="156">
        <f t="shared" si="37"/>
        <v>-1.8775336035843849E-2</v>
      </c>
      <c r="E1201" s="156">
        <v>8.5918854415275008E-3</v>
      </c>
      <c r="F1201" s="124">
        <v>1195</v>
      </c>
      <c r="G1201" s="238">
        <f t="shared" ca="1" si="38"/>
        <v>-9.3934261814640815E-3</v>
      </c>
      <c r="I1201" s="156"/>
    </row>
    <row r="1202" spans="2:9" x14ac:dyDescent="0.2">
      <c r="B1202" s="230">
        <v>44230</v>
      </c>
      <c r="C1202" s="124">
        <v>216.75</v>
      </c>
      <c r="D1202" s="156">
        <f t="shared" si="37"/>
        <v>-5.7403783431180647E-2</v>
      </c>
      <c r="E1202" s="156">
        <v>8.5778006519128501E-3</v>
      </c>
      <c r="F1202" s="124">
        <v>1196</v>
      </c>
      <c r="G1202" s="238">
        <f t="shared" ca="1" si="38"/>
        <v>-2.1506345267882844E-2</v>
      </c>
      <c r="I1202" s="156"/>
    </row>
    <row r="1203" spans="2:9" x14ac:dyDescent="0.2">
      <c r="B1203" s="230">
        <v>44229</v>
      </c>
      <c r="C1203" s="124">
        <v>218.2</v>
      </c>
      <c r="D1203" s="156">
        <f t="shared" si="37"/>
        <v>6.6897347174163261E-3</v>
      </c>
      <c r="E1203" s="156">
        <v>8.544007490636784E-3</v>
      </c>
      <c r="F1203" s="124">
        <v>1197</v>
      </c>
      <c r="G1203" s="238">
        <f t="shared" ca="1" si="38"/>
        <v>-1.5266458992833559E-2</v>
      </c>
      <c r="I1203" s="156"/>
    </row>
    <row r="1204" spans="2:9" x14ac:dyDescent="0.2">
      <c r="B1204" s="230">
        <v>44228</v>
      </c>
      <c r="C1204" s="124">
        <v>215.95</v>
      </c>
      <c r="D1204" s="156">
        <f t="shared" si="37"/>
        <v>-1.0311640696608617E-2</v>
      </c>
      <c r="E1204" s="156">
        <v>8.5385472095037464E-3</v>
      </c>
      <c r="F1204" s="124">
        <v>1198</v>
      </c>
      <c r="G1204" s="238">
        <f t="shared" ca="1" si="38"/>
        <v>2.5675258460389858E-2</v>
      </c>
      <c r="I1204" s="156"/>
    </row>
    <row r="1205" spans="2:9" x14ac:dyDescent="0.2">
      <c r="B1205" s="230">
        <v>44225</v>
      </c>
      <c r="C1205" s="124">
        <v>203.25</v>
      </c>
      <c r="D1205" s="156">
        <f t="shared" si="37"/>
        <v>-5.8809909701319697E-2</v>
      </c>
      <c r="E1205" s="156">
        <v>8.5258525852584307E-3</v>
      </c>
      <c r="F1205" s="124">
        <v>1199</v>
      </c>
      <c r="G1205" s="238">
        <f t="shared" ca="1" si="38"/>
        <v>-2.6988411714601746E-2</v>
      </c>
      <c r="I1205" s="156"/>
    </row>
    <row r="1206" spans="2:9" x14ac:dyDescent="0.2">
      <c r="B1206" s="230">
        <v>44224</v>
      </c>
      <c r="C1206" s="124">
        <v>206.6</v>
      </c>
      <c r="D1206" s="156">
        <f t="shared" si="37"/>
        <v>1.6482164821648188E-2</v>
      </c>
      <c r="E1206" s="156">
        <v>8.5125448028674101E-3</v>
      </c>
      <c r="F1206" s="124">
        <v>1200</v>
      </c>
      <c r="G1206" s="238">
        <f t="shared" ca="1" si="38"/>
        <v>-6.3208877938229196E-3</v>
      </c>
      <c r="I1206" s="156"/>
    </row>
    <row r="1207" spans="2:9" x14ac:dyDescent="0.2">
      <c r="B1207" s="230">
        <v>44223</v>
      </c>
      <c r="C1207" s="124">
        <v>210.65</v>
      </c>
      <c r="D1207" s="156">
        <f t="shared" si="37"/>
        <v>1.960309777347537E-2</v>
      </c>
      <c r="E1207" s="156">
        <v>8.5019554497534431E-3</v>
      </c>
      <c r="F1207" s="124">
        <v>1201</v>
      </c>
      <c r="G1207" s="238">
        <f t="shared" ca="1" si="38"/>
        <v>-1.6799468500146374E-2</v>
      </c>
      <c r="I1207" s="156"/>
    </row>
    <row r="1208" spans="2:9" x14ac:dyDescent="0.2">
      <c r="B1208" s="230">
        <v>44221</v>
      </c>
      <c r="C1208" s="124">
        <v>207.8</v>
      </c>
      <c r="D1208" s="156">
        <f t="shared" si="37"/>
        <v>-1.3529551388559194E-2</v>
      </c>
      <c r="E1208" s="156">
        <v>8.5015027908973365E-3</v>
      </c>
      <c r="F1208" s="124">
        <v>1202</v>
      </c>
      <c r="G1208" s="238">
        <f t="shared" ca="1" si="38"/>
        <v>-9.763202487852448E-3</v>
      </c>
      <c r="I1208" s="156"/>
    </row>
    <row r="1209" spans="2:9" x14ac:dyDescent="0.2">
      <c r="B1209" s="230">
        <v>44218</v>
      </c>
      <c r="C1209" s="124">
        <v>210.7</v>
      </c>
      <c r="D1209" s="156">
        <f t="shared" si="37"/>
        <v>1.3955726660250131E-2</v>
      </c>
      <c r="E1209" s="156">
        <v>8.4738082291100445E-3</v>
      </c>
      <c r="F1209" s="124">
        <v>1203</v>
      </c>
      <c r="G1209" s="238">
        <f t="shared" ca="1" si="38"/>
        <v>2.8092330364942505E-2</v>
      </c>
      <c r="I1209" s="156"/>
    </row>
    <row r="1210" spans="2:9" x14ac:dyDescent="0.2">
      <c r="B1210" s="230">
        <v>44217</v>
      </c>
      <c r="C1210" s="124">
        <v>213.7</v>
      </c>
      <c r="D1210" s="156">
        <f t="shared" si="37"/>
        <v>1.423825344091125E-2</v>
      </c>
      <c r="E1210" s="156">
        <v>8.4590763603110321E-3</v>
      </c>
      <c r="F1210" s="124">
        <v>1204</v>
      </c>
      <c r="G1210" s="238">
        <f t="shared" ca="1" si="38"/>
        <v>-6.3528186673175793E-3</v>
      </c>
      <c r="I1210" s="156"/>
    </row>
    <row r="1211" spans="2:9" x14ac:dyDescent="0.2">
      <c r="B1211" s="230">
        <v>44216</v>
      </c>
      <c r="C1211" s="124">
        <v>217.65</v>
      </c>
      <c r="D1211" s="156">
        <f t="shared" si="37"/>
        <v>1.8483855872718846E-2</v>
      </c>
      <c r="E1211" s="156">
        <v>8.4481261586840228E-3</v>
      </c>
      <c r="F1211" s="124">
        <v>1205</v>
      </c>
      <c r="G1211" s="238">
        <f t="shared" ca="1" si="38"/>
        <v>7.2892692362452813E-3</v>
      </c>
      <c r="I1211" s="156"/>
    </row>
    <row r="1212" spans="2:9" x14ac:dyDescent="0.2">
      <c r="B1212" s="230">
        <v>44215</v>
      </c>
      <c r="C1212" s="124">
        <v>218.85</v>
      </c>
      <c r="D1212" s="156">
        <f t="shared" si="37"/>
        <v>5.5134390075809265E-3</v>
      </c>
      <c r="E1212" s="156">
        <v>8.442919184863576E-3</v>
      </c>
      <c r="F1212" s="124">
        <v>1206</v>
      </c>
      <c r="G1212" s="238">
        <f t="shared" ca="1" si="38"/>
        <v>-6.0225410099872942E-3</v>
      </c>
      <c r="I1212" s="156"/>
    </row>
    <row r="1213" spans="2:9" x14ac:dyDescent="0.2">
      <c r="B1213" s="230">
        <v>44214</v>
      </c>
      <c r="C1213" s="124">
        <v>219.75</v>
      </c>
      <c r="D1213" s="156">
        <f t="shared" si="37"/>
        <v>4.1124057573680862E-3</v>
      </c>
      <c r="E1213" s="156">
        <v>8.4233656839407117E-3</v>
      </c>
      <c r="F1213" s="124">
        <v>1207</v>
      </c>
      <c r="G1213" s="238">
        <f t="shared" ca="1" si="38"/>
        <v>1.6034806976029943E-2</v>
      </c>
      <c r="I1213" s="156"/>
    </row>
    <row r="1214" spans="2:9" x14ac:dyDescent="0.2">
      <c r="B1214" s="230">
        <v>44211</v>
      </c>
      <c r="C1214" s="124">
        <v>217.85</v>
      </c>
      <c r="D1214" s="156">
        <f t="shared" ref="D1214:D1277" si="39">(C1214-C1213)/C1213</f>
        <v>-8.6461888509670338E-3</v>
      </c>
      <c r="E1214" s="156">
        <v>8.422664624808604E-3</v>
      </c>
      <c r="F1214" s="124">
        <v>1208</v>
      </c>
      <c r="G1214" s="238">
        <f t="shared" ca="1" si="38"/>
        <v>1.2292923048204585E-2</v>
      </c>
      <c r="I1214" s="156"/>
    </row>
    <row r="1215" spans="2:9" x14ac:dyDescent="0.2">
      <c r="B1215" s="230">
        <v>44210</v>
      </c>
      <c r="C1215" s="124">
        <v>214.15</v>
      </c>
      <c r="D1215" s="156">
        <f t="shared" si="39"/>
        <v>-1.698416341519389E-2</v>
      </c>
      <c r="E1215" s="156">
        <v>8.4210526315789472E-3</v>
      </c>
      <c r="F1215" s="124">
        <v>1209</v>
      </c>
      <c r="G1215" s="238">
        <f t="shared" ca="1" si="38"/>
        <v>1.4003893108931895E-2</v>
      </c>
      <c r="I1215" s="156"/>
    </row>
    <row r="1216" spans="2:9" x14ac:dyDescent="0.2">
      <c r="B1216" s="230">
        <v>44209</v>
      </c>
      <c r="C1216" s="124">
        <v>211.25</v>
      </c>
      <c r="D1216" s="156">
        <f t="shared" si="39"/>
        <v>-1.3541909876254988E-2</v>
      </c>
      <c r="E1216" s="156">
        <v>8.4210526315788917E-3</v>
      </c>
      <c r="F1216" s="124">
        <v>1210</v>
      </c>
      <c r="G1216" s="238">
        <f t="shared" ca="1" si="38"/>
        <v>-2.8319402144279873E-2</v>
      </c>
      <c r="I1216" s="156"/>
    </row>
    <row r="1217" spans="2:9" x14ac:dyDescent="0.2">
      <c r="B1217" s="230">
        <v>44208</v>
      </c>
      <c r="C1217" s="124">
        <v>206.45</v>
      </c>
      <c r="D1217" s="156">
        <f t="shared" si="39"/>
        <v>-2.2721893491124315E-2</v>
      </c>
      <c r="E1217" s="156">
        <v>8.4096430573724536E-3</v>
      </c>
      <c r="F1217" s="124">
        <v>1211</v>
      </c>
      <c r="G1217" s="238">
        <f t="shared" ca="1" si="38"/>
        <v>1.9918971221208361E-2</v>
      </c>
      <c r="I1217" s="156"/>
    </row>
    <row r="1218" spans="2:9" x14ac:dyDescent="0.2">
      <c r="B1218" s="230">
        <v>44207</v>
      </c>
      <c r="C1218" s="124">
        <v>202.5</v>
      </c>
      <c r="D1218" s="156">
        <f t="shared" si="39"/>
        <v>-1.9132961976265385E-2</v>
      </c>
      <c r="E1218" s="156">
        <v>8.407777193904481E-3</v>
      </c>
      <c r="F1218" s="124">
        <v>1212</v>
      </c>
      <c r="G1218" s="238">
        <f t="shared" ca="1" si="38"/>
        <v>-1.1991574426015285E-2</v>
      </c>
      <c r="I1218" s="156"/>
    </row>
    <row r="1219" spans="2:9" x14ac:dyDescent="0.2">
      <c r="B1219" s="230">
        <v>44204</v>
      </c>
      <c r="C1219" s="124">
        <v>201.5</v>
      </c>
      <c r="D1219" s="156">
        <f t="shared" si="39"/>
        <v>-4.9382716049382715E-3</v>
      </c>
      <c r="E1219" s="156">
        <v>8.4003574620196402E-3</v>
      </c>
      <c r="F1219" s="124">
        <v>1213</v>
      </c>
      <c r="G1219" s="238">
        <f t="shared" ca="1" si="38"/>
        <v>-2.0164428084327224E-2</v>
      </c>
      <c r="I1219" s="156"/>
    </row>
    <row r="1220" spans="2:9" x14ac:dyDescent="0.2">
      <c r="B1220" s="230">
        <v>44203</v>
      </c>
      <c r="C1220" s="124">
        <v>202.8</v>
      </c>
      <c r="D1220" s="156">
        <f t="shared" si="39"/>
        <v>6.4516129032258628E-3</v>
      </c>
      <c r="E1220" s="156">
        <v>8.4003251738777613E-3</v>
      </c>
      <c r="F1220" s="124">
        <v>1214</v>
      </c>
      <c r="G1220" s="238">
        <f t="shared" ca="1" si="38"/>
        <v>-1.7024271298352042E-2</v>
      </c>
      <c r="I1220" s="156"/>
    </row>
    <row r="1221" spans="2:9" x14ac:dyDescent="0.2">
      <c r="B1221" s="230">
        <v>44202</v>
      </c>
      <c r="C1221" s="124">
        <v>205.4</v>
      </c>
      <c r="D1221" s="156">
        <f t="shared" si="39"/>
        <v>1.2820512820512792E-2</v>
      </c>
      <c r="E1221" s="156">
        <v>8.3909180651530954E-3</v>
      </c>
      <c r="F1221" s="124">
        <v>1215</v>
      </c>
      <c r="G1221" s="238">
        <f t="shared" ca="1" si="38"/>
        <v>-4.4412667698610006E-3</v>
      </c>
      <c r="I1221" s="156"/>
    </row>
    <row r="1222" spans="2:9" x14ac:dyDescent="0.2">
      <c r="B1222" s="230">
        <v>44201</v>
      </c>
      <c r="C1222" s="124">
        <v>211.45</v>
      </c>
      <c r="D1222" s="156">
        <f t="shared" si="39"/>
        <v>2.9454722492697094E-2</v>
      </c>
      <c r="E1222" s="156">
        <v>8.3828943642027167E-3</v>
      </c>
      <c r="F1222" s="124">
        <v>1216</v>
      </c>
      <c r="G1222" s="238">
        <f t="shared" ca="1" si="38"/>
        <v>1.3602427412568006E-2</v>
      </c>
      <c r="I1222" s="156"/>
    </row>
    <row r="1223" spans="2:9" x14ac:dyDescent="0.2">
      <c r="B1223" s="230">
        <v>44200</v>
      </c>
      <c r="C1223" s="124">
        <v>213.4</v>
      </c>
      <c r="D1223" s="156">
        <f t="shared" si="39"/>
        <v>9.2220383069284324E-3</v>
      </c>
      <c r="E1223" s="156">
        <v>8.3765456721181988E-3</v>
      </c>
      <c r="F1223" s="124">
        <v>1217</v>
      </c>
      <c r="G1223" s="238">
        <f t="shared" ref="G1223:G1286" ca="1" si="40">_xlfn.NORM.INV(RAND(),$L$8,$L$9)</f>
        <v>5.0911408790004012E-3</v>
      </c>
      <c r="I1223" s="156"/>
    </row>
    <row r="1224" spans="2:9" x14ac:dyDescent="0.2">
      <c r="B1224" s="230">
        <v>44197</v>
      </c>
      <c r="C1224" s="124">
        <v>213.85</v>
      </c>
      <c r="D1224" s="156">
        <f t="shared" si="39"/>
        <v>2.1087160262417463E-3</v>
      </c>
      <c r="E1224" s="156">
        <v>8.375710439724831E-3</v>
      </c>
      <c r="F1224" s="124">
        <v>1218</v>
      </c>
      <c r="G1224" s="238">
        <f t="shared" ca="1" si="40"/>
        <v>-3.26668657748337E-2</v>
      </c>
      <c r="I1224" s="156"/>
    </row>
    <row r="1225" spans="2:9" x14ac:dyDescent="0.2">
      <c r="B1225" s="230">
        <v>44196</v>
      </c>
      <c r="C1225" s="124">
        <v>209</v>
      </c>
      <c r="D1225" s="156">
        <f t="shared" si="39"/>
        <v>-2.2679448211363078E-2</v>
      </c>
      <c r="E1225" s="156">
        <v>8.3710895361380697E-3</v>
      </c>
      <c r="F1225" s="124">
        <v>1219</v>
      </c>
      <c r="G1225" s="238">
        <f t="shared" ca="1" si="40"/>
        <v>-1.0538844513871342E-3</v>
      </c>
      <c r="I1225" s="156"/>
    </row>
    <row r="1226" spans="2:9" x14ac:dyDescent="0.2">
      <c r="B1226" s="230">
        <v>44195</v>
      </c>
      <c r="C1226" s="124">
        <v>211.15</v>
      </c>
      <c r="D1226" s="156">
        <f t="shared" si="39"/>
        <v>1.0287081339712945E-2</v>
      </c>
      <c r="E1226" s="156">
        <v>8.3697234352256601E-3</v>
      </c>
      <c r="F1226" s="124">
        <v>1220</v>
      </c>
      <c r="G1226" s="238">
        <f t="shared" ca="1" si="40"/>
        <v>-4.0388377796463804E-3</v>
      </c>
      <c r="I1226" s="156"/>
    </row>
    <row r="1227" spans="2:9" x14ac:dyDescent="0.2">
      <c r="B1227" s="230">
        <v>44194</v>
      </c>
      <c r="C1227" s="124">
        <v>211.55</v>
      </c>
      <c r="D1227" s="156">
        <f t="shared" si="39"/>
        <v>1.894387875917621E-3</v>
      </c>
      <c r="E1227" s="156">
        <v>8.3684210526315961E-3</v>
      </c>
      <c r="F1227" s="124">
        <v>1221</v>
      </c>
      <c r="G1227" s="238">
        <f t="shared" ca="1" si="40"/>
        <v>-1.3847906566928677E-3</v>
      </c>
      <c r="I1227" s="156"/>
    </row>
    <row r="1228" spans="2:9" x14ac:dyDescent="0.2">
      <c r="B1228" s="230">
        <v>44193</v>
      </c>
      <c r="C1228" s="124">
        <v>209.5</v>
      </c>
      <c r="D1228" s="156">
        <f t="shared" si="39"/>
        <v>-9.6903805246987065E-3</v>
      </c>
      <c r="E1228" s="156">
        <v>8.3624200116346435E-3</v>
      </c>
      <c r="F1228" s="124">
        <v>1222</v>
      </c>
      <c r="G1228" s="238">
        <f t="shared" ca="1" si="40"/>
        <v>-1.3553989946450583E-2</v>
      </c>
      <c r="I1228" s="156"/>
    </row>
    <row r="1229" spans="2:9" x14ac:dyDescent="0.2">
      <c r="B1229" s="230">
        <v>44189</v>
      </c>
      <c r="C1229" s="124">
        <v>208.6</v>
      </c>
      <c r="D1229" s="156">
        <f t="shared" si="39"/>
        <v>-4.2959427207637504E-3</v>
      </c>
      <c r="E1229" s="156">
        <v>8.3537375774160767E-3</v>
      </c>
      <c r="F1229" s="124">
        <v>1223</v>
      </c>
      <c r="G1229" s="238">
        <f t="shared" ca="1" si="40"/>
        <v>2.6193604997292664E-2</v>
      </c>
      <c r="I1229" s="156"/>
    </row>
    <row r="1230" spans="2:9" x14ac:dyDescent="0.2">
      <c r="B1230" s="230">
        <v>44188</v>
      </c>
      <c r="C1230" s="124">
        <v>207.75</v>
      </c>
      <c r="D1230" s="156">
        <f t="shared" si="39"/>
        <v>-4.0747842761265311E-3</v>
      </c>
      <c r="E1230" s="156">
        <v>8.3472039351104605E-3</v>
      </c>
      <c r="F1230" s="124">
        <v>1224</v>
      </c>
      <c r="G1230" s="238">
        <f t="shared" ca="1" si="40"/>
        <v>9.9766652854158307E-3</v>
      </c>
      <c r="I1230" s="156"/>
    </row>
    <row r="1231" spans="2:9" x14ac:dyDescent="0.2">
      <c r="B1231" s="230">
        <v>44187</v>
      </c>
      <c r="C1231" s="124">
        <v>203.4</v>
      </c>
      <c r="D1231" s="156">
        <f t="shared" si="39"/>
        <v>-2.0938628158844737E-2</v>
      </c>
      <c r="E1231" s="156">
        <v>8.3318868252040268E-3</v>
      </c>
      <c r="F1231" s="124">
        <v>1225</v>
      </c>
      <c r="G1231" s="238">
        <f t="shared" ca="1" si="40"/>
        <v>1.5561112293528336E-2</v>
      </c>
      <c r="I1231" s="156"/>
    </row>
    <row r="1232" spans="2:9" x14ac:dyDescent="0.2">
      <c r="B1232" s="230">
        <v>44186</v>
      </c>
      <c r="C1232" s="124">
        <v>202.95</v>
      </c>
      <c r="D1232" s="156">
        <f t="shared" si="39"/>
        <v>-2.2123893805310571E-3</v>
      </c>
      <c r="E1232" s="156">
        <v>8.3197952050410948E-3</v>
      </c>
      <c r="F1232" s="124">
        <v>1226</v>
      </c>
      <c r="G1232" s="238">
        <f t="shared" ca="1" si="40"/>
        <v>2.1804931550238227E-3</v>
      </c>
      <c r="I1232" s="156"/>
    </row>
    <row r="1233" spans="2:9" x14ac:dyDescent="0.2">
      <c r="B1233" s="230">
        <v>44183</v>
      </c>
      <c r="C1233" s="124">
        <v>214.5</v>
      </c>
      <c r="D1233" s="156">
        <f t="shared" si="39"/>
        <v>5.6910569105691117E-2</v>
      </c>
      <c r="E1233" s="156">
        <v>8.2946423913610699E-3</v>
      </c>
      <c r="F1233" s="124">
        <v>1227</v>
      </c>
      <c r="G1233" s="238">
        <f t="shared" ca="1" si="40"/>
        <v>-6.8671735253463618E-3</v>
      </c>
      <c r="I1233" s="156"/>
    </row>
    <row r="1234" spans="2:9" x14ac:dyDescent="0.2">
      <c r="B1234" s="230">
        <v>44182</v>
      </c>
      <c r="C1234" s="124">
        <v>213.05</v>
      </c>
      <c r="D1234" s="156">
        <f t="shared" si="39"/>
        <v>-6.7599067599067066E-3</v>
      </c>
      <c r="E1234" s="156">
        <v>8.2942661377569827E-3</v>
      </c>
      <c r="F1234" s="124">
        <v>1228</v>
      </c>
      <c r="G1234" s="238">
        <f t="shared" ca="1" si="40"/>
        <v>1.4952896677316576E-3</v>
      </c>
      <c r="I1234" s="156"/>
    </row>
    <row r="1235" spans="2:9" x14ac:dyDescent="0.2">
      <c r="B1235" s="230">
        <v>44181</v>
      </c>
      <c r="C1235" s="124">
        <v>214</v>
      </c>
      <c r="D1235" s="156">
        <f t="shared" si="39"/>
        <v>4.4590471720252923E-3</v>
      </c>
      <c r="E1235" s="156">
        <v>8.2665021591610682E-3</v>
      </c>
      <c r="F1235" s="124">
        <v>1229</v>
      </c>
      <c r="G1235" s="238">
        <f t="shared" ca="1" si="40"/>
        <v>3.2403122529507507E-2</v>
      </c>
      <c r="I1235" s="156"/>
    </row>
    <row r="1236" spans="2:9" x14ac:dyDescent="0.2">
      <c r="B1236" s="230">
        <v>44180</v>
      </c>
      <c r="C1236" s="124">
        <v>213.55</v>
      </c>
      <c r="D1236" s="156">
        <f t="shared" si="39"/>
        <v>-2.1028037383177037E-3</v>
      </c>
      <c r="E1236" s="156">
        <v>8.2609616606651257E-3</v>
      </c>
      <c r="F1236" s="124">
        <v>1230</v>
      </c>
      <c r="G1236" s="238">
        <f t="shared" ca="1" si="40"/>
        <v>-4.0315186775361896E-2</v>
      </c>
      <c r="I1236" s="156"/>
    </row>
    <row r="1237" spans="2:9" x14ac:dyDescent="0.2">
      <c r="B1237" s="230">
        <v>44179</v>
      </c>
      <c r="C1237" s="124">
        <v>215.9</v>
      </c>
      <c r="D1237" s="156">
        <f t="shared" si="39"/>
        <v>1.1004448606883606E-2</v>
      </c>
      <c r="E1237" s="156">
        <v>8.257750101529706E-3</v>
      </c>
      <c r="F1237" s="124">
        <v>1231</v>
      </c>
      <c r="G1237" s="238">
        <f t="shared" ca="1" si="40"/>
        <v>1.3968220310953253E-2</v>
      </c>
      <c r="I1237" s="156"/>
    </row>
    <row r="1238" spans="2:9" x14ac:dyDescent="0.2">
      <c r="B1238" s="230">
        <v>44176</v>
      </c>
      <c r="C1238" s="124">
        <v>216.3</v>
      </c>
      <c r="D1238" s="156">
        <f t="shared" si="39"/>
        <v>1.8527095877721429E-3</v>
      </c>
      <c r="E1238" s="156">
        <v>8.2574634766038046E-3</v>
      </c>
      <c r="F1238" s="124">
        <v>1232</v>
      </c>
      <c r="G1238" s="238">
        <f t="shared" ca="1" si="40"/>
        <v>-2.3209551267458266E-2</v>
      </c>
      <c r="I1238" s="156"/>
    </row>
    <row r="1239" spans="2:9" x14ac:dyDescent="0.2">
      <c r="B1239" s="230">
        <v>44175</v>
      </c>
      <c r="C1239" s="124">
        <v>212.7</v>
      </c>
      <c r="D1239" s="156">
        <f t="shared" si="39"/>
        <v>-1.6643550624133252E-2</v>
      </c>
      <c r="E1239" s="156">
        <v>8.2347972972972496E-3</v>
      </c>
      <c r="F1239" s="124">
        <v>1233</v>
      </c>
      <c r="G1239" s="238">
        <f t="shared" ca="1" si="40"/>
        <v>1.9797117770703962E-2</v>
      </c>
      <c r="I1239" s="156"/>
    </row>
    <row r="1240" spans="2:9" x14ac:dyDescent="0.2">
      <c r="B1240" s="230">
        <v>44174</v>
      </c>
      <c r="C1240" s="124">
        <v>205.4</v>
      </c>
      <c r="D1240" s="156">
        <f t="shared" si="39"/>
        <v>-3.4320639398213365E-2</v>
      </c>
      <c r="E1240" s="156">
        <v>8.2285176913130705E-3</v>
      </c>
      <c r="F1240" s="124">
        <v>1234</v>
      </c>
      <c r="G1240" s="238">
        <f t="shared" ca="1" si="40"/>
        <v>-2.4945496961231606E-2</v>
      </c>
      <c r="I1240" s="156"/>
    </row>
    <row r="1241" spans="2:9" x14ac:dyDescent="0.2">
      <c r="B1241" s="230">
        <v>44173</v>
      </c>
      <c r="C1241" s="124">
        <v>202.45</v>
      </c>
      <c r="D1241" s="156">
        <f t="shared" si="39"/>
        <v>-1.4362220058422673E-2</v>
      </c>
      <c r="E1241" s="156">
        <v>8.2254747792426825E-3</v>
      </c>
      <c r="F1241" s="124">
        <v>1235</v>
      </c>
      <c r="G1241" s="238">
        <f t="shared" ca="1" si="40"/>
        <v>4.8447804350492153E-3</v>
      </c>
      <c r="I1241" s="156"/>
    </row>
    <row r="1242" spans="2:9" x14ac:dyDescent="0.2">
      <c r="B1242" s="230">
        <v>44172</v>
      </c>
      <c r="C1242" s="124">
        <v>203.15</v>
      </c>
      <c r="D1242" s="156">
        <f t="shared" si="39"/>
        <v>3.457643862682228E-3</v>
      </c>
      <c r="E1242" s="156">
        <v>8.2109977606370024E-3</v>
      </c>
      <c r="F1242" s="124">
        <v>1236</v>
      </c>
      <c r="G1242" s="238">
        <f t="shared" ca="1" si="40"/>
        <v>1.8311675599186492E-2</v>
      </c>
      <c r="I1242" s="156"/>
    </row>
    <row r="1243" spans="2:9" x14ac:dyDescent="0.2">
      <c r="B1243" s="230">
        <v>44169</v>
      </c>
      <c r="C1243" s="124">
        <v>198.2</v>
      </c>
      <c r="D1243" s="156">
        <f t="shared" si="39"/>
        <v>-2.4366231848387973E-2</v>
      </c>
      <c r="E1243" s="156">
        <v>8.2037258588276186E-3</v>
      </c>
      <c r="F1243" s="124">
        <v>1237</v>
      </c>
      <c r="G1243" s="238">
        <f t="shared" ca="1" si="40"/>
        <v>1.1087948295015308E-2</v>
      </c>
      <c r="I1243" s="156"/>
    </row>
    <row r="1244" spans="2:9" x14ac:dyDescent="0.2">
      <c r="B1244" s="230">
        <v>44168</v>
      </c>
      <c r="C1244" s="124">
        <v>196.2</v>
      </c>
      <c r="D1244" s="156">
        <f t="shared" si="39"/>
        <v>-1.0090817356205853E-2</v>
      </c>
      <c r="E1244" s="156">
        <v>8.1848471678979823E-3</v>
      </c>
      <c r="F1244" s="124">
        <v>1238</v>
      </c>
      <c r="G1244" s="238">
        <f t="shared" ca="1" si="40"/>
        <v>1.7074690785087939E-2</v>
      </c>
      <c r="I1244" s="156"/>
    </row>
    <row r="1245" spans="2:9" x14ac:dyDescent="0.2">
      <c r="B1245" s="230">
        <v>44167</v>
      </c>
      <c r="C1245" s="124">
        <v>195.95</v>
      </c>
      <c r="D1245" s="156">
        <f t="shared" si="39"/>
        <v>-1.2742099898063201E-3</v>
      </c>
      <c r="E1245" s="156">
        <v>8.1829121540313698E-3</v>
      </c>
      <c r="F1245" s="124">
        <v>1239</v>
      </c>
      <c r="G1245" s="238">
        <f t="shared" ca="1" si="40"/>
        <v>5.2967492215664309E-3</v>
      </c>
      <c r="I1245" s="156"/>
    </row>
    <row r="1246" spans="2:9" x14ac:dyDescent="0.2">
      <c r="B1246" s="230">
        <v>44166</v>
      </c>
      <c r="C1246" s="124">
        <v>194.4</v>
      </c>
      <c r="D1246" s="156">
        <f t="shared" si="39"/>
        <v>-7.9101811686653895E-3</v>
      </c>
      <c r="E1246" s="156">
        <v>8.1387877489827072E-3</v>
      </c>
      <c r="F1246" s="124">
        <v>1240</v>
      </c>
      <c r="G1246" s="238">
        <f t="shared" ca="1" si="40"/>
        <v>-2.0649268324432962E-2</v>
      </c>
      <c r="I1246" s="156"/>
    </row>
    <row r="1247" spans="2:9" x14ac:dyDescent="0.2">
      <c r="B1247" s="230">
        <v>44162</v>
      </c>
      <c r="C1247" s="124">
        <v>193.65</v>
      </c>
      <c r="D1247" s="156">
        <f t="shared" si="39"/>
        <v>-3.8580246913580245E-3</v>
      </c>
      <c r="E1247" s="156">
        <v>8.1261950286807706E-3</v>
      </c>
      <c r="F1247" s="124">
        <v>1241</v>
      </c>
      <c r="G1247" s="238">
        <f t="shared" ca="1" si="40"/>
        <v>3.6888027197423338E-2</v>
      </c>
      <c r="I1247" s="156"/>
    </row>
    <row r="1248" spans="2:9" x14ac:dyDescent="0.2">
      <c r="B1248" s="230">
        <v>44161</v>
      </c>
      <c r="C1248" s="124">
        <v>194.8</v>
      </c>
      <c r="D1248" s="156">
        <f t="shared" si="39"/>
        <v>5.9385489284792441E-3</v>
      </c>
      <c r="E1248" s="156">
        <v>8.1182951580168489E-3</v>
      </c>
      <c r="F1248" s="124">
        <v>1242</v>
      </c>
      <c r="G1248" s="238">
        <f t="shared" ca="1" si="40"/>
        <v>-5.414306349193162E-3</v>
      </c>
      <c r="I1248" s="156"/>
    </row>
    <row r="1249" spans="2:9" x14ac:dyDescent="0.2">
      <c r="B1249" s="230">
        <v>44160</v>
      </c>
      <c r="C1249" s="124">
        <v>193.85</v>
      </c>
      <c r="D1249" s="156">
        <f t="shared" si="39"/>
        <v>-4.8767967145791425E-3</v>
      </c>
      <c r="E1249" s="156">
        <v>8.1055607917058514E-3</v>
      </c>
      <c r="F1249" s="124">
        <v>1243</v>
      </c>
      <c r="G1249" s="238">
        <f t="shared" ca="1" si="40"/>
        <v>1.0311769341451553E-3</v>
      </c>
      <c r="I1249" s="156"/>
    </row>
    <row r="1250" spans="2:9" x14ac:dyDescent="0.2">
      <c r="B1250" s="230">
        <v>44159</v>
      </c>
      <c r="C1250" s="124">
        <v>195.55</v>
      </c>
      <c r="D1250" s="156">
        <f t="shared" si="39"/>
        <v>8.7696672685066649E-3</v>
      </c>
      <c r="E1250" s="156">
        <v>8.1051873198847262E-3</v>
      </c>
      <c r="F1250" s="124">
        <v>1244</v>
      </c>
      <c r="G1250" s="238">
        <f t="shared" ca="1" si="40"/>
        <v>2.4014936041297182E-3</v>
      </c>
      <c r="I1250" s="156"/>
    </row>
    <row r="1251" spans="2:9" x14ac:dyDescent="0.2">
      <c r="B1251" s="230">
        <v>44158</v>
      </c>
      <c r="C1251" s="124">
        <v>190.85</v>
      </c>
      <c r="D1251" s="156">
        <f t="shared" si="39"/>
        <v>-2.4034773715162449E-2</v>
      </c>
      <c r="E1251" s="156">
        <v>8.0954409884959767E-3</v>
      </c>
      <c r="F1251" s="124">
        <v>1245</v>
      </c>
      <c r="G1251" s="238">
        <f t="shared" ca="1" si="40"/>
        <v>-3.563664587268299E-2</v>
      </c>
      <c r="I1251" s="156"/>
    </row>
    <row r="1252" spans="2:9" x14ac:dyDescent="0.2">
      <c r="B1252" s="230">
        <v>44155</v>
      </c>
      <c r="C1252" s="124">
        <v>191.7</v>
      </c>
      <c r="D1252" s="156">
        <f t="shared" si="39"/>
        <v>4.4537594969871327E-3</v>
      </c>
      <c r="E1252" s="156">
        <v>8.0939279544437574E-3</v>
      </c>
      <c r="F1252" s="124">
        <v>1246</v>
      </c>
      <c r="G1252" s="238">
        <f t="shared" ca="1" si="40"/>
        <v>1.6862534583345471E-2</v>
      </c>
      <c r="I1252" s="156"/>
    </row>
    <row r="1253" spans="2:9" x14ac:dyDescent="0.2">
      <c r="B1253" s="230">
        <v>44154</v>
      </c>
      <c r="C1253" s="124">
        <v>187.9</v>
      </c>
      <c r="D1253" s="156">
        <f t="shared" si="39"/>
        <v>-1.9822639540949313E-2</v>
      </c>
      <c r="E1253" s="156">
        <v>8.0926294820717129E-3</v>
      </c>
      <c r="F1253" s="124">
        <v>1247</v>
      </c>
      <c r="G1253" s="238">
        <f t="shared" ca="1" si="40"/>
        <v>-2.3501415593748024E-2</v>
      </c>
      <c r="I1253" s="156"/>
    </row>
    <row r="1254" spans="2:9" x14ac:dyDescent="0.2">
      <c r="B1254" s="230">
        <v>44153</v>
      </c>
      <c r="C1254" s="124">
        <v>184.05</v>
      </c>
      <c r="D1254" s="156">
        <f t="shared" si="39"/>
        <v>-2.048962213943584E-2</v>
      </c>
      <c r="E1254" s="156">
        <v>8.0842154239851964E-3</v>
      </c>
      <c r="F1254" s="124">
        <v>1248</v>
      </c>
      <c r="G1254" s="238">
        <f t="shared" ca="1" si="40"/>
        <v>-1.524169243245415E-2</v>
      </c>
      <c r="I1254" s="156"/>
    </row>
    <row r="1255" spans="2:9" x14ac:dyDescent="0.2">
      <c r="B1255" s="230">
        <v>44152</v>
      </c>
      <c r="C1255" s="124">
        <v>187.35</v>
      </c>
      <c r="D1255" s="156">
        <f t="shared" si="39"/>
        <v>1.7929910350448153E-2</v>
      </c>
      <c r="E1255" s="156">
        <v>8.0749354005167952E-3</v>
      </c>
      <c r="F1255" s="124">
        <v>1249</v>
      </c>
      <c r="G1255" s="238">
        <f t="shared" ca="1" si="40"/>
        <v>1.8763082617121798E-2</v>
      </c>
      <c r="I1255" s="156"/>
    </row>
    <row r="1256" spans="2:9" x14ac:dyDescent="0.2">
      <c r="B1256" s="230">
        <v>44149</v>
      </c>
      <c r="C1256" s="124">
        <v>188.6</v>
      </c>
      <c r="D1256" s="156">
        <f t="shared" si="39"/>
        <v>6.6720042700827327E-3</v>
      </c>
      <c r="E1256" s="156">
        <v>8.0749354005167952E-3</v>
      </c>
      <c r="F1256" s="124">
        <v>1250</v>
      </c>
      <c r="G1256" s="238">
        <f t="shared" ca="1" si="40"/>
        <v>1.7151443324206171E-2</v>
      </c>
      <c r="I1256" s="156"/>
    </row>
    <row r="1257" spans="2:9" x14ac:dyDescent="0.2">
      <c r="B1257" s="230">
        <v>44148</v>
      </c>
      <c r="C1257" s="124">
        <v>187.1</v>
      </c>
      <c r="D1257" s="156">
        <f t="shared" si="39"/>
        <v>-7.953340402969248E-3</v>
      </c>
      <c r="E1257" s="156">
        <v>8.0741626794259731E-3</v>
      </c>
      <c r="F1257" s="124">
        <v>1251</v>
      </c>
      <c r="G1257" s="238">
        <f t="shared" ca="1" si="40"/>
        <v>-1.4585254673053761E-2</v>
      </c>
      <c r="I1257" s="156"/>
    </row>
    <row r="1258" spans="2:9" x14ac:dyDescent="0.2">
      <c r="B1258" s="230">
        <v>44147</v>
      </c>
      <c r="C1258" s="124">
        <v>188</v>
      </c>
      <c r="D1258" s="156">
        <f t="shared" si="39"/>
        <v>4.810261892036375E-3</v>
      </c>
      <c r="E1258" s="156">
        <v>8.0645161290322804E-3</v>
      </c>
      <c r="F1258" s="124">
        <v>1252</v>
      </c>
      <c r="G1258" s="238">
        <f t="shared" ca="1" si="40"/>
        <v>3.0098404081106526E-2</v>
      </c>
      <c r="I1258" s="156"/>
    </row>
    <row r="1259" spans="2:9" x14ac:dyDescent="0.2">
      <c r="B1259" s="230">
        <v>44146</v>
      </c>
      <c r="C1259" s="124">
        <v>185.3</v>
      </c>
      <c r="D1259" s="156">
        <f t="shared" si="39"/>
        <v>-1.4361702127659514E-2</v>
      </c>
      <c r="E1259" s="156">
        <v>8.0477673935618454E-3</v>
      </c>
      <c r="F1259" s="124">
        <v>1253</v>
      </c>
      <c r="G1259" s="238">
        <f t="shared" ca="1" si="40"/>
        <v>-1.8835313808008729E-2</v>
      </c>
      <c r="I1259" s="156"/>
    </row>
    <row r="1260" spans="2:9" x14ac:dyDescent="0.2">
      <c r="B1260" s="230">
        <v>44145</v>
      </c>
      <c r="C1260" s="124">
        <v>178.35</v>
      </c>
      <c r="D1260" s="156">
        <f t="shared" si="39"/>
        <v>-3.7506745817593182E-2</v>
      </c>
      <c r="E1260" s="156">
        <v>8.0310482631416186E-3</v>
      </c>
      <c r="F1260" s="124">
        <v>1254</v>
      </c>
      <c r="G1260" s="238">
        <f t="shared" ca="1" si="40"/>
        <v>-1.158780971180607E-2</v>
      </c>
      <c r="I1260" s="156"/>
    </row>
    <row r="1261" spans="2:9" x14ac:dyDescent="0.2">
      <c r="B1261" s="230">
        <v>44144</v>
      </c>
      <c r="C1261" s="124">
        <v>172.8</v>
      </c>
      <c r="D1261" s="156">
        <f t="shared" si="39"/>
        <v>-3.111858704793935E-2</v>
      </c>
      <c r="E1261" s="156">
        <v>8.0305159606504709E-3</v>
      </c>
      <c r="F1261" s="124">
        <v>1255</v>
      </c>
      <c r="G1261" s="238">
        <f t="shared" ca="1" si="40"/>
        <v>3.3981750313153369E-2</v>
      </c>
      <c r="I1261" s="156"/>
    </row>
    <row r="1262" spans="2:9" x14ac:dyDescent="0.2">
      <c r="B1262" s="230">
        <v>44141</v>
      </c>
      <c r="C1262" s="124">
        <v>173.95</v>
      </c>
      <c r="D1262" s="156">
        <f t="shared" si="39"/>
        <v>6.6550925925924608E-3</v>
      </c>
      <c r="E1262" s="156">
        <v>8.0213903743316644E-3</v>
      </c>
      <c r="F1262" s="124">
        <v>1256</v>
      </c>
      <c r="G1262" s="238">
        <f t="shared" ca="1" si="40"/>
        <v>4.0013707772274171E-2</v>
      </c>
      <c r="I1262" s="156"/>
    </row>
    <row r="1263" spans="2:9" x14ac:dyDescent="0.2">
      <c r="B1263" s="230">
        <v>44140</v>
      </c>
      <c r="C1263" s="124">
        <v>174.75</v>
      </c>
      <c r="D1263" s="156">
        <f t="shared" si="39"/>
        <v>4.5990227076746848E-3</v>
      </c>
      <c r="E1263" s="156">
        <v>8.0197696647549728E-3</v>
      </c>
      <c r="F1263" s="124">
        <v>1257</v>
      </c>
      <c r="G1263" s="238">
        <f t="shared" ca="1" si="40"/>
        <v>1.8268114226392355E-2</v>
      </c>
      <c r="I1263" s="156"/>
    </row>
    <row r="1264" spans="2:9" x14ac:dyDescent="0.2">
      <c r="B1264" s="230">
        <v>44139</v>
      </c>
      <c r="C1264" s="124">
        <v>169.8</v>
      </c>
      <c r="D1264" s="156">
        <f t="shared" si="39"/>
        <v>-2.8326180257510665E-2</v>
      </c>
      <c r="E1264" s="156">
        <v>8.0050151902396512E-3</v>
      </c>
      <c r="F1264" s="124">
        <v>1258</v>
      </c>
      <c r="G1264" s="238">
        <f t="shared" ca="1" si="40"/>
        <v>-2.267600763846965E-2</v>
      </c>
      <c r="I1264" s="156"/>
    </row>
    <row r="1265" spans="2:9" x14ac:dyDescent="0.2">
      <c r="B1265" s="230">
        <v>44138</v>
      </c>
      <c r="C1265" s="124">
        <v>170.1</v>
      </c>
      <c r="D1265" s="156">
        <f t="shared" si="39"/>
        <v>1.7667844522967192E-3</v>
      </c>
      <c r="E1265" s="156">
        <v>8.0024093275394108E-3</v>
      </c>
      <c r="F1265" s="124">
        <v>1259</v>
      </c>
      <c r="G1265" s="238">
        <f t="shared" ca="1" si="40"/>
        <v>1.0154627854829983E-3</v>
      </c>
      <c r="I1265" s="156"/>
    </row>
    <row r="1266" spans="2:9" x14ac:dyDescent="0.2">
      <c r="B1266" s="230">
        <v>44137</v>
      </c>
      <c r="C1266" s="124">
        <v>166.75</v>
      </c>
      <c r="D1266" s="156">
        <f t="shared" si="39"/>
        <v>-1.9694297472075219E-2</v>
      </c>
      <c r="E1266" s="156">
        <v>7.996237064910542E-3</v>
      </c>
      <c r="F1266" s="124">
        <v>1260</v>
      </c>
      <c r="G1266" s="238">
        <f t="shared" ca="1" si="40"/>
        <v>8.3773980389023669E-3</v>
      </c>
      <c r="I1266" s="156"/>
    </row>
    <row r="1267" spans="2:9" x14ac:dyDescent="0.2">
      <c r="B1267" s="230">
        <v>44134</v>
      </c>
      <c r="C1267" s="124">
        <v>165.25</v>
      </c>
      <c r="D1267" s="156">
        <f t="shared" si="39"/>
        <v>-8.9955022488755615E-3</v>
      </c>
      <c r="E1267" s="156">
        <v>7.9543489538302075E-3</v>
      </c>
      <c r="F1267" s="124">
        <v>1261</v>
      </c>
      <c r="G1267" s="238">
        <f t="shared" ca="1" si="40"/>
        <v>1.9878798301114074E-2</v>
      </c>
      <c r="I1267" s="156"/>
    </row>
    <row r="1268" spans="2:9" x14ac:dyDescent="0.2">
      <c r="B1268" s="230">
        <v>44133</v>
      </c>
      <c r="C1268" s="124">
        <v>163.85</v>
      </c>
      <c r="D1268" s="156">
        <f t="shared" si="39"/>
        <v>-8.4720121028744669E-3</v>
      </c>
      <c r="E1268" s="156">
        <v>7.9458055315029478E-3</v>
      </c>
      <c r="F1268" s="124">
        <v>1262</v>
      </c>
      <c r="G1268" s="238">
        <f t="shared" ca="1" si="40"/>
        <v>2.2598915597629627E-2</v>
      </c>
      <c r="I1268" s="156"/>
    </row>
    <row r="1269" spans="2:9" x14ac:dyDescent="0.2">
      <c r="B1269" s="230">
        <v>44132</v>
      </c>
      <c r="C1269" s="124">
        <v>165.5</v>
      </c>
      <c r="D1269" s="156">
        <f t="shared" si="39"/>
        <v>1.0070186145865155E-2</v>
      </c>
      <c r="E1269" s="156">
        <v>7.9400884237119506E-3</v>
      </c>
      <c r="F1269" s="124">
        <v>1263</v>
      </c>
      <c r="G1269" s="238">
        <f t="shared" ca="1" si="40"/>
        <v>-8.4020791181018567E-4</v>
      </c>
      <c r="I1269" s="156"/>
    </row>
    <row r="1270" spans="2:9" x14ac:dyDescent="0.2">
      <c r="B1270" s="230">
        <v>44131</v>
      </c>
      <c r="C1270" s="124">
        <v>167.2</v>
      </c>
      <c r="D1270" s="156">
        <f t="shared" si="39"/>
        <v>1.0271903323262771E-2</v>
      </c>
      <c r="E1270" s="156">
        <v>7.940028388928282E-3</v>
      </c>
      <c r="F1270" s="124">
        <v>1264</v>
      </c>
      <c r="G1270" s="238">
        <f t="shared" ca="1" si="40"/>
        <v>2.067598926556043E-2</v>
      </c>
      <c r="I1270" s="156"/>
    </row>
    <row r="1271" spans="2:9" x14ac:dyDescent="0.2">
      <c r="B1271" s="230">
        <v>44130</v>
      </c>
      <c r="C1271" s="124">
        <v>168.55</v>
      </c>
      <c r="D1271" s="156">
        <f t="shared" si="39"/>
        <v>8.0741626794259731E-3</v>
      </c>
      <c r="E1271" s="156">
        <v>7.9316656497864669E-3</v>
      </c>
      <c r="F1271" s="124">
        <v>1265</v>
      </c>
      <c r="G1271" s="238">
        <f t="shared" ca="1" si="40"/>
        <v>-2.6664413015164871E-2</v>
      </c>
      <c r="I1271" s="156"/>
    </row>
    <row r="1272" spans="2:9" x14ac:dyDescent="0.2">
      <c r="B1272" s="230">
        <v>44127</v>
      </c>
      <c r="C1272" s="124">
        <v>170.75</v>
      </c>
      <c r="D1272" s="156">
        <f t="shared" si="39"/>
        <v>1.3052506674577209E-2</v>
      </c>
      <c r="E1272" s="156">
        <v>7.9238601150951396E-3</v>
      </c>
      <c r="F1272" s="124">
        <v>1266</v>
      </c>
      <c r="G1272" s="238">
        <f t="shared" ca="1" si="40"/>
        <v>6.6724336025027623E-3</v>
      </c>
      <c r="I1272" s="156"/>
    </row>
    <row r="1273" spans="2:9" x14ac:dyDescent="0.2">
      <c r="B1273" s="230">
        <v>44126</v>
      </c>
      <c r="C1273" s="124">
        <v>168.55</v>
      </c>
      <c r="D1273" s="156">
        <f t="shared" si="39"/>
        <v>-1.2884333821376215E-2</v>
      </c>
      <c r="E1273" s="156">
        <v>7.9073188672307247E-3</v>
      </c>
      <c r="F1273" s="124">
        <v>1267</v>
      </c>
      <c r="G1273" s="238">
        <f t="shared" ca="1" si="40"/>
        <v>7.5845355045391491E-3</v>
      </c>
      <c r="I1273" s="156"/>
    </row>
    <row r="1274" spans="2:9" x14ac:dyDescent="0.2">
      <c r="B1274" s="230">
        <v>44125</v>
      </c>
      <c r="C1274" s="124">
        <v>167.65</v>
      </c>
      <c r="D1274" s="156">
        <f t="shared" si="39"/>
        <v>-5.3396618214180099E-3</v>
      </c>
      <c r="E1274" s="156">
        <v>7.9031699289798078E-3</v>
      </c>
      <c r="F1274" s="124">
        <v>1268</v>
      </c>
      <c r="G1274" s="238">
        <f t="shared" ca="1" si="40"/>
        <v>-2.1777868054094696E-2</v>
      </c>
      <c r="I1274" s="156"/>
    </row>
    <row r="1275" spans="2:9" x14ac:dyDescent="0.2">
      <c r="B1275" s="230">
        <v>44124</v>
      </c>
      <c r="C1275" s="124">
        <v>167.45</v>
      </c>
      <c r="D1275" s="156">
        <f t="shared" si="39"/>
        <v>-1.1929615269908563E-3</v>
      </c>
      <c r="E1275" s="156">
        <v>7.8975453575239572E-3</v>
      </c>
      <c r="F1275" s="124">
        <v>1269</v>
      </c>
      <c r="G1275" s="238">
        <f t="shared" ca="1" si="40"/>
        <v>1.5315043915458288E-2</v>
      </c>
      <c r="I1275" s="156"/>
    </row>
    <row r="1276" spans="2:9" x14ac:dyDescent="0.2">
      <c r="B1276" s="230">
        <v>44123</v>
      </c>
      <c r="C1276" s="124">
        <v>168.25</v>
      </c>
      <c r="D1276" s="156">
        <f t="shared" si="39"/>
        <v>4.7775455359809578E-3</v>
      </c>
      <c r="E1276" s="156">
        <v>7.8947368421052634E-3</v>
      </c>
      <c r="F1276" s="124">
        <v>1270</v>
      </c>
      <c r="G1276" s="238">
        <f t="shared" ca="1" si="40"/>
        <v>-2.8251479292161728E-2</v>
      </c>
      <c r="I1276" s="156"/>
    </row>
    <row r="1277" spans="2:9" x14ac:dyDescent="0.2">
      <c r="B1277" s="230">
        <v>44120</v>
      </c>
      <c r="C1277" s="124">
        <v>165.7</v>
      </c>
      <c r="D1277" s="156">
        <f t="shared" si="39"/>
        <v>-1.515601783060928E-2</v>
      </c>
      <c r="E1277" s="156">
        <v>7.8936240191701274E-3</v>
      </c>
      <c r="F1277" s="124">
        <v>1271</v>
      </c>
      <c r="G1277" s="238">
        <f t="shared" ca="1" si="40"/>
        <v>-1.1454024422410629E-2</v>
      </c>
      <c r="I1277" s="156"/>
    </row>
    <row r="1278" spans="2:9" x14ac:dyDescent="0.2">
      <c r="B1278" s="230">
        <v>44119</v>
      </c>
      <c r="C1278" s="124">
        <v>165.05</v>
      </c>
      <c r="D1278" s="156">
        <f t="shared" ref="D1278:D1341" si="41">(C1278-C1277)/C1277</f>
        <v>-3.9227519613758439E-3</v>
      </c>
      <c r="E1278" s="156">
        <v>7.8932531479043999E-3</v>
      </c>
      <c r="F1278" s="124">
        <v>1272</v>
      </c>
      <c r="G1278" s="238">
        <f t="shared" ca="1" si="40"/>
        <v>-2.6511167195428131E-2</v>
      </c>
      <c r="I1278" s="156"/>
    </row>
    <row r="1279" spans="2:9" x14ac:dyDescent="0.2">
      <c r="B1279" s="230">
        <v>44118</v>
      </c>
      <c r="C1279" s="124">
        <v>167.8</v>
      </c>
      <c r="D1279" s="156">
        <f t="shared" si="41"/>
        <v>1.6661617691608604E-2</v>
      </c>
      <c r="E1279" s="156">
        <v>7.8695155192121339E-3</v>
      </c>
      <c r="F1279" s="124">
        <v>1273</v>
      </c>
      <c r="G1279" s="238">
        <f t="shared" ca="1" si="40"/>
        <v>-2.4825059312639764E-3</v>
      </c>
      <c r="I1279" s="156"/>
    </row>
    <row r="1280" spans="2:9" x14ac:dyDescent="0.2">
      <c r="B1280" s="230">
        <v>44117</v>
      </c>
      <c r="C1280" s="124">
        <v>170.15</v>
      </c>
      <c r="D1280" s="156">
        <f t="shared" si="41"/>
        <v>1.4004767580452885E-2</v>
      </c>
      <c r="E1280" s="156">
        <v>7.8691240422447944E-3</v>
      </c>
      <c r="F1280" s="124">
        <v>1274</v>
      </c>
      <c r="G1280" s="238">
        <f t="shared" ca="1" si="40"/>
        <v>-2.5282198373390283E-2</v>
      </c>
      <c r="I1280" s="156"/>
    </row>
    <row r="1281" spans="2:9" x14ac:dyDescent="0.2">
      <c r="B1281" s="230">
        <v>44116</v>
      </c>
      <c r="C1281" s="124">
        <v>172.2</v>
      </c>
      <c r="D1281" s="156">
        <f t="shared" si="41"/>
        <v>1.2048192771084237E-2</v>
      </c>
      <c r="E1281" s="156">
        <v>7.8678206136900079E-3</v>
      </c>
      <c r="F1281" s="124">
        <v>1275</v>
      </c>
      <c r="G1281" s="238">
        <f t="shared" ca="1" si="40"/>
        <v>1.1221683720686514E-2</v>
      </c>
      <c r="I1281" s="156"/>
    </row>
    <row r="1282" spans="2:9" x14ac:dyDescent="0.2">
      <c r="B1282" s="230">
        <v>44113</v>
      </c>
      <c r="C1282" s="124">
        <v>167.85</v>
      </c>
      <c r="D1282" s="156">
        <f t="shared" si="41"/>
        <v>-2.5261324041811816E-2</v>
      </c>
      <c r="E1282" s="156">
        <v>7.8642951854053251E-3</v>
      </c>
      <c r="F1282" s="124">
        <v>1276</v>
      </c>
      <c r="G1282" s="238">
        <f t="shared" ca="1" si="40"/>
        <v>2.0219825749280188E-4</v>
      </c>
      <c r="I1282" s="156"/>
    </row>
    <row r="1283" spans="2:9" x14ac:dyDescent="0.2">
      <c r="B1283" s="230">
        <v>44112</v>
      </c>
      <c r="C1283" s="124">
        <v>167.15</v>
      </c>
      <c r="D1283" s="156">
        <f t="shared" si="41"/>
        <v>-4.1703902293713947E-3</v>
      </c>
      <c r="E1283" s="156">
        <v>7.8501338090989775E-3</v>
      </c>
      <c r="F1283" s="124">
        <v>1277</v>
      </c>
      <c r="G1283" s="238">
        <f t="shared" ca="1" si="40"/>
        <v>1.0037566618580074E-2</v>
      </c>
      <c r="I1283" s="156"/>
    </row>
    <row r="1284" spans="2:9" x14ac:dyDescent="0.2">
      <c r="B1284" s="230">
        <v>44111</v>
      </c>
      <c r="C1284" s="124">
        <v>169.5</v>
      </c>
      <c r="D1284" s="156">
        <f t="shared" si="41"/>
        <v>1.4059228238109449E-2</v>
      </c>
      <c r="E1284" s="156">
        <v>7.8374755078889427E-3</v>
      </c>
      <c r="F1284" s="124">
        <v>1278</v>
      </c>
      <c r="G1284" s="238">
        <f t="shared" ca="1" si="40"/>
        <v>-4.5055839480694186E-2</v>
      </c>
      <c r="I1284" s="156"/>
    </row>
    <row r="1285" spans="2:9" x14ac:dyDescent="0.2">
      <c r="B1285" s="230">
        <v>44110</v>
      </c>
      <c r="C1285" s="124">
        <v>169.9</v>
      </c>
      <c r="D1285" s="156">
        <f t="shared" si="41"/>
        <v>2.3598820058997384E-3</v>
      </c>
      <c r="E1285" s="156">
        <v>7.8322967058280981E-3</v>
      </c>
      <c r="F1285" s="124">
        <v>1279</v>
      </c>
      <c r="G1285" s="238">
        <f t="shared" ca="1" si="40"/>
        <v>-2.5373892590964859E-2</v>
      </c>
      <c r="I1285" s="156"/>
    </row>
    <row r="1286" spans="2:9" x14ac:dyDescent="0.2">
      <c r="B1286" s="230">
        <v>44109</v>
      </c>
      <c r="C1286" s="124">
        <v>169.25</v>
      </c>
      <c r="D1286" s="156">
        <f t="shared" si="41"/>
        <v>-3.8257798705120991E-3</v>
      </c>
      <c r="E1286" s="156">
        <v>7.8189889732207321E-3</v>
      </c>
      <c r="F1286" s="124">
        <v>1280</v>
      </c>
      <c r="G1286" s="238">
        <f t="shared" ca="1" si="40"/>
        <v>-3.1460016817321239E-2</v>
      </c>
      <c r="I1286" s="156"/>
    </row>
    <row r="1287" spans="2:9" x14ac:dyDescent="0.2">
      <c r="B1287" s="230">
        <v>44105</v>
      </c>
      <c r="C1287" s="124">
        <v>170.85</v>
      </c>
      <c r="D1287" s="156">
        <f t="shared" si="41"/>
        <v>9.4534711964549146E-3</v>
      </c>
      <c r="E1287" s="156">
        <v>7.8109744190587773E-3</v>
      </c>
      <c r="F1287" s="124">
        <v>1281</v>
      </c>
      <c r="G1287" s="238">
        <f t="shared" ref="G1287:G1350" ca="1" si="42">_xlfn.NORM.INV(RAND(),$L$8,$L$9)</f>
        <v>-3.5721773999754798E-2</v>
      </c>
      <c r="I1287" s="156"/>
    </row>
    <row r="1288" spans="2:9" x14ac:dyDescent="0.2">
      <c r="B1288" s="230">
        <v>44104</v>
      </c>
      <c r="C1288" s="124">
        <v>171.7</v>
      </c>
      <c r="D1288" s="156">
        <f t="shared" si="41"/>
        <v>4.9751243781094197E-3</v>
      </c>
      <c r="E1288" s="156">
        <v>7.8032230703986814E-3</v>
      </c>
      <c r="F1288" s="124">
        <v>1282</v>
      </c>
      <c r="G1288" s="238">
        <f t="shared" ca="1" si="42"/>
        <v>-1.9330914408879213E-2</v>
      </c>
      <c r="I1288" s="156"/>
    </row>
    <row r="1289" spans="2:9" x14ac:dyDescent="0.2">
      <c r="B1289" s="230">
        <v>44103</v>
      </c>
      <c r="C1289" s="124">
        <v>169.4</v>
      </c>
      <c r="D1289" s="156">
        <f t="shared" si="41"/>
        <v>-1.3395457192778003E-2</v>
      </c>
      <c r="E1289" s="156">
        <v>7.8020932445290632E-3</v>
      </c>
      <c r="F1289" s="124">
        <v>1283</v>
      </c>
      <c r="G1289" s="238">
        <f t="shared" ca="1" si="42"/>
        <v>5.7835023225897911E-3</v>
      </c>
      <c r="I1289" s="156"/>
    </row>
    <row r="1290" spans="2:9" x14ac:dyDescent="0.2">
      <c r="B1290" s="230">
        <v>44102</v>
      </c>
      <c r="C1290" s="124">
        <v>173.3</v>
      </c>
      <c r="D1290" s="156">
        <f t="shared" si="41"/>
        <v>2.3022432113341238E-2</v>
      </c>
      <c r="E1290" s="156">
        <v>7.7925054432941036E-3</v>
      </c>
      <c r="F1290" s="124">
        <v>1284</v>
      </c>
      <c r="G1290" s="238">
        <f t="shared" ca="1" si="42"/>
        <v>-1.4780085047289445E-2</v>
      </c>
      <c r="I1290" s="156"/>
    </row>
    <row r="1291" spans="2:9" x14ac:dyDescent="0.2">
      <c r="B1291" s="230">
        <v>44099</v>
      </c>
      <c r="C1291" s="124">
        <v>170.75</v>
      </c>
      <c r="D1291" s="156">
        <f t="shared" si="41"/>
        <v>-1.471436814772078E-2</v>
      </c>
      <c r="E1291" s="156">
        <v>7.7901080326302809E-3</v>
      </c>
      <c r="F1291" s="124">
        <v>1285</v>
      </c>
      <c r="G1291" s="238">
        <f t="shared" ca="1" si="42"/>
        <v>-4.1845243568145563E-2</v>
      </c>
      <c r="I1291" s="156"/>
    </row>
    <row r="1292" spans="2:9" x14ac:dyDescent="0.2">
      <c r="B1292" s="230">
        <v>44098</v>
      </c>
      <c r="C1292" s="124">
        <v>166.55</v>
      </c>
      <c r="D1292" s="156">
        <f t="shared" si="41"/>
        <v>-2.4597364568081925E-2</v>
      </c>
      <c r="E1292" s="156">
        <v>7.7885296200142888E-3</v>
      </c>
      <c r="F1292" s="124">
        <v>1286</v>
      </c>
      <c r="G1292" s="238">
        <f t="shared" ca="1" si="42"/>
        <v>3.1677924790599221E-2</v>
      </c>
      <c r="I1292" s="156"/>
    </row>
    <row r="1293" spans="2:9" x14ac:dyDescent="0.2">
      <c r="B1293" s="230">
        <v>44097</v>
      </c>
      <c r="C1293" s="124">
        <v>172.5</v>
      </c>
      <c r="D1293" s="156">
        <f t="shared" si="41"/>
        <v>3.5725007505253606E-2</v>
      </c>
      <c r="E1293" s="156">
        <v>7.7804735212916639E-3</v>
      </c>
      <c r="F1293" s="124">
        <v>1287</v>
      </c>
      <c r="G1293" s="238">
        <f t="shared" ca="1" si="42"/>
        <v>2.7774865622898492E-2</v>
      </c>
      <c r="I1293" s="156"/>
    </row>
    <row r="1294" spans="2:9" x14ac:dyDescent="0.2">
      <c r="B1294" s="230">
        <v>44096</v>
      </c>
      <c r="C1294" s="124">
        <v>174.2</v>
      </c>
      <c r="D1294" s="156">
        <f t="shared" si="41"/>
        <v>9.8550724637680494E-3</v>
      </c>
      <c r="E1294" s="156">
        <v>7.7646097261953647E-3</v>
      </c>
      <c r="F1294" s="124">
        <v>1288</v>
      </c>
      <c r="G1294" s="238">
        <f t="shared" ca="1" si="42"/>
        <v>-6.993820444409265E-3</v>
      </c>
      <c r="I1294" s="156"/>
    </row>
    <row r="1295" spans="2:9" x14ac:dyDescent="0.2">
      <c r="B1295" s="230">
        <v>44095</v>
      </c>
      <c r="C1295" s="124">
        <v>175.75</v>
      </c>
      <c r="D1295" s="156">
        <f t="shared" si="41"/>
        <v>8.8978185993112031E-3</v>
      </c>
      <c r="E1295" s="156">
        <v>7.7567806757249677E-3</v>
      </c>
      <c r="F1295" s="124">
        <v>1289</v>
      </c>
      <c r="G1295" s="238">
        <f t="shared" ca="1" si="42"/>
        <v>-1.8546115531753216E-2</v>
      </c>
      <c r="I1295" s="156"/>
    </row>
    <row r="1296" spans="2:9" x14ac:dyDescent="0.2">
      <c r="B1296" s="230">
        <v>44092</v>
      </c>
      <c r="C1296" s="124">
        <v>179.1</v>
      </c>
      <c r="D1296" s="156">
        <f t="shared" si="41"/>
        <v>1.906116642958745E-2</v>
      </c>
      <c r="E1296" s="156">
        <v>7.755695588948083E-3</v>
      </c>
      <c r="F1296" s="124">
        <v>1290</v>
      </c>
      <c r="G1296" s="238">
        <f t="shared" ca="1" si="42"/>
        <v>-1.6123666230131395E-2</v>
      </c>
      <c r="I1296" s="156"/>
    </row>
    <row r="1297" spans="2:9" x14ac:dyDescent="0.2">
      <c r="B1297" s="230">
        <v>44091</v>
      </c>
      <c r="C1297" s="124">
        <v>178.6</v>
      </c>
      <c r="D1297" s="156">
        <f t="shared" si="41"/>
        <v>-2.7917364600781687E-3</v>
      </c>
      <c r="E1297" s="156">
        <v>7.713283989092397E-3</v>
      </c>
      <c r="F1297" s="124">
        <v>1291</v>
      </c>
      <c r="G1297" s="238">
        <f t="shared" ca="1" si="42"/>
        <v>9.9749966965040539E-3</v>
      </c>
      <c r="I1297" s="156"/>
    </row>
    <row r="1298" spans="2:9" x14ac:dyDescent="0.2">
      <c r="B1298" s="230">
        <v>44090</v>
      </c>
      <c r="C1298" s="124">
        <v>180.65</v>
      </c>
      <c r="D1298" s="156">
        <f t="shared" si="41"/>
        <v>1.1478163493841049E-2</v>
      </c>
      <c r="E1298" s="156">
        <v>7.7056443845116545E-3</v>
      </c>
      <c r="F1298" s="124">
        <v>1292</v>
      </c>
      <c r="G1298" s="238">
        <f t="shared" ca="1" si="42"/>
        <v>7.4927010530900849E-4</v>
      </c>
      <c r="I1298" s="156"/>
    </row>
    <row r="1299" spans="2:9" x14ac:dyDescent="0.2">
      <c r="B1299" s="230">
        <v>44089</v>
      </c>
      <c r="C1299" s="124">
        <v>181.8</v>
      </c>
      <c r="D1299" s="156">
        <f t="shared" si="41"/>
        <v>6.3659009133684233E-3</v>
      </c>
      <c r="E1299" s="156">
        <v>7.6744601106551284E-3</v>
      </c>
      <c r="F1299" s="124">
        <v>1293</v>
      </c>
      <c r="G1299" s="238">
        <f t="shared" ca="1" si="42"/>
        <v>-1.6162234335837748E-2</v>
      </c>
      <c r="I1299" s="156"/>
    </row>
    <row r="1300" spans="2:9" x14ac:dyDescent="0.2">
      <c r="B1300" s="230">
        <v>44088</v>
      </c>
      <c r="C1300" s="124">
        <v>183.35</v>
      </c>
      <c r="D1300" s="156">
        <f t="shared" si="41"/>
        <v>8.5258525852584307E-3</v>
      </c>
      <c r="E1300" s="156">
        <v>7.6618943542643963E-3</v>
      </c>
      <c r="F1300" s="124">
        <v>1294</v>
      </c>
      <c r="G1300" s="238">
        <f t="shared" ca="1" si="42"/>
        <v>-9.6038459765014628E-3</v>
      </c>
      <c r="I1300" s="156"/>
    </row>
    <row r="1301" spans="2:9" x14ac:dyDescent="0.2">
      <c r="B1301" s="230">
        <v>44085</v>
      </c>
      <c r="C1301" s="124">
        <v>183.95</v>
      </c>
      <c r="D1301" s="156">
        <f t="shared" si="41"/>
        <v>3.2724297791109592E-3</v>
      </c>
      <c r="E1301" s="156">
        <v>7.6603665521190805E-3</v>
      </c>
      <c r="F1301" s="124">
        <v>1295</v>
      </c>
      <c r="G1301" s="238">
        <f t="shared" ca="1" si="42"/>
        <v>1.1085143753820487E-2</v>
      </c>
      <c r="I1301" s="156"/>
    </row>
    <row r="1302" spans="2:9" x14ac:dyDescent="0.2">
      <c r="B1302" s="230">
        <v>44084</v>
      </c>
      <c r="C1302" s="124">
        <v>184.9</v>
      </c>
      <c r="D1302" s="156">
        <f t="shared" si="41"/>
        <v>5.1644468605600274E-3</v>
      </c>
      <c r="E1302" s="156">
        <v>7.6494503839782063E-3</v>
      </c>
      <c r="F1302" s="124">
        <v>1296</v>
      </c>
      <c r="G1302" s="238">
        <f t="shared" ca="1" si="42"/>
        <v>-2.8134644788938085E-2</v>
      </c>
      <c r="I1302" s="156"/>
    </row>
    <row r="1303" spans="2:9" x14ac:dyDescent="0.2">
      <c r="B1303" s="230">
        <v>44083</v>
      </c>
      <c r="C1303" s="124">
        <v>183.8</v>
      </c>
      <c r="D1303" s="156">
        <f t="shared" si="41"/>
        <v>-5.949161709031878E-3</v>
      </c>
      <c r="E1303" s="156">
        <v>7.6361065283997382E-3</v>
      </c>
      <c r="F1303" s="124">
        <v>1297</v>
      </c>
      <c r="G1303" s="238">
        <f t="shared" ca="1" si="42"/>
        <v>-7.8927338674800555E-3</v>
      </c>
      <c r="I1303" s="156"/>
    </row>
    <row r="1304" spans="2:9" x14ac:dyDescent="0.2">
      <c r="B1304" s="230">
        <v>44082</v>
      </c>
      <c r="C1304" s="124">
        <v>188.15</v>
      </c>
      <c r="D1304" s="156">
        <f t="shared" si="41"/>
        <v>2.3667029379760576E-2</v>
      </c>
      <c r="E1304" s="156">
        <v>7.6318400366328322E-3</v>
      </c>
      <c r="F1304" s="124">
        <v>1298</v>
      </c>
      <c r="G1304" s="238">
        <f t="shared" ca="1" si="42"/>
        <v>-1.561647592481567E-2</v>
      </c>
      <c r="I1304" s="156"/>
    </row>
    <row r="1305" spans="2:9" x14ac:dyDescent="0.2">
      <c r="B1305" s="230">
        <v>44081</v>
      </c>
      <c r="C1305" s="124">
        <v>189.1</v>
      </c>
      <c r="D1305" s="156">
        <f t="shared" si="41"/>
        <v>5.0491629019398807E-3</v>
      </c>
      <c r="E1305" s="156">
        <v>7.6292199122639714E-3</v>
      </c>
      <c r="F1305" s="124">
        <v>1299</v>
      </c>
      <c r="G1305" s="238">
        <f t="shared" ca="1" si="42"/>
        <v>7.658774565347754E-3</v>
      </c>
      <c r="I1305" s="156"/>
    </row>
    <row r="1306" spans="2:9" x14ac:dyDescent="0.2">
      <c r="B1306" s="230">
        <v>44078</v>
      </c>
      <c r="C1306" s="124">
        <v>186.7</v>
      </c>
      <c r="D1306" s="156">
        <f t="shared" si="41"/>
        <v>-1.2691697514542601E-2</v>
      </c>
      <c r="E1306" s="156">
        <v>7.6232632484938469E-3</v>
      </c>
      <c r="F1306" s="124">
        <v>1300</v>
      </c>
      <c r="G1306" s="238">
        <f t="shared" ca="1" si="42"/>
        <v>1.2901933772442864E-2</v>
      </c>
      <c r="I1306" s="156"/>
    </row>
    <row r="1307" spans="2:9" x14ac:dyDescent="0.2">
      <c r="B1307" s="230">
        <v>44077</v>
      </c>
      <c r="C1307" s="124">
        <v>191.6</v>
      </c>
      <c r="D1307" s="156">
        <f t="shared" si="41"/>
        <v>2.6245313336904157E-2</v>
      </c>
      <c r="E1307" s="156">
        <v>7.6224885442368242E-3</v>
      </c>
      <c r="F1307" s="124">
        <v>1301</v>
      </c>
      <c r="G1307" s="238">
        <f t="shared" ca="1" si="42"/>
        <v>1.5527005642692101E-2</v>
      </c>
      <c r="I1307" s="156"/>
    </row>
    <row r="1308" spans="2:9" x14ac:dyDescent="0.2">
      <c r="B1308" s="230">
        <v>44076</v>
      </c>
      <c r="C1308" s="124">
        <v>191.35</v>
      </c>
      <c r="D1308" s="156">
        <f t="shared" si="41"/>
        <v>-1.3048016701461378E-3</v>
      </c>
      <c r="E1308" s="156">
        <v>7.6114032659839069E-3</v>
      </c>
      <c r="F1308" s="124">
        <v>1302</v>
      </c>
      <c r="G1308" s="238">
        <f t="shared" ca="1" si="42"/>
        <v>-1.5890947258338024E-2</v>
      </c>
      <c r="I1308" s="156"/>
    </row>
    <row r="1309" spans="2:9" x14ac:dyDescent="0.2">
      <c r="B1309" s="230">
        <v>44075</v>
      </c>
      <c r="C1309" s="124">
        <v>190.2</v>
      </c>
      <c r="D1309" s="156">
        <f t="shared" si="41"/>
        <v>-6.0099294486543279E-3</v>
      </c>
      <c r="E1309" s="156">
        <v>7.5981004748811882E-3</v>
      </c>
      <c r="F1309" s="124">
        <v>1303</v>
      </c>
      <c r="G1309" s="238">
        <f t="shared" ca="1" si="42"/>
        <v>-1.8850665093512613E-2</v>
      </c>
      <c r="I1309" s="156"/>
    </row>
    <row r="1310" spans="2:9" x14ac:dyDescent="0.2">
      <c r="B1310" s="230">
        <v>44074</v>
      </c>
      <c r="C1310" s="124">
        <v>191.1</v>
      </c>
      <c r="D1310" s="156">
        <f t="shared" si="41"/>
        <v>4.7318611987382008E-3</v>
      </c>
      <c r="E1310" s="156">
        <v>7.5980392156863299E-3</v>
      </c>
      <c r="F1310" s="124">
        <v>1304</v>
      </c>
      <c r="G1310" s="238">
        <f t="shared" ca="1" si="42"/>
        <v>2.0581154120054767E-3</v>
      </c>
      <c r="I1310" s="156"/>
    </row>
    <row r="1311" spans="2:9" x14ac:dyDescent="0.2">
      <c r="B1311" s="230">
        <v>44071</v>
      </c>
      <c r="C1311" s="124">
        <v>195.55</v>
      </c>
      <c r="D1311" s="156">
        <f t="shared" si="41"/>
        <v>2.3286237571951949E-2</v>
      </c>
      <c r="E1311" s="156">
        <v>7.59705022958108E-3</v>
      </c>
      <c r="F1311" s="124">
        <v>1305</v>
      </c>
      <c r="G1311" s="238">
        <f t="shared" ca="1" si="42"/>
        <v>3.4908340902470775E-2</v>
      </c>
      <c r="I1311" s="156"/>
    </row>
    <row r="1312" spans="2:9" x14ac:dyDescent="0.2">
      <c r="B1312" s="230">
        <v>44070</v>
      </c>
      <c r="C1312" s="124">
        <v>194.25</v>
      </c>
      <c r="D1312" s="156">
        <f t="shared" si="41"/>
        <v>-6.6479161339811372E-3</v>
      </c>
      <c r="E1312" s="156">
        <v>7.5958470043597359E-3</v>
      </c>
      <c r="F1312" s="124">
        <v>1306</v>
      </c>
      <c r="G1312" s="238">
        <f t="shared" ca="1" si="42"/>
        <v>6.3045897279408146E-3</v>
      </c>
      <c r="I1312" s="156"/>
    </row>
    <row r="1313" spans="2:9" x14ac:dyDescent="0.2">
      <c r="B1313" s="230">
        <v>44069</v>
      </c>
      <c r="C1313" s="124">
        <v>194.95</v>
      </c>
      <c r="D1313" s="156">
        <f t="shared" si="41"/>
        <v>3.6036036036035451E-3</v>
      </c>
      <c r="E1313" s="156">
        <v>7.594649739288163E-3</v>
      </c>
      <c r="F1313" s="124">
        <v>1307</v>
      </c>
      <c r="G1313" s="238">
        <f t="shared" ca="1" si="42"/>
        <v>-1.1450318217588329E-2</v>
      </c>
      <c r="I1313" s="156"/>
    </row>
    <row r="1314" spans="2:9" x14ac:dyDescent="0.2">
      <c r="B1314" s="230">
        <v>44068</v>
      </c>
      <c r="C1314" s="124">
        <v>195.4</v>
      </c>
      <c r="D1314" s="156">
        <f t="shared" si="41"/>
        <v>2.308284175429685E-3</v>
      </c>
      <c r="E1314" s="156">
        <v>7.5946135681919571E-3</v>
      </c>
      <c r="F1314" s="124">
        <v>1308</v>
      </c>
      <c r="G1314" s="238">
        <f t="shared" ca="1" si="42"/>
        <v>6.4182092028101387E-3</v>
      </c>
      <c r="I1314" s="156"/>
    </row>
    <row r="1315" spans="2:9" x14ac:dyDescent="0.2">
      <c r="B1315" s="230">
        <v>44067</v>
      </c>
      <c r="C1315" s="124">
        <v>196.7</v>
      </c>
      <c r="D1315" s="156">
        <f t="shared" si="41"/>
        <v>6.6530194472875278E-3</v>
      </c>
      <c r="E1315" s="156">
        <v>7.5870031337621777E-3</v>
      </c>
      <c r="F1315" s="124">
        <v>1309</v>
      </c>
      <c r="G1315" s="238">
        <f t="shared" ca="1" si="42"/>
        <v>1.3761490096288622E-2</v>
      </c>
      <c r="I1315" s="156"/>
    </row>
    <row r="1316" spans="2:9" x14ac:dyDescent="0.2">
      <c r="B1316" s="230">
        <v>44064</v>
      </c>
      <c r="C1316" s="124">
        <v>196.8</v>
      </c>
      <c r="D1316" s="156">
        <f t="shared" si="41"/>
        <v>5.0838840874439621E-4</v>
      </c>
      <c r="E1316" s="156">
        <v>7.5867052023120838E-3</v>
      </c>
      <c r="F1316" s="124">
        <v>1310</v>
      </c>
      <c r="G1316" s="238">
        <f t="shared" ca="1" si="42"/>
        <v>-1.7006273120026748E-2</v>
      </c>
      <c r="I1316" s="156"/>
    </row>
    <row r="1317" spans="2:9" x14ac:dyDescent="0.2">
      <c r="B1317" s="230">
        <v>44063</v>
      </c>
      <c r="C1317" s="124">
        <v>195.8</v>
      </c>
      <c r="D1317" s="156">
        <f t="shared" si="41"/>
        <v>-5.08130081300813E-3</v>
      </c>
      <c r="E1317" s="156">
        <v>7.5761254917196949E-3</v>
      </c>
      <c r="F1317" s="124">
        <v>1311</v>
      </c>
      <c r="G1317" s="238">
        <f t="shared" ca="1" si="42"/>
        <v>-2.6658494451084445E-2</v>
      </c>
      <c r="I1317" s="156"/>
    </row>
    <row r="1318" spans="2:9" x14ac:dyDescent="0.2">
      <c r="B1318" s="230">
        <v>44062</v>
      </c>
      <c r="C1318" s="124">
        <v>198.45</v>
      </c>
      <c r="D1318" s="156">
        <f t="shared" si="41"/>
        <v>1.3534218590398248E-2</v>
      </c>
      <c r="E1318" s="156">
        <v>7.568915838816458E-3</v>
      </c>
      <c r="F1318" s="124">
        <v>1312</v>
      </c>
      <c r="G1318" s="238">
        <f t="shared" ca="1" si="42"/>
        <v>3.221505057940776E-2</v>
      </c>
      <c r="I1318" s="156"/>
    </row>
    <row r="1319" spans="2:9" x14ac:dyDescent="0.2">
      <c r="B1319" s="230">
        <v>44061</v>
      </c>
      <c r="C1319" s="124">
        <v>198.55</v>
      </c>
      <c r="D1319" s="156">
        <f t="shared" si="41"/>
        <v>5.0390526581014236E-4</v>
      </c>
      <c r="E1319" s="156">
        <v>7.5620581949696255E-3</v>
      </c>
      <c r="F1319" s="124">
        <v>1313</v>
      </c>
      <c r="G1319" s="238">
        <f t="shared" ca="1" si="42"/>
        <v>-1.6788084306833536E-2</v>
      </c>
      <c r="I1319" s="156"/>
    </row>
    <row r="1320" spans="2:9" x14ac:dyDescent="0.2">
      <c r="B1320" s="230">
        <v>44060</v>
      </c>
      <c r="C1320" s="124">
        <v>198.75</v>
      </c>
      <c r="D1320" s="156">
        <f t="shared" si="41"/>
        <v>1.0073029463610608E-3</v>
      </c>
      <c r="E1320" s="156">
        <v>7.5528700906344892E-3</v>
      </c>
      <c r="F1320" s="124">
        <v>1314</v>
      </c>
      <c r="G1320" s="238">
        <f t="shared" ca="1" si="42"/>
        <v>-7.3204508920696292E-3</v>
      </c>
      <c r="I1320" s="156"/>
    </row>
    <row r="1321" spans="2:9" x14ac:dyDescent="0.2">
      <c r="B1321" s="230">
        <v>44057</v>
      </c>
      <c r="C1321" s="124">
        <v>196.4</v>
      </c>
      <c r="D1321" s="156">
        <f t="shared" si="41"/>
        <v>-1.1823899371069153E-2</v>
      </c>
      <c r="E1321" s="156">
        <v>7.5372767491397813E-3</v>
      </c>
      <c r="F1321" s="124">
        <v>1315</v>
      </c>
      <c r="G1321" s="238">
        <f t="shared" ca="1" si="42"/>
        <v>2.741875289726138E-3</v>
      </c>
      <c r="I1321" s="156"/>
    </row>
    <row r="1322" spans="2:9" x14ac:dyDescent="0.2">
      <c r="B1322" s="230">
        <v>44056</v>
      </c>
      <c r="C1322" s="124">
        <v>201.45</v>
      </c>
      <c r="D1322" s="156">
        <f t="shared" si="41"/>
        <v>2.5712830957230055E-2</v>
      </c>
      <c r="E1322" s="156">
        <v>7.5250568381951578E-3</v>
      </c>
      <c r="F1322" s="124">
        <v>1316</v>
      </c>
      <c r="G1322" s="238">
        <f t="shared" ca="1" si="42"/>
        <v>-3.9824577405670478E-3</v>
      </c>
      <c r="I1322" s="156"/>
    </row>
    <row r="1323" spans="2:9" x14ac:dyDescent="0.2">
      <c r="B1323" s="230">
        <v>44055</v>
      </c>
      <c r="C1323" s="124">
        <v>204.2</v>
      </c>
      <c r="D1323" s="156">
        <f t="shared" si="41"/>
        <v>1.3651030032266072E-2</v>
      </c>
      <c r="E1323" s="156">
        <v>7.5211255143122092E-3</v>
      </c>
      <c r="F1323" s="124">
        <v>1317</v>
      </c>
      <c r="G1323" s="238">
        <f t="shared" ca="1" si="42"/>
        <v>-3.8136423613274726E-3</v>
      </c>
      <c r="I1323" s="156"/>
    </row>
    <row r="1324" spans="2:9" x14ac:dyDescent="0.2">
      <c r="B1324" s="230">
        <v>44054</v>
      </c>
      <c r="C1324" s="124">
        <v>203.05</v>
      </c>
      <c r="D1324" s="156">
        <f t="shared" si="41"/>
        <v>-5.6317335945150699E-3</v>
      </c>
      <c r="E1324" s="156">
        <v>7.5186158035519379E-3</v>
      </c>
      <c r="F1324" s="124">
        <v>1318</v>
      </c>
      <c r="G1324" s="238">
        <f t="shared" ca="1" si="42"/>
        <v>-1.6380340086328042E-2</v>
      </c>
      <c r="I1324" s="156"/>
    </row>
    <row r="1325" spans="2:9" x14ac:dyDescent="0.2">
      <c r="B1325" s="230">
        <v>44053</v>
      </c>
      <c r="C1325" s="124">
        <v>198.85</v>
      </c>
      <c r="D1325" s="156">
        <f t="shared" si="41"/>
        <v>-2.0684560453090455E-2</v>
      </c>
      <c r="E1325" s="156">
        <v>7.5143365631798013E-3</v>
      </c>
      <c r="F1325" s="124">
        <v>1319</v>
      </c>
      <c r="G1325" s="238">
        <f t="shared" ca="1" si="42"/>
        <v>9.3021693167078933E-3</v>
      </c>
      <c r="I1325" s="156"/>
    </row>
    <row r="1326" spans="2:9" x14ac:dyDescent="0.2">
      <c r="B1326" s="230">
        <v>44050</v>
      </c>
      <c r="C1326" s="124">
        <v>196.05</v>
      </c>
      <c r="D1326" s="156">
        <f t="shared" si="41"/>
        <v>-1.4080965551923475E-2</v>
      </c>
      <c r="E1326" s="156">
        <v>7.5113902228789832E-3</v>
      </c>
      <c r="F1326" s="124">
        <v>1320</v>
      </c>
      <c r="G1326" s="238">
        <f t="shared" ca="1" si="42"/>
        <v>1.4750171187619628E-2</v>
      </c>
      <c r="I1326" s="156"/>
    </row>
    <row r="1327" spans="2:9" x14ac:dyDescent="0.2">
      <c r="B1327" s="230">
        <v>44049</v>
      </c>
      <c r="C1327" s="124">
        <v>195.35</v>
      </c>
      <c r="D1327" s="156">
        <f t="shared" si="41"/>
        <v>-3.5705177250702218E-3</v>
      </c>
      <c r="E1327" s="156">
        <v>7.4913127848729479E-3</v>
      </c>
      <c r="F1327" s="124">
        <v>1321</v>
      </c>
      <c r="G1327" s="238">
        <f t="shared" ca="1" si="42"/>
        <v>-2.6813437426110174E-2</v>
      </c>
      <c r="I1327" s="156"/>
    </row>
    <row r="1328" spans="2:9" x14ac:dyDescent="0.2">
      <c r="B1328" s="230">
        <v>44048</v>
      </c>
      <c r="C1328" s="124">
        <v>192.8</v>
      </c>
      <c r="D1328" s="156">
        <f t="shared" si="41"/>
        <v>-1.3053493729203907E-2</v>
      </c>
      <c r="E1328" s="156">
        <v>7.4839629365643827E-3</v>
      </c>
      <c r="F1328" s="124">
        <v>1322</v>
      </c>
      <c r="G1328" s="238">
        <f t="shared" ca="1" si="42"/>
        <v>-1.7309287279854693E-3</v>
      </c>
      <c r="I1328" s="156"/>
    </row>
    <row r="1329" spans="2:9" x14ac:dyDescent="0.2">
      <c r="B1329" s="230">
        <v>44047</v>
      </c>
      <c r="C1329" s="124">
        <v>193.65</v>
      </c>
      <c r="D1329" s="156">
        <f t="shared" si="41"/>
        <v>4.4087136929460286E-3</v>
      </c>
      <c r="E1329" s="156">
        <v>7.4800103172556979E-3</v>
      </c>
      <c r="F1329" s="124">
        <v>1323</v>
      </c>
      <c r="G1329" s="238">
        <f t="shared" ca="1" si="42"/>
        <v>3.8317046171168684E-2</v>
      </c>
      <c r="I1329" s="156"/>
    </row>
    <row r="1330" spans="2:9" x14ac:dyDescent="0.2">
      <c r="B1330" s="230">
        <v>44046</v>
      </c>
      <c r="C1330" s="124">
        <v>192.6</v>
      </c>
      <c r="D1330" s="156">
        <f t="shared" si="41"/>
        <v>-5.422153369481081E-3</v>
      </c>
      <c r="E1330" s="156">
        <v>7.4591522614256417E-3</v>
      </c>
      <c r="F1330" s="124">
        <v>1324</v>
      </c>
      <c r="G1330" s="238">
        <f t="shared" ca="1" si="42"/>
        <v>-3.9312125511861806E-2</v>
      </c>
      <c r="I1330" s="156"/>
    </row>
    <row r="1331" spans="2:9" x14ac:dyDescent="0.2">
      <c r="B1331" s="230">
        <v>44043</v>
      </c>
      <c r="C1331" s="124">
        <v>194.15</v>
      </c>
      <c r="D1331" s="156">
        <f t="shared" si="41"/>
        <v>8.0477673935618454E-3</v>
      </c>
      <c r="E1331" s="156">
        <v>7.4534161490684035E-3</v>
      </c>
      <c r="F1331" s="124">
        <v>1325</v>
      </c>
      <c r="G1331" s="238">
        <f t="shared" ca="1" si="42"/>
        <v>-1.6302098261828974E-3</v>
      </c>
      <c r="I1331" s="156"/>
    </row>
    <row r="1332" spans="2:9" x14ac:dyDescent="0.2">
      <c r="B1332" s="230">
        <v>44042</v>
      </c>
      <c r="C1332" s="124">
        <v>193.35</v>
      </c>
      <c r="D1332" s="156">
        <f t="shared" si="41"/>
        <v>-4.120525366984349E-3</v>
      </c>
      <c r="E1332" s="156">
        <v>7.4256789742798797E-3</v>
      </c>
      <c r="F1332" s="124">
        <v>1326</v>
      </c>
      <c r="G1332" s="238">
        <f t="shared" ca="1" si="42"/>
        <v>2.443918575483512E-2</v>
      </c>
      <c r="I1332" s="156"/>
    </row>
    <row r="1333" spans="2:9" x14ac:dyDescent="0.2">
      <c r="B1333" s="230">
        <v>44041</v>
      </c>
      <c r="C1333" s="124">
        <v>196.7</v>
      </c>
      <c r="D1333" s="156">
        <f t="shared" si="41"/>
        <v>1.7326092578225986E-2</v>
      </c>
      <c r="E1333" s="156">
        <v>7.4197736969022444E-3</v>
      </c>
      <c r="F1333" s="124">
        <v>1327</v>
      </c>
      <c r="G1333" s="238">
        <f t="shared" ca="1" si="42"/>
        <v>-7.8306856549421912E-3</v>
      </c>
      <c r="I1333" s="156"/>
    </row>
    <row r="1334" spans="2:9" x14ac:dyDescent="0.2">
      <c r="B1334" s="230">
        <v>44040</v>
      </c>
      <c r="C1334" s="124">
        <v>195.4</v>
      </c>
      <c r="D1334" s="156">
        <f t="shared" si="41"/>
        <v>-6.6090493136755617E-3</v>
      </c>
      <c r="E1334" s="156">
        <v>7.4021595739483794E-3</v>
      </c>
      <c r="F1334" s="124">
        <v>1328</v>
      </c>
      <c r="G1334" s="238">
        <f t="shared" ca="1" si="42"/>
        <v>1.8474004152067777E-3</v>
      </c>
      <c r="I1334" s="156"/>
    </row>
    <row r="1335" spans="2:9" x14ac:dyDescent="0.2">
      <c r="B1335" s="230">
        <v>44039</v>
      </c>
      <c r="C1335" s="124">
        <v>196.4</v>
      </c>
      <c r="D1335" s="156">
        <f t="shared" si="41"/>
        <v>5.1177072671443188E-3</v>
      </c>
      <c r="E1335" s="156">
        <v>7.3944347149252155E-3</v>
      </c>
      <c r="F1335" s="124">
        <v>1329</v>
      </c>
      <c r="G1335" s="238">
        <f t="shared" ca="1" si="42"/>
        <v>-1.7595780283592103E-2</v>
      </c>
      <c r="I1335" s="156"/>
    </row>
    <row r="1336" spans="2:9" x14ac:dyDescent="0.2">
      <c r="B1336" s="230">
        <v>44036</v>
      </c>
      <c r="C1336" s="124">
        <v>199.6</v>
      </c>
      <c r="D1336" s="156">
        <f t="shared" si="41"/>
        <v>1.6293279022403202E-2</v>
      </c>
      <c r="E1336" s="156">
        <v>7.3898763523956778E-3</v>
      </c>
      <c r="F1336" s="124">
        <v>1330</v>
      </c>
      <c r="G1336" s="238">
        <f t="shared" ca="1" si="42"/>
        <v>1.1613752907221882E-2</v>
      </c>
      <c r="I1336" s="156"/>
    </row>
    <row r="1337" spans="2:9" x14ac:dyDescent="0.2">
      <c r="B1337" s="230">
        <v>44035</v>
      </c>
      <c r="C1337" s="124">
        <v>200.7</v>
      </c>
      <c r="D1337" s="156">
        <f t="shared" si="41"/>
        <v>5.511022044088148E-3</v>
      </c>
      <c r="E1337" s="156">
        <v>7.3834374003008277E-3</v>
      </c>
      <c r="F1337" s="124">
        <v>1331</v>
      </c>
      <c r="G1337" s="238">
        <f t="shared" ca="1" si="42"/>
        <v>-1.5784989064121637E-3</v>
      </c>
      <c r="I1337" s="156"/>
    </row>
    <row r="1338" spans="2:9" x14ac:dyDescent="0.2">
      <c r="B1338" s="230">
        <v>44034</v>
      </c>
      <c r="C1338" s="124">
        <v>196.55</v>
      </c>
      <c r="D1338" s="156">
        <f t="shared" si="41"/>
        <v>-2.0677628300946573E-2</v>
      </c>
      <c r="E1338" s="156">
        <v>7.3822825219473035E-3</v>
      </c>
      <c r="F1338" s="124">
        <v>1332</v>
      </c>
      <c r="G1338" s="238">
        <f t="shared" ca="1" si="42"/>
        <v>3.5972347122971895E-3</v>
      </c>
      <c r="I1338" s="156"/>
    </row>
    <row r="1339" spans="2:9" x14ac:dyDescent="0.2">
      <c r="B1339" s="230">
        <v>44033</v>
      </c>
      <c r="C1339" s="124">
        <v>192.25</v>
      </c>
      <c r="D1339" s="156">
        <f t="shared" si="41"/>
        <v>-2.1877384889341191E-2</v>
      </c>
      <c r="E1339" s="156">
        <v>7.3806411932037215E-3</v>
      </c>
      <c r="F1339" s="124">
        <v>1333</v>
      </c>
      <c r="G1339" s="238">
        <f t="shared" ca="1" si="42"/>
        <v>-2.1081915733397634E-2</v>
      </c>
      <c r="I1339" s="156"/>
    </row>
    <row r="1340" spans="2:9" x14ac:dyDescent="0.2">
      <c r="B1340" s="230">
        <v>44032</v>
      </c>
      <c r="C1340" s="124">
        <v>192.7</v>
      </c>
      <c r="D1340" s="156">
        <f t="shared" si="41"/>
        <v>2.3407022106631398E-3</v>
      </c>
      <c r="E1340" s="156">
        <v>7.377163271934317E-3</v>
      </c>
      <c r="F1340" s="124">
        <v>1334</v>
      </c>
      <c r="G1340" s="238">
        <f t="shared" ca="1" si="42"/>
        <v>3.108214124352561E-3</v>
      </c>
      <c r="I1340" s="156"/>
    </row>
    <row r="1341" spans="2:9" x14ac:dyDescent="0.2">
      <c r="B1341" s="230">
        <v>44029</v>
      </c>
      <c r="C1341" s="124">
        <v>194.05</v>
      </c>
      <c r="D1341" s="156">
        <f t="shared" si="41"/>
        <v>7.0057083549560084E-3</v>
      </c>
      <c r="E1341" s="156">
        <v>7.366181044360709E-3</v>
      </c>
      <c r="F1341" s="124">
        <v>1335</v>
      </c>
      <c r="G1341" s="238">
        <f t="shared" ca="1" si="42"/>
        <v>-4.8343599101519051E-2</v>
      </c>
      <c r="I1341" s="156"/>
    </row>
    <row r="1342" spans="2:9" x14ac:dyDescent="0.2">
      <c r="B1342" s="230">
        <v>44028</v>
      </c>
      <c r="C1342" s="124">
        <v>193.85</v>
      </c>
      <c r="D1342" s="156">
        <f t="shared" ref="D1342:D1405" si="43">(C1342-C1341)/C1341</f>
        <v>-1.0306622004638858E-3</v>
      </c>
      <c r="E1342" s="156">
        <v>7.3552238805969766E-3</v>
      </c>
      <c r="F1342" s="124">
        <v>1336</v>
      </c>
      <c r="G1342" s="238">
        <f t="shared" ca="1" si="42"/>
        <v>-5.9938439154185808E-3</v>
      </c>
      <c r="I1342" s="156"/>
    </row>
    <row r="1343" spans="2:9" x14ac:dyDescent="0.2">
      <c r="B1343" s="230">
        <v>44027</v>
      </c>
      <c r="C1343" s="124">
        <v>198.7</v>
      </c>
      <c r="D1343" s="156">
        <f t="shared" si="43"/>
        <v>2.5019344854268735E-2</v>
      </c>
      <c r="E1343" s="156">
        <v>7.3281837987721242E-3</v>
      </c>
      <c r="F1343" s="124">
        <v>1337</v>
      </c>
      <c r="G1343" s="238">
        <f t="shared" ca="1" si="42"/>
        <v>-1.0011720689798382E-3</v>
      </c>
      <c r="I1343" s="156"/>
    </row>
    <row r="1344" spans="2:9" x14ac:dyDescent="0.2">
      <c r="B1344" s="230">
        <v>44026</v>
      </c>
      <c r="C1344" s="124">
        <v>195.9</v>
      </c>
      <c r="D1344" s="156">
        <f t="shared" si="43"/>
        <v>-1.4091595369904293E-2</v>
      </c>
      <c r="E1344" s="156">
        <v>7.3161150937838017E-3</v>
      </c>
      <c r="F1344" s="124">
        <v>1338</v>
      </c>
      <c r="G1344" s="238">
        <f t="shared" ca="1" si="42"/>
        <v>2.4650933792887988E-2</v>
      </c>
      <c r="I1344" s="156"/>
    </row>
    <row r="1345" spans="2:9" x14ac:dyDescent="0.2">
      <c r="B1345" s="230">
        <v>44025</v>
      </c>
      <c r="C1345" s="124">
        <v>197.55</v>
      </c>
      <c r="D1345" s="156">
        <f t="shared" si="43"/>
        <v>8.422664624808604E-3</v>
      </c>
      <c r="E1345" s="156">
        <v>7.3154004419721712E-3</v>
      </c>
      <c r="F1345" s="124">
        <v>1339</v>
      </c>
      <c r="G1345" s="238">
        <f t="shared" ca="1" si="42"/>
        <v>-3.0433251202669673E-3</v>
      </c>
      <c r="I1345" s="156"/>
    </row>
    <row r="1346" spans="2:9" x14ac:dyDescent="0.2">
      <c r="B1346" s="230">
        <v>44022</v>
      </c>
      <c r="C1346" s="124">
        <v>194.35</v>
      </c>
      <c r="D1346" s="156">
        <f t="shared" si="43"/>
        <v>-1.619843077701856E-2</v>
      </c>
      <c r="E1346" s="156">
        <v>7.3142857142856881E-3</v>
      </c>
      <c r="F1346" s="124">
        <v>1340</v>
      </c>
      <c r="G1346" s="238">
        <f t="shared" ca="1" si="42"/>
        <v>-1.619534520851813E-2</v>
      </c>
      <c r="I1346" s="156"/>
    </row>
    <row r="1347" spans="2:9" x14ac:dyDescent="0.2">
      <c r="B1347" s="230">
        <v>44021</v>
      </c>
      <c r="C1347" s="124">
        <v>195.45</v>
      </c>
      <c r="D1347" s="156">
        <f t="shared" si="43"/>
        <v>5.6598919475173365E-3</v>
      </c>
      <c r="E1347" s="156">
        <v>7.3111291632819517E-3</v>
      </c>
      <c r="F1347" s="124">
        <v>1341</v>
      </c>
      <c r="G1347" s="238">
        <f t="shared" ca="1" si="42"/>
        <v>-4.4022214507962183E-2</v>
      </c>
      <c r="I1347" s="156"/>
    </row>
    <row r="1348" spans="2:9" x14ac:dyDescent="0.2">
      <c r="B1348" s="230">
        <v>44020</v>
      </c>
      <c r="C1348" s="124">
        <v>196.3</v>
      </c>
      <c r="D1348" s="156">
        <f t="shared" si="43"/>
        <v>4.3489383474035444E-3</v>
      </c>
      <c r="E1348" s="156">
        <v>7.3087542634400334E-3</v>
      </c>
      <c r="F1348" s="124">
        <v>1342</v>
      </c>
      <c r="G1348" s="238">
        <f t="shared" ca="1" si="42"/>
        <v>-1.669457972004364E-2</v>
      </c>
      <c r="I1348" s="156"/>
    </row>
    <row r="1349" spans="2:9" x14ac:dyDescent="0.2">
      <c r="B1349" s="230">
        <v>44019</v>
      </c>
      <c r="C1349" s="124">
        <v>194.25</v>
      </c>
      <c r="D1349" s="156">
        <f t="shared" si="43"/>
        <v>-1.0443199184921096E-2</v>
      </c>
      <c r="E1349" s="156">
        <v>7.2864542182424575E-3</v>
      </c>
      <c r="F1349" s="124">
        <v>1343</v>
      </c>
      <c r="G1349" s="238">
        <f t="shared" ca="1" si="42"/>
        <v>2.0413346979401233E-2</v>
      </c>
      <c r="I1349" s="156"/>
    </row>
    <row r="1350" spans="2:9" x14ac:dyDescent="0.2">
      <c r="B1350" s="230">
        <v>44018</v>
      </c>
      <c r="C1350" s="124">
        <v>199.8</v>
      </c>
      <c r="D1350" s="156">
        <f t="shared" si="43"/>
        <v>2.857142857142863E-2</v>
      </c>
      <c r="E1350" s="156">
        <v>7.2719449225473222E-3</v>
      </c>
      <c r="F1350" s="124">
        <v>1344</v>
      </c>
      <c r="G1350" s="238">
        <f t="shared" ca="1" si="42"/>
        <v>-1.3637779477708334E-4</v>
      </c>
      <c r="I1350" s="156"/>
    </row>
    <row r="1351" spans="2:9" x14ac:dyDescent="0.2">
      <c r="B1351" s="230">
        <v>44015</v>
      </c>
      <c r="C1351" s="124">
        <v>207.55</v>
      </c>
      <c r="D1351" s="156">
        <f t="shared" si="43"/>
        <v>3.8788788788788789E-2</v>
      </c>
      <c r="E1351" s="156">
        <v>7.2698744769875258E-3</v>
      </c>
      <c r="F1351" s="124">
        <v>1345</v>
      </c>
      <c r="G1351" s="238">
        <f t="shared" ref="G1351:G1414" ca="1" si="44">_xlfn.NORM.INV(RAND(),$L$8,$L$9)</f>
        <v>1.7895808091739421E-2</v>
      </c>
      <c r="I1351" s="156"/>
    </row>
    <row r="1352" spans="2:9" x14ac:dyDescent="0.2">
      <c r="B1352" s="230">
        <v>44014</v>
      </c>
      <c r="C1352" s="124">
        <v>205.85</v>
      </c>
      <c r="D1352" s="156">
        <f t="shared" si="43"/>
        <v>-8.1907973982173789E-3</v>
      </c>
      <c r="E1352" s="156">
        <v>7.261464785799707E-3</v>
      </c>
      <c r="F1352" s="124">
        <v>1346</v>
      </c>
      <c r="G1352" s="238">
        <f t="shared" ca="1" si="44"/>
        <v>2.701620760489256E-2</v>
      </c>
      <c r="I1352" s="156"/>
    </row>
    <row r="1353" spans="2:9" x14ac:dyDescent="0.2">
      <c r="B1353" s="230">
        <v>44013</v>
      </c>
      <c r="C1353" s="124">
        <v>202.9</v>
      </c>
      <c r="D1353" s="156">
        <f t="shared" si="43"/>
        <v>-1.4330823415108034E-2</v>
      </c>
      <c r="E1353" s="156">
        <v>7.236471817962462E-3</v>
      </c>
      <c r="F1353" s="124">
        <v>1347</v>
      </c>
      <c r="G1353" s="238">
        <f t="shared" ca="1" si="44"/>
        <v>-2.6455462782287022E-3</v>
      </c>
      <c r="I1353" s="156"/>
    </row>
    <row r="1354" spans="2:9" x14ac:dyDescent="0.2">
      <c r="B1354" s="230">
        <v>44012</v>
      </c>
      <c r="C1354" s="124">
        <v>194.65</v>
      </c>
      <c r="D1354" s="156">
        <f t="shared" si="43"/>
        <v>-4.0660423854115328E-2</v>
      </c>
      <c r="E1354" s="156">
        <v>7.2364560923136598E-3</v>
      </c>
      <c r="F1354" s="124">
        <v>1348</v>
      </c>
      <c r="G1354" s="238">
        <f t="shared" ca="1" si="44"/>
        <v>-8.6135391251494064E-3</v>
      </c>
      <c r="I1354" s="156"/>
    </row>
    <row r="1355" spans="2:9" x14ac:dyDescent="0.2">
      <c r="B1355" s="230">
        <v>44011</v>
      </c>
      <c r="C1355" s="124">
        <v>197.25</v>
      </c>
      <c r="D1355" s="156">
        <f t="shared" si="43"/>
        <v>1.3357307988697633E-2</v>
      </c>
      <c r="E1355" s="156">
        <v>7.2232487821266541E-3</v>
      </c>
      <c r="F1355" s="124">
        <v>1349</v>
      </c>
      <c r="G1355" s="238">
        <f t="shared" ca="1" si="44"/>
        <v>2.648813150880472E-3</v>
      </c>
      <c r="I1355" s="156"/>
    </row>
    <row r="1356" spans="2:9" x14ac:dyDescent="0.2">
      <c r="B1356" s="230">
        <v>44008</v>
      </c>
      <c r="C1356" s="124">
        <v>195.2</v>
      </c>
      <c r="D1356" s="156">
        <f t="shared" si="43"/>
        <v>-1.039290240811159E-2</v>
      </c>
      <c r="E1356" s="156">
        <v>7.2205736894164589E-3</v>
      </c>
      <c r="F1356" s="124">
        <v>1350</v>
      </c>
      <c r="G1356" s="238">
        <f t="shared" ca="1" si="44"/>
        <v>-2.57131110358646E-2</v>
      </c>
      <c r="I1356" s="156"/>
    </row>
    <row r="1357" spans="2:9" x14ac:dyDescent="0.2">
      <c r="B1357" s="230">
        <v>44007</v>
      </c>
      <c r="C1357" s="124">
        <v>202.1</v>
      </c>
      <c r="D1357" s="156">
        <f t="shared" si="43"/>
        <v>3.5348360655737737E-2</v>
      </c>
      <c r="E1357" s="156">
        <v>7.2085060371238066E-3</v>
      </c>
      <c r="F1357" s="124">
        <v>1351</v>
      </c>
      <c r="G1357" s="238">
        <f t="shared" ca="1" si="44"/>
        <v>-5.4524407145308392E-3</v>
      </c>
      <c r="I1357" s="156"/>
    </row>
    <row r="1358" spans="2:9" x14ac:dyDescent="0.2">
      <c r="B1358" s="230">
        <v>44006</v>
      </c>
      <c r="C1358" s="124">
        <v>191.85</v>
      </c>
      <c r="D1358" s="156">
        <f t="shared" si="43"/>
        <v>-5.0717466600692727E-2</v>
      </c>
      <c r="E1358" s="156">
        <v>7.2078256392653951E-3</v>
      </c>
      <c r="F1358" s="124">
        <v>1352</v>
      </c>
      <c r="G1358" s="238">
        <f t="shared" ca="1" si="44"/>
        <v>1.1552718432228127E-2</v>
      </c>
      <c r="I1358" s="156"/>
    </row>
    <row r="1359" spans="2:9" x14ac:dyDescent="0.2">
      <c r="B1359" s="230">
        <v>44005</v>
      </c>
      <c r="C1359" s="124">
        <v>185.85</v>
      </c>
      <c r="D1359" s="156">
        <f t="shared" si="43"/>
        <v>-3.1274433150899138E-2</v>
      </c>
      <c r="E1359" s="156">
        <v>7.1826859465078056E-3</v>
      </c>
      <c r="F1359" s="124">
        <v>1353</v>
      </c>
      <c r="G1359" s="238">
        <f t="shared" ca="1" si="44"/>
        <v>2.1871222812639562E-2</v>
      </c>
      <c r="I1359" s="156"/>
    </row>
    <row r="1360" spans="2:9" x14ac:dyDescent="0.2">
      <c r="B1360" s="230">
        <v>44004</v>
      </c>
      <c r="C1360" s="124">
        <v>185</v>
      </c>
      <c r="D1360" s="156">
        <f t="shared" si="43"/>
        <v>-4.5735808447672551E-3</v>
      </c>
      <c r="E1360" s="156">
        <v>7.1794871794871795E-3</v>
      </c>
      <c r="F1360" s="124">
        <v>1354</v>
      </c>
      <c r="G1360" s="238">
        <f t="shared" ca="1" si="44"/>
        <v>-1.1029143030468523E-2</v>
      </c>
      <c r="I1360" s="156"/>
    </row>
    <row r="1361" spans="2:9" x14ac:dyDescent="0.2">
      <c r="B1361" s="230">
        <v>44001</v>
      </c>
      <c r="C1361" s="124">
        <v>184.05</v>
      </c>
      <c r="D1361" s="156">
        <f t="shared" si="43"/>
        <v>-5.135135135135074E-3</v>
      </c>
      <c r="E1361" s="156">
        <v>7.1770334928228981E-3</v>
      </c>
      <c r="F1361" s="124">
        <v>1355</v>
      </c>
      <c r="G1361" s="238">
        <f t="shared" ca="1" si="44"/>
        <v>1.5166857578725398E-2</v>
      </c>
      <c r="I1361" s="156"/>
    </row>
    <row r="1362" spans="2:9" x14ac:dyDescent="0.2">
      <c r="B1362" s="230">
        <v>44000</v>
      </c>
      <c r="C1362" s="124">
        <v>186.6</v>
      </c>
      <c r="D1362" s="156">
        <f t="shared" si="43"/>
        <v>1.3854930725346279E-2</v>
      </c>
      <c r="E1362" s="156">
        <v>7.1760797342193521E-3</v>
      </c>
      <c r="F1362" s="124">
        <v>1356</v>
      </c>
      <c r="G1362" s="238">
        <f t="shared" ca="1" si="44"/>
        <v>2.374793699632791E-2</v>
      </c>
      <c r="I1362" s="156"/>
    </row>
    <row r="1363" spans="2:9" x14ac:dyDescent="0.2">
      <c r="B1363" s="230">
        <v>43999</v>
      </c>
      <c r="C1363" s="124">
        <v>181.2</v>
      </c>
      <c r="D1363" s="156">
        <f t="shared" si="43"/>
        <v>-2.8938906752411606E-2</v>
      </c>
      <c r="E1363" s="156">
        <v>7.1266601878846409E-3</v>
      </c>
      <c r="F1363" s="124">
        <v>1357</v>
      </c>
      <c r="G1363" s="238">
        <f t="shared" ca="1" si="44"/>
        <v>-2.7815143231522121E-2</v>
      </c>
      <c r="I1363" s="156"/>
    </row>
    <row r="1364" spans="2:9" x14ac:dyDescent="0.2">
      <c r="B1364" s="230">
        <v>43998</v>
      </c>
      <c r="C1364" s="124">
        <v>185</v>
      </c>
      <c r="D1364" s="156">
        <f t="shared" si="43"/>
        <v>2.0971302428256136E-2</v>
      </c>
      <c r="E1364" s="156">
        <v>7.1239231278991955E-3</v>
      </c>
      <c r="F1364" s="124">
        <v>1358</v>
      </c>
      <c r="G1364" s="238">
        <f t="shared" ca="1" si="44"/>
        <v>2.5433619826478543E-2</v>
      </c>
      <c r="I1364" s="156"/>
    </row>
    <row r="1365" spans="2:9" x14ac:dyDescent="0.2">
      <c r="B1365" s="230">
        <v>43997</v>
      </c>
      <c r="C1365" s="124">
        <v>187.2</v>
      </c>
      <c r="D1365" s="156">
        <f t="shared" si="43"/>
        <v>1.1891891891891831E-2</v>
      </c>
      <c r="E1365" s="156">
        <v>7.1218074656189444E-3</v>
      </c>
      <c r="F1365" s="124">
        <v>1359</v>
      </c>
      <c r="G1365" s="238">
        <f t="shared" ca="1" si="44"/>
        <v>6.8926147614635329E-3</v>
      </c>
      <c r="I1365" s="156"/>
    </row>
    <row r="1366" spans="2:9" x14ac:dyDescent="0.2">
      <c r="B1366" s="230">
        <v>43994</v>
      </c>
      <c r="C1366" s="124">
        <v>193.9</v>
      </c>
      <c r="D1366" s="156">
        <f t="shared" si="43"/>
        <v>3.5790598290598385E-2</v>
      </c>
      <c r="E1366" s="156">
        <v>7.1214392803598684E-3</v>
      </c>
      <c r="F1366" s="124">
        <v>1360</v>
      </c>
      <c r="G1366" s="238">
        <f t="shared" ca="1" si="44"/>
        <v>-2.3697724734815646E-2</v>
      </c>
      <c r="I1366" s="156"/>
    </row>
    <row r="1367" spans="2:9" x14ac:dyDescent="0.2">
      <c r="B1367" s="230">
        <v>43993</v>
      </c>
      <c r="C1367" s="124">
        <v>194.25</v>
      </c>
      <c r="D1367" s="156">
        <f t="shared" si="43"/>
        <v>1.8050541516245193E-3</v>
      </c>
      <c r="E1367" s="156">
        <v>7.1163366336632694E-3</v>
      </c>
      <c r="F1367" s="124">
        <v>1361</v>
      </c>
      <c r="G1367" s="238">
        <f t="shared" ca="1" si="44"/>
        <v>-9.5502566939201002E-3</v>
      </c>
      <c r="I1367" s="156"/>
    </row>
    <row r="1368" spans="2:9" x14ac:dyDescent="0.2">
      <c r="B1368" s="230">
        <v>43992</v>
      </c>
      <c r="C1368" s="124">
        <v>199.05</v>
      </c>
      <c r="D1368" s="156">
        <f t="shared" si="43"/>
        <v>2.4710424710424769E-2</v>
      </c>
      <c r="E1368" s="156">
        <v>7.1038251366119807E-3</v>
      </c>
      <c r="F1368" s="124">
        <v>1362</v>
      </c>
      <c r="G1368" s="238">
        <f t="shared" ca="1" si="44"/>
        <v>-2.1768270163082825E-3</v>
      </c>
      <c r="I1368" s="156"/>
    </row>
    <row r="1369" spans="2:9" x14ac:dyDescent="0.2">
      <c r="B1369" s="230">
        <v>43991</v>
      </c>
      <c r="C1369" s="124">
        <v>198.5</v>
      </c>
      <c r="D1369" s="156">
        <f t="shared" si="43"/>
        <v>-2.7631248430043274E-3</v>
      </c>
      <c r="E1369" s="156">
        <v>7.1025694589514831E-3</v>
      </c>
      <c r="F1369" s="124">
        <v>1363</v>
      </c>
      <c r="G1369" s="238">
        <f t="shared" ca="1" si="44"/>
        <v>-1.6143656734267275E-2</v>
      </c>
      <c r="I1369" s="156"/>
    </row>
    <row r="1370" spans="2:9" x14ac:dyDescent="0.2">
      <c r="B1370" s="230">
        <v>43990</v>
      </c>
      <c r="C1370" s="124">
        <v>197.65</v>
      </c>
      <c r="D1370" s="156">
        <f t="shared" si="43"/>
        <v>-4.2821158690176039E-3</v>
      </c>
      <c r="E1370" s="156">
        <v>7.1019925034524027E-3</v>
      </c>
      <c r="F1370" s="124">
        <v>1364</v>
      </c>
      <c r="G1370" s="238">
        <f t="shared" ca="1" si="44"/>
        <v>2.1489967869520961E-2</v>
      </c>
      <c r="I1370" s="156"/>
    </row>
    <row r="1371" spans="2:9" x14ac:dyDescent="0.2">
      <c r="B1371" s="230">
        <v>43987</v>
      </c>
      <c r="C1371" s="124">
        <v>200</v>
      </c>
      <c r="D1371" s="156">
        <f t="shared" si="43"/>
        <v>1.1889704022261544E-2</v>
      </c>
      <c r="E1371" s="156">
        <v>7.084809335278254E-3</v>
      </c>
      <c r="F1371" s="124">
        <v>1365</v>
      </c>
      <c r="G1371" s="238">
        <f t="shared" ca="1" si="44"/>
        <v>3.9365053366022217E-3</v>
      </c>
      <c r="I1371" s="156"/>
    </row>
    <row r="1372" spans="2:9" x14ac:dyDescent="0.2">
      <c r="B1372" s="230">
        <v>43986</v>
      </c>
      <c r="C1372" s="124">
        <v>200.15</v>
      </c>
      <c r="D1372" s="156">
        <f t="shared" si="43"/>
        <v>7.5000000000002842E-4</v>
      </c>
      <c r="E1372" s="156">
        <v>7.0763861962001165E-3</v>
      </c>
      <c r="F1372" s="124">
        <v>1366</v>
      </c>
      <c r="G1372" s="238">
        <f t="shared" ca="1" si="44"/>
        <v>-1.7026903192870483E-2</v>
      </c>
      <c r="I1372" s="156"/>
    </row>
    <row r="1373" spans="2:9" x14ac:dyDescent="0.2">
      <c r="B1373" s="230">
        <v>43985</v>
      </c>
      <c r="C1373" s="124">
        <v>196.7</v>
      </c>
      <c r="D1373" s="156">
        <f t="shared" si="43"/>
        <v>-1.7237072195853194E-2</v>
      </c>
      <c r="E1373" s="156">
        <v>7.0753597036896767E-3</v>
      </c>
      <c r="F1373" s="124">
        <v>1367</v>
      </c>
      <c r="G1373" s="238">
        <f t="shared" ca="1" si="44"/>
        <v>-9.3668687833747006E-3</v>
      </c>
      <c r="I1373" s="156"/>
    </row>
    <row r="1374" spans="2:9" x14ac:dyDescent="0.2">
      <c r="B1374" s="230">
        <v>43984</v>
      </c>
      <c r="C1374" s="124">
        <v>197.25</v>
      </c>
      <c r="D1374" s="156">
        <f t="shared" si="43"/>
        <v>2.7961362480936015E-3</v>
      </c>
      <c r="E1374" s="156">
        <v>7.0581968304701172E-3</v>
      </c>
      <c r="F1374" s="124">
        <v>1368</v>
      </c>
      <c r="G1374" s="238">
        <f t="shared" ca="1" si="44"/>
        <v>7.821540399262205E-3</v>
      </c>
      <c r="I1374" s="156"/>
    </row>
    <row r="1375" spans="2:9" x14ac:dyDescent="0.2">
      <c r="B1375" s="230">
        <v>43983</v>
      </c>
      <c r="C1375" s="124">
        <v>200.55</v>
      </c>
      <c r="D1375" s="156">
        <f t="shared" si="43"/>
        <v>1.6730038022813747E-2</v>
      </c>
      <c r="E1375" s="156">
        <v>7.0528967254408822E-3</v>
      </c>
      <c r="F1375" s="124">
        <v>1369</v>
      </c>
      <c r="G1375" s="238">
        <f t="shared" ca="1" si="44"/>
        <v>1.4793274042766726E-3</v>
      </c>
      <c r="I1375" s="156"/>
    </row>
    <row r="1376" spans="2:9" x14ac:dyDescent="0.2">
      <c r="B1376" s="230">
        <v>43980</v>
      </c>
      <c r="C1376" s="124">
        <v>197.35</v>
      </c>
      <c r="D1376" s="156">
        <f t="shared" si="43"/>
        <v>-1.5956120668162637E-2</v>
      </c>
      <c r="E1376" s="156">
        <v>7.0439465333205281E-3</v>
      </c>
      <c r="F1376" s="124">
        <v>1370</v>
      </c>
      <c r="G1376" s="238">
        <f t="shared" ca="1" si="44"/>
        <v>-2.4727962452081805E-2</v>
      </c>
      <c r="I1376" s="156"/>
    </row>
    <row r="1377" spans="2:9" x14ac:dyDescent="0.2">
      <c r="B1377" s="230">
        <v>43979</v>
      </c>
      <c r="C1377" s="124">
        <v>190.65</v>
      </c>
      <c r="D1377" s="156">
        <f t="shared" si="43"/>
        <v>-3.3949835317962952E-2</v>
      </c>
      <c r="E1377" s="156">
        <v>7.0333633904417986E-3</v>
      </c>
      <c r="F1377" s="124">
        <v>1371</v>
      </c>
      <c r="G1377" s="238">
        <f t="shared" ca="1" si="44"/>
        <v>-2.8162989714696225E-2</v>
      </c>
      <c r="I1377" s="156"/>
    </row>
    <row r="1378" spans="2:9" x14ac:dyDescent="0.2">
      <c r="B1378" s="230">
        <v>43978</v>
      </c>
      <c r="C1378" s="124">
        <v>192.15</v>
      </c>
      <c r="D1378" s="156">
        <f t="shared" si="43"/>
        <v>7.8678206136900079E-3</v>
      </c>
      <c r="E1378" s="156">
        <v>7.0273435740348762E-3</v>
      </c>
      <c r="F1378" s="124">
        <v>1372</v>
      </c>
      <c r="G1378" s="238">
        <f t="shared" ca="1" si="44"/>
        <v>9.9485073731363626E-3</v>
      </c>
      <c r="I1378" s="156"/>
    </row>
    <row r="1379" spans="2:9" x14ac:dyDescent="0.2">
      <c r="B1379" s="230">
        <v>43977</v>
      </c>
      <c r="C1379" s="124">
        <v>191.7</v>
      </c>
      <c r="D1379" s="156">
        <f t="shared" si="43"/>
        <v>-2.3419203747073484E-3</v>
      </c>
      <c r="E1379" s="156">
        <v>7.0204722863174765E-3</v>
      </c>
      <c r="F1379" s="124">
        <v>1373</v>
      </c>
      <c r="G1379" s="238">
        <f t="shared" ca="1" si="44"/>
        <v>2.2177773375411512E-2</v>
      </c>
      <c r="I1379" s="156"/>
    </row>
    <row r="1380" spans="2:9" x14ac:dyDescent="0.2">
      <c r="B1380" s="230">
        <v>43973</v>
      </c>
      <c r="C1380" s="124">
        <v>186.35</v>
      </c>
      <c r="D1380" s="156">
        <f t="shared" si="43"/>
        <v>-2.7908189880020837E-2</v>
      </c>
      <c r="E1380" s="156">
        <v>7.017689560667709E-3</v>
      </c>
      <c r="F1380" s="124">
        <v>1374</v>
      </c>
      <c r="G1380" s="238">
        <f t="shared" ca="1" si="44"/>
        <v>1.5825386526858283E-2</v>
      </c>
      <c r="I1380" s="156"/>
    </row>
    <row r="1381" spans="2:9" x14ac:dyDescent="0.2">
      <c r="B1381" s="230">
        <v>43972</v>
      </c>
      <c r="C1381" s="124">
        <v>188.95</v>
      </c>
      <c r="D1381" s="156">
        <f t="shared" si="43"/>
        <v>1.3952240407834689E-2</v>
      </c>
      <c r="E1381" s="156">
        <v>7.0175438596489729E-3</v>
      </c>
      <c r="F1381" s="124">
        <v>1375</v>
      </c>
      <c r="G1381" s="238">
        <f t="shared" ca="1" si="44"/>
        <v>7.6983591574488483E-3</v>
      </c>
      <c r="I1381" s="156"/>
    </row>
    <row r="1382" spans="2:9" x14ac:dyDescent="0.2">
      <c r="B1382" s="230">
        <v>43971</v>
      </c>
      <c r="C1382" s="124">
        <v>175.75</v>
      </c>
      <c r="D1382" s="156">
        <f t="shared" si="43"/>
        <v>-6.9859751256946226E-2</v>
      </c>
      <c r="E1382" s="156">
        <v>7.0057083549560084E-3</v>
      </c>
      <c r="F1382" s="124">
        <v>1376</v>
      </c>
      <c r="G1382" s="238">
        <f t="shared" ca="1" si="44"/>
        <v>1.0072706904743337E-2</v>
      </c>
      <c r="I1382" s="156"/>
    </row>
    <row r="1383" spans="2:9" x14ac:dyDescent="0.2">
      <c r="B1383" s="230">
        <v>43970</v>
      </c>
      <c r="C1383" s="124">
        <v>170.75</v>
      </c>
      <c r="D1383" s="156">
        <f t="shared" si="43"/>
        <v>-2.8449502133712661E-2</v>
      </c>
      <c r="E1383" s="156">
        <v>7.0021881838074982E-3</v>
      </c>
      <c r="F1383" s="124">
        <v>1377</v>
      </c>
      <c r="G1383" s="238">
        <f t="shared" ca="1" si="44"/>
        <v>8.5450504157757491E-3</v>
      </c>
      <c r="I1383" s="156"/>
    </row>
    <row r="1384" spans="2:9" x14ac:dyDescent="0.2">
      <c r="B1384" s="230">
        <v>43969</v>
      </c>
      <c r="C1384" s="124">
        <v>164.75</v>
      </c>
      <c r="D1384" s="156">
        <f t="shared" si="43"/>
        <v>-3.5139092240117131E-2</v>
      </c>
      <c r="E1384" s="156">
        <v>6.964220991042297E-3</v>
      </c>
      <c r="F1384" s="124">
        <v>1378</v>
      </c>
      <c r="G1384" s="238">
        <f t="shared" ca="1" si="44"/>
        <v>-1.1837166720811665E-2</v>
      </c>
      <c r="I1384" s="156"/>
    </row>
    <row r="1385" spans="2:9" x14ac:dyDescent="0.2">
      <c r="B1385" s="230">
        <v>43966</v>
      </c>
      <c r="C1385" s="124">
        <v>164.65</v>
      </c>
      <c r="D1385" s="156">
        <f t="shared" si="43"/>
        <v>-6.0698027314108843E-4</v>
      </c>
      <c r="E1385" s="156">
        <v>6.9600359227661038E-3</v>
      </c>
      <c r="F1385" s="124">
        <v>1379</v>
      </c>
      <c r="G1385" s="238">
        <f t="shared" ca="1" si="44"/>
        <v>-1.4955319199967195E-2</v>
      </c>
      <c r="I1385" s="156"/>
    </row>
    <row r="1386" spans="2:9" x14ac:dyDescent="0.2">
      <c r="B1386" s="230">
        <v>43965</v>
      </c>
      <c r="C1386" s="124">
        <v>163.80000000000001</v>
      </c>
      <c r="D1386" s="156">
        <f t="shared" si="43"/>
        <v>-5.1624658366231056E-3</v>
      </c>
      <c r="E1386" s="156">
        <v>6.9317767238233387E-3</v>
      </c>
      <c r="F1386" s="124">
        <v>1380</v>
      </c>
      <c r="G1386" s="238">
        <f t="shared" ca="1" si="44"/>
        <v>-1.023865855852275E-2</v>
      </c>
      <c r="I1386" s="156"/>
    </row>
    <row r="1387" spans="2:9" x14ac:dyDescent="0.2">
      <c r="B1387" s="230">
        <v>43964</v>
      </c>
      <c r="C1387" s="124">
        <v>165.4</v>
      </c>
      <c r="D1387" s="156">
        <f t="shared" si="43"/>
        <v>9.7680097680097333E-3</v>
      </c>
      <c r="E1387" s="156">
        <v>6.9147184721764007E-3</v>
      </c>
      <c r="F1387" s="124">
        <v>1381</v>
      </c>
      <c r="G1387" s="238">
        <f t="shared" ca="1" si="44"/>
        <v>-2.6377546550871919E-2</v>
      </c>
      <c r="I1387" s="156"/>
    </row>
    <row r="1388" spans="2:9" x14ac:dyDescent="0.2">
      <c r="B1388" s="230">
        <v>43963</v>
      </c>
      <c r="C1388" s="124">
        <v>165.05</v>
      </c>
      <c r="D1388" s="156">
        <f t="shared" si="43"/>
        <v>-2.1160822249092761E-3</v>
      </c>
      <c r="E1388" s="156">
        <v>6.8998334522959023E-3</v>
      </c>
      <c r="F1388" s="124">
        <v>1382</v>
      </c>
      <c r="G1388" s="238">
        <f t="shared" ca="1" si="44"/>
        <v>-3.1727444488875309E-2</v>
      </c>
      <c r="I1388" s="156"/>
    </row>
    <row r="1389" spans="2:9" x14ac:dyDescent="0.2">
      <c r="B1389" s="230">
        <v>43962</v>
      </c>
      <c r="C1389" s="124">
        <v>158.44999999999999</v>
      </c>
      <c r="D1389" s="156">
        <f t="shared" si="43"/>
        <v>-3.9987882459860784E-2</v>
      </c>
      <c r="E1389" s="156">
        <v>6.8888176866388926E-3</v>
      </c>
      <c r="F1389" s="124">
        <v>1383</v>
      </c>
      <c r="G1389" s="238">
        <f t="shared" ca="1" si="44"/>
        <v>1.6906144539115795E-2</v>
      </c>
      <c r="I1389" s="156"/>
    </row>
    <row r="1390" spans="2:9" x14ac:dyDescent="0.2">
      <c r="B1390" s="230">
        <v>43959</v>
      </c>
      <c r="C1390" s="124">
        <v>158.25</v>
      </c>
      <c r="D1390" s="156">
        <f t="shared" si="43"/>
        <v>-1.2622278321236266E-3</v>
      </c>
      <c r="E1390" s="156">
        <v>6.8612774451097805E-3</v>
      </c>
      <c r="F1390" s="124">
        <v>1384</v>
      </c>
      <c r="G1390" s="238">
        <f t="shared" ca="1" si="44"/>
        <v>3.6004437298378295E-2</v>
      </c>
      <c r="I1390" s="156"/>
    </row>
    <row r="1391" spans="2:9" x14ac:dyDescent="0.2">
      <c r="B1391" s="230">
        <v>43958</v>
      </c>
      <c r="C1391" s="124">
        <v>161</v>
      </c>
      <c r="D1391" s="156">
        <f t="shared" si="43"/>
        <v>1.7377567140600316E-2</v>
      </c>
      <c r="E1391" s="156">
        <v>6.8535825545171574E-3</v>
      </c>
      <c r="F1391" s="124">
        <v>1385</v>
      </c>
      <c r="G1391" s="238">
        <f t="shared" ca="1" si="44"/>
        <v>-1.1816238631680371E-2</v>
      </c>
      <c r="I1391" s="156"/>
    </row>
    <row r="1392" spans="2:9" x14ac:dyDescent="0.2">
      <c r="B1392" s="230">
        <v>43957</v>
      </c>
      <c r="C1392" s="124">
        <v>163.9</v>
      </c>
      <c r="D1392" s="156">
        <f t="shared" si="43"/>
        <v>1.8012422360248484E-2</v>
      </c>
      <c r="E1392" s="156">
        <v>6.8431033061257997E-3</v>
      </c>
      <c r="F1392" s="124">
        <v>1386</v>
      </c>
      <c r="G1392" s="238">
        <f t="shared" ca="1" si="44"/>
        <v>7.0560894694965239E-3</v>
      </c>
      <c r="I1392" s="156"/>
    </row>
    <row r="1393" spans="2:9" x14ac:dyDescent="0.2">
      <c r="B1393" s="230">
        <v>43956</v>
      </c>
      <c r="C1393" s="124">
        <v>173.9</v>
      </c>
      <c r="D1393" s="156">
        <f t="shared" si="43"/>
        <v>6.1012812690665039E-2</v>
      </c>
      <c r="E1393" s="156">
        <v>6.8401603899678007E-3</v>
      </c>
      <c r="F1393" s="124">
        <v>1387</v>
      </c>
      <c r="G1393" s="238">
        <f t="shared" ca="1" si="44"/>
        <v>-1.5484156201396164E-2</v>
      </c>
      <c r="I1393" s="156"/>
    </row>
    <row r="1394" spans="2:9" x14ac:dyDescent="0.2">
      <c r="B1394" s="230">
        <v>43955</v>
      </c>
      <c r="C1394" s="124">
        <v>174.05</v>
      </c>
      <c r="D1394" s="156">
        <f t="shared" si="43"/>
        <v>8.6256469235195909E-4</v>
      </c>
      <c r="E1394" s="156">
        <v>6.8212824010914046E-3</v>
      </c>
      <c r="F1394" s="124">
        <v>1388</v>
      </c>
      <c r="G1394" s="238">
        <f t="shared" ca="1" si="44"/>
        <v>2.8869163604970556E-2</v>
      </c>
      <c r="I1394" s="156"/>
    </row>
    <row r="1395" spans="2:9" x14ac:dyDescent="0.2">
      <c r="B1395" s="230">
        <v>43951</v>
      </c>
      <c r="C1395" s="124">
        <v>182.05</v>
      </c>
      <c r="D1395" s="156">
        <f t="shared" si="43"/>
        <v>4.5963803504740011E-2</v>
      </c>
      <c r="E1395" s="156">
        <v>6.8080140050574096E-3</v>
      </c>
      <c r="F1395" s="124">
        <v>1389</v>
      </c>
      <c r="G1395" s="238">
        <f t="shared" ca="1" si="44"/>
        <v>2.8123537714088518E-2</v>
      </c>
      <c r="I1395" s="156"/>
    </row>
    <row r="1396" spans="2:9" x14ac:dyDescent="0.2">
      <c r="B1396" s="230">
        <v>43950</v>
      </c>
      <c r="C1396" s="124">
        <v>182.15</v>
      </c>
      <c r="D1396" s="156">
        <f t="shared" si="43"/>
        <v>5.4929964295520085E-4</v>
      </c>
      <c r="E1396" s="156">
        <v>6.8059701492537853E-3</v>
      </c>
      <c r="F1396" s="124">
        <v>1390</v>
      </c>
      <c r="G1396" s="238">
        <f t="shared" ca="1" si="44"/>
        <v>1.7097126055775895E-2</v>
      </c>
      <c r="I1396" s="156"/>
    </row>
    <row r="1397" spans="2:9" x14ac:dyDescent="0.2">
      <c r="B1397" s="230">
        <v>43949</v>
      </c>
      <c r="C1397" s="124">
        <v>179.45</v>
      </c>
      <c r="D1397" s="156">
        <f t="shared" si="43"/>
        <v>-1.4822948119681675E-2</v>
      </c>
      <c r="E1397" s="156">
        <v>6.7921599068503794E-3</v>
      </c>
      <c r="F1397" s="124">
        <v>1391</v>
      </c>
      <c r="G1397" s="238">
        <f t="shared" ca="1" si="44"/>
        <v>1.5091242687998862E-2</v>
      </c>
      <c r="I1397" s="156"/>
    </row>
    <row r="1398" spans="2:9" x14ac:dyDescent="0.2">
      <c r="B1398" s="230">
        <v>43948</v>
      </c>
      <c r="C1398" s="124">
        <v>179.85</v>
      </c>
      <c r="D1398" s="156">
        <f t="shared" si="43"/>
        <v>2.2290331568682402E-3</v>
      </c>
      <c r="E1398" s="156">
        <v>6.7919612951245793E-3</v>
      </c>
      <c r="F1398" s="124">
        <v>1392</v>
      </c>
      <c r="G1398" s="238">
        <f t="shared" ca="1" si="44"/>
        <v>-5.9671008435064851E-4</v>
      </c>
      <c r="I1398" s="156"/>
    </row>
    <row r="1399" spans="2:9" x14ac:dyDescent="0.2">
      <c r="B1399" s="230">
        <v>43945</v>
      </c>
      <c r="C1399" s="124">
        <v>180.05</v>
      </c>
      <c r="D1399" s="156">
        <f t="shared" si="43"/>
        <v>1.1120378092856105E-3</v>
      </c>
      <c r="E1399" s="156">
        <v>6.7635270541081885E-3</v>
      </c>
      <c r="F1399" s="124">
        <v>1393</v>
      </c>
      <c r="G1399" s="238">
        <f t="shared" ca="1" si="44"/>
        <v>3.3504206114256641E-2</v>
      </c>
      <c r="I1399" s="156"/>
    </row>
    <row r="1400" spans="2:9" x14ac:dyDescent="0.2">
      <c r="B1400" s="230">
        <v>43944</v>
      </c>
      <c r="C1400" s="124">
        <v>180.55</v>
      </c>
      <c r="D1400" s="156">
        <f t="shared" si="43"/>
        <v>2.7770063871146904E-3</v>
      </c>
      <c r="E1400" s="156">
        <v>6.7618332081142429E-3</v>
      </c>
      <c r="F1400" s="124">
        <v>1394</v>
      </c>
      <c r="G1400" s="238">
        <f t="shared" ca="1" si="44"/>
        <v>6.3999958109917168E-3</v>
      </c>
      <c r="I1400" s="156"/>
    </row>
    <row r="1401" spans="2:9" x14ac:dyDescent="0.2">
      <c r="B1401" s="230">
        <v>43943</v>
      </c>
      <c r="C1401" s="124">
        <v>182.25</v>
      </c>
      <c r="D1401" s="156">
        <f t="shared" si="43"/>
        <v>9.4156743284408116E-3</v>
      </c>
      <c r="E1401" s="156">
        <v>6.7591604411242007E-3</v>
      </c>
      <c r="F1401" s="124">
        <v>1395</v>
      </c>
      <c r="G1401" s="238">
        <f t="shared" ca="1" si="44"/>
        <v>1.6457385622503269E-2</v>
      </c>
      <c r="I1401" s="156"/>
    </row>
    <row r="1402" spans="2:9" x14ac:dyDescent="0.2">
      <c r="B1402" s="230">
        <v>43942</v>
      </c>
      <c r="C1402" s="124">
        <v>179.6</v>
      </c>
      <c r="D1402" s="156">
        <f t="shared" si="43"/>
        <v>-1.4540466392318275E-2</v>
      </c>
      <c r="E1402" s="156">
        <v>6.7552553219857349E-3</v>
      </c>
      <c r="F1402" s="124">
        <v>1396</v>
      </c>
      <c r="G1402" s="238">
        <f t="shared" ca="1" si="44"/>
        <v>-4.784436634902637E-3</v>
      </c>
      <c r="I1402" s="156"/>
    </row>
    <row r="1403" spans="2:9" x14ac:dyDescent="0.2">
      <c r="B1403" s="230">
        <v>43941</v>
      </c>
      <c r="C1403" s="124">
        <v>180.7</v>
      </c>
      <c r="D1403" s="156">
        <f t="shared" si="43"/>
        <v>6.1247216035634428E-3</v>
      </c>
      <c r="E1403" s="156">
        <v>6.749740394600366E-3</v>
      </c>
      <c r="F1403" s="124">
        <v>1397</v>
      </c>
      <c r="G1403" s="238">
        <f t="shared" ca="1" si="44"/>
        <v>1.6646843821291658E-2</v>
      </c>
      <c r="I1403" s="156"/>
    </row>
    <row r="1404" spans="2:9" x14ac:dyDescent="0.2">
      <c r="B1404" s="230">
        <v>43938</v>
      </c>
      <c r="C1404" s="124">
        <v>188.1</v>
      </c>
      <c r="D1404" s="156">
        <f t="shared" si="43"/>
        <v>4.0951853901494223E-2</v>
      </c>
      <c r="E1404" s="156">
        <v>6.7491563554555782E-3</v>
      </c>
      <c r="F1404" s="124">
        <v>1398</v>
      </c>
      <c r="G1404" s="238">
        <f t="shared" ca="1" si="44"/>
        <v>-3.5291453712038449E-2</v>
      </c>
      <c r="I1404" s="156"/>
    </row>
    <row r="1405" spans="2:9" x14ac:dyDescent="0.2">
      <c r="B1405" s="230">
        <v>43937</v>
      </c>
      <c r="C1405" s="124">
        <v>186.35</v>
      </c>
      <c r="D1405" s="156">
        <f t="shared" si="43"/>
        <v>-9.3035619351408833E-3</v>
      </c>
      <c r="E1405" s="156">
        <v>6.7471590909090095E-3</v>
      </c>
      <c r="F1405" s="124">
        <v>1399</v>
      </c>
      <c r="G1405" s="238">
        <f t="shared" ca="1" si="44"/>
        <v>-1.3001942787910597E-2</v>
      </c>
      <c r="I1405" s="156"/>
    </row>
    <row r="1406" spans="2:9" x14ac:dyDescent="0.2">
      <c r="B1406" s="230">
        <v>43936</v>
      </c>
      <c r="C1406" s="124">
        <v>189.35</v>
      </c>
      <c r="D1406" s="156">
        <f t="shared" ref="D1406:D1469" si="45">(C1406-C1405)/C1405</f>
        <v>1.6098738932116986E-2</v>
      </c>
      <c r="E1406" s="156">
        <v>6.7424471625534953E-3</v>
      </c>
      <c r="F1406" s="124">
        <v>1400</v>
      </c>
      <c r="G1406" s="238">
        <f t="shared" ca="1" si="44"/>
        <v>-4.419753283221113E-4</v>
      </c>
      <c r="I1406" s="156"/>
    </row>
    <row r="1407" spans="2:9" x14ac:dyDescent="0.2">
      <c r="B1407" s="230">
        <v>43934</v>
      </c>
      <c r="C1407" s="124">
        <v>181.6</v>
      </c>
      <c r="D1407" s="156">
        <f t="shared" si="45"/>
        <v>-4.0929495642989172E-2</v>
      </c>
      <c r="E1407" s="156">
        <v>6.737247353224219E-3</v>
      </c>
      <c r="F1407" s="124">
        <v>1401</v>
      </c>
      <c r="G1407" s="238">
        <f t="shared" ca="1" si="44"/>
        <v>1.9372495485323205E-2</v>
      </c>
      <c r="I1407" s="156"/>
    </row>
    <row r="1408" spans="2:9" x14ac:dyDescent="0.2">
      <c r="B1408" s="230">
        <v>43930</v>
      </c>
      <c r="C1408" s="124">
        <v>185.25</v>
      </c>
      <c r="D1408" s="156">
        <f t="shared" si="45"/>
        <v>2.0099118942731309E-2</v>
      </c>
      <c r="E1408" s="156">
        <v>6.735751295336748E-3</v>
      </c>
      <c r="F1408" s="124">
        <v>1402</v>
      </c>
      <c r="G1408" s="238">
        <f t="shared" ca="1" si="44"/>
        <v>2.367127283519092E-2</v>
      </c>
      <c r="I1408" s="156"/>
    </row>
    <row r="1409" spans="2:9" x14ac:dyDescent="0.2">
      <c r="B1409" s="230">
        <v>43929</v>
      </c>
      <c r="C1409" s="124">
        <v>178.65</v>
      </c>
      <c r="D1409" s="156">
        <f t="shared" si="45"/>
        <v>-3.5627530364372439E-2</v>
      </c>
      <c r="E1409" s="156">
        <v>6.7340067340067615E-3</v>
      </c>
      <c r="F1409" s="124">
        <v>1403</v>
      </c>
      <c r="G1409" s="238">
        <f t="shared" ca="1" si="44"/>
        <v>1.2531762008730496E-2</v>
      </c>
      <c r="I1409" s="156"/>
    </row>
    <row r="1410" spans="2:9" x14ac:dyDescent="0.2">
      <c r="B1410" s="230">
        <v>43928</v>
      </c>
      <c r="C1410" s="124">
        <v>181.55</v>
      </c>
      <c r="D1410" s="156">
        <f t="shared" si="45"/>
        <v>1.623285754268125E-2</v>
      </c>
      <c r="E1410" s="156">
        <v>6.7311222616572193E-3</v>
      </c>
      <c r="F1410" s="124">
        <v>1404</v>
      </c>
      <c r="G1410" s="238">
        <f t="shared" ca="1" si="44"/>
        <v>4.6748809470793943E-3</v>
      </c>
      <c r="I1410" s="156"/>
    </row>
    <row r="1411" spans="2:9" x14ac:dyDescent="0.2">
      <c r="B1411" s="230">
        <v>43924</v>
      </c>
      <c r="C1411" s="124">
        <v>177.9</v>
      </c>
      <c r="D1411" s="156">
        <f t="shared" si="45"/>
        <v>-2.0104654365188684E-2</v>
      </c>
      <c r="E1411" s="156">
        <v>6.7206794895581894E-3</v>
      </c>
      <c r="F1411" s="124">
        <v>1405</v>
      </c>
      <c r="G1411" s="238">
        <f t="shared" ca="1" si="44"/>
        <v>4.6841915536929204E-3</v>
      </c>
      <c r="I1411" s="156"/>
    </row>
    <row r="1412" spans="2:9" x14ac:dyDescent="0.2">
      <c r="B1412" s="230">
        <v>43922</v>
      </c>
      <c r="C1412" s="124">
        <v>166.4</v>
      </c>
      <c r="D1412" s="156">
        <f t="shared" si="45"/>
        <v>-6.4643057897695338E-2</v>
      </c>
      <c r="E1412" s="156">
        <v>6.7169227795496993E-3</v>
      </c>
      <c r="F1412" s="124">
        <v>1406</v>
      </c>
      <c r="G1412" s="238">
        <f t="shared" ca="1" si="44"/>
        <v>-1.9314656165405505E-2</v>
      </c>
      <c r="I1412" s="156"/>
    </row>
    <row r="1413" spans="2:9" x14ac:dyDescent="0.2">
      <c r="B1413" s="230">
        <v>43921</v>
      </c>
      <c r="C1413" s="124">
        <v>171.7</v>
      </c>
      <c r="D1413" s="156">
        <f t="shared" si="45"/>
        <v>3.1850961538461432E-2</v>
      </c>
      <c r="E1413" s="156">
        <v>6.7020570670205098E-3</v>
      </c>
      <c r="F1413" s="124">
        <v>1407</v>
      </c>
      <c r="G1413" s="238">
        <f t="shared" ca="1" si="44"/>
        <v>3.1480365845361325E-3</v>
      </c>
      <c r="I1413" s="156"/>
    </row>
    <row r="1414" spans="2:9" x14ac:dyDescent="0.2">
      <c r="B1414" s="230">
        <v>43920</v>
      </c>
      <c r="C1414" s="124">
        <v>159.19999999999999</v>
      </c>
      <c r="D1414" s="156">
        <f t="shared" si="45"/>
        <v>-7.2801397786837516E-2</v>
      </c>
      <c r="E1414" s="156">
        <v>6.6899086026571937E-3</v>
      </c>
      <c r="F1414" s="124">
        <v>1408</v>
      </c>
      <c r="G1414" s="238">
        <f t="shared" ca="1" si="44"/>
        <v>1.3172550396995067E-2</v>
      </c>
      <c r="I1414" s="156"/>
    </row>
    <row r="1415" spans="2:9" x14ac:dyDescent="0.2">
      <c r="B1415" s="230">
        <v>43917</v>
      </c>
      <c r="C1415" s="124">
        <v>163.19999999999999</v>
      </c>
      <c r="D1415" s="156">
        <f t="shared" si="45"/>
        <v>2.5125628140703519E-2</v>
      </c>
      <c r="E1415" s="156">
        <v>6.6897347174163261E-3</v>
      </c>
      <c r="F1415" s="124">
        <v>1409</v>
      </c>
      <c r="G1415" s="238">
        <f t="shared" ref="G1415:G1478" ca="1" si="46">_xlfn.NORM.INV(RAND(),$L$8,$L$9)</f>
        <v>-1.54496819103478E-2</v>
      </c>
      <c r="I1415" s="156"/>
    </row>
    <row r="1416" spans="2:9" x14ac:dyDescent="0.2">
      <c r="B1416" s="230">
        <v>43916</v>
      </c>
      <c r="C1416" s="124">
        <v>156.4</v>
      </c>
      <c r="D1416" s="156">
        <f t="shared" si="45"/>
        <v>-4.1666666666666567E-2</v>
      </c>
      <c r="E1416" s="156">
        <v>6.6887118593114865E-3</v>
      </c>
      <c r="F1416" s="124">
        <v>1410</v>
      </c>
      <c r="G1416" s="238">
        <f t="shared" ca="1" si="46"/>
        <v>-3.6390430998260385E-2</v>
      </c>
      <c r="I1416" s="156"/>
    </row>
    <row r="1417" spans="2:9" x14ac:dyDescent="0.2">
      <c r="B1417" s="230">
        <v>43915</v>
      </c>
      <c r="C1417" s="124">
        <v>147.35</v>
      </c>
      <c r="D1417" s="156">
        <f t="shared" si="45"/>
        <v>-5.7864450127877311E-2</v>
      </c>
      <c r="E1417" s="156">
        <v>6.6752311141337999E-3</v>
      </c>
      <c r="F1417" s="124">
        <v>1411</v>
      </c>
      <c r="G1417" s="238">
        <f t="shared" ca="1" si="46"/>
        <v>2.7495271055487189E-2</v>
      </c>
      <c r="I1417" s="156"/>
    </row>
    <row r="1418" spans="2:9" x14ac:dyDescent="0.2">
      <c r="B1418" s="230">
        <v>43914</v>
      </c>
      <c r="C1418" s="124">
        <v>149.69999999999999</v>
      </c>
      <c r="D1418" s="156">
        <f t="shared" si="45"/>
        <v>1.5948422124194058E-2</v>
      </c>
      <c r="E1418" s="156">
        <v>6.6720042700827327E-3</v>
      </c>
      <c r="F1418" s="124">
        <v>1412</v>
      </c>
      <c r="G1418" s="238">
        <f t="shared" ca="1" si="46"/>
        <v>1.3503049929539893E-2</v>
      </c>
      <c r="I1418" s="156"/>
    </row>
    <row r="1419" spans="2:9" x14ac:dyDescent="0.2">
      <c r="B1419" s="230">
        <v>43913</v>
      </c>
      <c r="C1419" s="124">
        <v>154.30000000000001</v>
      </c>
      <c r="D1419" s="156">
        <f t="shared" si="45"/>
        <v>3.0728122912491804E-2</v>
      </c>
      <c r="E1419" s="156">
        <v>6.6550925925924608E-3</v>
      </c>
      <c r="F1419" s="124">
        <v>1413</v>
      </c>
      <c r="G1419" s="238">
        <f t="shared" ca="1" si="46"/>
        <v>1.8149907077003823E-2</v>
      </c>
      <c r="I1419" s="156"/>
    </row>
    <row r="1420" spans="2:9" x14ac:dyDescent="0.2">
      <c r="B1420" s="230">
        <v>43910</v>
      </c>
      <c r="C1420" s="124">
        <v>175.5</v>
      </c>
      <c r="D1420" s="156">
        <f t="shared" si="45"/>
        <v>0.13739468567725202</v>
      </c>
      <c r="E1420" s="156">
        <v>6.6530194472875278E-3</v>
      </c>
      <c r="F1420" s="124">
        <v>1414</v>
      </c>
      <c r="G1420" s="238">
        <f t="shared" ca="1" si="46"/>
        <v>-2.4268009749399203E-2</v>
      </c>
      <c r="I1420" s="156"/>
    </row>
    <row r="1421" spans="2:9" x14ac:dyDescent="0.2">
      <c r="B1421" s="230">
        <v>43909</v>
      </c>
      <c r="C1421" s="124">
        <v>161.85</v>
      </c>
      <c r="D1421" s="156">
        <f t="shared" si="45"/>
        <v>-7.7777777777777807E-2</v>
      </c>
      <c r="E1421" s="156">
        <v>6.6319481347645965E-3</v>
      </c>
      <c r="F1421" s="124">
        <v>1415</v>
      </c>
      <c r="G1421" s="238">
        <f t="shared" ca="1" si="46"/>
        <v>-3.1870725169955594E-4</v>
      </c>
      <c r="I1421" s="156"/>
    </row>
    <row r="1422" spans="2:9" x14ac:dyDescent="0.2">
      <c r="B1422" s="230">
        <v>43908</v>
      </c>
      <c r="C1422" s="124">
        <v>150.69999999999999</v>
      </c>
      <c r="D1422" s="156">
        <f t="shared" si="45"/>
        <v>-6.8890948409020741E-2</v>
      </c>
      <c r="E1422" s="156">
        <v>6.6214470284237173E-3</v>
      </c>
      <c r="F1422" s="124">
        <v>1416</v>
      </c>
      <c r="G1422" s="238">
        <f t="shared" ca="1" si="46"/>
        <v>-7.7681920225130749E-3</v>
      </c>
      <c r="I1422" s="156"/>
    </row>
    <row r="1423" spans="2:9" x14ac:dyDescent="0.2">
      <c r="B1423" s="230">
        <v>43907</v>
      </c>
      <c r="C1423" s="124">
        <v>149.15</v>
      </c>
      <c r="D1423" s="156">
        <f t="shared" si="45"/>
        <v>-1.0285335102853239E-2</v>
      </c>
      <c r="E1423" s="156">
        <v>6.6071428571428115E-3</v>
      </c>
      <c r="F1423" s="124">
        <v>1417</v>
      </c>
      <c r="G1423" s="238">
        <f t="shared" ca="1" si="46"/>
        <v>1.9968616429135506E-2</v>
      </c>
      <c r="I1423" s="156"/>
    </row>
    <row r="1424" spans="2:9" x14ac:dyDescent="0.2">
      <c r="B1424" s="230">
        <v>43906</v>
      </c>
      <c r="C1424" s="124">
        <v>147.25</v>
      </c>
      <c r="D1424" s="156">
        <f t="shared" si="45"/>
        <v>-1.273885350318475E-2</v>
      </c>
      <c r="E1424" s="156">
        <v>6.5994920264812757E-3</v>
      </c>
      <c r="F1424" s="124">
        <v>1418</v>
      </c>
      <c r="G1424" s="238">
        <f t="shared" ca="1" si="46"/>
        <v>-1.7440138303672886E-2</v>
      </c>
      <c r="I1424" s="156"/>
    </row>
    <row r="1425" spans="2:9" x14ac:dyDescent="0.2">
      <c r="B1425" s="230">
        <v>43903</v>
      </c>
      <c r="C1425" s="124">
        <v>162.25</v>
      </c>
      <c r="D1425" s="156">
        <f t="shared" si="45"/>
        <v>0.10186757215619695</v>
      </c>
      <c r="E1425" s="156">
        <v>6.5955908926634416E-3</v>
      </c>
      <c r="F1425" s="124">
        <v>1419</v>
      </c>
      <c r="G1425" s="238">
        <f t="shared" ca="1" si="46"/>
        <v>-8.4873465079365728E-3</v>
      </c>
      <c r="I1425" s="156"/>
    </row>
    <row r="1426" spans="2:9" x14ac:dyDescent="0.2">
      <c r="B1426" s="230">
        <v>43902</v>
      </c>
      <c r="C1426" s="124">
        <v>155.80000000000001</v>
      </c>
      <c r="D1426" s="156">
        <f t="shared" si="45"/>
        <v>-3.9753466872110871E-2</v>
      </c>
      <c r="E1426" s="156">
        <v>6.5847790300113101E-3</v>
      </c>
      <c r="F1426" s="124">
        <v>1420</v>
      </c>
      <c r="G1426" s="238">
        <f t="shared" ca="1" si="46"/>
        <v>1.260634802585033E-2</v>
      </c>
      <c r="I1426" s="156"/>
    </row>
    <row r="1427" spans="2:9" x14ac:dyDescent="0.2">
      <c r="B1427" s="230">
        <v>43901</v>
      </c>
      <c r="C1427" s="124">
        <v>175.65</v>
      </c>
      <c r="D1427" s="156">
        <f t="shared" si="45"/>
        <v>0.12740693196405645</v>
      </c>
      <c r="E1427" s="156">
        <v>6.580521655898541E-3</v>
      </c>
      <c r="F1427" s="124">
        <v>1421</v>
      </c>
      <c r="G1427" s="238">
        <f t="shared" ca="1" si="46"/>
        <v>1.565198793709608E-4</v>
      </c>
      <c r="I1427" s="156"/>
    </row>
    <row r="1428" spans="2:9" x14ac:dyDescent="0.2">
      <c r="B1428" s="230">
        <v>43899</v>
      </c>
      <c r="C1428" s="124">
        <v>177.2</v>
      </c>
      <c r="D1428" s="156">
        <f t="shared" si="45"/>
        <v>8.8243666382008708E-3</v>
      </c>
      <c r="E1428" s="156">
        <v>6.5727699530516697E-3</v>
      </c>
      <c r="F1428" s="124">
        <v>1422</v>
      </c>
      <c r="G1428" s="238">
        <f t="shared" ca="1" si="46"/>
        <v>-2.4363850863116173E-3</v>
      </c>
      <c r="I1428" s="156"/>
    </row>
    <row r="1429" spans="2:9" x14ac:dyDescent="0.2">
      <c r="B1429" s="230">
        <v>43896</v>
      </c>
      <c r="C1429" s="124">
        <v>181.75</v>
      </c>
      <c r="D1429" s="156">
        <f t="shared" si="45"/>
        <v>2.5677200902934603E-2</v>
      </c>
      <c r="E1429" s="156">
        <v>6.5541389836595802E-3</v>
      </c>
      <c r="F1429" s="124">
        <v>1423</v>
      </c>
      <c r="G1429" s="238">
        <f t="shared" ca="1" si="46"/>
        <v>-2.4799938122533048E-3</v>
      </c>
      <c r="I1429" s="156"/>
    </row>
    <row r="1430" spans="2:9" x14ac:dyDescent="0.2">
      <c r="B1430" s="230">
        <v>43895</v>
      </c>
      <c r="C1430" s="124">
        <v>188.05</v>
      </c>
      <c r="D1430" s="156">
        <f t="shared" si="45"/>
        <v>3.4662998624484243E-2</v>
      </c>
      <c r="E1430" s="156">
        <v>6.5489749430525058E-3</v>
      </c>
      <c r="F1430" s="124">
        <v>1424</v>
      </c>
      <c r="G1430" s="238">
        <f t="shared" ca="1" si="46"/>
        <v>1.4259845872647956E-2</v>
      </c>
      <c r="I1430" s="156"/>
    </row>
    <row r="1431" spans="2:9" x14ac:dyDescent="0.2">
      <c r="B1431" s="230">
        <v>43894</v>
      </c>
      <c r="C1431" s="124">
        <v>187.5</v>
      </c>
      <c r="D1431" s="156">
        <f t="shared" si="45"/>
        <v>-2.924754054772727E-3</v>
      </c>
      <c r="E1431" s="156">
        <v>6.5432492818385908E-3</v>
      </c>
      <c r="F1431" s="124">
        <v>1425</v>
      </c>
      <c r="G1431" s="238">
        <f t="shared" ca="1" si="46"/>
        <v>2.0340025377749774E-2</v>
      </c>
      <c r="I1431" s="156"/>
    </row>
    <row r="1432" spans="2:9" x14ac:dyDescent="0.2">
      <c r="B1432" s="230">
        <v>43893</v>
      </c>
      <c r="C1432" s="124">
        <v>193.85</v>
      </c>
      <c r="D1432" s="156">
        <f t="shared" si="45"/>
        <v>3.3866666666666635E-2</v>
      </c>
      <c r="E1432" s="156">
        <v>6.5400186857677003E-3</v>
      </c>
      <c r="F1432" s="124">
        <v>1426</v>
      </c>
      <c r="G1432" s="238">
        <f t="shared" ca="1" si="46"/>
        <v>-2.5049811780370961E-2</v>
      </c>
      <c r="I1432" s="156"/>
    </row>
    <row r="1433" spans="2:9" x14ac:dyDescent="0.2">
      <c r="B1433" s="230">
        <v>43892</v>
      </c>
      <c r="C1433" s="124">
        <v>195.3</v>
      </c>
      <c r="D1433" s="156">
        <f t="shared" si="45"/>
        <v>7.4800103172556979E-3</v>
      </c>
      <c r="E1433" s="156">
        <v>6.5383218307301537E-3</v>
      </c>
      <c r="F1433" s="124">
        <v>1427</v>
      </c>
      <c r="G1433" s="238">
        <f t="shared" ca="1" si="46"/>
        <v>-1.1772019076825348E-2</v>
      </c>
      <c r="I1433" s="156"/>
    </row>
    <row r="1434" spans="2:9" x14ac:dyDescent="0.2">
      <c r="B1434" s="230">
        <v>43889</v>
      </c>
      <c r="C1434" s="124">
        <v>197.55</v>
      </c>
      <c r="D1434" s="156">
        <f t="shared" si="45"/>
        <v>1.1520737327188939E-2</v>
      </c>
      <c r="E1434" s="156">
        <v>6.5355887521968232E-3</v>
      </c>
      <c r="F1434" s="124">
        <v>1428</v>
      </c>
      <c r="G1434" s="238">
        <f t="shared" ca="1" si="46"/>
        <v>-4.789255012166491E-3</v>
      </c>
      <c r="I1434" s="156"/>
    </row>
    <row r="1435" spans="2:9" x14ac:dyDescent="0.2">
      <c r="B1435" s="230">
        <v>43888</v>
      </c>
      <c r="C1435" s="124">
        <v>197.55</v>
      </c>
      <c r="D1435" s="156">
        <f t="shared" si="45"/>
        <v>0</v>
      </c>
      <c r="E1435" s="156">
        <v>6.5258661604176219E-3</v>
      </c>
      <c r="F1435" s="124">
        <v>1429</v>
      </c>
      <c r="G1435" s="238">
        <f t="shared" ca="1" si="46"/>
        <v>1.4895790202000525E-2</v>
      </c>
      <c r="I1435" s="156"/>
    </row>
    <row r="1436" spans="2:9" x14ac:dyDescent="0.2">
      <c r="B1436" s="230">
        <v>43887</v>
      </c>
      <c r="C1436" s="124">
        <v>198.6</v>
      </c>
      <c r="D1436" s="156">
        <f t="shared" si="45"/>
        <v>5.3151100987091013E-3</v>
      </c>
      <c r="E1436" s="156">
        <v>6.5198671423299433E-3</v>
      </c>
      <c r="F1436" s="124">
        <v>1430</v>
      </c>
      <c r="G1436" s="238">
        <f t="shared" ca="1" si="46"/>
        <v>-3.8401883912620848E-3</v>
      </c>
      <c r="I1436" s="156"/>
    </row>
    <row r="1437" spans="2:9" x14ac:dyDescent="0.2">
      <c r="B1437" s="230">
        <v>43886</v>
      </c>
      <c r="C1437" s="124">
        <v>201.8</v>
      </c>
      <c r="D1437" s="156">
        <f t="shared" si="45"/>
        <v>1.6112789526686894E-2</v>
      </c>
      <c r="E1437" s="156">
        <v>6.5193770373054346E-3</v>
      </c>
      <c r="F1437" s="124">
        <v>1431</v>
      </c>
      <c r="G1437" s="238">
        <f t="shared" ca="1" si="46"/>
        <v>-6.0984802686998782E-3</v>
      </c>
      <c r="I1437" s="156"/>
    </row>
    <row r="1438" spans="2:9" x14ac:dyDescent="0.2">
      <c r="B1438" s="230">
        <v>43885</v>
      </c>
      <c r="C1438" s="124">
        <v>203</v>
      </c>
      <c r="D1438" s="156">
        <f t="shared" si="45"/>
        <v>5.9464816650148097E-3</v>
      </c>
      <c r="E1438" s="156">
        <v>6.5155943084368026E-3</v>
      </c>
      <c r="F1438" s="124">
        <v>1432</v>
      </c>
      <c r="G1438" s="238">
        <f t="shared" ca="1" si="46"/>
        <v>-7.1193043001292512E-3</v>
      </c>
      <c r="I1438" s="156"/>
    </row>
    <row r="1439" spans="2:9" x14ac:dyDescent="0.2">
      <c r="B1439" s="230">
        <v>43881</v>
      </c>
      <c r="C1439" s="124">
        <v>207.45</v>
      </c>
      <c r="D1439" s="156">
        <f t="shared" si="45"/>
        <v>2.1921182266009795E-2</v>
      </c>
      <c r="E1439" s="156">
        <v>6.5123354090412342E-3</v>
      </c>
      <c r="F1439" s="124">
        <v>1433</v>
      </c>
      <c r="G1439" s="238">
        <f t="shared" ca="1" si="46"/>
        <v>1.4021222237105856E-2</v>
      </c>
      <c r="I1439" s="156"/>
    </row>
    <row r="1440" spans="2:9" x14ac:dyDescent="0.2">
      <c r="B1440" s="230">
        <v>43880</v>
      </c>
      <c r="C1440" s="124">
        <v>206.7</v>
      </c>
      <c r="D1440" s="156">
        <f t="shared" si="45"/>
        <v>-3.6153289949385397E-3</v>
      </c>
      <c r="E1440" s="156">
        <v>6.5048389655718956E-3</v>
      </c>
      <c r="F1440" s="124">
        <v>1434</v>
      </c>
      <c r="G1440" s="238">
        <f t="shared" ca="1" si="46"/>
        <v>-2.440718534559403E-3</v>
      </c>
      <c r="I1440" s="156"/>
    </row>
    <row r="1441" spans="2:9" x14ac:dyDescent="0.2">
      <c r="B1441" s="230">
        <v>43879</v>
      </c>
      <c r="C1441" s="124">
        <v>203.85</v>
      </c>
      <c r="D1441" s="156">
        <f t="shared" si="45"/>
        <v>-1.3788098693759044E-2</v>
      </c>
      <c r="E1441" s="156">
        <v>6.4902783915157499E-3</v>
      </c>
      <c r="F1441" s="124">
        <v>1435</v>
      </c>
      <c r="G1441" s="238">
        <f t="shared" ca="1" si="46"/>
        <v>1.0811879583624754E-2</v>
      </c>
      <c r="I1441" s="156"/>
    </row>
    <row r="1442" spans="2:9" x14ac:dyDescent="0.2">
      <c r="B1442" s="230">
        <v>43878</v>
      </c>
      <c r="C1442" s="124">
        <v>204.8</v>
      </c>
      <c r="D1442" s="156">
        <f t="shared" si="45"/>
        <v>4.6602894285014329E-3</v>
      </c>
      <c r="E1442" s="156">
        <v>6.4850843060959788E-3</v>
      </c>
      <c r="F1442" s="124">
        <v>1436</v>
      </c>
      <c r="G1442" s="238">
        <f t="shared" ca="1" si="46"/>
        <v>-7.5244996375292009E-3</v>
      </c>
      <c r="I1442" s="156"/>
    </row>
    <row r="1443" spans="2:9" x14ac:dyDescent="0.2">
      <c r="B1443" s="230">
        <v>43875</v>
      </c>
      <c r="C1443" s="124">
        <v>207.7</v>
      </c>
      <c r="D1443" s="156">
        <f t="shared" si="45"/>
        <v>1.4160156249999889E-2</v>
      </c>
      <c r="E1443" s="156">
        <v>6.4563284200268136E-3</v>
      </c>
      <c r="F1443" s="124">
        <v>1437</v>
      </c>
      <c r="G1443" s="238">
        <f t="shared" ca="1" si="46"/>
        <v>8.8443394461805002E-3</v>
      </c>
      <c r="I1443" s="156"/>
    </row>
    <row r="1444" spans="2:9" x14ac:dyDescent="0.2">
      <c r="B1444" s="230">
        <v>43874</v>
      </c>
      <c r="C1444" s="124">
        <v>211.9</v>
      </c>
      <c r="D1444" s="156">
        <f t="shared" si="45"/>
        <v>2.0221473278767537E-2</v>
      </c>
      <c r="E1444" s="156">
        <v>6.4544847540618233E-3</v>
      </c>
      <c r="F1444" s="124">
        <v>1438</v>
      </c>
      <c r="G1444" s="238">
        <f t="shared" ca="1" si="46"/>
        <v>-1.3944572948111392E-2</v>
      </c>
      <c r="I1444" s="156"/>
    </row>
    <row r="1445" spans="2:9" x14ac:dyDescent="0.2">
      <c r="B1445" s="230">
        <v>43873</v>
      </c>
      <c r="C1445" s="124">
        <v>213.05</v>
      </c>
      <c r="D1445" s="156">
        <f t="shared" si="45"/>
        <v>5.4270882491741657E-3</v>
      </c>
      <c r="E1445" s="156">
        <v>6.4516129032258628E-3</v>
      </c>
      <c r="F1445" s="124">
        <v>1439</v>
      </c>
      <c r="G1445" s="238">
        <f t="shared" ca="1" si="46"/>
        <v>1.3996647604776393E-2</v>
      </c>
      <c r="I1445" s="156"/>
    </row>
    <row r="1446" spans="2:9" x14ac:dyDescent="0.2">
      <c r="B1446" s="230">
        <v>43872</v>
      </c>
      <c r="C1446" s="124">
        <v>212.6</v>
      </c>
      <c r="D1446" s="156">
        <f t="shared" si="45"/>
        <v>-2.1121802393805071E-3</v>
      </c>
      <c r="E1446" s="156">
        <v>6.4478621637334118E-3</v>
      </c>
      <c r="F1446" s="124">
        <v>1440</v>
      </c>
      <c r="G1446" s="238">
        <f t="shared" ca="1" si="46"/>
        <v>-2.5776382121220584E-3</v>
      </c>
      <c r="I1446" s="156"/>
    </row>
    <row r="1447" spans="2:9" x14ac:dyDescent="0.2">
      <c r="B1447" s="230">
        <v>43871</v>
      </c>
      <c r="C1447" s="124">
        <v>210.55</v>
      </c>
      <c r="D1447" s="156">
        <f t="shared" si="45"/>
        <v>-9.6425211665097984E-3</v>
      </c>
      <c r="E1447" s="156">
        <v>6.4463342672254056E-3</v>
      </c>
      <c r="F1447" s="124">
        <v>1441</v>
      </c>
      <c r="G1447" s="238">
        <f t="shared" ca="1" si="46"/>
        <v>5.7330722643500944E-3</v>
      </c>
      <c r="I1447" s="156"/>
    </row>
    <row r="1448" spans="2:9" x14ac:dyDescent="0.2">
      <c r="B1448" s="230">
        <v>43868</v>
      </c>
      <c r="C1448" s="124">
        <v>213.4</v>
      </c>
      <c r="D1448" s="156">
        <f t="shared" si="45"/>
        <v>1.3535977202564683E-2</v>
      </c>
      <c r="E1448" s="156">
        <v>6.4407000195171463E-3</v>
      </c>
      <c r="F1448" s="124">
        <v>1442</v>
      </c>
      <c r="G1448" s="238">
        <f t="shared" ca="1" si="46"/>
        <v>5.9665181771682649E-3</v>
      </c>
      <c r="I1448" s="156"/>
    </row>
    <row r="1449" spans="2:9" x14ac:dyDescent="0.2">
      <c r="B1449" s="230">
        <v>43867</v>
      </c>
      <c r="C1449" s="124">
        <v>213.55</v>
      </c>
      <c r="D1449" s="156">
        <f t="shared" si="45"/>
        <v>7.0290534208062639E-4</v>
      </c>
      <c r="E1449" s="156">
        <v>6.4406367723904099E-3</v>
      </c>
      <c r="F1449" s="124">
        <v>1443</v>
      </c>
      <c r="G1449" s="238">
        <f t="shared" ca="1" si="46"/>
        <v>-1.5646516919256104E-2</v>
      </c>
      <c r="I1449" s="156"/>
    </row>
    <row r="1450" spans="2:9" x14ac:dyDescent="0.2">
      <c r="B1450" s="230">
        <v>43866</v>
      </c>
      <c r="C1450" s="124">
        <v>216.45</v>
      </c>
      <c r="D1450" s="156">
        <f t="shared" si="45"/>
        <v>1.3579957855303101E-2</v>
      </c>
      <c r="E1450" s="156">
        <v>6.4377682403433372E-3</v>
      </c>
      <c r="F1450" s="124">
        <v>1444</v>
      </c>
      <c r="G1450" s="238">
        <f t="shared" ca="1" si="46"/>
        <v>-2.2777929310256576E-2</v>
      </c>
      <c r="I1450" s="156"/>
    </row>
    <row r="1451" spans="2:9" x14ac:dyDescent="0.2">
      <c r="B1451" s="230">
        <v>43865</v>
      </c>
      <c r="C1451" s="124">
        <v>215.65</v>
      </c>
      <c r="D1451" s="156">
        <f t="shared" si="45"/>
        <v>-3.6960036960036174E-3</v>
      </c>
      <c r="E1451" s="156">
        <v>6.4363143631437471E-3</v>
      </c>
      <c r="F1451" s="124">
        <v>1445</v>
      </c>
      <c r="G1451" s="238">
        <f t="shared" ca="1" si="46"/>
        <v>-1.5102036161875098E-3</v>
      </c>
      <c r="I1451" s="156"/>
    </row>
    <row r="1452" spans="2:9" x14ac:dyDescent="0.2">
      <c r="B1452" s="230">
        <v>43864</v>
      </c>
      <c r="C1452" s="124">
        <v>207.6</v>
      </c>
      <c r="D1452" s="156">
        <f t="shared" si="45"/>
        <v>-3.7329005332715097E-2</v>
      </c>
      <c r="E1452" s="156">
        <v>6.4225352112675287E-3</v>
      </c>
      <c r="F1452" s="124">
        <v>1446</v>
      </c>
      <c r="G1452" s="238">
        <f t="shared" ca="1" si="46"/>
        <v>1.012045337930513E-2</v>
      </c>
      <c r="I1452" s="156"/>
    </row>
    <row r="1453" spans="2:9" x14ac:dyDescent="0.2">
      <c r="B1453" s="230">
        <v>43862</v>
      </c>
      <c r="C1453" s="124">
        <v>219</v>
      </c>
      <c r="D1453" s="156">
        <f t="shared" si="45"/>
        <v>5.4913294797687889E-2</v>
      </c>
      <c r="E1453" s="156">
        <v>6.3946406820950012E-3</v>
      </c>
      <c r="F1453" s="124">
        <v>1447</v>
      </c>
      <c r="G1453" s="238">
        <f t="shared" ca="1" si="46"/>
        <v>1.6169297496354346E-2</v>
      </c>
      <c r="I1453" s="156"/>
    </row>
    <row r="1454" spans="2:9" x14ac:dyDescent="0.2">
      <c r="B1454" s="230">
        <v>43861</v>
      </c>
      <c r="C1454" s="124">
        <v>235.15</v>
      </c>
      <c r="D1454" s="156">
        <f t="shared" si="45"/>
        <v>7.3744292237442943E-2</v>
      </c>
      <c r="E1454" s="156">
        <v>6.3938618925831201E-3</v>
      </c>
      <c r="F1454" s="124">
        <v>1448</v>
      </c>
      <c r="G1454" s="238">
        <f t="shared" ca="1" si="46"/>
        <v>-3.8519273054112263E-2</v>
      </c>
      <c r="I1454" s="156"/>
    </row>
    <row r="1455" spans="2:9" x14ac:dyDescent="0.2">
      <c r="B1455" s="230">
        <v>43860</v>
      </c>
      <c r="C1455" s="124">
        <v>234.05</v>
      </c>
      <c r="D1455" s="156">
        <f t="shared" si="45"/>
        <v>-4.6778651924303397E-3</v>
      </c>
      <c r="E1455" s="156">
        <v>6.3909107047754711E-3</v>
      </c>
      <c r="F1455" s="124">
        <v>1449</v>
      </c>
      <c r="G1455" s="238">
        <f t="shared" ca="1" si="46"/>
        <v>1.5698342359293196E-2</v>
      </c>
      <c r="I1455" s="156"/>
    </row>
    <row r="1456" spans="2:9" x14ac:dyDescent="0.2">
      <c r="B1456" s="230">
        <v>43859</v>
      </c>
      <c r="C1456" s="124">
        <v>236.65</v>
      </c>
      <c r="D1456" s="156">
        <f t="shared" si="45"/>
        <v>1.1108737449262954E-2</v>
      </c>
      <c r="E1456" s="156">
        <v>6.3827318092143431E-3</v>
      </c>
      <c r="F1456" s="124">
        <v>1450</v>
      </c>
      <c r="G1456" s="238">
        <f t="shared" ca="1" si="46"/>
        <v>-1.2643174869084145E-2</v>
      </c>
      <c r="I1456" s="156"/>
    </row>
    <row r="1457" spans="2:9" x14ac:dyDescent="0.2">
      <c r="B1457" s="230">
        <v>43858</v>
      </c>
      <c r="C1457" s="124">
        <v>230.75</v>
      </c>
      <c r="D1457" s="156">
        <f t="shared" si="45"/>
        <v>-2.4931333192478367E-2</v>
      </c>
      <c r="E1457" s="156">
        <v>6.3816343723672548E-3</v>
      </c>
      <c r="F1457" s="124">
        <v>1451</v>
      </c>
      <c r="G1457" s="238">
        <f t="shared" ca="1" si="46"/>
        <v>7.7607459699883799E-3</v>
      </c>
      <c r="I1457" s="156"/>
    </row>
    <row r="1458" spans="2:9" x14ac:dyDescent="0.2">
      <c r="B1458" s="230">
        <v>43857</v>
      </c>
      <c r="C1458" s="124">
        <v>234.6</v>
      </c>
      <c r="D1458" s="156">
        <f t="shared" si="45"/>
        <v>1.6684723726977223E-2</v>
      </c>
      <c r="E1458" s="156">
        <v>6.3774277707992159E-3</v>
      </c>
      <c r="F1458" s="124">
        <v>1452</v>
      </c>
      <c r="G1458" s="238">
        <f t="shared" ca="1" si="46"/>
        <v>-5.6097205339339729E-3</v>
      </c>
      <c r="I1458" s="156"/>
    </row>
    <row r="1459" spans="2:9" x14ac:dyDescent="0.2">
      <c r="B1459" s="230">
        <v>43854</v>
      </c>
      <c r="C1459" s="124">
        <v>238.15</v>
      </c>
      <c r="D1459" s="156">
        <f t="shared" si="45"/>
        <v>1.5132139812446767E-2</v>
      </c>
      <c r="E1459" s="156">
        <v>6.3722258844209562E-3</v>
      </c>
      <c r="F1459" s="124">
        <v>1453</v>
      </c>
      <c r="G1459" s="238">
        <f t="shared" ca="1" si="46"/>
        <v>-4.440742965888019E-3</v>
      </c>
      <c r="I1459" s="156"/>
    </row>
    <row r="1460" spans="2:9" x14ac:dyDescent="0.2">
      <c r="B1460" s="230">
        <v>43853</v>
      </c>
      <c r="C1460" s="124">
        <v>237.9</v>
      </c>
      <c r="D1460" s="156">
        <f t="shared" si="45"/>
        <v>-1.0497585555322277E-3</v>
      </c>
      <c r="E1460" s="156">
        <v>6.3665975718091884E-3</v>
      </c>
      <c r="F1460" s="124">
        <v>1454</v>
      </c>
      <c r="G1460" s="238">
        <f t="shared" ca="1" si="46"/>
        <v>-1.4016650429638884E-2</v>
      </c>
      <c r="I1460" s="156"/>
    </row>
    <row r="1461" spans="2:9" x14ac:dyDescent="0.2">
      <c r="B1461" s="230">
        <v>43852</v>
      </c>
      <c r="C1461" s="124">
        <v>238.05</v>
      </c>
      <c r="D1461" s="156">
        <f t="shared" si="45"/>
        <v>6.3051702395967076E-4</v>
      </c>
      <c r="E1461" s="156">
        <v>6.3659009133684233E-3</v>
      </c>
      <c r="F1461" s="124">
        <v>1455</v>
      </c>
      <c r="G1461" s="238">
        <f t="shared" ca="1" si="46"/>
        <v>5.3309448014210708E-3</v>
      </c>
      <c r="I1461" s="156"/>
    </row>
    <row r="1462" spans="2:9" x14ac:dyDescent="0.2">
      <c r="B1462" s="230">
        <v>43851</v>
      </c>
      <c r="C1462" s="124">
        <v>238.45</v>
      </c>
      <c r="D1462" s="156">
        <f t="shared" si="45"/>
        <v>1.6803192606594298E-3</v>
      </c>
      <c r="E1462" s="156">
        <v>6.3649901522794695E-3</v>
      </c>
      <c r="F1462" s="124">
        <v>1456</v>
      </c>
      <c r="G1462" s="238">
        <f t="shared" ca="1" si="46"/>
        <v>1.8141586904052896E-2</v>
      </c>
      <c r="I1462" s="156"/>
    </row>
    <row r="1463" spans="2:9" x14ac:dyDescent="0.2">
      <c r="B1463" s="230">
        <v>43850</v>
      </c>
      <c r="C1463" s="124">
        <v>241.9</v>
      </c>
      <c r="D1463" s="156">
        <f t="shared" si="45"/>
        <v>1.4468442021388203E-2</v>
      </c>
      <c r="E1463" s="156">
        <v>6.3637970655824544E-3</v>
      </c>
      <c r="F1463" s="124">
        <v>1457</v>
      </c>
      <c r="G1463" s="238">
        <f t="shared" ca="1" si="46"/>
        <v>2.8020738492207241E-3</v>
      </c>
      <c r="I1463" s="156"/>
    </row>
    <row r="1464" spans="2:9" x14ac:dyDescent="0.2">
      <c r="B1464" s="230">
        <v>43847</v>
      </c>
      <c r="C1464" s="124">
        <v>239.95</v>
      </c>
      <c r="D1464" s="156">
        <f t="shared" si="45"/>
        <v>-8.0611823067383917E-3</v>
      </c>
      <c r="E1464" s="156">
        <v>6.3522502546892925E-3</v>
      </c>
      <c r="F1464" s="124">
        <v>1458</v>
      </c>
      <c r="G1464" s="238">
        <f t="shared" ca="1" si="46"/>
        <v>-1.42551755596616E-2</v>
      </c>
      <c r="I1464" s="156"/>
    </row>
    <row r="1465" spans="2:9" x14ac:dyDescent="0.2">
      <c r="B1465" s="230">
        <v>43846</v>
      </c>
      <c r="C1465" s="124">
        <v>240.75</v>
      </c>
      <c r="D1465" s="156">
        <f t="shared" si="45"/>
        <v>3.3340279224838986E-3</v>
      </c>
      <c r="E1465" s="156">
        <v>6.3486616334935582E-3</v>
      </c>
      <c r="F1465" s="124">
        <v>1459</v>
      </c>
      <c r="G1465" s="238">
        <f t="shared" ca="1" si="46"/>
        <v>8.2337769740310832E-3</v>
      </c>
      <c r="I1465" s="156"/>
    </row>
    <row r="1466" spans="2:9" x14ac:dyDescent="0.2">
      <c r="B1466" s="230">
        <v>43845</v>
      </c>
      <c r="C1466" s="124">
        <v>242.4</v>
      </c>
      <c r="D1466" s="156">
        <f t="shared" si="45"/>
        <v>6.8535825545171574E-3</v>
      </c>
      <c r="E1466" s="156">
        <v>6.3352826510721808E-3</v>
      </c>
      <c r="F1466" s="124">
        <v>1460</v>
      </c>
      <c r="G1466" s="238">
        <f t="shared" ca="1" si="46"/>
        <v>2.0422379731905166E-2</v>
      </c>
      <c r="I1466" s="156"/>
    </row>
    <row r="1467" spans="2:9" x14ac:dyDescent="0.2">
      <c r="B1467" s="230">
        <v>43844</v>
      </c>
      <c r="C1467" s="124">
        <v>243.25</v>
      </c>
      <c r="D1467" s="156">
        <f t="shared" si="45"/>
        <v>3.5066006600659831E-3</v>
      </c>
      <c r="E1467" s="156">
        <v>6.3263204354863448E-3</v>
      </c>
      <c r="F1467" s="124">
        <v>1461</v>
      </c>
      <c r="G1467" s="238">
        <f t="shared" ca="1" si="46"/>
        <v>-1.1469506560382351E-3</v>
      </c>
      <c r="I1467" s="156"/>
    </row>
    <row r="1468" spans="2:9" x14ac:dyDescent="0.2">
      <c r="B1468" s="230">
        <v>43843</v>
      </c>
      <c r="C1468" s="124">
        <v>239.25</v>
      </c>
      <c r="D1468" s="156">
        <f t="shared" si="45"/>
        <v>-1.644398766700925E-2</v>
      </c>
      <c r="E1468" s="156">
        <v>6.324539212143012E-3</v>
      </c>
      <c r="F1468" s="124">
        <v>1462</v>
      </c>
      <c r="G1468" s="238">
        <f t="shared" ca="1" si="46"/>
        <v>-2.1876787620276734E-2</v>
      </c>
      <c r="I1468" s="156"/>
    </row>
    <row r="1469" spans="2:9" x14ac:dyDescent="0.2">
      <c r="B1469" s="230">
        <v>43840</v>
      </c>
      <c r="C1469" s="124">
        <v>238</v>
      </c>
      <c r="D1469" s="156">
        <f t="shared" si="45"/>
        <v>-5.2246603970741903E-3</v>
      </c>
      <c r="E1469" s="156">
        <v>6.3131313131312905E-3</v>
      </c>
      <c r="F1469" s="124">
        <v>1463</v>
      </c>
      <c r="G1469" s="238">
        <f t="shared" ca="1" si="46"/>
        <v>-1.9324791300705457E-3</v>
      </c>
      <c r="I1469" s="156"/>
    </row>
    <row r="1470" spans="2:9" x14ac:dyDescent="0.2">
      <c r="B1470" s="230">
        <v>43839</v>
      </c>
      <c r="C1470" s="124">
        <v>235.8</v>
      </c>
      <c r="D1470" s="156">
        <f t="shared" ref="D1470:D1533" si="47">(C1470-C1469)/C1469</f>
        <v>-9.2436974789915482E-3</v>
      </c>
      <c r="E1470" s="156">
        <v>6.3115374905326942E-3</v>
      </c>
      <c r="F1470" s="124">
        <v>1464</v>
      </c>
      <c r="G1470" s="238">
        <f t="shared" ca="1" si="46"/>
        <v>1.0412336854820762E-2</v>
      </c>
      <c r="I1470" s="156"/>
    </row>
    <row r="1471" spans="2:9" x14ac:dyDescent="0.2">
      <c r="B1471" s="230">
        <v>43838</v>
      </c>
      <c r="C1471" s="124">
        <v>234.2</v>
      </c>
      <c r="D1471" s="156">
        <f t="shared" si="47"/>
        <v>-6.7854113655641335E-3</v>
      </c>
      <c r="E1471" s="156">
        <v>6.3080218995476721E-3</v>
      </c>
      <c r="F1471" s="124">
        <v>1465</v>
      </c>
      <c r="G1471" s="238">
        <f t="shared" ca="1" si="46"/>
        <v>-2.5170687427864297E-2</v>
      </c>
      <c r="I1471" s="156"/>
    </row>
    <row r="1472" spans="2:9" x14ac:dyDescent="0.2">
      <c r="B1472" s="230">
        <v>43837</v>
      </c>
      <c r="C1472" s="124">
        <v>235.35</v>
      </c>
      <c r="D1472" s="156">
        <f t="shared" si="47"/>
        <v>4.9103330486763696E-3</v>
      </c>
      <c r="E1472" s="156">
        <v>6.3057382217817188E-3</v>
      </c>
      <c r="F1472" s="124">
        <v>1466</v>
      </c>
      <c r="G1472" s="238">
        <f t="shared" ca="1" si="46"/>
        <v>-6.8114638180421438E-3</v>
      </c>
      <c r="I1472" s="156"/>
    </row>
    <row r="1473" spans="2:9" x14ac:dyDescent="0.2">
      <c r="B1473" s="230">
        <v>43836</v>
      </c>
      <c r="C1473" s="124">
        <v>235.1</v>
      </c>
      <c r="D1473" s="156">
        <f t="shared" si="47"/>
        <v>-1.0622477161674102E-3</v>
      </c>
      <c r="E1473" s="156">
        <v>6.2974624930542279E-3</v>
      </c>
      <c r="F1473" s="124">
        <v>1467</v>
      </c>
      <c r="G1473" s="238">
        <f t="shared" ca="1" si="46"/>
        <v>3.1195722090041952E-3</v>
      </c>
      <c r="I1473" s="156"/>
    </row>
    <row r="1474" spans="2:9" x14ac:dyDescent="0.2">
      <c r="B1474" s="230">
        <v>43833</v>
      </c>
      <c r="C1474" s="124">
        <v>238.5</v>
      </c>
      <c r="D1474" s="156">
        <f t="shared" si="47"/>
        <v>1.4461931093151874E-2</v>
      </c>
      <c r="E1474" s="156">
        <v>6.2953995157385536E-3</v>
      </c>
      <c r="F1474" s="124">
        <v>1468</v>
      </c>
      <c r="G1474" s="238">
        <f t="shared" ca="1" si="46"/>
        <v>4.1767422651532021E-3</v>
      </c>
      <c r="I1474" s="156"/>
    </row>
    <row r="1475" spans="2:9" x14ac:dyDescent="0.2">
      <c r="B1475" s="230">
        <v>43832</v>
      </c>
      <c r="C1475" s="124">
        <v>239.85</v>
      </c>
      <c r="D1475" s="156">
        <f t="shared" si="47"/>
        <v>5.6603773584905422E-3</v>
      </c>
      <c r="E1475" s="156">
        <v>6.294531625650206E-3</v>
      </c>
      <c r="F1475" s="124">
        <v>1469</v>
      </c>
      <c r="G1475" s="238">
        <f t="shared" ca="1" si="46"/>
        <v>1.0400803664783662E-2</v>
      </c>
      <c r="I1475" s="156"/>
    </row>
    <row r="1476" spans="2:9" x14ac:dyDescent="0.2">
      <c r="B1476" s="230">
        <v>43831</v>
      </c>
      <c r="C1476" s="124">
        <v>238.1</v>
      </c>
      <c r="D1476" s="156">
        <f t="shared" si="47"/>
        <v>-7.2962268084219304E-3</v>
      </c>
      <c r="E1476" s="156">
        <v>6.2757755065447366E-3</v>
      </c>
      <c r="F1476" s="124">
        <v>1470</v>
      </c>
      <c r="G1476" s="238">
        <f t="shared" ca="1" si="46"/>
        <v>-7.0686166493490491E-3</v>
      </c>
      <c r="I1476" s="156"/>
    </row>
    <row r="1477" spans="2:9" x14ac:dyDescent="0.2">
      <c r="B1477" s="230">
        <v>43830</v>
      </c>
      <c r="C1477" s="124">
        <v>237.7</v>
      </c>
      <c r="D1477" s="156">
        <f t="shared" si="47"/>
        <v>-1.6799664006720105E-3</v>
      </c>
      <c r="E1477" s="156">
        <v>6.2717770034842945E-3</v>
      </c>
      <c r="F1477" s="124">
        <v>1471</v>
      </c>
      <c r="G1477" s="238">
        <f t="shared" ca="1" si="46"/>
        <v>-3.0680725116380768E-3</v>
      </c>
      <c r="I1477" s="156"/>
    </row>
    <row r="1478" spans="2:9" x14ac:dyDescent="0.2">
      <c r="B1478" s="230">
        <v>43829</v>
      </c>
      <c r="C1478" s="124">
        <v>238.2</v>
      </c>
      <c r="D1478" s="156">
        <f t="shared" si="47"/>
        <v>2.1034917963819941E-3</v>
      </c>
      <c r="E1478" s="156">
        <v>6.2429057888762837E-3</v>
      </c>
      <c r="F1478" s="124">
        <v>1472</v>
      </c>
      <c r="G1478" s="238">
        <f t="shared" ca="1" si="46"/>
        <v>1.1898944553368483E-2</v>
      </c>
      <c r="I1478" s="156"/>
    </row>
    <row r="1479" spans="2:9" x14ac:dyDescent="0.2">
      <c r="B1479" s="230">
        <v>43826</v>
      </c>
      <c r="C1479" s="124">
        <v>236.9</v>
      </c>
      <c r="D1479" s="156">
        <f t="shared" si="47"/>
        <v>-5.4575986565910282E-3</v>
      </c>
      <c r="E1479" s="156">
        <v>6.2398965405755149E-3</v>
      </c>
      <c r="F1479" s="124">
        <v>1473</v>
      </c>
      <c r="G1479" s="238">
        <f t="shared" ref="G1479:G1542" ca="1" si="48">_xlfn.NORM.INV(RAND(),$L$8,$L$9)</f>
        <v>1.5099382891367082E-2</v>
      </c>
      <c r="I1479" s="156"/>
    </row>
    <row r="1480" spans="2:9" x14ac:dyDescent="0.2">
      <c r="B1480" s="230">
        <v>43825</v>
      </c>
      <c r="C1480" s="124">
        <v>236.8</v>
      </c>
      <c r="D1480" s="156">
        <f t="shared" si="47"/>
        <v>-4.2211903756857031E-4</v>
      </c>
      <c r="E1480" s="156">
        <v>6.2372556075326038E-3</v>
      </c>
      <c r="F1480" s="124">
        <v>1474</v>
      </c>
      <c r="G1480" s="238">
        <f t="shared" ca="1" si="48"/>
        <v>4.2997053939039642E-3</v>
      </c>
      <c r="I1480" s="156"/>
    </row>
    <row r="1481" spans="2:9" x14ac:dyDescent="0.2">
      <c r="B1481" s="230">
        <v>43823</v>
      </c>
      <c r="C1481" s="124">
        <v>238.75</v>
      </c>
      <c r="D1481" s="156">
        <f t="shared" si="47"/>
        <v>8.2347972972972496E-3</v>
      </c>
      <c r="E1481" s="156">
        <v>6.237105982823888E-3</v>
      </c>
      <c r="F1481" s="124">
        <v>1475</v>
      </c>
      <c r="G1481" s="238">
        <f t="shared" ca="1" si="48"/>
        <v>1.4128900554669489E-2</v>
      </c>
      <c r="I1481" s="156"/>
    </row>
    <row r="1482" spans="2:9" x14ac:dyDescent="0.2">
      <c r="B1482" s="230">
        <v>43822</v>
      </c>
      <c r="C1482" s="124">
        <v>238.9</v>
      </c>
      <c r="D1482" s="156">
        <f t="shared" si="47"/>
        <v>6.2827225130892433E-4</v>
      </c>
      <c r="E1482" s="156">
        <v>6.2320230105465555E-3</v>
      </c>
      <c r="F1482" s="124">
        <v>1476</v>
      </c>
      <c r="G1482" s="238">
        <f t="shared" ca="1" si="48"/>
        <v>-2.5571198074508174E-2</v>
      </c>
      <c r="I1482" s="156"/>
    </row>
    <row r="1483" spans="2:9" x14ac:dyDescent="0.2">
      <c r="B1483" s="230">
        <v>43819</v>
      </c>
      <c r="C1483" s="124">
        <v>241.15</v>
      </c>
      <c r="D1483" s="156">
        <f t="shared" si="47"/>
        <v>9.4181665969024688E-3</v>
      </c>
      <c r="E1483" s="156">
        <v>6.221719457013543E-3</v>
      </c>
      <c r="F1483" s="124">
        <v>1477</v>
      </c>
      <c r="G1483" s="238">
        <f t="shared" ca="1" si="48"/>
        <v>9.7375955886659041E-3</v>
      </c>
      <c r="I1483" s="156"/>
    </row>
    <row r="1484" spans="2:9" x14ac:dyDescent="0.2">
      <c r="B1484" s="230">
        <v>43818</v>
      </c>
      <c r="C1484" s="124">
        <v>244.35</v>
      </c>
      <c r="D1484" s="156">
        <f t="shared" si="47"/>
        <v>1.3269749118805674E-2</v>
      </c>
      <c r="E1484" s="156">
        <v>6.2111801242235205E-3</v>
      </c>
      <c r="F1484" s="124">
        <v>1478</v>
      </c>
      <c r="G1484" s="238">
        <f t="shared" ca="1" si="48"/>
        <v>4.5822530656732304E-3</v>
      </c>
      <c r="I1484" s="156"/>
    </row>
    <row r="1485" spans="2:9" x14ac:dyDescent="0.2">
      <c r="B1485" s="230">
        <v>43817</v>
      </c>
      <c r="C1485" s="124">
        <v>245.15</v>
      </c>
      <c r="D1485" s="156">
        <f t="shared" si="47"/>
        <v>3.2739922242685138E-3</v>
      </c>
      <c r="E1485" s="156">
        <v>6.2104523084134181E-3</v>
      </c>
      <c r="F1485" s="124">
        <v>1479</v>
      </c>
      <c r="G1485" s="238">
        <f t="shared" ca="1" si="48"/>
        <v>-2.0473506773712416E-2</v>
      </c>
      <c r="I1485" s="156"/>
    </row>
    <row r="1486" spans="2:9" x14ac:dyDescent="0.2">
      <c r="B1486" s="230">
        <v>43816</v>
      </c>
      <c r="C1486" s="124">
        <v>241.05</v>
      </c>
      <c r="D1486" s="156">
        <f t="shared" si="47"/>
        <v>-1.6724454415663857E-2</v>
      </c>
      <c r="E1486" s="156">
        <v>6.2056074766356079E-3</v>
      </c>
      <c r="F1486" s="124">
        <v>1480</v>
      </c>
      <c r="G1486" s="238">
        <f t="shared" ca="1" si="48"/>
        <v>-1.2473205630497215E-3</v>
      </c>
      <c r="I1486" s="156"/>
    </row>
    <row r="1487" spans="2:9" x14ac:dyDescent="0.2">
      <c r="B1487" s="230">
        <v>43815</v>
      </c>
      <c r="C1487" s="124">
        <v>236.9</v>
      </c>
      <c r="D1487" s="156">
        <f t="shared" si="47"/>
        <v>-1.7216345156606534E-2</v>
      </c>
      <c r="E1487" s="156">
        <v>6.1995817149687223E-3</v>
      </c>
      <c r="F1487" s="124">
        <v>1481</v>
      </c>
      <c r="G1487" s="238">
        <f t="shared" ca="1" si="48"/>
        <v>1.0589251158046441E-3</v>
      </c>
      <c r="I1487" s="156"/>
    </row>
    <row r="1488" spans="2:9" x14ac:dyDescent="0.2">
      <c r="B1488" s="230">
        <v>43812</v>
      </c>
      <c r="C1488" s="124">
        <v>241.6</v>
      </c>
      <c r="D1488" s="156">
        <f t="shared" si="47"/>
        <v>1.9839594765723886E-2</v>
      </c>
      <c r="E1488" s="156">
        <v>6.1930460939573816E-3</v>
      </c>
      <c r="F1488" s="124">
        <v>1482</v>
      </c>
      <c r="G1488" s="238">
        <f t="shared" ca="1" si="48"/>
        <v>2.7872360066130849E-3</v>
      </c>
      <c r="I1488" s="156"/>
    </row>
    <row r="1489" spans="2:9" x14ac:dyDescent="0.2">
      <c r="B1489" s="230">
        <v>43811</v>
      </c>
      <c r="C1489" s="124">
        <v>238.55</v>
      </c>
      <c r="D1489" s="156">
        <f t="shared" si="47"/>
        <v>-1.2624172185430393E-2</v>
      </c>
      <c r="E1489" s="156">
        <v>6.1925314317884559E-3</v>
      </c>
      <c r="F1489" s="124">
        <v>1483</v>
      </c>
      <c r="G1489" s="238">
        <f t="shared" ca="1" si="48"/>
        <v>-1.6455335617707578E-2</v>
      </c>
      <c r="I1489" s="156"/>
    </row>
    <row r="1490" spans="2:9" x14ac:dyDescent="0.2">
      <c r="B1490" s="230">
        <v>43810</v>
      </c>
      <c r="C1490" s="124">
        <v>237.6</v>
      </c>
      <c r="D1490" s="156">
        <f t="shared" si="47"/>
        <v>-3.9823936281702665E-3</v>
      </c>
      <c r="E1490" s="156">
        <v>6.1891117478510742E-3</v>
      </c>
      <c r="F1490" s="124">
        <v>1484</v>
      </c>
      <c r="G1490" s="238">
        <f t="shared" ca="1" si="48"/>
        <v>2.2742568467107281E-2</v>
      </c>
      <c r="I1490" s="156"/>
    </row>
    <row r="1491" spans="2:9" x14ac:dyDescent="0.2">
      <c r="B1491" s="230">
        <v>43809</v>
      </c>
      <c r="C1491" s="124">
        <v>235.6</v>
      </c>
      <c r="D1491" s="156">
        <f t="shared" si="47"/>
        <v>-8.4175084175084174E-3</v>
      </c>
      <c r="E1491" s="156">
        <v>6.1829423531550784E-3</v>
      </c>
      <c r="F1491" s="124">
        <v>1485</v>
      </c>
      <c r="G1491" s="238">
        <f t="shared" ca="1" si="48"/>
        <v>-4.0881007582849738E-2</v>
      </c>
      <c r="I1491" s="156"/>
    </row>
    <row r="1492" spans="2:9" x14ac:dyDescent="0.2">
      <c r="B1492" s="230">
        <v>43808</v>
      </c>
      <c r="C1492" s="124">
        <v>241.45</v>
      </c>
      <c r="D1492" s="156">
        <f t="shared" si="47"/>
        <v>2.4830220713072983E-2</v>
      </c>
      <c r="E1492" s="156">
        <v>6.1743951612902937E-3</v>
      </c>
      <c r="F1492" s="124">
        <v>1486</v>
      </c>
      <c r="G1492" s="238">
        <f t="shared" ca="1" si="48"/>
        <v>1.6657449739491018E-2</v>
      </c>
      <c r="I1492" s="156"/>
    </row>
    <row r="1493" spans="2:9" x14ac:dyDescent="0.2">
      <c r="B1493" s="230">
        <v>43805</v>
      </c>
      <c r="C1493" s="124">
        <v>243.35</v>
      </c>
      <c r="D1493" s="156">
        <f t="shared" si="47"/>
        <v>7.8691240422447944E-3</v>
      </c>
      <c r="E1493" s="156">
        <v>6.1715589669121343E-3</v>
      </c>
      <c r="F1493" s="124">
        <v>1487</v>
      </c>
      <c r="G1493" s="238">
        <f t="shared" ca="1" si="48"/>
        <v>-2.9246503917367193E-2</v>
      </c>
      <c r="I1493" s="156"/>
    </row>
    <row r="1494" spans="2:9" x14ac:dyDescent="0.2">
      <c r="B1494" s="230">
        <v>43804</v>
      </c>
      <c r="C1494" s="124">
        <v>246.95</v>
      </c>
      <c r="D1494" s="156">
        <f t="shared" si="47"/>
        <v>1.4793507294020935E-2</v>
      </c>
      <c r="E1494" s="156">
        <v>6.1485909479078102E-3</v>
      </c>
      <c r="F1494" s="124">
        <v>1488</v>
      </c>
      <c r="G1494" s="238">
        <f t="shared" ca="1" si="48"/>
        <v>-1.0728565704251477E-2</v>
      </c>
      <c r="I1494" s="156"/>
    </row>
    <row r="1495" spans="2:9" x14ac:dyDescent="0.2">
      <c r="B1495" s="230">
        <v>43803</v>
      </c>
      <c r="C1495" s="124">
        <v>243.15</v>
      </c>
      <c r="D1495" s="156">
        <f t="shared" si="47"/>
        <v>-1.5387730309779239E-2</v>
      </c>
      <c r="E1495" s="156">
        <v>6.1471346420780603E-3</v>
      </c>
      <c r="F1495" s="124">
        <v>1489</v>
      </c>
      <c r="G1495" s="238">
        <f t="shared" ca="1" si="48"/>
        <v>5.9407289406854906E-3</v>
      </c>
      <c r="I1495" s="156"/>
    </row>
    <row r="1496" spans="2:9" x14ac:dyDescent="0.2">
      <c r="B1496" s="230">
        <v>43802</v>
      </c>
      <c r="C1496" s="124">
        <v>244.05</v>
      </c>
      <c r="D1496" s="156">
        <f t="shared" si="47"/>
        <v>3.7014188772362972E-3</v>
      </c>
      <c r="E1496" s="156">
        <v>6.1318219572972293E-3</v>
      </c>
      <c r="F1496" s="124">
        <v>1490</v>
      </c>
      <c r="G1496" s="238">
        <f t="shared" ca="1" si="48"/>
        <v>1.5304364845930396E-2</v>
      </c>
      <c r="I1496" s="156"/>
    </row>
    <row r="1497" spans="2:9" x14ac:dyDescent="0.2">
      <c r="B1497" s="230">
        <v>43801</v>
      </c>
      <c r="C1497" s="124">
        <v>244.95</v>
      </c>
      <c r="D1497" s="156">
        <f t="shared" si="47"/>
        <v>3.6877688998155182E-3</v>
      </c>
      <c r="E1497" s="156">
        <v>6.1305959509551271E-3</v>
      </c>
      <c r="F1497" s="124">
        <v>1491</v>
      </c>
      <c r="G1497" s="238">
        <f t="shared" ca="1" si="48"/>
        <v>-2.4323634287662821E-2</v>
      </c>
      <c r="I1497" s="156"/>
    </row>
    <row r="1498" spans="2:9" x14ac:dyDescent="0.2">
      <c r="B1498" s="230">
        <v>43798</v>
      </c>
      <c r="C1498" s="124">
        <v>246.4</v>
      </c>
      <c r="D1498" s="156">
        <f t="shared" si="47"/>
        <v>5.9195754235558977E-3</v>
      </c>
      <c r="E1498" s="156">
        <v>6.1247216035634428E-3</v>
      </c>
      <c r="F1498" s="124">
        <v>1492</v>
      </c>
      <c r="G1498" s="238">
        <f t="shared" ca="1" si="48"/>
        <v>1.3607997266178206E-2</v>
      </c>
      <c r="I1498" s="156"/>
    </row>
    <row r="1499" spans="2:9" x14ac:dyDescent="0.2">
      <c r="B1499" s="230">
        <v>43797</v>
      </c>
      <c r="C1499" s="124">
        <v>246.7</v>
      </c>
      <c r="D1499" s="156">
        <f t="shared" si="47"/>
        <v>1.2175324675323983E-3</v>
      </c>
      <c r="E1499" s="156">
        <v>6.1231630510846747E-3</v>
      </c>
      <c r="F1499" s="124">
        <v>1493</v>
      </c>
      <c r="G1499" s="238">
        <f t="shared" ca="1" si="48"/>
        <v>1.9727224883817247E-2</v>
      </c>
      <c r="I1499" s="156"/>
    </row>
    <row r="1500" spans="2:9" x14ac:dyDescent="0.2">
      <c r="B1500" s="230">
        <v>43796</v>
      </c>
      <c r="C1500" s="124">
        <v>246.95</v>
      </c>
      <c r="D1500" s="156">
        <f t="shared" si="47"/>
        <v>1.0133765707336848E-3</v>
      </c>
      <c r="E1500" s="156">
        <v>6.12127045235794E-3</v>
      </c>
      <c r="F1500" s="124">
        <v>1494</v>
      </c>
      <c r="G1500" s="238">
        <f t="shared" ca="1" si="48"/>
        <v>1.9296906022314108E-2</v>
      </c>
      <c r="I1500" s="156"/>
    </row>
    <row r="1501" spans="2:9" x14ac:dyDescent="0.2">
      <c r="B1501" s="230">
        <v>43795</v>
      </c>
      <c r="C1501" s="124">
        <v>249.15</v>
      </c>
      <c r="D1501" s="156">
        <f t="shared" si="47"/>
        <v>8.9086859688196681E-3</v>
      </c>
      <c r="E1501" s="156">
        <v>6.1200923787529003E-3</v>
      </c>
      <c r="F1501" s="124">
        <v>1495</v>
      </c>
      <c r="G1501" s="238">
        <f t="shared" ca="1" si="48"/>
        <v>7.2411037360797553E-4</v>
      </c>
      <c r="I1501" s="156"/>
    </row>
    <row r="1502" spans="2:9" x14ac:dyDescent="0.2">
      <c r="B1502" s="230">
        <v>43794</v>
      </c>
      <c r="C1502" s="124">
        <v>247.75</v>
      </c>
      <c r="D1502" s="156">
        <f t="shared" si="47"/>
        <v>-5.6191049568533238E-3</v>
      </c>
      <c r="E1502" s="156">
        <v>6.1191626409016981E-3</v>
      </c>
      <c r="F1502" s="124">
        <v>1496</v>
      </c>
      <c r="G1502" s="238">
        <f t="shared" ca="1" si="48"/>
        <v>-1.6184324101065208E-2</v>
      </c>
      <c r="I1502" s="156"/>
    </row>
    <row r="1503" spans="2:9" x14ac:dyDescent="0.2">
      <c r="B1503" s="230">
        <v>43791</v>
      </c>
      <c r="C1503" s="124">
        <v>247.65</v>
      </c>
      <c r="D1503" s="156">
        <f t="shared" si="47"/>
        <v>-4.0363269424821118E-4</v>
      </c>
      <c r="E1503" s="156">
        <v>6.1132561132561927E-3</v>
      </c>
      <c r="F1503" s="124">
        <v>1497</v>
      </c>
      <c r="G1503" s="238">
        <f t="shared" ca="1" si="48"/>
        <v>8.5802451777697315E-3</v>
      </c>
      <c r="I1503" s="156"/>
    </row>
    <row r="1504" spans="2:9" x14ac:dyDescent="0.2">
      <c r="B1504" s="230">
        <v>43790</v>
      </c>
      <c r="C1504" s="124">
        <v>245.7</v>
      </c>
      <c r="D1504" s="156">
        <f t="shared" si="47"/>
        <v>-7.8740157480315653E-3</v>
      </c>
      <c r="E1504" s="156">
        <v>6.1124694376528364E-3</v>
      </c>
      <c r="F1504" s="124">
        <v>1498</v>
      </c>
      <c r="G1504" s="238">
        <f t="shared" ca="1" si="48"/>
        <v>-7.4150195292681598E-3</v>
      </c>
      <c r="I1504" s="156"/>
    </row>
    <row r="1505" spans="2:9" x14ac:dyDescent="0.2">
      <c r="B1505" s="230">
        <v>43789</v>
      </c>
      <c r="C1505" s="124">
        <v>250.7</v>
      </c>
      <c r="D1505" s="156">
        <f t="shared" si="47"/>
        <v>2.0350020350020349E-2</v>
      </c>
      <c r="E1505" s="156">
        <v>6.1118101743665131E-3</v>
      </c>
      <c r="F1505" s="124">
        <v>1499</v>
      </c>
      <c r="G1505" s="238">
        <f t="shared" ca="1" si="48"/>
        <v>1.1190748353167752E-2</v>
      </c>
      <c r="I1505" s="156"/>
    </row>
    <row r="1506" spans="2:9" x14ac:dyDescent="0.2">
      <c r="B1506" s="230">
        <v>43788</v>
      </c>
      <c r="C1506" s="124">
        <v>249.3</v>
      </c>
      <c r="D1506" s="156">
        <f t="shared" si="47"/>
        <v>-5.5843637814119561E-3</v>
      </c>
      <c r="E1506" s="156">
        <v>6.1112496882016606E-3</v>
      </c>
      <c r="F1506" s="124">
        <v>1500</v>
      </c>
      <c r="G1506" s="238">
        <f t="shared" ca="1" si="48"/>
        <v>-2.3216617497145087E-2</v>
      </c>
      <c r="I1506" s="156"/>
    </row>
    <row r="1507" spans="2:9" x14ac:dyDescent="0.2">
      <c r="B1507" s="230">
        <v>43787</v>
      </c>
      <c r="C1507" s="124">
        <v>250.75</v>
      </c>
      <c r="D1507" s="156">
        <f t="shared" si="47"/>
        <v>5.8162855996790556E-3</v>
      </c>
      <c r="E1507" s="156">
        <v>6.0824510024781384E-3</v>
      </c>
      <c r="F1507" s="124">
        <v>1501</v>
      </c>
      <c r="G1507" s="238">
        <f t="shared" ca="1" si="48"/>
        <v>1.9075356753009434E-2</v>
      </c>
      <c r="I1507" s="156"/>
    </row>
    <row r="1508" spans="2:9" x14ac:dyDescent="0.2">
      <c r="B1508" s="230">
        <v>43784</v>
      </c>
      <c r="C1508" s="124">
        <v>250.65</v>
      </c>
      <c r="D1508" s="156">
        <f t="shared" si="47"/>
        <v>-3.9880358923228041E-4</v>
      </c>
      <c r="E1508" s="156">
        <v>6.0646900269541526E-3</v>
      </c>
      <c r="F1508" s="124">
        <v>1502</v>
      </c>
      <c r="G1508" s="238">
        <f t="shared" ca="1" si="48"/>
        <v>5.978676695776541E-3</v>
      </c>
      <c r="I1508" s="156"/>
    </row>
    <row r="1509" spans="2:9" x14ac:dyDescent="0.2">
      <c r="B1509" s="230">
        <v>43783</v>
      </c>
      <c r="C1509" s="124">
        <v>253.9</v>
      </c>
      <c r="D1509" s="156">
        <f t="shared" si="47"/>
        <v>1.2966287652104528E-2</v>
      </c>
      <c r="E1509" s="156">
        <v>6.0594402231412469E-3</v>
      </c>
      <c r="F1509" s="124">
        <v>1503</v>
      </c>
      <c r="G1509" s="238">
        <f t="shared" ca="1" si="48"/>
        <v>-4.0726429483243986E-3</v>
      </c>
      <c r="I1509" s="156"/>
    </row>
    <row r="1510" spans="2:9" x14ac:dyDescent="0.2">
      <c r="B1510" s="230">
        <v>43782</v>
      </c>
      <c r="C1510" s="124">
        <v>253.85</v>
      </c>
      <c r="D1510" s="156">
        <f t="shared" si="47"/>
        <v>-1.9692792437972181E-4</v>
      </c>
      <c r="E1510" s="156">
        <v>6.0332769670779036E-3</v>
      </c>
      <c r="F1510" s="124">
        <v>1504</v>
      </c>
      <c r="G1510" s="238">
        <f t="shared" ca="1" si="48"/>
        <v>3.1289828418519045E-2</v>
      </c>
      <c r="I1510" s="156"/>
    </row>
    <row r="1511" spans="2:9" x14ac:dyDescent="0.2">
      <c r="B1511" s="230">
        <v>43780</v>
      </c>
      <c r="C1511" s="124">
        <v>259.45</v>
      </c>
      <c r="D1511" s="156">
        <f t="shared" si="47"/>
        <v>2.2060271814063403E-2</v>
      </c>
      <c r="E1511" s="156">
        <v>6.0251334136683472E-3</v>
      </c>
      <c r="F1511" s="124">
        <v>1505</v>
      </c>
      <c r="G1511" s="238">
        <f t="shared" ca="1" si="48"/>
        <v>2.538038860435524E-2</v>
      </c>
      <c r="I1511" s="156"/>
    </row>
    <row r="1512" spans="2:9" x14ac:dyDescent="0.2">
      <c r="B1512" s="230">
        <v>43777</v>
      </c>
      <c r="C1512" s="124">
        <v>260.5</v>
      </c>
      <c r="D1512" s="156">
        <f t="shared" si="47"/>
        <v>4.0470225476970951E-3</v>
      </c>
      <c r="E1512" s="156">
        <v>6.0226735947093869E-3</v>
      </c>
      <c r="F1512" s="124">
        <v>1506</v>
      </c>
      <c r="G1512" s="238">
        <f t="shared" ca="1" si="48"/>
        <v>-1.2147753854338956E-2</v>
      </c>
      <c r="I1512" s="156"/>
    </row>
    <row r="1513" spans="2:9" x14ac:dyDescent="0.2">
      <c r="B1513" s="230">
        <v>43776</v>
      </c>
      <c r="C1513" s="124">
        <v>265.85000000000002</v>
      </c>
      <c r="D1513" s="156">
        <f t="shared" si="47"/>
        <v>2.0537428023032718E-2</v>
      </c>
      <c r="E1513" s="156">
        <v>6.0220233998623781E-3</v>
      </c>
      <c r="F1513" s="124">
        <v>1507</v>
      </c>
      <c r="G1513" s="238">
        <f t="shared" ca="1" si="48"/>
        <v>1.8985378277766966E-2</v>
      </c>
      <c r="I1513" s="156"/>
    </row>
    <row r="1514" spans="2:9" x14ac:dyDescent="0.2">
      <c r="B1514" s="230">
        <v>43775</v>
      </c>
      <c r="C1514" s="124">
        <v>261.35000000000002</v>
      </c>
      <c r="D1514" s="156">
        <f t="shared" si="47"/>
        <v>-1.6926838442730862E-2</v>
      </c>
      <c r="E1514" s="156">
        <v>6.0196560196560155E-3</v>
      </c>
      <c r="F1514" s="124">
        <v>1508</v>
      </c>
      <c r="G1514" s="238">
        <f t="shared" ca="1" si="48"/>
        <v>9.998730385623324E-3</v>
      </c>
      <c r="I1514" s="156"/>
    </row>
    <row r="1515" spans="2:9" x14ac:dyDescent="0.2">
      <c r="B1515" s="230">
        <v>43774</v>
      </c>
      <c r="C1515" s="124">
        <v>262.89999999999998</v>
      </c>
      <c r="D1515" s="156">
        <f t="shared" si="47"/>
        <v>5.9307442127413601E-3</v>
      </c>
      <c r="E1515" s="156">
        <v>6.014483859089207E-3</v>
      </c>
      <c r="F1515" s="124">
        <v>1509</v>
      </c>
      <c r="G1515" s="238">
        <f t="shared" ca="1" si="48"/>
        <v>-1.0543379477967815E-2</v>
      </c>
      <c r="I1515" s="156"/>
    </row>
    <row r="1516" spans="2:9" x14ac:dyDescent="0.2">
      <c r="B1516" s="230">
        <v>43773</v>
      </c>
      <c r="C1516" s="124">
        <v>260.75</v>
      </c>
      <c r="D1516" s="156">
        <f t="shared" si="47"/>
        <v>-8.1780144541649964E-3</v>
      </c>
      <c r="E1516" s="156">
        <v>6.0136308966992225E-3</v>
      </c>
      <c r="F1516" s="124">
        <v>1510</v>
      </c>
      <c r="G1516" s="238">
        <f t="shared" ca="1" si="48"/>
        <v>-3.0876902962719308E-2</v>
      </c>
      <c r="I1516" s="156"/>
    </row>
    <row r="1517" spans="2:9" x14ac:dyDescent="0.2">
      <c r="B1517" s="230">
        <v>43770</v>
      </c>
      <c r="C1517" s="124">
        <v>261.3</v>
      </c>
      <c r="D1517" s="156">
        <f t="shared" si="47"/>
        <v>2.1093000958773206E-3</v>
      </c>
      <c r="E1517" s="156">
        <v>6.0004138216428245E-3</v>
      </c>
      <c r="F1517" s="124">
        <v>1511</v>
      </c>
      <c r="G1517" s="238">
        <f t="shared" ca="1" si="48"/>
        <v>-7.4174395982460023E-4</v>
      </c>
      <c r="I1517" s="156"/>
    </row>
    <row r="1518" spans="2:9" x14ac:dyDescent="0.2">
      <c r="B1518" s="230">
        <v>43769</v>
      </c>
      <c r="C1518" s="124">
        <v>257.64999999999998</v>
      </c>
      <c r="D1518" s="156">
        <f t="shared" si="47"/>
        <v>-1.3968618446230516E-2</v>
      </c>
      <c r="E1518" s="156">
        <v>5.9866740143279052E-3</v>
      </c>
      <c r="F1518" s="124">
        <v>1512</v>
      </c>
      <c r="G1518" s="238">
        <f t="shared" ca="1" si="48"/>
        <v>-6.6437763878869592E-3</v>
      </c>
      <c r="I1518" s="156"/>
    </row>
    <row r="1519" spans="2:9" x14ac:dyDescent="0.2">
      <c r="B1519" s="230">
        <v>43768</v>
      </c>
      <c r="C1519" s="124">
        <v>259.39999999999998</v>
      </c>
      <c r="D1519" s="156">
        <f t="shared" si="47"/>
        <v>6.7921599068503794E-3</v>
      </c>
      <c r="E1519" s="156">
        <v>5.9718743979965761E-3</v>
      </c>
      <c r="F1519" s="124">
        <v>1513</v>
      </c>
      <c r="G1519" s="238">
        <f t="shared" ca="1" si="48"/>
        <v>1.1591056974782564E-2</v>
      </c>
      <c r="I1519" s="156"/>
    </row>
    <row r="1520" spans="2:9" x14ac:dyDescent="0.2">
      <c r="B1520" s="230">
        <v>43767</v>
      </c>
      <c r="C1520" s="124">
        <v>253.25</v>
      </c>
      <c r="D1520" s="156">
        <f t="shared" si="47"/>
        <v>-2.3708558211256659E-2</v>
      </c>
      <c r="E1520" s="156">
        <v>5.9464816650148097E-3</v>
      </c>
      <c r="F1520" s="124">
        <v>1514</v>
      </c>
      <c r="G1520" s="238">
        <f t="shared" ca="1" si="48"/>
        <v>3.0209782343346779E-2</v>
      </c>
      <c r="I1520" s="156"/>
    </row>
    <row r="1521" spans="2:9" x14ac:dyDescent="0.2">
      <c r="B1521" s="230">
        <v>43765</v>
      </c>
      <c r="C1521" s="124">
        <v>250.4</v>
      </c>
      <c r="D1521" s="156">
        <f t="shared" si="47"/>
        <v>-1.1253701875616957E-2</v>
      </c>
      <c r="E1521" s="156">
        <v>5.9443911792905514E-3</v>
      </c>
      <c r="F1521" s="124">
        <v>1515</v>
      </c>
      <c r="G1521" s="238">
        <f t="shared" ca="1" si="48"/>
        <v>1.3811696733052638E-2</v>
      </c>
      <c r="I1521" s="156"/>
    </row>
    <row r="1522" spans="2:9" x14ac:dyDescent="0.2">
      <c r="B1522" s="230">
        <v>43763</v>
      </c>
      <c r="C1522" s="124">
        <v>247.7</v>
      </c>
      <c r="D1522" s="156">
        <f t="shared" si="47"/>
        <v>-1.0782747603833933E-2</v>
      </c>
      <c r="E1522" s="156">
        <v>5.9385489284792441E-3</v>
      </c>
      <c r="F1522" s="124">
        <v>1516</v>
      </c>
      <c r="G1522" s="238">
        <f t="shared" ca="1" si="48"/>
        <v>2.8135169737668157E-2</v>
      </c>
      <c r="I1522" s="156"/>
    </row>
    <row r="1523" spans="2:9" x14ac:dyDescent="0.2">
      <c r="B1523" s="230">
        <v>43762</v>
      </c>
      <c r="C1523" s="124">
        <v>249.05</v>
      </c>
      <c r="D1523" s="156">
        <f t="shared" si="47"/>
        <v>5.4501412999597206E-3</v>
      </c>
      <c r="E1523" s="156">
        <v>5.9369202226345584E-3</v>
      </c>
      <c r="F1523" s="124">
        <v>1517</v>
      </c>
      <c r="G1523" s="238">
        <f t="shared" ca="1" si="48"/>
        <v>9.2093361056954648E-3</v>
      </c>
      <c r="I1523" s="156"/>
    </row>
    <row r="1524" spans="2:9" x14ac:dyDescent="0.2">
      <c r="B1524" s="230">
        <v>43761</v>
      </c>
      <c r="C1524" s="124">
        <v>251.05</v>
      </c>
      <c r="D1524" s="156">
        <f t="shared" si="47"/>
        <v>8.0305159606504709E-3</v>
      </c>
      <c r="E1524" s="156">
        <v>5.9307442127413601E-3</v>
      </c>
      <c r="F1524" s="124">
        <v>1518</v>
      </c>
      <c r="G1524" s="238">
        <f t="shared" ca="1" si="48"/>
        <v>4.6976184632966664E-3</v>
      </c>
      <c r="I1524" s="156"/>
    </row>
    <row r="1525" spans="2:9" x14ac:dyDescent="0.2">
      <c r="B1525" s="230">
        <v>43760</v>
      </c>
      <c r="C1525" s="124">
        <v>248.9</v>
      </c>
      <c r="D1525" s="156">
        <f t="shared" si="47"/>
        <v>-8.5640310695080882E-3</v>
      </c>
      <c r="E1525" s="156">
        <v>5.9245960502693545E-3</v>
      </c>
      <c r="F1525" s="124">
        <v>1519</v>
      </c>
      <c r="G1525" s="238">
        <f t="shared" ca="1" si="48"/>
        <v>1.0559745338098961E-2</v>
      </c>
      <c r="I1525" s="156"/>
    </row>
    <row r="1526" spans="2:9" x14ac:dyDescent="0.2">
      <c r="B1526" s="230">
        <v>43756</v>
      </c>
      <c r="C1526" s="124">
        <v>246.5</v>
      </c>
      <c r="D1526" s="156">
        <f t="shared" si="47"/>
        <v>-9.6424266773804963E-3</v>
      </c>
      <c r="E1526" s="156">
        <v>5.920663114268798E-3</v>
      </c>
      <c r="F1526" s="124">
        <v>1520</v>
      </c>
      <c r="G1526" s="238">
        <f t="shared" ca="1" si="48"/>
        <v>2.1262625262500213E-2</v>
      </c>
      <c r="I1526" s="156"/>
    </row>
    <row r="1527" spans="2:9" x14ac:dyDescent="0.2">
      <c r="B1527" s="230">
        <v>43755</v>
      </c>
      <c r="C1527" s="124">
        <v>245.85</v>
      </c>
      <c r="D1527" s="156">
        <f t="shared" si="47"/>
        <v>-2.6369168356998201E-3</v>
      </c>
      <c r="E1527" s="156">
        <v>5.9199621122424818E-3</v>
      </c>
      <c r="F1527" s="124">
        <v>1521</v>
      </c>
      <c r="G1527" s="238">
        <f t="shared" ca="1" si="48"/>
        <v>-5.8874119292326075E-4</v>
      </c>
      <c r="I1527" s="156"/>
    </row>
    <row r="1528" spans="2:9" x14ac:dyDescent="0.2">
      <c r="B1528" s="230">
        <v>43754</v>
      </c>
      <c r="C1528" s="124">
        <v>243.65</v>
      </c>
      <c r="D1528" s="156">
        <f t="shared" si="47"/>
        <v>-8.9485458612974939E-3</v>
      </c>
      <c r="E1528" s="156">
        <v>5.9195754235558977E-3</v>
      </c>
      <c r="F1528" s="124">
        <v>1522</v>
      </c>
      <c r="G1528" s="238">
        <f t="shared" ca="1" si="48"/>
        <v>-1.4531376010786521E-2</v>
      </c>
      <c r="I1528" s="156"/>
    </row>
    <row r="1529" spans="2:9" x14ac:dyDescent="0.2">
      <c r="B1529" s="230">
        <v>43753</v>
      </c>
      <c r="C1529" s="124">
        <v>247.6</v>
      </c>
      <c r="D1529" s="156">
        <f t="shared" si="47"/>
        <v>1.6211779191463119E-2</v>
      </c>
      <c r="E1529" s="156">
        <v>5.911938586429028E-3</v>
      </c>
      <c r="F1529" s="124">
        <v>1523</v>
      </c>
      <c r="G1529" s="238">
        <f t="shared" ca="1" si="48"/>
        <v>3.8353793392603149E-2</v>
      </c>
      <c r="I1529" s="156"/>
    </row>
    <row r="1530" spans="2:9" x14ac:dyDescent="0.2">
      <c r="B1530" s="230">
        <v>43752</v>
      </c>
      <c r="C1530" s="124">
        <v>244.1</v>
      </c>
      <c r="D1530" s="156">
        <f t="shared" si="47"/>
        <v>-1.4135702746365105E-2</v>
      </c>
      <c r="E1530" s="156">
        <v>5.9091676515279426E-3</v>
      </c>
      <c r="F1530" s="124">
        <v>1524</v>
      </c>
      <c r="G1530" s="238">
        <f t="shared" ca="1" si="48"/>
        <v>-9.6288617859807656E-3</v>
      </c>
      <c r="I1530" s="156"/>
    </row>
    <row r="1531" spans="2:9" x14ac:dyDescent="0.2">
      <c r="B1531" s="230">
        <v>43749</v>
      </c>
      <c r="C1531" s="124">
        <v>243.95</v>
      </c>
      <c r="D1531" s="156">
        <f t="shared" si="47"/>
        <v>-6.1450225317495166E-4</v>
      </c>
      <c r="E1531" s="156">
        <v>5.9015798075177563E-3</v>
      </c>
      <c r="F1531" s="124">
        <v>1525</v>
      </c>
      <c r="G1531" s="238">
        <f t="shared" ca="1" si="48"/>
        <v>-1.2932073283617104E-2</v>
      </c>
      <c r="I1531" s="156"/>
    </row>
    <row r="1532" spans="2:9" x14ac:dyDescent="0.2">
      <c r="B1532" s="230">
        <v>43748</v>
      </c>
      <c r="C1532" s="124">
        <v>243.2</v>
      </c>
      <c r="D1532" s="156">
        <f t="shared" si="47"/>
        <v>-3.0744004919040788E-3</v>
      </c>
      <c r="E1532" s="156">
        <v>5.9007512978427887E-3</v>
      </c>
      <c r="F1532" s="124">
        <v>1526</v>
      </c>
      <c r="G1532" s="238">
        <f t="shared" ca="1" si="48"/>
        <v>-7.2232280004712324E-3</v>
      </c>
      <c r="I1532" s="156"/>
    </row>
    <row r="1533" spans="2:9" x14ac:dyDescent="0.2">
      <c r="B1533" s="230">
        <v>43747</v>
      </c>
      <c r="C1533" s="124">
        <v>247.1</v>
      </c>
      <c r="D1533" s="156">
        <f t="shared" si="47"/>
        <v>1.6036184210526341E-2</v>
      </c>
      <c r="E1533" s="156">
        <v>5.8931860036833253E-3</v>
      </c>
      <c r="F1533" s="124">
        <v>1527</v>
      </c>
      <c r="G1533" s="238">
        <f t="shared" ca="1" si="48"/>
        <v>-6.8680206334961807E-3</v>
      </c>
      <c r="I1533" s="156"/>
    </row>
    <row r="1534" spans="2:9" x14ac:dyDescent="0.2">
      <c r="B1534" s="230">
        <v>43745</v>
      </c>
      <c r="C1534" s="124">
        <v>251.9</v>
      </c>
      <c r="D1534" s="156">
        <f t="shared" ref="D1534:D1597" si="49">(C1534-C1533)/C1533</f>
        <v>1.9425333872925988E-2</v>
      </c>
      <c r="E1534" s="156">
        <v>5.8846436761714558E-3</v>
      </c>
      <c r="F1534" s="124">
        <v>1528</v>
      </c>
      <c r="G1534" s="238">
        <f t="shared" ca="1" si="48"/>
        <v>-4.9935049662830708E-5</v>
      </c>
      <c r="I1534" s="156"/>
    </row>
    <row r="1535" spans="2:9" x14ac:dyDescent="0.2">
      <c r="B1535" s="230">
        <v>43742</v>
      </c>
      <c r="C1535" s="124">
        <v>257.25</v>
      </c>
      <c r="D1535" s="156">
        <f t="shared" si="49"/>
        <v>2.1238586740770123E-2</v>
      </c>
      <c r="E1535" s="156">
        <v>5.8792558792558946E-3</v>
      </c>
      <c r="F1535" s="124">
        <v>1529</v>
      </c>
      <c r="G1535" s="238">
        <f t="shared" ca="1" si="48"/>
        <v>1.2628075765903997E-2</v>
      </c>
      <c r="I1535" s="156"/>
    </row>
    <row r="1536" spans="2:9" x14ac:dyDescent="0.2">
      <c r="B1536" s="230">
        <v>43741</v>
      </c>
      <c r="C1536" s="124">
        <v>261.64999999999998</v>
      </c>
      <c r="D1536" s="156">
        <f t="shared" si="49"/>
        <v>1.7103984450923138E-2</v>
      </c>
      <c r="E1536" s="156">
        <v>5.8779201205727298E-3</v>
      </c>
      <c r="F1536" s="124">
        <v>1530</v>
      </c>
      <c r="G1536" s="238">
        <f t="shared" ca="1" si="48"/>
        <v>1.6494525988122219E-2</v>
      </c>
      <c r="I1536" s="156"/>
    </row>
    <row r="1537" spans="2:9" x14ac:dyDescent="0.2">
      <c r="B1537" s="230">
        <v>43739</v>
      </c>
      <c r="C1537" s="124">
        <v>255.9</v>
      </c>
      <c r="D1537" s="156">
        <f t="shared" si="49"/>
        <v>-2.1975922033250418E-2</v>
      </c>
      <c r="E1537" s="156">
        <v>5.8737151248163906E-3</v>
      </c>
      <c r="F1537" s="124">
        <v>1531</v>
      </c>
      <c r="G1537" s="238">
        <f t="shared" ca="1" si="48"/>
        <v>2.1267185971074343E-2</v>
      </c>
      <c r="I1537" s="156"/>
    </row>
    <row r="1538" spans="2:9" x14ac:dyDescent="0.2">
      <c r="B1538" s="230">
        <v>43738</v>
      </c>
      <c r="C1538" s="124">
        <v>259.85000000000002</v>
      </c>
      <c r="D1538" s="156">
        <f t="shared" si="49"/>
        <v>1.5435717076983263E-2</v>
      </c>
      <c r="E1538" s="156">
        <v>5.8645096056622673E-3</v>
      </c>
      <c r="F1538" s="124">
        <v>1532</v>
      </c>
      <c r="G1538" s="238">
        <f t="shared" ca="1" si="48"/>
        <v>-4.7766052736283237E-3</v>
      </c>
      <c r="I1538" s="156"/>
    </row>
    <row r="1539" spans="2:9" x14ac:dyDescent="0.2">
      <c r="B1539" s="230">
        <v>43735</v>
      </c>
      <c r="C1539" s="124">
        <v>252.95</v>
      </c>
      <c r="D1539" s="156">
        <f t="shared" si="49"/>
        <v>-2.6553781027516002E-2</v>
      </c>
      <c r="E1539" s="156">
        <v>5.8644603966419885E-3</v>
      </c>
      <c r="F1539" s="124">
        <v>1533</v>
      </c>
      <c r="G1539" s="238">
        <f t="shared" ca="1" si="48"/>
        <v>2.222918917227128E-2</v>
      </c>
      <c r="I1539" s="156"/>
    </row>
    <row r="1540" spans="2:9" x14ac:dyDescent="0.2">
      <c r="B1540" s="230">
        <v>43734</v>
      </c>
      <c r="C1540" s="124">
        <v>250.4</v>
      </c>
      <c r="D1540" s="156">
        <f t="shared" si="49"/>
        <v>-1.0081043684522567E-2</v>
      </c>
      <c r="E1540" s="156">
        <v>5.8530661809350938E-3</v>
      </c>
      <c r="F1540" s="124">
        <v>1534</v>
      </c>
      <c r="G1540" s="238">
        <f t="shared" ca="1" si="48"/>
        <v>2.1944125704880305E-2</v>
      </c>
      <c r="I1540" s="156"/>
    </row>
    <row r="1541" spans="2:9" x14ac:dyDescent="0.2">
      <c r="B1541" s="230">
        <v>43733</v>
      </c>
      <c r="C1541" s="124">
        <v>247.55</v>
      </c>
      <c r="D1541" s="156">
        <f t="shared" si="49"/>
        <v>-1.138178913738017E-2</v>
      </c>
      <c r="E1541" s="156">
        <v>5.8488533169154299E-3</v>
      </c>
      <c r="F1541" s="124">
        <v>1535</v>
      </c>
      <c r="G1541" s="238">
        <f t="shared" ca="1" si="48"/>
        <v>-7.3851817125891017E-3</v>
      </c>
      <c r="I1541" s="156"/>
    </row>
    <row r="1542" spans="2:9" x14ac:dyDescent="0.2">
      <c r="B1542" s="230">
        <v>43732</v>
      </c>
      <c r="C1542" s="124">
        <v>256</v>
      </c>
      <c r="D1542" s="156">
        <f t="shared" si="49"/>
        <v>3.4134518279135481E-2</v>
      </c>
      <c r="E1542" s="156">
        <v>5.8476694246961522E-3</v>
      </c>
      <c r="F1542" s="124">
        <v>1536</v>
      </c>
      <c r="G1542" s="238">
        <f t="shared" ca="1" si="48"/>
        <v>1.178201260902614E-2</v>
      </c>
      <c r="I1542" s="156"/>
    </row>
    <row r="1543" spans="2:9" x14ac:dyDescent="0.2">
      <c r="B1543" s="230">
        <v>43731</v>
      </c>
      <c r="C1543" s="124">
        <v>254.85</v>
      </c>
      <c r="D1543" s="156">
        <f t="shared" si="49"/>
        <v>-4.4921875000000222E-3</v>
      </c>
      <c r="E1543" s="156">
        <v>5.8457476899868429E-3</v>
      </c>
      <c r="F1543" s="124">
        <v>1537</v>
      </c>
      <c r="G1543" s="238">
        <f t="shared" ref="G1543:G1606" ca="1" si="50">_xlfn.NORM.INV(RAND(),$L$8,$L$9)</f>
        <v>-7.50619295571988E-3</v>
      </c>
      <c r="I1543" s="156"/>
    </row>
    <row r="1544" spans="2:9" x14ac:dyDescent="0.2">
      <c r="B1544" s="230">
        <v>43728</v>
      </c>
      <c r="C1544" s="124">
        <v>238.05</v>
      </c>
      <c r="D1544" s="156">
        <f t="shared" si="49"/>
        <v>-6.5921130076515538E-2</v>
      </c>
      <c r="E1544" s="156">
        <v>5.844707111604586E-3</v>
      </c>
      <c r="F1544" s="124">
        <v>1538</v>
      </c>
      <c r="G1544" s="238">
        <f t="shared" ca="1" si="50"/>
        <v>1.987577934464297E-2</v>
      </c>
      <c r="I1544" s="156"/>
    </row>
    <row r="1545" spans="2:9" x14ac:dyDescent="0.2">
      <c r="B1545" s="230">
        <v>43727</v>
      </c>
      <c r="C1545" s="124">
        <v>236.7</v>
      </c>
      <c r="D1545" s="156">
        <f t="shared" si="49"/>
        <v>-5.6710775047259928E-3</v>
      </c>
      <c r="E1545" s="156">
        <v>5.8431524048675847E-3</v>
      </c>
      <c r="F1545" s="124">
        <v>1539</v>
      </c>
      <c r="G1545" s="238">
        <f t="shared" ca="1" si="50"/>
        <v>-1.4844069212750409E-2</v>
      </c>
      <c r="I1545" s="156"/>
    </row>
    <row r="1546" spans="2:9" x14ac:dyDescent="0.2">
      <c r="B1546" s="230">
        <v>43726</v>
      </c>
      <c r="C1546" s="124">
        <v>239.25</v>
      </c>
      <c r="D1546" s="156">
        <f t="shared" si="49"/>
        <v>1.0773130544993712E-2</v>
      </c>
      <c r="E1546" s="156">
        <v>5.8369057133861929E-3</v>
      </c>
      <c r="F1546" s="124">
        <v>1540</v>
      </c>
      <c r="G1546" s="238">
        <f t="shared" ca="1" si="50"/>
        <v>2.6379741003487334E-2</v>
      </c>
      <c r="I1546" s="156"/>
    </row>
    <row r="1547" spans="2:9" x14ac:dyDescent="0.2">
      <c r="B1547" s="230">
        <v>43725</v>
      </c>
      <c r="C1547" s="124">
        <v>237.2</v>
      </c>
      <c r="D1547" s="156">
        <f t="shared" si="49"/>
        <v>-8.5684430512017202E-3</v>
      </c>
      <c r="E1547" s="156">
        <v>5.8321183086855952E-3</v>
      </c>
      <c r="F1547" s="124">
        <v>1541</v>
      </c>
      <c r="G1547" s="238">
        <f t="shared" ca="1" si="50"/>
        <v>-4.2520935126805198E-3</v>
      </c>
      <c r="I1547" s="156"/>
    </row>
    <row r="1548" spans="2:9" x14ac:dyDescent="0.2">
      <c r="B1548" s="230">
        <v>43724</v>
      </c>
      <c r="C1548" s="124">
        <v>239.4</v>
      </c>
      <c r="D1548" s="156">
        <f t="shared" si="49"/>
        <v>9.2748735244520108E-3</v>
      </c>
      <c r="E1548" s="156">
        <v>5.8162855996790556E-3</v>
      </c>
      <c r="F1548" s="124">
        <v>1542</v>
      </c>
      <c r="G1548" s="238">
        <f t="shared" ca="1" si="50"/>
        <v>1.4590176142369323E-2</v>
      </c>
      <c r="I1548" s="156"/>
    </row>
    <row r="1549" spans="2:9" x14ac:dyDescent="0.2">
      <c r="B1549" s="230">
        <v>43721</v>
      </c>
      <c r="C1549" s="124">
        <v>239.9</v>
      </c>
      <c r="D1549" s="156">
        <f t="shared" si="49"/>
        <v>2.0885547201336674E-3</v>
      </c>
      <c r="E1549" s="156">
        <v>5.815099546619391E-3</v>
      </c>
      <c r="F1549" s="124">
        <v>1543</v>
      </c>
      <c r="G1549" s="238">
        <f t="shared" ca="1" si="50"/>
        <v>-1.3693656048705505E-2</v>
      </c>
      <c r="I1549" s="156"/>
    </row>
    <row r="1550" spans="2:9" x14ac:dyDescent="0.2">
      <c r="B1550" s="230">
        <v>43720</v>
      </c>
      <c r="C1550" s="124">
        <v>240.75</v>
      </c>
      <c r="D1550" s="156">
        <f t="shared" si="49"/>
        <v>3.5431429762400762E-3</v>
      </c>
      <c r="E1550" s="156">
        <v>5.8072009291521244E-3</v>
      </c>
      <c r="F1550" s="124">
        <v>1544</v>
      </c>
      <c r="G1550" s="238">
        <f t="shared" ca="1" si="50"/>
        <v>3.0302592596119719E-2</v>
      </c>
      <c r="I1550" s="156"/>
    </row>
    <row r="1551" spans="2:9" x14ac:dyDescent="0.2">
      <c r="B1551" s="230">
        <v>43719</v>
      </c>
      <c r="C1551" s="124">
        <v>243.75</v>
      </c>
      <c r="D1551" s="156">
        <f t="shared" si="49"/>
        <v>1.2461059190031152E-2</v>
      </c>
      <c r="E1551" s="156">
        <v>5.7948618891249751E-3</v>
      </c>
      <c r="F1551" s="124">
        <v>1545</v>
      </c>
      <c r="G1551" s="238">
        <f t="shared" ca="1" si="50"/>
        <v>-2.5048668688993646E-2</v>
      </c>
      <c r="I1551" s="156"/>
    </row>
    <row r="1552" spans="2:9" x14ac:dyDescent="0.2">
      <c r="B1552" s="230">
        <v>43717</v>
      </c>
      <c r="C1552" s="124">
        <v>245.5</v>
      </c>
      <c r="D1552" s="156">
        <f t="shared" si="49"/>
        <v>7.1794871794871795E-3</v>
      </c>
      <c r="E1552" s="156">
        <v>5.7859209257473485E-3</v>
      </c>
      <c r="F1552" s="124">
        <v>1546</v>
      </c>
      <c r="G1552" s="238">
        <f t="shared" ca="1" si="50"/>
        <v>3.1137050138904502E-2</v>
      </c>
      <c r="I1552" s="156"/>
    </row>
    <row r="1553" spans="2:9" x14ac:dyDescent="0.2">
      <c r="B1553" s="230">
        <v>43714</v>
      </c>
      <c r="C1553" s="124">
        <v>243.9</v>
      </c>
      <c r="D1553" s="156">
        <f t="shared" si="49"/>
        <v>-6.5173116089612803E-3</v>
      </c>
      <c r="E1553" s="156">
        <v>5.7760108018903361E-3</v>
      </c>
      <c r="F1553" s="124">
        <v>1547</v>
      </c>
      <c r="G1553" s="238">
        <f t="shared" ca="1" si="50"/>
        <v>-1.0679551061184638E-2</v>
      </c>
      <c r="I1553" s="156"/>
    </row>
    <row r="1554" spans="2:9" x14ac:dyDescent="0.2">
      <c r="B1554" s="230">
        <v>43713</v>
      </c>
      <c r="C1554" s="124">
        <v>244.25</v>
      </c>
      <c r="D1554" s="156">
        <f t="shared" si="49"/>
        <v>1.4350143501434781E-3</v>
      </c>
      <c r="E1554" s="156">
        <v>5.7642615782150216E-3</v>
      </c>
      <c r="F1554" s="124">
        <v>1548</v>
      </c>
      <c r="G1554" s="238">
        <f t="shared" ca="1" si="50"/>
        <v>-1.9553771513377234E-2</v>
      </c>
      <c r="I1554" s="156"/>
    </row>
    <row r="1555" spans="2:9" x14ac:dyDescent="0.2">
      <c r="B1555" s="230">
        <v>43712</v>
      </c>
      <c r="C1555" s="124">
        <v>243.25</v>
      </c>
      <c r="D1555" s="156">
        <f t="shared" si="49"/>
        <v>-4.0941658137154556E-3</v>
      </c>
      <c r="E1555" s="156">
        <v>5.7512580877066314E-3</v>
      </c>
      <c r="F1555" s="124">
        <v>1549</v>
      </c>
      <c r="G1555" s="238">
        <f t="shared" ca="1" si="50"/>
        <v>-5.3064835682372198E-5</v>
      </c>
      <c r="I1555" s="156"/>
    </row>
    <row r="1556" spans="2:9" x14ac:dyDescent="0.2">
      <c r="B1556" s="230">
        <v>43711</v>
      </c>
      <c r="C1556" s="124">
        <v>241.55</v>
      </c>
      <c r="D1556" s="156">
        <f t="shared" si="49"/>
        <v>-6.988694758478884E-3</v>
      </c>
      <c r="E1556" s="156">
        <v>5.733871484400091E-3</v>
      </c>
      <c r="F1556" s="124">
        <v>1550</v>
      </c>
      <c r="G1556" s="238">
        <f t="shared" ca="1" si="50"/>
        <v>4.087678557265083E-3</v>
      </c>
      <c r="I1556" s="156"/>
    </row>
    <row r="1557" spans="2:9" x14ac:dyDescent="0.2">
      <c r="B1557" s="230">
        <v>43707</v>
      </c>
      <c r="C1557" s="124">
        <v>245.65</v>
      </c>
      <c r="D1557" s="156">
        <f t="shared" si="49"/>
        <v>1.697371144690538E-2</v>
      </c>
      <c r="E1557" s="156">
        <v>5.7292910002387683E-3</v>
      </c>
      <c r="F1557" s="124">
        <v>1551</v>
      </c>
      <c r="G1557" s="238">
        <f t="shared" ca="1" si="50"/>
        <v>-1.4226869938089711E-2</v>
      </c>
      <c r="I1557" s="156"/>
    </row>
    <row r="1558" spans="2:9" x14ac:dyDescent="0.2">
      <c r="B1558" s="230">
        <v>43706</v>
      </c>
      <c r="C1558" s="124">
        <v>241.2</v>
      </c>
      <c r="D1558" s="156">
        <f t="shared" si="49"/>
        <v>-1.8115204559332451E-2</v>
      </c>
      <c r="E1558" s="156">
        <v>5.7116746630111953E-3</v>
      </c>
      <c r="F1558" s="124">
        <v>1552</v>
      </c>
      <c r="G1558" s="238">
        <f t="shared" ca="1" si="50"/>
        <v>2.364721866578598E-2</v>
      </c>
      <c r="I1558" s="156"/>
    </row>
    <row r="1559" spans="2:9" x14ac:dyDescent="0.2">
      <c r="B1559" s="230">
        <v>43705</v>
      </c>
      <c r="C1559" s="124">
        <v>245.95</v>
      </c>
      <c r="D1559" s="156">
        <f t="shared" si="49"/>
        <v>1.9693200663349918E-2</v>
      </c>
      <c r="E1559" s="156">
        <v>5.706067916125393E-3</v>
      </c>
      <c r="F1559" s="124">
        <v>1553</v>
      </c>
      <c r="G1559" s="238">
        <f t="shared" ca="1" si="50"/>
        <v>-9.4357177975172794E-3</v>
      </c>
      <c r="I1559" s="156"/>
    </row>
    <row r="1560" spans="2:9" x14ac:dyDescent="0.2">
      <c r="B1560" s="230">
        <v>43704</v>
      </c>
      <c r="C1560" s="124">
        <v>245.5</v>
      </c>
      <c r="D1560" s="156">
        <f t="shared" si="49"/>
        <v>-1.8296401707663698E-3</v>
      </c>
      <c r="E1560" s="156">
        <v>5.7049714751425647E-3</v>
      </c>
      <c r="F1560" s="124">
        <v>1554</v>
      </c>
      <c r="G1560" s="238">
        <f t="shared" ca="1" si="50"/>
        <v>-9.5070877667159182E-4</v>
      </c>
      <c r="I1560" s="156"/>
    </row>
    <row r="1561" spans="2:9" x14ac:dyDescent="0.2">
      <c r="B1561" s="230">
        <v>43703</v>
      </c>
      <c r="C1561" s="124">
        <v>242.5</v>
      </c>
      <c r="D1561" s="156">
        <f t="shared" si="49"/>
        <v>-1.2219959266802444E-2</v>
      </c>
      <c r="E1561" s="156">
        <v>5.7007125890736251E-3</v>
      </c>
      <c r="F1561" s="124">
        <v>1555</v>
      </c>
      <c r="G1561" s="238">
        <f t="shared" ca="1" si="50"/>
        <v>3.6237336255933268E-3</v>
      </c>
      <c r="I1561" s="156"/>
    </row>
    <row r="1562" spans="2:9" x14ac:dyDescent="0.2">
      <c r="B1562" s="230">
        <v>43700</v>
      </c>
      <c r="C1562" s="124">
        <v>236.1</v>
      </c>
      <c r="D1562" s="156">
        <f t="shared" si="49"/>
        <v>-2.639175257731961E-2</v>
      </c>
      <c r="E1562" s="156">
        <v>5.699417668194799E-3</v>
      </c>
      <c r="F1562" s="124">
        <v>1556</v>
      </c>
      <c r="G1562" s="238">
        <f t="shared" ca="1" si="50"/>
        <v>-1.1447404824684017E-2</v>
      </c>
      <c r="I1562" s="156"/>
    </row>
    <row r="1563" spans="2:9" x14ac:dyDescent="0.2">
      <c r="B1563" s="230">
        <v>43699</v>
      </c>
      <c r="C1563" s="124">
        <v>240.05</v>
      </c>
      <c r="D1563" s="156">
        <f t="shared" si="49"/>
        <v>1.6730199068191516E-2</v>
      </c>
      <c r="E1563" s="156">
        <v>5.6936800151831468E-3</v>
      </c>
      <c r="F1563" s="124">
        <v>1557</v>
      </c>
      <c r="G1563" s="238">
        <f t="shared" ca="1" si="50"/>
        <v>3.2422605812513854E-3</v>
      </c>
      <c r="I1563" s="156"/>
    </row>
    <row r="1564" spans="2:9" x14ac:dyDescent="0.2">
      <c r="B1564" s="230">
        <v>43698</v>
      </c>
      <c r="C1564" s="124">
        <v>241.45</v>
      </c>
      <c r="D1564" s="156">
        <f t="shared" si="49"/>
        <v>5.8321183086855952E-3</v>
      </c>
      <c r="E1564" s="156">
        <v>5.6858564321250939E-3</v>
      </c>
      <c r="F1564" s="124">
        <v>1558</v>
      </c>
      <c r="G1564" s="238">
        <f t="shared" ca="1" si="50"/>
        <v>-3.1405130167831585E-2</v>
      </c>
      <c r="I1564" s="156"/>
    </row>
    <row r="1565" spans="2:9" x14ac:dyDescent="0.2">
      <c r="B1565" s="230">
        <v>43697</v>
      </c>
      <c r="C1565" s="124">
        <v>246.5</v>
      </c>
      <c r="D1565" s="156">
        <f t="shared" si="49"/>
        <v>2.0915303375440099E-2</v>
      </c>
      <c r="E1565" s="156">
        <v>5.6790123456790407E-3</v>
      </c>
      <c r="F1565" s="124">
        <v>1559</v>
      </c>
      <c r="G1565" s="238">
        <f t="shared" ca="1" si="50"/>
        <v>7.0925331430753708E-3</v>
      </c>
      <c r="I1565" s="156"/>
    </row>
    <row r="1566" spans="2:9" x14ac:dyDescent="0.2">
      <c r="B1566" s="230">
        <v>43696</v>
      </c>
      <c r="C1566" s="124">
        <v>251.55</v>
      </c>
      <c r="D1566" s="156">
        <f t="shared" si="49"/>
        <v>2.0486815415821546E-2</v>
      </c>
      <c r="E1566" s="156">
        <v>5.6772100567721237E-3</v>
      </c>
      <c r="F1566" s="124">
        <v>1560</v>
      </c>
      <c r="G1566" s="238">
        <f t="shared" ca="1" si="50"/>
        <v>-7.9945847534698324E-3</v>
      </c>
      <c r="I1566" s="156"/>
    </row>
    <row r="1567" spans="2:9" x14ac:dyDescent="0.2">
      <c r="B1567" s="230">
        <v>43693</v>
      </c>
      <c r="C1567" s="124">
        <v>253</v>
      </c>
      <c r="D1567" s="156">
        <f t="shared" si="49"/>
        <v>5.7642615782150216E-3</v>
      </c>
      <c r="E1567" s="156">
        <v>5.6603773584905422E-3</v>
      </c>
      <c r="F1567" s="124">
        <v>1561</v>
      </c>
      <c r="G1567" s="238">
        <f t="shared" ca="1" si="50"/>
        <v>2.6299567384221689E-2</v>
      </c>
      <c r="I1567" s="156"/>
    </row>
    <row r="1568" spans="2:9" x14ac:dyDescent="0.2">
      <c r="B1568" s="230">
        <v>43691</v>
      </c>
      <c r="C1568" s="124">
        <v>248.75</v>
      </c>
      <c r="D1568" s="156">
        <f t="shared" si="49"/>
        <v>-1.6798418972332016E-2</v>
      </c>
      <c r="E1568" s="156">
        <v>5.6598919475173365E-3</v>
      </c>
      <c r="F1568" s="124">
        <v>1562</v>
      </c>
      <c r="G1568" s="238">
        <f t="shared" ca="1" si="50"/>
        <v>-4.2782173837459404E-3</v>
      </c>
      <c r="I1568" s="156"/>
    </row>
    <row r="1569" spans="2:9" x14ac:dyDescent="0.2">
      <c r="B1569" s="230">
        <v>43690</v>
      </c>
      <c r="C1569" s="124">
        <v>246.3</v>
      </c>
      <c r="D1569" s="156">
        <f t="shared" si="49"/>
        <v>-9.8492462311557324E-3</v>
      </c>
      <c r="E1569" s="156">
        <v>5.6554231468389305E-3</v>
      </c>
      <c r="F1569" s="124">
        <v>1563</v>
      </c>
      <c r="G1569" s="238">
        <f t="shared" ca="1" si="50"/>
        <v>7.7144430142297256E-3</v>
      </c>
      <c r="I1569" s="156"/>
    </row>
    <row r="1570" spans="2:9" x14ac:dyDescent="0.2">
      <c r="B1570" s="230">
        <v>43686</v>
      </c>
      <c r="C1570" s="124">
        <v>254.2</v>
      </c>
      <c r="D1570" s="156">
        <f t="shared" si="49"/>
        <v>3.2074705643524062E-2</v>
      </c>
      <c r="E1570" s="156">
        <v>5.6524944703859421E-3</v>
      </c>
      <c r="F1570" s="124">
        <v>1564</v>
      </c>
      <c r="G1570" s="238">
        <f t="shared" ca="1" si="50"/>
        <v>1.0526735236202357E-2</v>
      </c>
      <c r="I1570" s="156"/>
    </row>
    <row r="1571" spans="2:9" x14ac:dyDescent="0.2">
      <c r="B1571" s="230">
        <v>43685</v>
      </c>
      <c r="C1571" s="124">
        <v>257.75</v>
      </c>
      <c r="D1571" s="156">
        <f t="shared" si="49"/>
        <v>1.3965381589299809E-2</v>
      </c>
      <c r="E1571" s="156">
        <v>5.6386369208139536E-3</v>
      </c>
      <c r="F1571" s="124">
        <v>1565</v>
      </c>
      <c r="G1571" s="238">
        <f t="shared" ca="1" si="50"/>
        <v>2.8112333465119556E-3</v>
      </c>
      <c r="I1571" s="156"/>
    </row>
    <row r="1572" spans="2:9" x14ac:dyDescent="0.2">
      <c r="B1572" s="230">
        <v>43684</v>
      </c>
      <c r="C1572" s="124">
        <v>253.65</v>
      </c>
      <c r="D1572" s="156">
        <f t="shared" si="49"/>
        <v>-1.5906886517943721E-2</v>
      </c>
      <c r="E1572" s="156">
        <v>5.636167406163863E-3</v>
      </c>
      <c r="F1572" s="124">
        <v>1566</v>
      </c>
      <c r="G1572" s="238">
        <f t="shared" ca="1" si="50"/>
        <v>1.032052518944335E-2</v>
      </c>
      <c r="I1572" s="156"/>
    </row>
    <row r="1573" spans="2:9" x14ac:dyDescent="0.2">
      <c r="B1573" s="230">
        <v>43683</v>
      </c>
      <c r="C1573" s="124">
        <v>258.89999999999998</v>
      </c>
      <c r="D1573" s="156">
        <f t="shared" si="49"/>
        <v>2.0697811945594211E-2</v>
      </c>
      <c r="E1573" s="156">
        <v>5.633802816901355E-3</v>
      </c>
      <c r="F1573" s="124">
        <v>1567</v>
      </c>
      <c r="G1573" s="238">
        <f t="shared" ca="1" si="50"/>
        <v>-1.5500466717463314E-2</v>
      </c>
      <c r="I1573" s="156"/>
    </row>
    <row r="1574" spans="2:9" x14ac:dyDescent="0.2">
      <c r="B1574" s="230">
        <v>43682</v>
      </c>
      <c r="C1574" s="124">
        <v>259.8</v>
      </c>
      <c r="D1574" s="156">
        <f t="shared" si="49"/>
        <v>3.4762456546930639E-3</v>
      </c>
      <c r="E1574" s="156">
        <v>5.6317622040987269E-3</v>
      </c>
      <c r="F1574" s="124">
        <v>1568</v>
      </c>
      <c r="G1574" s="238">
        <f t="shared" ca="1" si="50"/>
        <v>-2.253178420148106E-2</v>
      </c>
      <c r="I1574" s="156"/>
    </row>
    <row r="1575" spans="2:9" x14ac:dyDescent="0.2">
      <c r="B1575" s="230">
        <v>43679</v>
      </c>
      <c r="C1575" s="124">
        <v>264.5</v>
      </c>
      <c r="D1575" s="156">
        <f t="shared" si="49"/>
        <v>1.8090839107005343E-2</v>
      </c>
      <c r="E1575" s="156">
        <v>5.6310679611650044E-3</v>
      </c>
      <c r="F1575" s="124">
        <v>1569</v>
      </c>
      <c r="G1575" s="238">
        <f t="shared" ca="1" si="50"/>
        <v>-2.3004239404073302E-2</v>
      </c>
      <c r="I1575" s="156"/>
    </row>
    <row r="1576" spans="2:9" x14ac:dyDescent="0.2">
      <c r="B1576" s="230">
        <v>43678</v>
      </c>
      <c r="C1576" s="124">
        <v>267.55</v>
      </c>
      <c r="D1576" s="156">
        <f t="shared" si="49"/>
        <v>1.1531190926276035E-2</v>
      </c>
      <c r="E1576" s="156">
        <v>5.6245264323599902E-3</v>
      </c>
      <c r="F1576" s="124">
        <v>1570</v>
      </c>
      <c r="G1576" s="238">
        <f t="shared" ca="1" si="50"/>
        <v>-1.1191877965297742E-2</v>
      </c>
      <c r="I1576" s="156"/>
    </row>
    <row r="1577" spans="2:9" x14ac:dyDescent="0.2">
      <c r="B1577" s="230">
        <v>43677</v>
      </c>
      <c r="C1577" s="124">
        <v>270.2</v>
      </c>
      <c r="D1577" s="156">
        <f t="shared" si="49"/>
        <v>9.9046907120163598E-3</v>
      </c>
      <c r="E1577" s="156">
        <v>5.6237218813907095E-3</v>
      </c>
      <c r="F1577" s="124">
        <v>1571</v>
      </c>
      <c r="G1577" s="238">
        <f t="shared" ca="1" si="50"/>
        <v>1.1672432705209127E-2</v>
      </c>
      <c r="I1577" s="156"/>
    </row>
    <row r="1578" spans="2:9" x14ac:dyDescent="0.2">
      <c r="B1578" s="230">
        <v>43676</v>
      </c>
      <c r="C1578" s="124">
        <v>268.89999999999998</v>
      </c>
      <c r="D1578" s="156">
        <f t="shared" si="49"/>
        <v>-4.811250925240605E-3</v>
      </c>
      <c r="E1578" s="156">
        <v>5.6227157717176658E-3</v>
      </c>
      <c r="F1578" s="124">
        <v>1572</v>
      </c>
      <c r="G1578" s="238">
        <f t="shared" ca="1" si="50"/>
        <v>2.063975107747458E-2</v>
      </c>
      <c r="I1578" s="156"/>
    </row>
    <row r="1579" spans="2:9" x14ac:dyDescent="0.2">
      <c r="B1579" s="230">
        <v>43675</v>
      </c>
      <c r="C1579" s="124">
        <v>267.75</v>
      </c>
      <c r="D1579" s="156">
        <f t="shared" si="49"/>
        <v>-4.2766827817031514E-3</v>
      </c>
      <c r="E1579" s="156">
        <v>5.6152735440397885E-3</v>
      </c>
      <c r="F1579" s="124">
        <v>1573</v>
      </c>
      <c r="G1579" s="238">
        <f t="shared" ca="1" si="50"/>
        <v>-2.5117703321549431E-2</v>
      </c>
      <c r="I1579" s="156"/>
    </row>
    <row r="1580" spans="2:9" x14ac:dyDescent="0.2">
      <c r="B1580" s="230">
        <v>43672</v>
      </c>
      <c r="C1580" s="124">
        <v>270.39999999999998</v>
      </c>
      <c r="D1580" s="156">
        <f t="shared" si="49"/>
        <v>9.8972922502333412E-3</v>
      </c>
      <c r="E1580" s="156">
        <v>5.6144426697642734E-3</v>
      </c>
      <c r="F1580" s="124">
        <v>1574</v>
      </c>
      <c r="G1580" s="238">
        <f t="shared" ca="1" si="50"/>
        <v>1.683540460701528E-3</v>
      </c>
      <c r="I1580" s="156"/>
    </row>
    <row r="1581" spans="2:9" x14ac:dyDescent="0.2">
      <c r="B1581" s="230">
        <v>43671</v>
      </c>
      <c r="C1581" s="124">
        <v>267.85000000000002</v>
      </c>
      <c r="D1581" s="156">
        <f t="shared" si="49"/>
        <v>-9.4304733727808981E-3</v>
      </c>
      <c r="E1581" s="156">
        <v>5.6115437471369409E-3</v>
      </c>
      <c r="F1581" s="124">
        <v>1575</v>
      </c>
      <c r="G1581" s="238">
        <f t="shared" ca="1" si="50"/>
        <v>2.0241264334060424E-2</v>
      </c>
      <c r="I1581" s="156"/>
    </row>
    <row r="1582" spans="2:9" x14ac:dyDescent="0.2">
      <c r="B1582" s="230">
        <v>43670</v>
      </c>
      <c r="C1582" s="124">
        <v>270.85000000000002</v>
      </c>
      <c r="D1582" s="156">
        <f t="shared" si="49"/>
        <v>1.1200298674631322E-2</v>
      </c>
      <c r="E1582" s="156">
        <v>5.6049478160031217E-3</v>
      </c>
      <c r="F1582" s="124">
        <v>1576</v>
      </c>
      <c r="G1582" s="238">
        <f t="shared" ca="1" si="50"/>
        <v>6.4694840709025739E-3</v>
      </c>
      <c r="I1582" s="156"/>
    </row>
    <row r="1583" spans="2:9" x14ac:dyDescent="0.2">
      <c r="B1583" s="230">
        <v>43669</v>
      </c>
      <c r="C1583" s="124">
        <v>270.64999999999998</v>
      </c>
      <c r="D1583" s="156">
        <f t="shared" si="49"/>
        <v>-7.3841609747109271E-4</v>
      </c>
      <c r="E1583" s="156">
        <v>5.6005271084337248E-3</v>
      </c>
      <c r="F1583" s="124">
        <v>1577</v>
      </c>
      <c r="G1583" s="238">
        <f t="shared" ca="1" si="50"/>
        <v>1.7569503418250754E-4</v>
      </c>
      <c r="I1583" s="156"/>
    </row>
    <row r="1584" spans="2:9" x14ac:dyDescent="0.2">
      <c r="B1584" s="230">
        <v>43668</v>
      </c>
      <c r="C1584" s="124">
        <v>264.39999999999998</v>
      </c>
      <c r="D1584" s="156">
        <f t="shared" si="49"/>
        <v>-2.3092554960280808E-2</v>
      </c>
      <c r="E1584" s="156">
        <v>5.596646942800744E-3</v>
      </c>
      <c r="F1584" s="124">
        <v>1578</v>
      </c>
      <c r="G1584" s="238">
        <f t="shared" ca="1" si="50"/>
        <v>-1.5502259456040854E-2</v>
      </c>
      <c r="I1584" s="156"/>
    </row>
    <row r="1585" spans="2:9" x14ac:dyDescent="0.2">
      <c r="B1585" s="230">
        <v>43665</v>
      </c>
      <c r="C1585" s="124">
        <v>268.3</v>
      </c>
      <c r="D1585" s="156">
        <f t="shared" si="49"/>
        <v>1.4750378214826151E-2</v>
      </c>
      <c r="E1585" s="156">
        <v>5.5688146380270713E-3</v>
      </c>
      <c r="F1585" s="124">
        <v>1579</v>
      </c>
      <c r="G1585" s="238">
        <f t="shared" ca="1" si="50"/>
        <v>-1.9859203534197126E-2</v>
      </c>
      <c r="I1585" s="156"/>
    </row>
    <row r="1586" spans="2:9" x14ac:dyDescent="0.2">
      <c r="B1586" s="230">
        <v>43664</v>
      </c>
      <c r="C1586" s="124">
        <v>273</v>
      </c>
      <c r="D1586" s="156">
        <f t="shared" si="49"/>
        <v>1.7517704062616431E-2</v>
      </c>
      <c r="E1586" s="156">
        <v>5.5667305983065803E-3</v>
      </c>
      <c r="F1586" s="124">
        <v>1580</v>
      </c>
      <c r="G1586" s="238">
        <f t="shared" ca="1" si="50"/>
        <v>-3.3677975707326244E-3</v>
      </c>
      <c r="I1586" s="156"/>
    </row>
    <row r="1587" spans="2:9" x14ac:dyDescent="0.2">
      <c r="B1587" s="230">
        <v>43663</v>
      </c>
      <c r="C1587" s="124">
        <v>272.89999999999998</v>
      </c>
      <c r="D1587" s="156">
        <f t="shared" si="49"/>
        <v>-3.6630036630044957E-4</v>
      </c>
      <c r="E1587" s="156">
        <v>5.5602358887952537E-3</v>
      </c>
      <c r="F1587" s="124">
        <v>1581</v>
      </c>
      <c r="G1587" s="238">
        <f t="shared" ca="1" si="50"/>
        <v>-1.1354000349866254E-2</v>
      </c>
      <c r="I1587" s="156"/>
    </row>
    <row r="1588" spans="2:9" x14ac:dyDescent="0.2">
      <c r="B1588" s="230">
        <v>43662</v>
      </c>
      <c r="C1588" s="124">
        <v>271.95</v>
      </c>
      <c r="D1588" s="156">
        <f t="shared" si="49"/>
        <v>-3.4811286185415491E-3</v>
      </c>
      <c r="E1588" s="156">
        <v>5.5586436909394101E-3</v>
      </c>
      <c r="F1588" s="124">
        <v>1582</v>
      </c>
      <c r="G1588" s="238">
        <f t="shared" ca="1" si="50"/>
        <v>-6.9233874568222272E-3</v>
      </c>
      <c r="I1588" s="156"/>
    </row>
    <row r="1589" spans="2:9" x14ac:dyDescent="0.2">
      <c r="B1589" s="230">
        <v>43661</v>
      </c>
      <c r="C1589" s="124">
        <v>270.95</v>
      </c>
      <c r="D1589" s="156">
        <f t="shared" si="49"/>
        <v>-3.6771465342893914E-3</v>
      </c>
      <c r="E1589" s="156">
        <v>5.5430096489426988E-3</v>
      </c>
      <c r="F1589" s="124">
        <v>1583</v>
      </c>
      <c r="G1589" s="238">
        <f t="shared" ca="1" si="50"/>
        <v>-3.2407547602075808E-2</v>
      </c>
      <c r="I1589" s="156"/>
    </row>
    <row r="1590" spans="2:9" x14ac:dyDescent="0.2">
      <c r="B1590" s="230">
        <v>43658</v>
      </c>
      <c r="C1590" s="124">
        <v>275.05</v>
      </c>
      <c r="D1590" s="156">
        <f t="shared" si="49"/>
        <v>1.5131943162945277E-2</v>
      </c>
      <c r="E1590" s="156">
        <v>5.5407801418439718E-3</v>
      </c>
      <c r="F1590" s="124">
        <v>1584</v>
      </c>
      <c r="G1590" s="238">
        <f t="shared" ca="1" si="50"/>
        <v>2.8683275221649113E-2</v>
      </c>
      <c r="I1590" s="156"/>
    </row>
    <row r="1591" spans="2:9" x14ac:dyDescent="0.2">
      <c r="B1591" s="230">
        <v>43657</v>
      </c>
      <c r="C1591" s="124">
        <v>275.64999999999998</v>
      </c>
      <c r="D1591" s="156">
        <f t="shared" si="49"/>
        <v>2.1814215597162909E-3</v>
      </c>
      <c r="E1591" s="156">
        <v>5.5323105532310447E-3</v>
      </c>
      <c r="F1591" s="124">
        <v>1585</v>
      </c>
      <c r="G1591" s="238">
        <f t="shared" ca="1" si="50"/>
        <v>-1.1770929215533918E-2</v>
      </c>
      <c r="I1591" s="156"/>
    </row>
    <row r="1592" spans="2:9" x14ac:dyDescent="0.2">
      <c r="B1592" s="230">
        <v>43656</v>
      </c>
      <c r="C1592" s="124">
        <v>273.14999999999998</v>
      </c>
      <c r="D1592" s="156">
        <f t="shared" si="49"/>
        <v>-9.0694721567204789E-3</v>
      </c>
      <c r="E1592" s="156">
        <v>5.5279396640383616E-3</v>
      </c>
      <c r="F1592" s="124">
        <v>1586</v>
      </c>
      <c r="G1592" s="238">
        <f t="shared" ca="1" si="50"/>
        <v>-1.8478823119987626E-2</v>
      </c>
      <c r="I1592" s="156"/>
    </row>
    <row r="1593" spans="2:9" x14ac:dyDescent="0.2">
      <c r="B1593" s="230">
        <v>43655</v>
      </c>
      <c r="C1593" s="124">
        <v>273.10000000000002</v>
      </c>
      <c r="D1593" s="156">
        <f t="shared" si="49"/>
        <v>-1.8304960644317968E-4</v>
      </c>
      <c r="E1593" s="156">
        <v>5.5272727272726611E-3</v>
      </c>
      <c r="F1593" s="124">
        <v>1587</v>
      </c>
      <c r="G1593" s="238">
        <f t="shared" ca="1" si="50"/>
        <v>-8.275502121705418E-4</v>
      </c>
      <c r="I1593" s="156"/>
    </row>
    <row r="1594" spans="2:9" x14ac:dyDescent="0.2">
      <c r="B1594" s="230">
        <v>43654</v>
      </c>
      <c r="C1594" s="124">
        <v>277.45</v>
      </c>
      <c r="D1594" s="156">
        <f t="shared" si="49"/>
        <v>1.5928231417063222E-2</v>
      </c>
      <c r="E1594" s="156">
        <v>5.5183287347260771E-3</v>
      </c>
      <c r="F1594" s="124">
        <v>1588</v>
      </c>
      <c r="G1594" s="238">
        <f t="shared" ca="1" si="50"/>
        <v>-1.418124283825925E-2</v>
      </c>
      <c r="I1594" s="156"/>
    </row>
    <row r="1595" spans="2:9" x14ac:dyDescent="0.2">
      <c r="B1595" s="230">
        <v>43651</v>
      </c>
      <c r="C1595" s="124">
        <v>279.45</v>
      </c>
      <c r="D1595" s="156">
        <f t="shared" si="49"/>
        <v>7.2085060371238066E-3</v>
      </c>
      <c r="E1595" s="156">
        <v>5.5142651642290921E-3</v>
      </c>
      <c r="F1595" s="124">
        <v>1589</v>
      </c>
      <c r="G1595" s="238">
        <f t="shared" ca="1" si="50"/>
        <v>-4.9526865829065793E-3</v>
      </c>
      <c r="I1595" s="156"/>
    </row>
    <row r="1596" spans="2:9" x14ac:dyDescent="0.2">
      <c r="B1596" s="230">
        <v>43650</v>
      </c>
      <c r="C1596" s="124">
        <v>277.64999999999998</v>
      </c>
      <c r="D1596" s="156">
        <f t="shared" si="49"/>
        <v>-6.4412238325282211E-3</v>
      </c>
      <c r="E1596" s="156">
        <v>5.5134390075809265E-3</v>
      </c>
      <c r="F1596" s="124">
        <v>1590</v>
      </c>
      <c r="G1596" s="238">
        <f t="shared" ca="1" si="50"/>
        <v>-1.7290948188829227E-2</v>
      </c>
      <c r="I1596" s="156"/>
    </row>
    <row r="1597" spans="2:9" x14ac:dyDescent="0.2">
      <c r="B1597" s="230">
        <v>43649</v>
      </c>
      <c r="C1597" s="124">
        <v>276.7</v>
      </c>
      <c r="D1597" s="156">
        <f t="shared" si="49"/>
        <v>-3.4215739240050017E-3</v>
      </c>
      <c r="E1597" s="156">
        <v>5.5126791620727679E-3</v>
      </c>
      <c r="F1597" s="124">
        <v>1591</v>
      </c>
      <c r="G1597" s="238">
        <f t="shared" ca="1" si="50"/>
        <v>-1.358319552161278E-3</v>
      </c>
      <c r="I1597" s="156"/>
    </row>
    <row r="1598" spans="2:9" x14ac:dyDescent="0.2">
      <c r="B1598" s="230">
        <v>43648</v>
      </c>
      <c r="C1598" s="124">
        <v>273.85000000000002</v>
      </c>
      <c r="D1598" s="156">
        <f t="shared" ref="D1598:D1661" si="51">(C1598-C1597)/C1597</f>
        <v>-1.0299963859775808E-2</v>
      </c>
      <c r="E1598" s="156">
        <v>5.511022044088148E-3</v>
      </c>
      <c r="F1598" s="124">
        <v>1592</v>
      </c>
      <c r="G1598" s="238">
        <f t="shared" ca="1" si="50"/>
        <v>-1.9893583099265002E-2</v>
      </c>
      <c r="I1598" s="156"/>
    </row>
    <row r="1599" spans="2:9" x14ac:dyDescent="0.2">
      <c r="B1599" s="230">
        <v>43647</v>
      </c>
      <c r="C1599" s="124">
        <v>274.95</v>
      </c>
      <c r="D1599" s="156">
        <f t="shared" si="51"/>
        <v>4.0167975168886828E-3</v>
      </c>
      <c r="E1599" s="156">
        <v>5.5105348460291132E-3</v>
      </c>
      <c r="F1599" s="124">
        <v>1593</v>
      </c>
      <c r="G1599" s="238">
        <f t="shared" ca="1" si="50"/>
        <v>1.6162458171241033E-2</v>
      </c>
      <c r="I1599" s="156"/>
    </row>
    <row r="1600" spans="2:9" x14ac:dyDescent="0.2">
      <c r="B1600" s="230">
        <v>43644</v>
      </c>
      <c r="C1600" s="124">
        <v>273.85000000000002</v>
      </c>
      <c r="D1600" s="156">
        <f t="shared" si="51"/>
        <v>-4.0007274049826003E-3</v>
      </c>
      <c r="E1600" s="156">
        <v>5.5047651381040855E-3</v>
      </c>
      <c r="F1600" s="124">
        <v>1594</v>
      </c>
      <c r="G1600" s="238">
        <f t="shared" ca="1" si="50"/>
        <v>7.0660259450171792E-3</v>
      </c>
      <c r="I1600" s="156"/>
    </row>
    <row r="1601" spans="2:9" x14ac:dyDescent="0.2">
      <c r="B1601" s="230">
        <v>43643</v>
      </c>
      <c r="C1601" s="124">
        <v>273.5</v>
      </c>
      <c r="D1601" s="156">
        <f t="shared" si="51"/>
        <v>-1.2780719371919763E-3</v>
      </c>
      <c r="E1601" s="156">
        <v>5.5002619172341144E-3</v>
      </c>
      <c r="F1601" s="124">
        <v>1595</v>
      </c>
      <c r="G1601" s="238">
        <f t="shared" ca="1" si="50"/>
        <v>3.3977750735130562E-2</v>
      </c>
      <c r="I1601" s="156"/>
    </row>
    <row r="1602" spans="2:9" x14ac:dyDescent="0.2">
      <c r="B1602" s="230">
        <v>43642</v>
      </c>
      <c r="C1602" s="124">
        <v>277.39999999999998</v>
      </c>
      <c r="D1602" s="156">
        <f t="shared" si="51"/>
        <v>1.4259597806215638E-2</v>
      </c>
      <c r="E1602" s="156">
        <v>5.4986120008541596E-3</v>
      </c>
      <c r="F1602" s="124">
        <v>1596</v>
      </c>
      <c r="G1602" s="238">
        <f t="shared" ca="1" si="50"/>
        <v>2.5356069011790355E-2</v>
      </c>
      <c r="I1602" s="156"/>
    </row>
    <row r="1603" spans="2:9" x14ac:dyDescent="0.2">
      <c r="B1603" s="230">
        <v>43641</v>
      </c>
      <c r="C1603" s="124">
        <v>278.5</v>
      </c>
      <c r="D1603" s="156">
        <f t="shared" si="51"/>
        <v>3.9653929343908536E-3</v>
      </c>
      <c r="E1603" s="156">
        <v>5.4862842892767797E-3</v>
      </c>
      <c r="F1603" s="124">
        <v>1597</v>
      </c>
      <c r="G1603" s="238">
        <f t="shared" ca="1" si="50"/>
        <v>-6.9879857287831809E-3</v>
      </c>
      <c r="I1603" s="156"/>
    </row>
    <row r="1604" spans="2:9" x14ac:dyDescent="0.2">
      <c r="B1604" s="230">
        <v>43640</v>
      </c>
      <c r="C1604" s="124">
        <v>276.25</v>
      </c>
      <c r="D1604" s="156">
        <f t="shared" si="51"/>
        <v>-8.0789946140035901E-3</v>
      </c>
      <c r="E1604" s="156">
        <v>5.4804163105234222E-3</v>
      </c>
      <c r="F1604" s="124">
        <v>1598</v>
      </c>
      <c r="G1604" s="238">
        <f t="shared" ca="1" si="50"/>
        <v>2.9636877551614583E-2</v>
      </c>
      <c r="I1604" s="156"/>
    </row>
    <row r="1605" spans="2:9" x14ac:dyDescent="0.2">
      <c r="B1605" s="230">
        <v>43637</v>
      </c>
      <c r="C1605" s="124">
        <v>274.25</v>
      </c>
      <c r="D1605" s="156">
        <f t="shared" si="51"/>
        <v>-7.2398190045248872E-3</v>
      </c>
      <c r="E1605" s="156">
        <v>5.4685727252099499E-3</v>
      </c>
      <c r="F1605" s="124">
        <v>1599</v>
      </c>
      <c r="G1605" s="238">
        <f t="shared" ca="1" si="50"/>
        <v>-2.2051976633649155E-2</v>
      </c>
      <c r="I1605" s="156"/>
    </row>
    <row r="1606" spans="2:9" x14ac:dyDescent="0.2">
      <c r="B1606" s="230">
        <v>43636</v>
      </c>
      <c r="C1606" s="124">
        <v>277</v>
      </c>
      <c r="D1606" s="156">
        <f t="shared" si="51"/>
        <v>1.0027347310847767E-2</v>
      </c>
      <c r="E1606" s="156">
        <v>5.4535780792763578E-3</v>
      </c>
      <c r="F1606" s="124">
        <v>1600</v>
      </c>
      <c r="G1606" s="238">
        <f t="shared" ca="1" si="50"/>
        <v>2.9676647725716522E-2</v>
      </c>
      <c r="I1606" s="156"/>
    </row>
    <row r="1607" spans="2:9" x14ac:dyDescent="0.2">
      <c r="B1607" s="230">
        <v>43635</v>
      </c>
      <c r="C1607" s="124">
        <v>277.2</v>
      </c>
      <c r="D1607" s="156">
        <f t="shared" si="51"/>
        <v>7.2202166064977847E-4</v>
      </c>
      <c r="E1607" s="156">
        <v>5.4501412999597206E-3</v>
      </c>
      <c r="F1607" s="124">
        <v>1601</v>
      </c>
      <c r="G1607" s="238">
        <f t="shared" ref="G1607:G1670" ca="1" si="52">_xlfn.NORM.INV(RAND(),$L$8,$L$9)</f>
        <v>-1.3339997553224995E-2</v>
      </c>
      <c r="I1607" s="156"/>
    </row>
    <row r="1608" spans="2:9" x14ac:dyDescent="0.2">
      <c r="B1608" s="230">
        <v>43634</v>
      </c>
      <c r="C1608" s="124">
        <v>275.10000000000002</v>
      </c>
      <c r="D1608" s="156">
        <f t="shared" si="51"/>
        <v>-7.5757575757574528E-3</v>
      </c>
      <c r="E1608" s="156">
        <v>5.4383651944627277E-3</v>
      </c>
      <c r="F1608" s="124">
        <v>1602</v>
      </c>
      <c r="G1608" s="238">
        <f t="shared" ca="1" si="52"/>
        <v>-1.1978878862672052E-2</v>
      </c>
      <c r="I1608" s="156"/>
    </row>
    <row r="1609" spans="2:9" x14ac:dyDescent="0.2">
      <c r="B1609" s="230">
        <v>43633</v>
      </c>
      <c r="C1609" s="124">
        <v>275</v>
      </c>
      <c r="D1609" s="156">
        <f t="shared" si="51"/>
        <v>-3.6350418029815602E-4</v>
      </c>
      <c r="E1609" s="156">
        <v>5.4334701762859209E-3</v>
      </c>
      <c r="F1609" s="124">
        <v>1603</v>
      </c>
      <c r="G1609" s="238">
        <f t="shared" ca="1" si="52"/>
        <v>-8.7301146614083992E-3</v>
      </c>
      <c r="I1609" s="156"/>
    </row>
    <row r="1610" spans="2:9" x14ac:dyDescent="0.2">
      <c r="B1610" s="230">
        <v>43630</v>
      </c>
      <c r="C1610" s="124">
        <v>278.05</v>
      </c>
      <c r="D1610" s="156">
        <f t="shared" si="51"/>
        <v>1.1090909090909132E-2</v>
      </c>
      <c r="E1610" s="156">
        <v>5.4292500848321101E-3</v>
      </c>
      <c r="F1610" s="124">
        <v>1604</v>
      </c>
      <c r="G1610" s="238">
        <f t="shared" ca="1" si="52"/>
        <v>-2.2691025635291691E-2</v>
      </c>
      <c r="I1610" s="156"/>
    </row>
    <row r="1611" spans="2:9" x14ac:dyDescent="0.2">
      <c r="B1611" s="230">
        <v>43629</v>
      </c>
      <c r="C1611" s="124">
        <v>280.60000000000002</v>
      </c>
      <c r="D1611" s="156">
        <f t="shared" si="51"/>
        <v>9.1710124078403562E-3</v>
      </c>
      <c r="E1611" s="156">
        <v>5.4270882491741657E-3</v>
      </c>
      <c r="F1611" s="124">
        <v>1605</v>
      </c>
      <c r="G1611" s="238">
        <f t="shared" ca="1" si="52"/>
        <v>-2.646884881026788E-2</v>
      </c>
      <c r="I1611" s="156"/>
    </row>
    <row r="1612" spans="2:9" x14ac:dyDescent="0.2">
      <c r="B1612" s="230">
        <v>43628</v>
      </c>
      <c r="C1612" s="124">
        <v>279.95</v>
      </c>
      <c r="D1612" s="156">
        <f t="shared" si="51"/>
        <v>-2.3164647184605635E-3</v>
      </c>
      <c r="E1612" s="156">
        <v>5.4200542005419404E-3</v>
      </c>
      <c r="F1612" s="124">
        <v>1606</v>
      </c>
      <c r="G1612" s="238">
        <f t="shared" ca="1" si="52"/>
        <v>2.872706086245579E-2</v>
      </c>
      <c r="I1612" s="156"/>
    </row>
    <row r="1613" spans="2:9" x14ac:dyDescent="0.2">
      <c r="B1613" s="230">
        <v>43627</v>
      </c>
      <c r="C1613" s="124">
        <v>279.85000000000002</v>
      </c>
      <c r="D1613" s="156">
        <f t="shared" si="51"/>
        <v>-3.5720664404345739E-4</v>
      </c>
      <c r="E1613" s="156">
        <v>5.4117647058823798E-3</v>
      </c>
      <c r="F1613" s="124">
        <v>1607</v>
      </c>
      <c r="G1613" s="238">
        <f t="shared" ca="1" si="52"/>
        <v>-2.5343497947300911E-2</v>
      </c>
      <c r="I1613" s="156"/>
    </row>
    <row r="1614" spans="2:9" x14ac:dyDescent="0.2">
      <c r="B1614" s="230">
        <v>43626</v>
      </c>
      <c r="C1614" s="124">
        <v>279.39999999999998</v>
      </c>
      <c r="D1614" s="156">
        <f t="shared" si="51"/>
        <v>-1.6080042880115971E-3</v>
      </c>
      <c r="E1614" s="156">
        <v>5.4018660991978764E-3</v>
      </c>
      <c r="F1614" s="124">
        <v>1608</v>
      </c>
      <c r="G1614" s="238">
        <f t="shared" ca="1" si="52"/>
        <v>-9.1575044188677915E-3</v>
      </c>
      <c r="I1614" s="156"/>
    </row>
    <row r="1615" spans="2:9" x14ac:dyDescent="0.2">
      <c r="B1615" s="230">
        <v>43623</v>
      </c>
      <c r="C1615" s="124">
        <v>275.25</v>
      </c>
      <c r="D1615" s="156">
        <f t="shared" si="51"/>
        <v>-1.485325697924115E-2</v>
      </c>
      <c r="E1615" s="156">
        <v>5.3949072075960298E-3</v>
      </c>
      <c r="F1615" s="124">
        <v>1609</v>
      </c>
      <c r="G1615" s="238">
        <f t="shared" ca="1" si="52"/>
        <v>-9.4753582523153749E-3</v>
      </c>
      <c r="I1615" s="156"/>
    </row>
    <row r="1616" spans="2:9" x14ac:dyDescent="0.2">
      <c r="B1616" s="230">
        <v>43622</v>
      </c>
      <c r="C1616" s="124">
        <v>275.75</v>
      </c>
      <c r="D1616" s="156">
        <f t="shared" si="51"/>
        <v>1.8165304268846503E-3</v>
      </c>
      <c r="E1616" s="156">
        <v>5.3858639516011376E-3</v>
      </c>
      <c r="F1616" s="124">
        <v>1610</v>
      </c>
      <c r="G1616" s="238">
        <f t="shared" ca="1" si="52"/>
        <v>6.8061180906889502E-3</v>
      </c>
      <c r="I1616" s="156"/>
    </row>
    <row r="1617" spans="2:9" x14ac:dyDescent="0.2">
      <c r="B1617" s="230">
        <v>43620</v>
      </c>
      <c r="C1617" s="124">
        <v>279.25</v>
      </c>
      <c r="D1617" s="156">
        <f t="shared" si="51"/>
        <v>1.2692656391659111E-2</v>
      </c>
      <c r="E1617" s="156">
        <v>5.3776582742605435E-3</v>
      </c>
      <c r="F1617" s="124">
        <v>1611</v>
      </c>
      <c r="G1617" s="238">
        <f t="shared" ca="1" si="52"/>
        <v>-1.4257784784931716E-2</v>
      </c>
      <c r="I1617" s="156"/>
    </row>
    <row r="1618" spans="2:9" x14ac:dyDescent="0.2">
      <c r="B1618" s="230">
        <v>43619</v>
      </c>
      <c r="C1618" s="124">
        <v>278.55</v>
      </c>
      <c r="D1618" s="156">
        <f t="shared" si="51"/>
        <v>-2.5067144136078374E-3</v>
      </c>
      <c r="E1618" s="156">
        <v>5.3773448325784836E-3</v>
      </c>
      <c r="F1618" s="124">
        <v>1612</v>
      </c>
      <c r="G1618" s="238">
        <f t="shared" ca="1" si="52"/>
        <v>8.1329409283063293E-3</v>
      </c>
      <c r="I1618" s="156"/>
    </row>
    <row r="1619" spans="2:9" x14ac:dyDescent="0.2">
      <c r="B1619" s="230">
        <v>43616</v>
      </c>
      <c r="C1619" s="124">
        <v>278.55</v>
      </c>
      <c r="D1619" s="156">
        <f t="shared" si="51"/>
        <v>0</v>
      </c>
      <c r="E1619" s="156">
        <v>5.3731497507168088E-3</v>
      </c>
      <c r="F1619" s="124">
        <v>1613</v>
      </c>
      <c r="G1619" s="238">
        <f t="shared" ca="1" si="52"/>
        <v>2.4604343663183873E-2</v>
      </c>
      <c r="I1619" s="156"/>
    </row>
    <row r="1620" spans="2:9" x14ac:dyDescent="0.2">
      <c r="B1620" s="230">
        <v>43615</v>
      </c>
      <c r="C1620" s="124">
        <v>288.64999999999998</v>
      </c>
      <c r="D1620" s="156">
        <f t="shared" si="51"/>
        <v>3.6259199425596716E-2</v>
      </c>
      <c r="E1620" s="156">
        <v>5.3671627226153833E-3</v>
      </c>
      <c r="F1620" s="124">
        <v>1614</v>
      </c>
      <c r="G1620" s="238">
        <f t="shared" ca="1" si="52"/>
        <v>7.6829980632813996E-4</v>
      </c>
      <c r="I1620" s="156"/>
    </row>
    <row r="1621" spans="2:9" x14ac:dyDescent="0.2">
      <c r="B1621" s="230">
        <v>43614</v>
      </c>
      <c r="C1621" s="124">
        <v>288.10000000000002</v>
      </c>
      <c r="D1621" s="156">
        <f t="shared" si="51"/>
        <v>-1.9054217910963263E-3</v>
      </c>
      <c r="E1621" s="156">
        <v>5.3648068669527385E-3</v>
      </c>
      <c r="F1621" s="124">
        <v>1615</v>
      </c>
      <c r="G1621" s="238">
        <f t="shared" ca="1" si="52"/>
        <v>2.3506566270863699E-2</v>
      </c>
      <c r="I1621" s="156"/>
    </row>
    <row r="1622" spans="2:9" x14ac:dyDescent="0.2">
      <c r="B1622" s="230">
        <v>43613</v>
      </c>
      <c r="C1622" s="124">
        <v>288.89999999999998</v>
      </c>
      <c r="D1622" s="156">
        <f t="shared" si="51"/>
        <v>2.7768136063865134E-3</v>
      </c>
      <c r="E1622" s="156">
        <v>5.3625053625053626E-3</v>
      </c>
      <c r="F1622" s="124">
        <v>1616</v>
      </c>
      <c r="G1622" s="238">
        <f t="shared" ca="1" si="52"/>
        <v>5.4528572752280138E-2</v>
      </c>
      <c r="I1622" s="156"/>
    </row>
    <row r="1623" spans="2:9" x14ac:dyDescent="0.2">
      <c r="B1623" s="230">
        <v>43612</v>
      </c>
      <c r="C1623" s="124">
        <v>290.85000000000002</v>
      </c>
      <c r="D1623" s="156">
        <f t="shared" si="51"/>
        <v>6.749740394600366E-3</v>
      </c>
      <c r="E1623" s="156">
        <v>5.346671265953817E-3</v>
      </c>
      <c r="F1623" s="124">
        <v>1617</v>
      </c>
      <c r="G1623" s="238">
        <f t="shared" ca="1" si="52"/>
        <v>-1.8673416944599982E-3</v>
      </c>
      <c r="I1623" s="156"/>
    </row>
    <row r="1624" spans="2:9" x14ac:dyDescent="0.2">
      <c r="B1624" s="230">
        <v>43609</v>
      </c>
      <c r="C1624" s="124">
        <v>290.45</v>
      </c>
      <c r="D1624" s="156">
        <f t="shared" si="51"/>
        <v>-1.3752793536188209E-3</v>
      </c>
      <c r="E1624" s="156">
        <v>5.3406998158378955E-3</v>
      </c>
      <c r="F1624" s="124">
        <v>1618</v>
      </c>
      <c r="G1624" s="238">
        <f t="shared" ca="1" si="52"/>
        <v>-1.5531959864936795E-2</v>
      </c>
      <c r="I1624" s="156"/>
    </row>
    <row r="1625" spans="2:9" x14ac:dyDescent="0.2">
      <c r="B1625" s="230">
        <v>43608</v>
      </c>
      <c r="C1625" s="124">
        <v>288.2</v>
      </c>
      <c r="D1625" s="156">
        <f t="shared" si="51"/>
        <v>-7.7466001032880016E-3</v>
      </c>
      <c r="E1625" s="156">
        <v>5.3192616610506938E-3</v>
      </c>
      <c r="F1625" s="124">
        <v>1619</v>
      </c>
      <c r="G1625" s="238">
        <f t="shared" ca="1" si="52"/>
        <v>-1.6876054013385763E-2</v>
      </c>
      <c r="I1625" s="156"/>
    </row>
    <row r="1626" spans="2:9" x14ac:dyDescent="0.2">
      <c r="B1626" s="230">
        <v>43607</v>
      </c>
      <c r="C1626" s="124">
        <v>299.75</v>
      </c>
      <c r="D1626" s="156">
        <f t="shared" si="51"/>
        <v>4.0076335877862634E-2</v>
      </c>
      <c r="E1626" s="156">
        <v>5.3191489361703427E-3</v>
      </c>
      <c r="F1626" s="124">
        <v>1620</v>
      </c>
      <c r="G1626" s="238">
        <f t="shared" ca="1" si="52"/>
        <v>4.1851864914266924E-4</v>
      </c>
      <c r="I1626" s="156"/>
    </row>
    <row r="1627" spans="2:9" x14ac:dyDescent="0.2">
      <c r="B1627" s="230">
        <v>43606</v>
      </c>
      <c r="C1627" s="124">
        <v>305.89999999999998</v>
      </c>
      <c r="D1627" s="156">
        <f t="shared" si="51"/>
        <v>2.051709758131769E-2</v>
      </c>
      <c r="E1627" s="156">
        <v>5.3181734824868715E-3</v>
      </c>
      <c r="F1627" s="124">
        <v>1621</v>
      </c>
      <c r="G1627" s="238">
        <f t="shared" ca="1" si="52"/>
        <v>1.4912135440719008E-2</v>
      </c>
      <c r="I1627" s="156"/>
    </row>
    <row r="1628" spans="2:9" x14ac:dyDescent="0.2">
      <c r="B1628" s="230">
        <v>43605</v>
      </c>
      <c r="C1628" s="124">
        <v>307</v>
      </c>
      <c r="D1628" s="156">
        <f t="shared" si="51"/>
        <v>3.595946387708476E-3</v>
      </c>
      <c r="E1628" s="156">
        <v>5.3151100987091013E-3</v>
      </c>
      <c r="F1628" s="124">
        <v>1622</v>
      </c>
      <c r="G1628" s="238">
        <f t="shared" ca="1" si="52"/>
        <v>1.9760635213461879E-2</v>
      </c>
      <c r="I1628" s="156"/>
    </row>
    <row r="1629" spans="2:9" x14ac:dyDescent="0.2">
      <c r="B1629" s="230">
        <v>43602</v>
      </c>
      <c r="C1629" s="124">
        <v>301.39999999999998</v>
      </c>
      <c r="D1629" s="156">
        <f t="shared" si="51"/>
        <v>-1.8241042345276948E-2</v>
      </c>
      <c r="E1629" s="156">
        <v>5.3001355848638831E-3</v>
      </c>
      <c r="F1629" s="124">
        <v>1623</v>
      </c>
      <c r="G1629" s="238">
        <f t="shared" ca="1" si="52"/>
        <v>2.2929591761416439E-2</v>
      </c>
      <c r="I1629" s="156"/>
    </row>
    <row r="1630" spans="2:9" x14ac:dyDescent="0.2">
      <c r="B1630" s="230">
        <v>43601</v>
      </c>
      <c r="C1630" s="124">
        <v>294.75</v>
      </c>
      <c r="D1630" s="156">
        <f t="shared" si="51"/>
        <v>-2.2063702720636954E-2</v>
      </c>
      <c r="E1630" s="156">
        <v>5.2827470284547698E-3</v>
      </c>
      <c r="F1630" s="124">
        <v>1624</v>
      </c>
      <c r="G1630" s="238">
        <f t="shared" ca="1" si="52"/>
        <v>-6.0808667173916009E-3</v>
      </c>
      <c r="I1630" s="156"/>
    </row>
    <row r="1631" spans="2:9" x14ac:dyDescent="0.2">
      <c r="B1631" s="230">
        <v>43600</v>
      </c>
      <c r="C1631" s="124">
        <v>297.05</v>
      </c>
      <c r="D1631" s="156">
        <f t="shared" si="51"/>
        <v>7.8032230703986814E-3</v>
      </c>
      <c r="E1631" s="156">
        <v>5.2680607754328045E-3</v>
      </c>
      <c r="F1631" s="124">
        <v>1625</v>
      </c>
      <c r="G1631" s="238">
        <f t="shared" ca="1" si="52"/>
        <v>3.5135708562001751E-3</v>
      </c>
      <c r="I1631" s="156"/>
    </row>
    <row r="1632" spans="2:9" x14ac:dyDescent="0.2">
      <c r="B1632" s="230">
        <v>43599</v>
      </c>
      <c r="C1632" s="124">
        <v>294.35000000000002</v>
      </c>
      <c r="D1632" s="156">
        <f t="shared" si="51"/>
        <v>-9.0893788924423114E-3</v>
      </c>
      <c r="E1632" s="156">
        <v>5.2610279239174882E-3</v>
      </c>
      <c r="F1632" s="124">
        <v>1626</v>
      </c>
      <c r="G1632" s="238">
        <f t="shared" ca="1" si="52"/>
        <v>-6.2571761061120416E-3</v>
      </c>
      <c r="I1632" s="156"/>
    </row>
    <row r="1633" spans="2:9" x14ac:dyDescent="0.2">
      <c r="B1633" s="230">
        <v>43598</v>
      </c>
      <c r="C1633" s="124">
        <v>289.3</v>
      </c>
      <c r="D1633" s="156">
        <f t="shared" si="51"/>
        <v>-1.7156446407338242E-2</v>
      </c>
      <c r="E1633" s="156">
        <v>5.2594670406732116E-3</v>
      </c>
      <c r="F1633" s="124">
        <v>1627</v>
      </c>
      <c r="G1633" s="238">
        <f t="shared" ca="1" si="52"/>
        <v>-2.170171768685927E-2</v>
      </c>
      <c r="I1633" s="156"/>
    </row>
    <row r="1634" spans="2:9" x14ac:dyDescent="0.2">
      <c r="B1634" s="230">
        <v>43595</v>
      </c>
      <c r="C1634" s="124">
        <v>297.75</v>
      </c>
      <c r="D1634" s="156">
        <f t="shared" si="51"/>
        <v>2.9208434151399891E-2</v>
      </c>
      <c r="E1634" s="156">
        <v>5.2576979299288401E-3</v>
      </c>
      <c r="F1634" s="124">
        <v>1628</v>
      </c>
      <c r="G1634" s="238">
        <f t="shared" ca="1" si="52"/>
        <v>2.2376735309838594E-2</v>
      </c>
      <c r="I1634" s="156"/>
    </row>
    <row r="1635" spans="2:9" x14ac:dyDescent="0.2">
      <c r="B1635" s="230">
        <v>43594</v>
      </c>
      <c r="C1635" s="124">
        <v>299.85000000000002</v>
      </c>
      <c r="D1635" s="156">
        <f t="shared" si="51"/>
        <v>7.0528967254408822E-3</v>
      </c>
      <c r="E1635" s="156">
        <v>5.2562417871222823E-3</v>
      </c>
      <c r="F1635" s="124">
        <v>1629</v>
      </c>
      <c r="G1635" s="238">
        <f t="shared" ca="1" si="52"/>
        <v>-7.7458380239855051E-3</v>
      </c>
      <c r="I1635" s="156"/>
    </row>
    <row r="1636" spans="2:9" x14ac:dyDescent="0.2">
      <c r="B1636" s="230">
        <v>43593</v>
      </c>
      <c r="C1636" s="124">
        <v>300.64999999999998</v>
      </c>
      <c r="D1636" s="156">
        <f t="shared" si="51"/>
        <v>2.6680006670000149E-3</v>
      </c>
      <c r="E1636" s="156">
        <v>5.2399823866138163E-3</v>
      </c>
      <c r="F1636" s="124">
        <v>1630</v>
      </c>
      <c r="G1636" s="238">
        <f t="shared" ca="1" si="52"/>
        <v>2.5827843255205693E-2</v>
      </c>
      <c r="I1636" s="156"/>
    </row>
    <row r="1637" spans="2:9" x14ac:dyDescent="0.2">
      <c r="B1637" s="230">
        <v>43592</v>
      </c>
      <c r="C1637" s="124">
        <v>301.89999999999998</v>
      </c>
      <c r="D1637" s="156">
        <f t="shared" si="51"/>
        <v>4.1576584067852989E-3</v>
      </c>
      <c r="E1637" s="156">
        <v>5.2336448598129994E-3</v>
      </c>
      <c r="F1637" s="124">
        <v>1631</v>
      </c>
      <c r="G1637" s="238">
        <f t="shared" ca="1" si="52"/>
        <v>-2.0529254377610131E-2</v>
      </c>
      <c r="I1637" s="156"/>
    </row>
    <row r="1638" spans="2:9" x14ac:dyDescent="0.2">
      <c r="B1638" s="230">
        <v>43591</v>
      </c>
      <c r="C1638" s="124">
        <v>307</v>
      </c>
      <c r="D1638" s="156">
        <f t="shared" si="51"/>
        <v>1.6893010930771855E-2</v>
      </c>
      <c r="E1638" s="156">
        <v>5.2309971298953586E-3</v>
      </c>
      <c r="F1638" s="124">
        <v>1632</v>
      </c>
      <c r="G1638" s="238">
        <f t="shared" ca="1" si="52"/>
        <v>-1.1043984246095191E-2</v>
      </c>
      <c r="I1638" s="156"/>
    </row>
    <row r="1639" spans="2:9" x14ac:dyDescent="0.2">
      <c r="B1639" s="230">
        <v>43588</v>
      </c>
      <c r="C1639" s="124">
        <v>304.25</v>
      </c>
      <c r="D1639" s="156">
        <f t="shared" si="51"/>
        <v>-8.9576547231270363E-3</v>
      </c>
      <c r="E1639" s="156">
        <v>5.2294197031039517E-3</v>
      </c>
      <c r="F1639" s="124">
        <v>1633</v>
      </c>
      <c r="G1639" s="238">
        <f t="shared" ca="1" si="52"/>
        <v>2.4766609156055006E-3</v>
      </c>
      <c r="I1639" s="156"/>
    </row>
    <row r="1640" spans="2:9" x14ac:dyDescent="0.2">
      <c r="B1640" s="230">
        <v>43587</v>
      </c>
      <c r="C1640" s="124">
        <v>305</v>
      </c>
      <c r="D1640" s="156">
        <f t="shared" si="51"/>
        <v>2.4650780608052587E-3</v>
      </c>
      <c r="E1640" s="156">
        <v>5.2229061742211421E-3</v>
      </c>
      <c r="F1640" s="124">
        <v>1634</v>
      </c>
      <c r="G1640" s="238">
        <f t="shared" ca="1" si="52"/>
        <v>-7.0108337601536E-3</v>
      </c>
      <c r="I1640" s="156"/>
    </row>
    <row r="1641" spans="2:9" x14ac:dyDescent="0.2">
      <c r="B1641" s="230">
        <v>43585</v>
      </c>
      <c r="C1641" s="124">
        <v>301.35000000000002</v>
      </c>
      <c r="D1641" s="156">
        <f t="shared" si="51"/>
        <v>-1.1967213114754023E-2</v>
      </c>
      <c r="E1641" s="156">
        <v>5.2184466019416925E-3</v>
      </c>
      <c r="F1641" s="124">
        <v>1635</v>
      </c>
      <c r="G1641" s="238">
        <f t="shared" ca="1" si="52"/>
        <v>4.8025169591911117E-3</v>
      </c>
      <c r="I1641" s="156"/>
    </row>
    <row r="1642" spans="2:9" x14ac:dyDescent="0.2">
      <c r="B1642" s="230">
        <v>43581</v>
      </c>
      <c r="C1642" s="124">
        <v>304.55</v>
      </c>
      <c r="D1642" s="156">
        <f t="shared" si="51"/>
        <v>1.0618881699021034E-2</v>
      </c>
      <c r="E1642" s="156">
        <v>5.209338221107555E-3</v>
      </c>
      <c r="F1642" s="124">
        <v>1636</v>
      </c>
      <c r="G1642" s="238">
        <f t="shared" ca="1" si="52"/>
        <v>-5.2572143214322823E-3</v>
      </c>
      <c r="I1642" s="156"/>
    </row>
    <row r="1643" spans="2:9" x14ac:dyDescent="0.2">
      <c r="B1643" s="230">
        <v>43580</v>
      </c>
      <c r="C1643" s="124">
        <v>304.14999999999998</v>
      </c>
      <c r="D1643" s="156">
        <f t="shared" si="51"/>
        <v>-1.3134132326384307E-3</v>
      </c>
      <c r="E1643" s="156">
        <v>5.2068933738825705E-3</v>
      </c>
      <c r="F1643" s="124">
        <v>1637</v>
      </c>
      <c r="G1643" s="238">
        <f t="shared" ca="1" si="52"/>
        <v>-9.2487497207681185E-4</v>
      </c>
      <c r="I1643" s="156"/>
    </row>
    <row r="1644" spans="2:9" x14ac:dyDescent="0.2">
      <c r="B1644" s="230">
        <v>43579</v>
      </c>
      <c r="C1644" s="124">
        <v>306.45</v>
      </c>
      <c r="D1644" s="156">
        <f t="shared" si="51"/>
        <v>7.5620581949696255E-3</v>
      </c>
      <c r="E1644" s="156">
        <v>5.2064414578036908E-3</v>
      </c>
      <c r="F1644" s="124">
        <v>1638</v>
      </c>
      <c r="G1644" s="238">
        <f t="shared" ca="1" si="52"/>
        <v>-7.4885906006969729E-3</v>
      </c>
      <c r="I1644" s="156"/>
    </row>
    <row r="1645" spans="2:9" x14ac:dyDescent="0.2">
      <c r="B1645" s="230">
        <v>43578</v>
      </c>
      <c r="C1645" s="124">
        <v>303.39999999999998</v>
      </c>
      <c r="D1645" s="156">
        <f t="shared" si="51"/>
        <v>-9.9526839614945718E-3</v>
      </c>
      <c r="E1645" s="156">
        <v>5.2043665905051606E-3</v>
      </c>
      <c r="F1645" s="124">
        <v>1639</v>
      </c>
      <c r="G1645" s="238">
        <f t="shared" ca="1" si="52"/>
        <v>3.0822842464931447E-2</v>
      </c>
      <c r="I1645" s="156"/>
    </row>
    <row r="1646" spans="2:9" x14ac:dyDescent="0.2">
      <c r="B1646" s="230">
        <v>43577</v>
      </c>
      <c r="C1646" s="124">
        <v>301.8</v>
      </c>
      <c r="D1646" s="156">
        <f t="shared" si="51"/>
        <v>-5.273566249175893E-3</v>
      </c>
      <c r="E1646" s="156">
        <v>5.2025855273529608E-3</v>
      </c>
      <c r="F1646" s="124">
        <v>1640</v>
      </c>
      <c r="G1646" s="238">
        <f t="shared" ca="1" si="52"/>
        <v>5.694229957771758E-3</v>
      </c>
      <c r="I1646" s="156"/>
    </row>
    <row r="1647" spans="2:9" x14ac:dyDescent="0.2">
      <c r="B1647" s="230">
        <v>43573</v>
      </c>
      <c r="C1647" s="124">
        <v>304.39999999999998</v>
      </c>
      <c r="D1647" s="156">
        <f t="shared" si="51"/>
        <v>8.6149768058315628E-3</v>
      </c>
      <c r="E1647" s="156">
        <v>5.1976011071812947E-3</v>
      </c>
      <c r="F1647" s="124">
        <v>1641</v>
      </c>
      <c r="G1647" s="238">
        <f t="shared" ca="1" si="52"/>
        <v>1.1974651990330322E-2</v>
      </c>
      <c r="I1647" s="156"/>
    </row>
    <row r="1648" spans="2:9" x14ac:dyDescent="0.2">
      <c r="B1648" s="230">
        <v>43571</v>
      </c>
      <c r="C1648" s="124">
        <v>307.2</v>
      </c>
      <c r="D1648" s="156">
        <f t="shared" si="51"/>
        <v>9.1984231274639013E-3</v>
      </c>
      <c r="E1648" s="156">
        <v>5.1779935275081644E-3</v>
      </c>
      <c r="F1648" s="124">
        <v>1642</v>
      </c>
      <c r="G1648" s="238">
        <f t="shared" ca="1" si="52"/>
        <v>-2.701122323610821E-2</v>
      </c>
      <c r="I1648" s="156"/>
    </row>
    <row r="1649" spans="2:9" x14ac:dyDescent="0.2">
      <c r="B1649" s="230">
        <v>43570</v>
      </c>
      <c r="C1649" s="124">
        <v>305.5</v>
      </c>
      <c r="D1649" s="156">
        <f t="shared" si="51"/>
        <v>-5.5338541666666297E-3</v>
      </c>
      <c r="E1649" s="156">
        <v>5.1768766177740276E-3</v>
      </c>
      <c r="F1649" s="124">
        <v>1643</v>
      </c>
      <c r="G1649" s="238">
        <f t="shared" ca="1" si="52"/>
        <v>-4.680531673101368E-3</v>
      </c>
      <c r="I1649" s="156"/>
    </row>
    <row r="1650" spans="2:9" x14ac:dyDescent="0.2">
      <c r="B1650" s="230">
        <v>43567</v>
      </c>
      <c r="C1650" s="124">
        <v>305.75</v>
      </c>
      <c r="D1650" s="156">
        <f t="shared" si="51"/>
        <v>8.1833060556464816E-4</v>
      </c>
      <c r="E1650" s="156">
        <v>5.1759834368529179E-3</v>
      </c>
      <c r="F1650" s="124">
        <v>1644</v>
      </c>
      <c r="G1650" s="238">
        <f t="shared" ca="1" si="52"/>
        <v>3.3263090547749771E-2</v>
      </c>
      <c r="I1650" s="156"/>
    </row>
    <row r="1651" spans="2:9" x14ac:dyDescent="0.2">
      <c r="B1651" s="230">
        <v>43566</v>
      </c>
      <c r="C1651" s="124">
        <v>296.39999999999998</v>
      </c>
      <c r="D1651" s="156">
        <f t="shared" si="51"/>
        <v>-3.0580539656582251E-2</v>
      </c>
      <c r="E1651" s="156">
        <v>5.1744134177892608E-3</v>
      </c>
      <c r="F1651" s="124">
        <v>1645</v>
      </c>
      <c r="G1651" s="238">
        <f t="shared" ca="1" si="52"/>
        <v>-1.2703493417071866E-2</v>
      </c>
      <c r="I1651" s="156"/>
    </row>
    <row r="1652" spans="2:9" x14ac:dyDescent="0.2">
      <c r="B1652" s="230">
        <v>43565</v>
      </c>
      <c r="C1652" s="124">
        <v>294.7</v>
      </c>
      <c r="D1652" s="156">
        <f t="shared" si="51"/>
        <v>-5.7354925775978029E-3</v>
      </c>
      <c r="E1652" s="156">
        <v>5.1644468605600274E-3</v>
      </c>
      <c r="F1652" s="124">
        <v>1646</v>
      </c>
      <c r="G1652" s="238">
        <f t="shared" ca="1" si="52"/>
        <v>-1.3948387574536777E-2</v>
      </c>
      <c r="I1652" s="156"/>
    </row>
    <row r="1653" spans="2:9" x14ac:dyDescent="0.2">
      <c r="B1653" s="230">
        <v>43564</v>
      </c>
      <c r="C1653" s="124">
        <v>296.3</v>
      </c>
      <c r="D1653" s="156">
        <f t="shared" si="51"/>
        <v>5.4292500848321101E-3</v>
      </c>
      <c r="E1653" s="156">
        <v>5.1592642440556561E-3</v>
      </c>
      <c r="F1653" s="124">
        <v>1647</v>
      </c>
      <c r="G1653" s="238">
        <f t="shared" ca="1" si="52"/>
        <v>-2.8726873647280465E-2</v>
      </c>
      <c r="I1653" s="156"/>
    </row>
    <row r="1654" spans="2:9" x14ac:dyDescent="0.2">
      <c r="B1654" s="230">
        <v>43563</v>
      </c>
      <c r="C1654" s="124">
        <v>292.75</v>
      </c>
      <c r="D1654" s="156">
        <f t="shared" si="51"/>
        <v>-1.1981100236247084E-2</v>
      </c>
      <c r="E1654" s="156">
        <v>5.1546391752578056E-3</v>
      </c>
      <c r="F1654" s="124">
        <v>1648</v>
      </c>
      <c r="G1654" s="238">
        <f t="shared" ca="1" si="52"/>
        <v>7.6521476585268986E-3</v>
      </c>
      <c r="I1654" s="156"/>
    </row>
    <row r="1655" spans="2:9" x14ac:dyDescent="0.2">
      <c r="B1655" s="230">
        <v>43560</v>
      </c>
      <c r="C1655" s="124">
        <v>294.55</v>
      </c>
      <c r="D1655" s="156">
        <f t="shared" si="51"/>
        <v>6.1485909479078102E-3</v>
      </c>
      <c r="E1655" s="156">
        <v>5.1535167307831782E-3</v>
      </c>
      <c r="F1655" s="124">
        <v>1649</v>
      </c>
      <c r="G1655" s="238">
        <f t="shared" ca="1" si="52"/>
        <v>5.0577591039305293E-3</v>
      </c>
      <c r="I1655" s="156"/>
    </row>
    <row r="1656" spans="2:9" x14ac:dyDescent="0.2">
      <c r="B1656" s="230">
        <v>43559</v>
      </c>
      <c r="C1656" s="124">
        <v>294.8</v>
      </c>
      <c r="D1656" s="156">
        <f t="shared" si="51"/>
        <v>8.4875233406891861E-4</v>
      </c>
      <c r="E1656" s="156">
        <v>5.1483773934169396E-3</v>
      </c>
      <c r="F1656" s="124">
        <v>1650</v>
      </c>
      <c r="G1656" s="238">
        <f t="shared" ca="1" si="52"/>
        <v>5.5386645195362079E-3</v>
      </c>
      <c r="I1656" s="156"/>
    </row>
    <row r="1657" spans="2:9" x14ac:dyDescent="0.2">
      <c r="B1657" s="230">
        <v>43558</v>
      </c>
      <c r="C1657" s="124">
        <v>296.14999999999998</v>
      </c>
      <c r="D1657" s="156">
        <f t="shared" si="51"/>
        <v>4.5793758480324482E-3</v>
      </c>
      <c r="E1657" s="156">
        <v>5.1469946785309556E-3</v>
      </c>
      <c r="F1657" s="124">
        <v>1651</v>
      </c>
      <c r="G1657" s="238">
        <f t="shared" ca="1" si="52"/>
        <v>1.3101870571535334E-4</v>
      </c>
      <c r="I1657" s="156"/>
    </row>
    <row r="1658" spans="2:9" x14ac:dyDescent="0.2">
      <c r="B1658" s="230">
        <v>43557</v>
      </c>
      <c r="C1658" s="124">
        <v>297.89999999999998</v>
      </c>
      <c r="D1658" s="156">
        <f t="shared" si="51"/>
        <v>5.9091676515279426E-3</v>
      </c>
      <c r="E1658" s="156">
        <v>5.1454138702461101E-3</v>
      </c>
      <c r="F1658" s="124">
        <v>1652</v>
      </c>
      <c r="G1658" s="238">
        <f t="shared" ca="1" si="52"/>
        <v>-1.4101582755343665E-3</v>
      </c>
      <c r="I1658" s="156"/>
    </row>
    <row r="1659" spans="2:9" x14ac:dyDescent="0.2">
      <c r="B1659" s="230">
        <v>43556</v>
      </c>
      <c r="C1659" s="124">
        <v>297.25</v>
      </c>
      <c r="D1659" s="156">
        <f t="shared" si="51"/>
        <v>-2.1819402484054289E-3</v>
      </c>
      <c r="E1659" s="156">
        <v>5.1395832163118127E-3</v>
      </c>
      <c r="F1659" s="124">
        <v>1653</v>
      </c>
      <c r="G1659" s="238">
        <f t="shared" ca="1" si="52"/>
        <v>-7.8070999300708221E-3</v>
      </c>
      <c r="I1659" s="156"/>
    </row>
    <row r="1660" spans="2:9" x14ac:dyDescent="0.2">
      <c r="B1660" s="230">
        <v>43553</v>
      </c>
      <c r="C1660" s="124">
        <v>297.25</v>
      </c>
      <c r="D1660" s="156">
        <f t="shared" si="51"/>
        <v>0</v>
      </c>
      <c r="E1660" s="156">
        <v>5.1177072671443188E-3</v>
      </c>
      <c r="F1660" s="124">
        <v>1654</v>
      </c>
      <c r="G1660" s="238">
        <f t="shared" ca="1" si="52"/>
        <v>-1.3439333549467662E-2</v>
      </c>
      <c r="I1660" s="156"/>
    </row>
    <row r="1661" spans="2:9" x14ac:dyDescent="0.2">
      <c r="B1661" s="230">
        <v>43552</v>
      </c>
      <c r="C1661" s="124">
        <v>300</v>
      </c>
      <c r="D1661" s="156">
        <f t="shared" si="51"/>
        <v>9.2514718250630776E-3</v>
      </c>
      <c r="E1661" s="156">
        <v>5.1169590643275059E-3</v>
      </c>
      <c r="F1661" s="124">
        <v>1655</v>
      </c>
      <c r="G1661" s="238">
        <f t="shared" ca="1" si="52"/>
        <v>3.3720879858439655E-2</v>
      </c>
      <c r="I1661" s="156"/>
    </row>
    <row r="1662" spans="2:9" x14ac:dyDescent="0.2">
      <c r="B1662" s="230">
        <v>43551</v>
      </c>
      <c r="C1662" s="124">
        <v>293.10000000000002</v>
      </c>
      <c r="D1662" s="156">
        <f t="shared" ref="D1662:D1725" si="53">(C1662-C1661)/C1661</f>
        <v>-2.2999999999999923E-2</v>
      </c>
      <c r="E1662" s="156">
        <v>5.1060487038491363E-3</v>
      </c>
      <c r="F1662" s="124">
        <v>1656</v>
      </c>
      <c r="G1662" s="238">
        <f t="shared" ca="1" si="52"/>
        <v>-3.1951473628065032E-2</v>
      </c>
      <c r="I1662" s="156"/>
    </row>
    <row r="1663" spans="2:9" x14ac:dyDescent="0.2">
      <c r="B1663" s="230">
        <v>43550</v>
      </c>
      <c r="C1663" s="124">
        <v>293.39999999999998</v>
      </c>
      <c r="D1663" s="156">
        <f t="shared" si="53"/>
        <v>1.0235414534287086E-3</v>
      </c>
      <c r="E1663" s="156">
        <v>5.1010857356795364E-3</v>
      </c>
      <c r="F1663" s="124">
        <v>1657</v>
      </c>
      <c r="G1663" s="238">
        <f t="shared" ca="1" si="52"/>
        <v>-2.1911052753067574E-2</v>
      </c>
      <c r="I1663" s="156"/>
    </row>
    <row r="1664" spans="2:9" x14ac:dyDescent="0.2">
      <c r="B1664" s="230">
        <v>43549</v>
      </c>
      <c r="C1664" s="124">
        <v>295.05</v>
      </c>
      <c r="D1664" s="156">
        <f t="shared" si="53"/>
        <v>5.6237218813907095E-3</v>
      </c>
      <c r="E1664" s="156">
        <v>5.0933786078097183E-3</v>
      </c>
      <c r="F1664" s="124">
        <v>1658</v>
      </c>
      <c r="G1664" s="238">
        <f t="shared" ca="1" si="52"/>
        <v>8.1935666915130146E-3</v>
      </c>
      <c r="I1664" s="156"/>
    </row>
    <row r="1665" spans="2:9" x14ac:dyDescent="0.2">
      <c r="B1665" s="230">
        <v>43546</v>
      </c>
      <c r="C1665" s="124">
        <v>298.2</v>
      </c>
      <c r="D1665" s="156">
        <f t="shared" si="53"/>
        <v>1.0676156583629815E-2</v>
      </c>
      <c r="E1665" s="156">
        <v>5.0875050875050874E-3</v>
      </c>
      <c r="F1665" s="124">
        <v>1659</v>
      </c>
      <c r="G1665" s="238">
        <f t="shared" ca="1" si="52"/>
        <v>5.9406101631226315E-3</v>
      </c>
      <c r="I1665" s="156"/>
    </row>
    <row r="1666" spans="2:9" x14ac:dyDescent="0.2">
      <c r="B1666" s="230">
        <v>43544</v>
      </c>
      <c r="C1666" s="124">
        <v>298.89999999999998</v>
      </c>
      <c r="D1666" s="156">
        <f t="shared" si="53"/>
        <v>2.3474178403755487E-3</v>
      </c>
      <c r="E1666" s="156">
        <v>5.0836339783535958E-3</v>
      </c>
      <c r="F1666" s="124">
        <v>1660</v>
      </c>
      <c r="G1666" s="238">
        <f t="shared" ca="1" si="52"/>
        <v>-4.8802495025023537E-4</v>
      </c>
      <c r="I1666" s="156"/>
    </row>
    <row r="1667" spans="2:9" x14ac:dyDescent="0.2">
      <c r="B1667" s="230">
        <v>43543</v>
      </c>
      <c r="C1667" s="124">
        <v>299.45</v>
      </c>
      <c r="D1667" s="156">
        <f t="shared" si="53"/>
        <v>1.8400802944128854E-3</v>
      </c>
      <c r="E1667" s="156">
        <v>5.0761421319795172E-3</v>
      </c>
      <c r="F1667" s="124">
        <v>1661</v>
      </c>
      <c r="G1667" s="238">
        <f t="shared" ca="1" si="52"/>
        <v>1.6032676475614613E-2</v>
      </c>
      <c r="I1667" s="156"/>
    </row>
    <row r="1668" spans="2:9" x14ac:dyDescent="0.2">
      <c r="B1668" s="230">
        <v>43542</v>
      </c>
      <c r="C1668" s="124">
        <v>293.75</v>
      </c>
      <c r="D1668" s="156">
        <f t="shared" si="53"/>
        <v>-1.9034897311738148E-2</v>
      </c>
      <c r="E1668" s="156">
        <v>5.0590219224284022E-3</v>
      </c>
      <c r="F1668" s="124">
        <v>1662</v>
      </c>
      <c r="G1668" s="238">
        <f t="shared" ca="1" si="52"/>
        <v>-3.2751071907485205E-3</v>
      </c>
      <c r="I1668" s="156"/>
    </row>
    <row r="1669" spans="2:9" x14ac:dyDescent="0.2">
      <c r="B1669" s="230">
        <v>43539</v>
      </c>
      <c r="C1669" s="124">
        <v>290.8</v>
      </c>
      <c r="D1669" s="156">
        <f t="shared" si="53"/>
        <v>-1.0042553191489324E-2</v>
      </c>
      <c r="E1669" s="156">
        <v>5.0589436554348988E-3</v>
      </c>
      <c r="F1669" s="124">
        <v>1663</v>
      </c>
      <c r="G1669" s="238">
        <f t="shared" ca="1" si="52"/>
        <v>-2.2832962277105785E-3</v>
      </c>
      <c r="I1669" s="156"/>
    </row>
    <row r="1670" spans="2:9" x14ac:dyDescent="0.2">
      <c r="B1670" s="230">
        <v>43538</v>
      </c>
      <c r="C1670" s="124">
        <v>295.5</v>
      </c>
      <c r="D1670" s="156">
        <f t="shared" si="53"/>
        <v>1.6162310866574926E-2</v>
      </c>
      <c r="E1670" s="156">
        <v>5.0564638462835708E-3</v>
      </c>
      <c r="F1670" s="124">
        <v>1664</v>
      </c>
      <c r="G1670" s="238">
        <f t="shared" ca="1" si="52"/>
        <v>-2.3422579922157228E-2</v>
      </c>
      <c r="I1670" s="156"/>
    </row>
    <row r="1671" spans="2:9" x14ac:dyDescent="0.2">
      <c r="B1671" s="230">
        <v>43537</v>
      </c>
      <c r="C1671" s="124">
        <v>294.89999999999998</v>
      </c>
      <c r="D1671" s="156">
        <f t="shared" si="53"/>
        <v>-2.030456852791955E-3</v>
      </c>
      <c r="E1671" s="156">
        <v>5.0491629019398807E-3</v>
      </c>
      <c r="F1671" s="124">
        <v>1665</v>
      </c>
      <c r="G1671" s="238">
        <f t="shared" ref="G1671:G1734" ca="1" si="54">_xlfn.NORM.INV(RAND(),$L$8,$L$9)</f>
        <v>-7.453610188796183E-4</v>
      </c>
      <c r="I1671" s="156"/>
    </row>
    <row r="1672" spans="2:9" x14ac:dyDescent="0.2">
      <c r="B1672" s="230">
        <v>43536</v>
      </c>
      <c r="C1672" s="124">
        <v>294.5</v>
      </c>
      <c r="D1672" s="156">
        <f t="shared" si="53"/>
        <v>-1.3563919972871389E-3</v>
      </c>
      <c r="E1672" s="156">
        <v>5.0272308336825186E-3</v>
      </c>
      <c r="F1672" s="124">
        <v>1666</v>
      </c>
      <c r="G1672" s="238">
        <f t="shared" ca="1" si="54"/>
        <v>-9.0839488348846142E-3</v>
      </c>
      <c r="I1672" s="156"/>
    </row>
    <row r="1673" spans="2:9" x14ac:dyDescent="0.2">
      <c r="B1673" s="230">
        <v>43535</v>
      </c>
      <c r="C1673" s="124">
        <v>292.95</v>
      </c>
      <c r="D1673" s="156">
        <f t="shared" si="53"/>
        <v>-5.263157894736881E-3</v>
      </c>
      <c r="E1673" s="156">
        <v>5.024826807005018E-3</v>
      </c>
      <c r="F1673" s="124">
        <v>1667</v>
      </c>
      <c r="G1673" s="238">
        <f t="shared" ca="1" si="54"/>
        <v>-1.9056981105632211E-3</v>
      </c>
      <c r="I1673" s="156"/>
    </row>
    <row r="1674" spans="2:9" x14ac:dyDescent="0.2">
      <c r="B1674" s="230">
        <v>43532</v>
      </c>
      <c r="C1674" s="124">
        <v>292</v>
      </c>
      <c r="D1674" s="156">
        <f t="shared" si="53"/>
        <v>-3.2428742106161072E-3</v>
      </c>
      <c r="E1674" s="156">
        <v>5.0219711236659317E-3</v>
      </c>
      <c r="F1674" s="124">
        <v>1668</v>
      </c>
      <c r="G1674" s="238">
        <f t="shared" ca="1" si="54"/>
        <v>3.1356548703855812E-3</v>
      </c>
      <c r="I1674" s="156"/>
    </row>
    <row r="1675" spans="2:9" x14ac:dyDescent="0.2">
      <c r="B1675" s="230">
        <v>43531</v>
      </c>
      <c r="C1675" s="124">
        <v>290.10000000000002</v>
      </c>
      <c r="D1675" s="156">
        <f t="shared" si="53"/>
        <v>-6.5068493150684152E-3</v>
      </c>
      <c r="E1675" s="156">
        <v>5.0184501845018954E-3</v>
      </c>
      <c r="F1675" s="124">
        <v>1669</v>
      </c>
      <c r="G1675" s="238">
        <f t="shared" ca="1" si="54"/>
        <v>-6.1586879642114871E-3</v>
      </c>
      <c r="I1675" s="156"/>
    </row>
    <row r="1676" spans="2:9" x14ac:dyDescent="0.2">
      <c r="B1676" s="230">
        <v>43530</v>
      </c>
      <c r="C1676" s="124">
        <v>285.75</v>
      </c>
      <c r="D1676" s="156">
        <f t="shared" si="53"/>
        <v>-1.4994829369183118E-2</v>
      </c>
      <c r="E1676" s="156">
        <v>5.0088652482269307E-3</v>
      </c>
      <c r="F1676" s="124">
        <v>1670</v>
      </c>
      <c r="G1676" s="238">
        <f t="shared" ca="1" si="54"/>
        <v>-1.2320513566774971E-2</v>
      </c>
      <c r="I1676" s="156"/>
    </row>
    <row r="1677" spans="2:9" x14ac:dyDescent="0.2">
      <c r="B1677" s="230">
        <v>43529</v>
      </c>
      <c r="C1677" s="124">
        <v>282.55</v>
      </c>
      <c r="D1677" s="156">
        <f t="shared" si="53"/>
        <v>-1.1198600174978087E-2</v>
      </c>
      <c r="E1677" s="156">
        <v>4.990504791767855E-3</v>
      </c>
      <c r="F1677" s="124">
        <v>1671</v>
      </c>
      <c r="G1677" s="238">
        <f t="shared" ca="1" si="54"/>
        <v>-1.8199635314893822E-3</v>
      </c>
      <c r="I1677" s="156"/>
    </row>
    <row r="1678" spans="2:9" x14ac:dyDescent="0.2">
      <c r="B1678" s="230">
        <v>43525</v>
      </c>
      <c r="C1678" s="124">
        <v>278.2</v>
      </c>
      <c r="D1678" s="156">
        <f t="shared" si="53"/>
        <v>-1.5395505220315069E-2</v>
      </c>
      <c r="E1678" s="156">
        <v>4.98376846051851E-3</v>
      </c>
      <c r="F1678" s="124">
        <v>1672</v>
      </c>
      <c r="G1678" s="238">
        <f t="shared" ca="1" si="54"/>
        <v>2.8103441364607993E-2</v>
      </c>
      <c r="I1678" s="156"/>
    </row>
    <row r="1679" spans="2:9" x14ac:dyDescent="0.2">
      <c r="B1679" s="230">
        <v>43524</v>
      </c>
      <c r="C1679" s="124">
        <v>276.05</v>
      </c>
      <c r="D1679" s="156">
        <f t="shared" si="53"/>
        <v>-7.7282530553557773E-3</v>
      </c>
      <c r="E1679" s="156">
        <v>4.9825610363726956E-3</v>
      </c>
      <c r="F1679" s="124">
        <v>1673</v>
      </c>
      <c r="G1679" s="238">
        <f t="shared" ca="1" si="54"/>
        <v>1.5018342988002014E-2</v>
      </c>
      <c r="I1679" s="156"/>
    </row>
    <row r="1680" spans="2:9" x14ac:dyDescent="0.2">
      <c r="B1680" s="230">
        <v>43523</v>
      </c>
      <c r="C1680" s="124">
        <v>275.10000000000002</v>
      </c>
      <c r="D1680" s="156">
        <f t="shared" si="53"/>
        <v>-3.4414055424741483E-3</v>
      </c>
      <c r="E1680" s="156">
        <v>4.9751243781094197E-3</v>
      </c>
      <c r="F1680" s="124">
        <v>1674</v>
      </c>
      <c r="G1680" s="238">
        <f t="shared" ca="1" si="54"/>
        <v>1.8451508945471297E-2</v>
      </c>
      <c r="I1680" s="156"/>
    </row>
    <row r="1681" spans="2:9" x14ac:dyDescent="0.2">
      <c r="B1681" s="230">
        <v>43522</v>
      </c>
      <c r="C1681" s="124">
        <v>275.5</v>
      </c>
      <c r="D1681" s="156">
        <f t="shared" si="53"/>
        <v>1.454016721192211E-3</v>
      </c>
      <c r="E1681" s="156">
        <v>4.9682034976152624E-3</v>
      </c>
      <c r="F1681" s="124">
        <v>1675</v>
      </c>
      <c r="G1681" s="238">
        <f t="shared" ca="1" si="54"/>
        <v>-2.126479064850114E-2</v>
      </c>
      <c r="I1681" s="156"/>
    </row>
    <row r="1682" spans="2:9" x14ac:dyDescent="0.2">
      <c r="B1682" s="230">
        <v>43521</v>
      </c>
      <c r="C1682" s="124">
        <v>276.7</v>
      </c>
      <c r="D1682" s="156">
        <f t="shared" si="53"/>
        <v>4.3557168784028625E-3</v>
      </c>
      <c r="E1682" s="156">
        <v>4.9543049543049594E-3</v>
      </c>
      <c r="F1682" s="124">
        <v>1676</v>
      </c>
      <c r="G1682" s="238">
        <f t="shared" ca="1" si="54"/>
        <v>1.5693073721435507E-2</v>
      </c>
      <c r="I1682" s="156"/>
    </row>
    <row r="1683" spans="2:9" x14ac:dyDescent="0.2">
      <c r="B1683" s="230">
        <v>43518</v>
      </c>
      <c r="C1683" s="124">
        <v>274.3</v>
      </c>
      <c r="D1683" s="156">
        <f t="shared" si="53"/>
        <v>-8.6736537766533336E-3</v>
      </c>
      <c r="E1683" s="156">
        <v>4.9513810177176671E-3</v>
      </c>
      <c r="F1683" s="124">
        <v>1677</v>
      </c>
      <c r="G1683" s="238">
        <f t="shared" ca="1" si="54"/>
        <v>-8.6252279812041692E-3</v>
      </c>
      <c r="I1683" s="156"/>
    </row>
    <row r="1684" spans="2:9" x14ac:dyDescent="0.2">
      <c r="B1684" s="230">
        <v>43517</v>
      </c>
      <c r="C1684" s="124">
        <v>275.05</v>
      </c>
      <c r="D1684" s="156">
        <f t="shared" si="53"/>
        <v>2.7342325920524969E-3</v>
      </c>
      <c r="E1684" s="156">
        <v>4.9432823394733507E-3</v>
      </c>
      <c r="F1684" s="124">
        <v>1678</v>
      </c>
      <c r="G1684" s="238">
        <f t="shared" ca="1" si="54"/>
        <v>-3.5603310556913915E-3</v>
      </c>
      <c r="I1684" s="156"/>
    </row>
    <row r="1685" spans="2:9" x14ac:dyDescent="0.2">
      <c r="B1685" s="230">
        <v>43516</v>
      </c>
      <c r="C1685" s="124">
        <v>275.85000000000002</v>
      </c>
      <c r="D1685" s="156">
        <f t="shared" si="53"/>
        <v>2.9085620796219279E-3</v>
      </c>
      <c r="E1685" s="156">
        <v>4.9423393739704245E-3</v>
      </c>
      <c r="F1685" s="124">
        <v>1679</v>
      </c>
      <c r="G1685" s="238">
        <f t="shared" ca="1" si="54"/>
        <v>-4.4118219317947297E-3</v>
      </c>
      <c r="I1685" s="156"/>
    </row>
    <row r="1686" spans="2:9" x14ac:dyDescent="0.2">
      <c r="B1686" s="230">
        <v>43515</v>
      </c>
      <c r="C1686" s="124">
        <v>275.89999999999998</v>
      </c>
      <c r="D1686" s="156">
        <f t="shared" si="53"/>
        <v>1.8125793003427414E-4</v>
      </c>
      <c r="E1686" s="156">
        <v>4.924167815639157E-3</v>
      </c>
      <c r="F1686" s="124">
        <v>1680</v>
      </c>
      <c r="G1686" s="238">
        <f t="shared" ca="1" si="54"/>
        <v>4.3587013616190433E-3</v>
      </c>
      <c r="I1686" s="156"/>
    </row>
    <row r="1687" spans="2:9" x14ac:dyDescent="0.2">
      <c r="B1687" s="230">
        <v>43514</v>
      </c>
      <c r="C1687" s="124">
        <v>274.7</v>
      </c>
      <c r="D1687" s="156">
        <f t="shared" si="53"/>
        <v>-4.3494019572308399E-3</v>
      </c>
      <c r="E1687" s="156">
        <v>4.9103330486763696E-3</v>
      </c>
      <c r="F1687" s="124">
        <v>1681</v>
      </c>
      <c r="G1687" s="238">
        <f t="shared" ca="1" si="54"/>
        <v>1.3377690248888671E-2</v>
      </c>
      <c r="I1687" s="156"/>
    </row>
    <row r="1688" spans="2:9" x14ac:dyDescent="0.2">
      <c r="B1688" s="230">
        <v>43511</v>
      </c>
      <c r="C1688" s="124">
        <v>280.10000000000002</v>
      </c>
      <c r="D1688" s="156">
        <f t="shared" si="53"/>
        <v>1.9657808518383817E-2</v>
      </c>
      <c r="E1688" s="156">
        <v>4.9094294904351021E-3</v>
      </c>
      <c r="F1688" s="124">
        <v>1682</v>
      </c>
      <c r="G1688" s="238">
        <f t="shared" ca="1" si="54"/>
        <v>-3.3288863856851692E-3</v>
      </c>
      <c r="I1688" s="156"/>
    </row>
    <row r="1689" spans="2:9" x14ac:dyDescent="0.2">
      <c r="B1689" s="230">
        <v>43510</v>
      </c>
      <c r="C1689" s="124">
        <v>277.89999999999998</v>
      </c>
      <c r="D1689" s="156">
        <f t="shared" si="53"/>
        <v>-7.8543377365228317E-3</v>
      </c>
      <c r="E1689" s="156">
        <v>4.9088880624769439E-3</v>
      </c>
      <c r="F1689" s="124">
        <v>1683</v>
      </c>
      <c r="G1689" s="238">
        <f t="shared" ca="1" si="54"/>
        <v>2.6173974642457345E-4</v>
      </c>
      <c r="I1689" s="156"/>
    </row>
    <row r="1690" spans="2:9" x14ac:dyDescent="0.2">
      <c r="B1690" s="230">
        <v>43509</v>
      </c>
      <c r="C1690" s="124">
        <v>276.85000000000002</v>
      </c>
      <c r="D1690" s="156">
        <f t="shared" si="53"/>
        <v>-3.7783375314859829E-3</v>
      </c>
      <c r="E1690" s="156">
        <v>4.9041462327240049E-3</v>
      </c>
      <c r="F1690" s="124">
        <v>1684</v>
      </c>
      <c r="G1690" s="238">
        <f t="shared" ca="1" si="54"/>
        <v>-4.546457822033572E-2</v>
      </c>
      <c r="I1690" s="156"/>
    </row>
    <row r="1691" spans="2:9" x14ac:dyDescent="0.2">
      <c r="B1691" s="230">
        <v>43508</v>
      </c>
      <c r="C1691" s="124">
        <v>275.3</v>
      </c>
      <c r="D1691" s="156">
        <f t="shared" si="53"/>
        <v>-5.5986996568539327E-3</v>
      </c>
      <c r="E1691" s="156">
        <v>4.9014440813743981E-3</v>
      </c>
      <c r="F1691" s="124">
        <v>1685</v>
      </c>
      <c r="G1691" s="238">
        <f t="shared" ca="1" si="54"/>
        <v>1.216337673656496E-2</v>
      </c>
      <c r="I1691" s="156"/>
    </row>
    <row r="1692" spans="2:9" x14ac:dyDescent="0.2">
      <c r="B1692" s="230">
        <v>43507</v>
      </c>
      <c r="C1692" s="124">
        <v>277.10000000000002</v>
      </c>
      <c r="D1692" s="156">
        <f t="shared" si="53"/>
        <v>6.5383218307301537E-3</v>
      </c>
      <c r="E1692" s="156">
        <v>4.8797094870630118E-3</v>
      </c>
      <c r="F1692" s="124">
        <v>1686</v>
      </c>
      <c r="G1692" s="238">
        <f t="shared" ca="1" si="54"/>
        <v>4.2424461691666819E-3</v>
      </c>
      <c r="I1692" s="156"/>
    </row>
    <row r="1693" spans="2:9" x14ac:dyDescent="0.2">
      <c r="B1693" s="230">
        <v>43504</v>
      </c>
      <c r="C1693" s="124">
        <v>275.5</v>
      </c>
      <c r="D1693" s="156">
        <f t="shared" si="53"/>
        <v>-5.7740887766150224E-3</v>
      </c>
      <c r="E1693" s="156">
        <v>4.8575844557298426E-3</v>
      </c>
      <c r="F1693" s="124">
        <v>1687</v>
      </c>
      <c r="G1693" s="238">
        <f t="shared" ca="1" si="54"/>
        <v>1.1335786855718999E-3</v>
      </c>
      <c r="I1693" s="156"/>
    </row>
    <row r="1694" spans="2:9" x14ac:dyDescent="0.2">
      <c r="B1694" s="230">
        <v>43503</v>
      </c>
      <c r="C1694" s="124">
        <v>280.3</v>
      </c>
      <c r="D1694" s="156">
        <f t="shared" si="53"/>
        <v>1.7422867513611655E-2</v>
      </c>
      <c r="E1694" s="156">
        <v>4.8459674627898139E-3</v>
      </c>
      <c r="F1694" s="124">
        <v>1688</v>
      </c>
      <c r="G1694" s="238">
        <f t="shared" ca="1" si="54"/>
        <v>-8.8950343989078282E-3</v>
      </c>
      <c r="I1694" s="156"/>
    </row>
    <row r="1695" spans="2:9" x14ac:dyDescent="0.2">
      <c r="B1695" s="230">
        <v>43502</v>
      </c>
      <c r="C1695" s="124">
        <v>277.7</v>
      </c>
      <c r="D1695" s="156">
        <f t="shared" si="53"/>
        <v>-9.2757759543347224E-3</v>
      </c>
      <c r="E1695" s="156">
        <v>4.8408117668963368E-3</v>
      </c>
      <c r="F1695" s="124">
        <v>1689</v>
      </c>
      <c r="G1695" s="238">
        <f t="shared" ca="1" si="54"/>
        <v>1.6179797525258145E-2</v>
      </c>
      <c r="I1695" s="156"/>
    </row>
    <row r="1696" spans="2:9" x14ac:dyDescent="0.2">
      <c r="B1696" s="230">
        <v>43501</v>
      </c>
      <c r="C1696" s="124">
        <v>274.14999999999998</v>
      </c>
      <c r="D1696" s="156">
        <f t="shared" si="53"/>
        <v>-1.2783579402232667E-2</v>
      </c>
      <c r="E1696" s="156">
        <v>4.8403641492500574E-3</v>
      </c>
      <c r="F1696" s="124">
        <v>1690</v>
      </c>
      <c r="G1696" s="238">
        <f t="shared" ca="1" si="54"/>
        <v>9.34245987203337E-3</v>
      </c>
      <c r="I1696" s="156"/>
    </row>
    <row r="1697" spans="2:9" x14ac:dyDescent="0.2">
      <c r="B1697" s="230">
        <v>43500</v>
      </c>
      <c r="C1697" s="124">
        <v>277.10000000000002</v>
      </c>
      <c r="D1697" s="156">
        <f t="shared" si="53"/>
        <v>1.0760532555170694E-2</v>
      </c>
      <c r="E1697" s="156">
        <v>4.8349800294303375E-3</v>
      </c>
      <c r="F1697" s="124">
        <v>1691</v>
      </c>
      <c r="G1697" s="238">
        <f t="shared" ca="1" si="54"/>
        <v>-1.5015540687240536E-2</v>
      </c>
      <c r="I1697" s="156"/>
    </row>
    <row r="1698" spans="2:9" x14ac:dyDescent="0.2">
      <c r="B1698" s="230">
        <v>43497</v>
      </c>
      <c r="C1698" s="124">
        <v>280.85000000000002</v>
      </c>
      <c r="D1698" s="156">
        <f t="shared" si="53"/>
        <v>1.3533020570191266E-2</v>
      </c>
      <c r="E1698" s="156">
        <v>4.8127223268466445E-3</v>
      </c>
      <c r="F1698" s="124">
        <v>1692</v>
      </c>
      <c r="G1698" s="238">
        <f t="shared" ca="1" si="54"/>
        <v>-6.3810481717698972E-4</v>
      </c>
      <c r="I1698" s="156"/>
    </row>
    <row r="1699" spans="2:9" x14ac:dyDescent="0.2">
      <c r="B1699" s="230">
        <v>43496</v>
      </c>
      <c r="C1699" s="124">
        <v>278.64999999999998</v>
      </c>
      <c r="D1699" s="156">
        <f t="shared" si="53"/>
        <v>-7.8333630051630604E-3</v>
      </c>
      <c r="E1699" s="156">
        <v>4.810261892036375E-3</v>
      </c>
      <c r="F1699" s="124">
        <v>1693</v>
      </c>
      <c r="G1699" s="238">
        <f t="shared" ca="1" si="54"/>
        <v>6.8782354275047849E-3</v>
      </c>
      <c r="I1699" s="156"/>
    </row>
    <row r="1700" spans="2:9" x14ac:dyDescent="0.2">
      <c r="B1700" s="230">
        <v>43495</v>
      </c>
      <c r="C1700" s="124">
        <v>275.5</v>
      </c>
      <c r="D1700" s="156">
        <f t="shared" si="53"/>
        <v>-1.1304503857886157E-2</v>
      </c>
      <c r="E1700" s="156">
        <v>4.7870658898974943E-3</v>
      </c>
      <c r="F1700" s="124">
        <v>1694</v>
      </c>
      <c r="G1700" s="238">
        <f t="shared" ca="1" si="54"/>
        <v>1.7121786294949502E-2</v>
      </c>
      <c r="I1700" s="156"/>
    </row>
    <row r="1701" spans="2:9" x14ac:dyDescent="0.2">
      <c r="B1701" s="230">
        <v>43494</v>
      </c>
      <c r="C1701" s="124">
        <v>278.45</v>
      </c>
      <c r="D1701" s="156">
        <f t="shared" si="53"/>
        <v>1.070780399274043E-2</v>
      </c>
      <c r="E1701" s="156">
        <v>4.7869321686776663E-3</v>
      </c>
      <c r="F1701" s="124">
        <v>1695</v>
      </c>
      <c r="G1701" s="238">
        <f t="shared" ca="1" si="54"/>
        <v>1.5529992160231796E-2</v>
      </c>
      <c r="I1701" s="156"/>
    </row>
    <row r="1702" spans="2:9" x14ac:dyDescent="0.2">
      <c r="B1702" s="230">
        <v>43493</v>
      </c>
      <c r="C1702" s="124">
        <v>274.75</v>
      </c>
      <c r="D1702" s="156">
        <f t="shared" si="53"/>
        <v>-1.3287843418926158E-2</v>
      </c>
      <c r="E1702" s="156">
        <v>4.7855530474040734E-3</v>
      </c>
      <c r="F1702" s="124">
        <v>1696</v>
      </c>
      <c r="G1702" s="238">
        <f t="shared" ca="1" si="54"/>
        <v>-3.024369953759267E-4</v>
      </c>
      <c r="I1702" s="156"/>
    </row>
    <row r="1703" spans="2:9" x14ac:dyDescent="0.2">
      <c r="B1703" s="230">
        <v>43490</v>
      </c>
      <c r="C1703" s="124">
        <v>279.2</v>
      </c>
      <c r="D1703" s="156">
        <f t="shared" si="53"/>
        <v>1.6196542311191952E-2</v>
      </c>
      <c r="E1703" s="156">
        <v>4.7818290496115445E-3</v>
      </c>
      <c r="F1703" s="124">
        <v>1697</v>
      </c>
      <c r="G1703" s="238">
        <f t="shared" ca="1" si="54"/>
        <v>1.5363416718264595E-2</v>
      </c>
      <c r="I1703" s="156"/>
    </row>
    <row r="1704" spans="2:9" x14ac:dyDescent="0.2">
      <c r="B1704" s="230">
        <v>43489</v>
      </c>
      <c r="C1704" s="124">
        <v>278.89999999999998</v>
      </c>
      <c r="D1704" s="156">
        <f t="shared" si="53"/>
        <v>-1.0744985673352843E-3</v>
      </c>
      <c r="E1704" s="156">
        <v>4.7794916358896121E-3</v>
      </c>
      <c r="F1704" s="124">
        <v>1698</v>
      </c>
      <c r="G1704" s="238">
        <f t="shared" ca="1" si="54"/>
        <v>-9.8292236129972586E-3</v>
      </c>
      <c r="I1704" s="156"/>
    </row>
    <row r="1705" spans="2:9" x14ac:dyDescent="0.2">
      <c r="B1705" s="230">
        <v>43488</v>
      </c>
      <c r="C1705" s="124">
        <v>277.3</v>
      </c>
      <c r="D1705" s="156">
        <f t="shared" si="53"/>
        <v>-5.7368232341339764E-3</v>
      </c>
      <c r="E1705" s="156">
        <v>4.7775455359809578E-3</v>
      </c>
      <c r="F1705" s="124">
        <v>1699</v>
      </c>
      <c r="G1705" s="238">
        <f t="shared" ca="1" si="54"/>
        <v>-1.2769376178560467E-2</v>
      </c>
      <c r="I1705" s="156"/>
    </row>
    <row r="1706" spans="2:9" x14ac:dyDescent="0.2">
      <c r="B1706" s="230">
        <v>43487</v>
      </c>
      <c r="C1706" s="124">
        <v>289.75</v>
      </c>
      <c r="D1706" s="156">
        <f t="shared" si="53"/>
        <v>4.489722322394514E-2</v>
      </c>
      <c r="E1706" s="156">
        <v>4.7645226314823328E-3</v>
      </c>
      <c r="F1706" s="124">
        <v>1700</v>
      </c>
      <c r="G1706" s="238">
        <f t="shared" ca="1" si="54"/>
        <v>4.3631717829769349E-3</v>
      </c>
      <c r="I1706" s="156"/>
    </row>
    <row r="1707" spans="2:9" x14ac:dyDescent="0.2">
      <c r="B1707" s="230">
        <v>43486</v>
      </c>
      <c r="C1707" s="124">
        <v>289.89999999999998</v>
      </c>
      <c r="D1707" s="156">
        <f t="shared" si="53"/>
        <v>5.1768766177731585E-4</v>
      </c>
      <c r="E1707" s="156">
        <v>4.7592643933093114E-3</v>
      </c>
      <c r="F1707" s="124">
        <v>1701</v>
      </c>
      <c r="G1707" s="238">
        <f t="shared" ca="1" si="54"/>
        <v>-9.6339913136623979E-3</v>
      </c>
      <c r="I1707" s="156"/>
    </row>
    <row r="1708" spans="2:9" x14ac:dyDescent="0.2">
      <c r="B1708" s="230">
        <v>43483</v>
      </c>
      <c r="C1708" s="124">
        <v>291.45</v>
      </c>
      <c r="D1708" s="156">
        <f t="shared" si="53"/>
        <v>5.346671265953817E-3</v>
      </c>
      <c r="E1708" s="156">
        <v>4.7553305721736812E-3</v>
      </c>
      <c r="F1708" s="124">
        <v>1702</v>
      </c>
      <c r="G1708" s="238">
        <f t="shared" ca="1" si="54"/>
        <v>1.1655034007851901E-2</v>
      </c>
      <c r="I1708" s="156"/>
    </row>
    <row r="1709" spans="2:9" x14ac:dyDescent="0.2">
      <c r="B1709" s="230">
        <v>43482</v>
      </c>
      <c r="C1709" s="124">
        <v>293.95</v>
      </c>
      <c r="D1709" s="156">
        <f t="shared" si="53"/>
        <v>8.5778006519128501E-3</v>
      </c>
      <c r="E1709" s="156">
        <v>4.7486894850445995E-3</v>
      </c>
      <c r="F1709" s="124">
        <v>1703</v>
      </c>
      <c r="G1709" s="238">
        <f t="shared" ca="1" si="54"/>
        <v>-2.1674565959621923E-2</v>
      </c>
      <c r="I1709" s="156"/>
    </row>
    <row r="1710" spans="2:9" x14ac:dyDescent="0.2">
      <c r="B1710" s="230">
        <v>43481</v>
      </c>
      <c r="C1710" s="124">
        <v>294.05</v>
      </c>
      <c r="D1710" s="156">
        <f t="shared" si="53"/>
        <v>3.4019391052907892E-4</v>
      </c>
      <c r="E1710" s="156">
        <v>4.7465672147821852E-3</v>
      </c>
      <c r="F1710" s="124">
        <v>1704</v>
      </c>
      <c r="G1710" s="238">
        <f t="shared" ca="1" si="54"/>
        <v>2.6642868664618489E-2</v>
      </c>
      <c r="I1710" s="156"/>
    </row>
    <row r="1711" spans="2:9" x14ac:dyDescent="0.2">
      <c r="B1711" s="230">
        <v>43480</v>
      </c>
      <c r="C1711" s="124">
        <v>296.55</v>
      </c>
      <c r="D1711" s="156">
        <f t="shared" si="53"/>
        <v>8.5019554497534431E-3</v>
      </c>
      <c r="E1711" s="156">
        <v>4.7456621681744712E-3</v>
      </c>
      <c r="F1711" s="124">
        <v>1705</v>
      </c>
      <c r="G1711" s="238">
        <f t="shared" ca="1" si="54"/>
        <v>6.7024707646843968E-3</v>
      </c>
      <c r="I1711" s="156"/>
    </row>
    <row r="1712" spans="2:9" x14ac:dyDescent="0.2">
      <c r="B1712" s="230">
        <v>43479</v>
      </c>
      <c r="C1712" s="124">
        <v>294.3</v>
      </c>
      <c r="D1712" s="156">
        <f t="shared" si="53"/>
        <v>-7.5872534142640358E-3</v>
      </c>
      <c r="E1712" s="156">
        <v>4.7436187034107461E-3</v>
      </c>
      <c r="F1712" s="124">
        <v>1706</v>
      </c>
      <c r="G1712" s="238">
        <f t="shared" ca="1" si="54"/>
        <v>9.5086018484694737E-3</v>
      </c>
      <c r="I1712" s="156"/>
    </row>
    <row r="1713" spans="2:9" x14ac:dyDescent="0.2">
      <c r="B1713" s="230">
        <v>43476</v>
      </c>
      <c r="C1713" s="124">
        <v>295.35000000000002</v>
      </c>
      <c r="D1713" s="156">
        <f t="shared" si="53"/>
        <v>3.5677879714577348E-3</v>
      </c>
      <c r="E1713" s="156">
        <v>4.7361622733579347E-3</v>
      </c>
      <c r="F1713" s="124">
        <v>1707</v>
      </c>
      <c r="G1713" s="238">
        <f t="shared" ca="1" si="54"/>
        <v>1.352001139271447E-3</v>
      </c>
      <c r="I1713" s="156"/>
    </row>
    <row r="1714" spans="2:9" x14ac:dyDescent="0.2">
      <c r="B1714" s="230">
        <v>43475</v>
      </c>
      <c r="C1714" s="124">
        <v>289.60000000000002</v>
      </c>
      <c r="D1714" s="156">
        <f t="shared" si="53"/>
        <v>-1.9468427289656337E-2</v>
      </c>
      <c r="E1714" s="156">
        <v>4.7349285533102416E-3</v>
      </c>
      <c r="F1714" s="124">
        <v>1708</v>
      </c>
      <c r="G1714" s="238">
        <f t="shared" ca="1" si="54"/>
        <v>4.5263409060036508E-2</v>
      </c>
      <c r="I1714" s="156"/>
    </row>
    <row r="1715" spans="2:9" x14ac:dyDescent="0.2">
      <c r="B1715" s="230">
        <v>43474</v>
      </c>
      <c r="C1715" s="124">
        <v>290.39999999999998</v>
      </c>
      <c r="D1715" s="156">
        <f t="shared" si="53"/>
        <v>2.7624309392263622E-3</v>
      </c>
      <c r="E1715" s="156">
        <v>4.7318611987382008E-3</v>
      </c>
      <c r="F1715" s="124">
        <v>1709</v>
      </c>
      <c r="G1715" s="238">
        <f t="shared" ca="1" si="54"/>
        <v>1.6904629576859893E-3</v>
      </c>
      <c r="I1715" s="156"/>
    </row>
    <row r="1716" spans="2:9" x14ac:dyDescent="0.2">
      <c r="B1716" s="230">
        <v>43473</v>
      </c>
      <c r="C1716" s="124">
        <v>284.25</v>
      </c>
      <c r="D1716" s="156">
        <f t="shared" si="53"/>
        <v>-2.1177685950413146E-2</v>
      </c>
      <c r="E1716" s="156">
        <v>4.7315058205031572E-3</v>
      </c>
      <c r="F1716" s="124">
        <v>1710</v>
      </c>
      <c r="G1716" s="238">
        <f t="shared" ca="1" si="54"/>
        <v>-2.1749169384609406E-2</v>
      </c>
      <c r="I1716" s="156"/>
    </row>
    <row r="1717" spans="2:9" x14ac:dyDescent="0.2">
      <c r="B1717" s="230">
        <v>43472</v>
      </c>
      <c r="C1717" s="124">
        <v>281.64999999999998</v>
      </c>
      <c r="D1717" s="156">
        <f t="shared" si="53"/>
        <v>-9.146877748460942E-3</v>
      </c>
      <c r="E1717" s="156">
        <v>4.7144152311877109E-3</v>
      </c>
      <c r="F1717" s="124">
        <v>1711</v>
      </c>
      <c r="G1717" s="238">
        <f t="shared" ca="1" si="54"/>
        <v>-1.3365263929901242E-2</v>
      </c>
      <c r="I1717" s="156"/>
    </row>
    <row r="1718" spans="2:9" x14ac:dyDescent="0.2">
      <c r="B1718" s="230">
        <v>43469</v>
      </c>
      <c r="C1718" s="124">
        <v>280.95</v>
      </c>
      <c r="D1718" s="156">
        <f t="shared" si="53"/>
        <v>-2.4853541629681827E-3</v>
      </c>
      <c r="E1718" s="156">
        <v>4.7133951649686919E-3</v>
      </c>
      <c r="F1718" s="124">
        <v>1712</v>
      </c>
      <c r="G1718" s="238">
        <f t="shared" ca="1" si="54"/>
        <v>-2.0622528862068161E-2</v>
      </c>
      <c r="I1718" s="156"/>
    </row>
    <row r="1719" spans="2:9" x14ac:dyDescent="0.2">
      <c r="B1719" s="230">
        <v>43468</v>
      </c>
      <c r="C1719" s="124">
        <v>278.85000000000002</v>
      </c>
      <c r="D1719" s="156">
        <f t="shared" si="53"/>
        <v>-7.4746396155898412E-3</v>
      </c>
      <c r="E1719" s="156">
        <v>4.7022815804117915E-3</v>
      </c>
      <c r="F1719" s="124">
        <v>1713</v>
      </c>
      <c r="G1719" s="238">
        <f t="shared" ca="1" si="54"/>
        <v>3.1092319696537609E-2</v>
      </c>
      <c r="I1719" s="156"/>
    </row>
    <row r="1720" spans="2:9" x14ac:dyDescent="0.2">
      <c r="B1720" s="230">
        <v>43467</v>
      </c>
      <c r="C1720" s="124">
        <v>280.60000000000002</v>
      </c>
      <c r="D1720" s="156">
        <f t="shared" si="53"/>
        <v>6.2757755065447366E-3</v>
      </c>
      <c r="E1720" s="156">
        <v>4.687761593838961E-3</v>
      </c>
      <c r="F1720" s="124">
        <v>1714</v>
      </c>
      <c r="G1720" s="238">
        <f t="shared" ca="1" si="54"/>
        <v>-1.5434806600517265E-2</v>
      </c>
      <c r="I1720" s="156"/>
    </row>
    <row r="1721" spans="2:9" x14ac:dyDescent="0.2">
      <c r="B1721" s="230">
        <v>43466</v>
      </c>
      <c r="C1721" s="124">
        <v>282.7</v>
      </c>
      <c r="D1721" s="156">
        <f t="shared" si="53"/>
        <v>7.4839629365643827E-3</v>
      </c>
      <c r="E1721" s="156">
        <v>4.683402023229674E-3</v>
      </c>
      <c r="F1721" s="124">
        <v>1715</v>
      </c>
      <c r="G1721" s="238">
        <f t="shared" ca="1" si="54"/>
        <v>-1.8418287522487163E-2</v>
      </c>
      <c r="I1721" s="156"/>
    </row>
    <row r="1722" spans="2:9" x14ac:dyDescent="0.2">
      <c r="B1722" s="230">
        <v>43465</v>
      </c>
      <c r="C1722" s="124">
        <v>281.64999999999998</v>
      </c>
      <c r="D1722" s="156">
        <f t="shared" si="53"/>
        <v>-3.7141846480368283E-3</v>
      </c>
      <c r="E1722" s="156">
        <v>4.6814671814671763E-3</v>
      </c>
      <c r="F1722" s="124">
        <v>1716</v>
      </c>
      <c r="G1722" s="238">
        <f t="shared" ca="1" si="54"/>
        <v>-2.5236579978276726E-2</v>
      </c>
      <c r="I1722" s="156"/>
    </row>
    <row r="1723" spans="2:9" x14ac:dyDescent="0.2">
      <c r="B1723" s="230">
        <v>43462</v>
      </c>
      <c r="C1723" s="124">
        <v>282.25</v>
      </c>
      <c r="D1723" s="156">
        <f t="shared" si="53"/>
        <v>2.1303035682585579E-3</v>
      </c>
      <c r="E1723" s="156">
        <v>4.6776489729510092E-3</v>
      </c>
      <c r="F1723" s="124">
        <v>1717</v>
      </c>
      <c r="G1723" s="238">
        <f t="shared" ca="1" si="54"/>
        <v>1.632442737975668E-3</v>
      </c>
      <c r="I1723" s="156"/>
    </row>
    <row r="1724" spans="2:9" x14ac:dyDescent="0.2">
      <c r="B1724" s="230">
        <v>43461</v>
      </c>
      <c r="C1724" s="124">
        <v>280.75</v>
      </c>
      <c r="D1724" s="156">
        <f t="shared" si="53"/>
        <v>-5.3144375553587243E-3</v>
      </c>
      <c r="E1724" s="156">
        <v>4.6714419184054369E-3</v>
      </c>
      <c r="F1724" s="124">
        <v>1718</v>
      </c>
      <c r="G1724" s="238">
        <f t="shared" ca="1" si="54"/>
        <v>1.5055722266115679E-2</v>
      </c>
      <c r="I1724" s="156"/>
    </row>
    <row r="1725" spans="2:9" x14ac:dyDescent="0.2">
      <c r="B1725" s="230">
        <v>43460</v>
      </c>
      <c r="C1725" s="124">
        <v>276.64999999999998</v>
      </c>
      <c r="D1725" s="156">
        <f t="shared" si="53"/>
        <v>-1.4603739982190642E-2</v>
      </c>
      <c r="E1725" s="156">
        <v>4.6674445740956822E-3</v>
      </c>
      <c r="F1725" s="124">
        <v>1719</v>
      </c>
      <c r="G1725" s="238">
        <f t="shared" ca="1" si="54"/>
        <v>1.2691126028707591E-2</v>
      </c>
      <c r="I1725" s="156"/>
    </row>
    <row r="1726" spans="2:9" x14ac:dyDescent="0.2">
      <c r="B1726" s="230">
        <v>43458</v>
      </c>
      <c r="C1726" s="124">
        <v>276</v>
      </c>
      <c r="D1726" s="156">
        <f t="shared" ref="D1726:D1789" si="55">(C1726-C1725)/C1725</f>
        <v>-2.3495391288631024E-3</v>
      </c>
      <c r="E1726" s="156">
        <v>4.6653144016227414E-3</v>
      </c>
      <c r="F1726" s="124">
        <v>1720</v>
      </c>
      <c r="G1726" s="238">
        <f t="shared" ca="1" si="54"/>
        <v>-3.7512119769458507E-2</v>
      </c>
      <c r="I1726" s="156"/>
    </row>
    <row r="1727" spans="2:9" x14ac:dyDescent="0.2">
      <c r="B1727" s="230">
        <v>43455</v>
      </c>
      <c r="C1727" s="124">
        <v>276.75</v>
      </c>
      <c r="D1727" s="156">
        <f t="shared" si="55"/>
        <v>2.717391304347826E-3</v>
      </c>
      <c r="E1727" s="156">
        <v>4.6602894285014329E-3</v>
      </c>
      <c r="F1727" s="124">
        <v>1721</v>
      </c>
      <c r="G1727" s="238">
        <f t="shared" ca="1" si="54"/>
        <v>-1.0313787987874293E-3</v>
      </c>
      <c r="I1727" s="156"/>
    </row>
    <row r="1728" spans="2:9" x14ac:dyDescent="0.2">
      <c r="B1728" s="230">
        <v>43454</v>
      </c>
      <c r="C1728" s="124">
        <v>282.64999999999998</v>
      </c>
      <c r="D1728" s="156">
        <f t="shared" si="55"/>
        <v>2.1318879855465139E-2</v>
      </c>
      <c r="E1728" s="156">
        <v>4.6429361043554829E-3</v>
      </c>
      <c r="F1728" s="124">
        <v>1722</v>
      </c>
      <c r="G1728" s="238">
        <f t="shared" ca="1" si="54"/>
        <v>-1.2438033066300241E-2</v>
      </c>
      <c r="I1728" s="156"/>
    </row>
    <row r="1729" spans="2:9" x14ac:dyDescent="0.2">
      <c r="B1729" s="230">
        <v>43453</v>
      </c>
      <c r="C1729" s="124">
        <v>283.45</v>
      </c>
      <c r="D1729" s="156">
        <f t="shared" si="55"/>
        <v>2.830355563417695E-3</v>
      </c>
      <c r="E1729" s="156">
        <v>4.6375944348867118E-3</v>
      </c>
      <c r="F1729" s="124">
        <v>1723</v>
      </c>
      <c r="G1729" s="238">
        <f t="shared" ca="1" si="54"/>
        <v>3.0491261574683115E-3</v>
      </c>
      <c r="I1729" s="156"/>
    </row>
    <row r="1730" spans="2:9" x14ac:dyDescent="0.2">
      <c r="B1730" s="230">
        <v>43452</v>
      </c>
      <c r="C1730" s="124">
        <v>278.14999999999998</v>
      </c>
      <c r="D1730" s="156">
        <f t="shared" si="55"/>
        <v>-1.8698183101076068E-2</v>
      </c>
      <c r="E1730" s="156">
        <v>4.6021093000958337E-3</v>
      </c>
      <c r="F1730" s="124">
        <v>1724</v>
      </c>
      <c r="G1730" s="238">
        <f t="shared" ca="1" si="54"/>
        <v>2.0850870718271304E-3</v>
      </c>
      <c r="I1730" s="156"/>
    </row>
    <row r="1731" spans="2:9" x14ac:dyDescent="0.2">
      <c r="B1731" s="230">
        <v>43451</v>
      </c>
      <c r="C1731" s="124">
        <v>279.85000000000002</v>
      </c>
      <c r="D1731" s="156">
        <f t="shared" si="55"/>
        <v>6.1118101743665131E-3</v>
      </c>
      <c r="E1731" s="156">
        <v>4.5990227076746848E-3</v>
      </c>
      <c r="F1731" s="124">
        <v>1725</v>
      </c>
      <c r="G1731" s="238">
        <f t="shared" ca="1" si="54"/>
        <v>-5.3551483901359163E-3</v>
      </c>
      <c r="I1731" s="156"/>
    </row>
    <row r="1732" spans="2:9" x14ac:dyDescent="0.2">
      <c r="B1732" s="230">
        <v>43448</v>
      </c>
      <c r="C1732" s="124">
        <v>275.75</v>
      </c>
      <c r="D1732" s="156">
        <f t="shared" si="55"/>
        <v>-1.4650705735215375E-2</v>
      </c>
      <c r="E1732" s="156">
        <v>4.595404595404618E-3</v>
      </c>
      <c r="F1732" s="124">
        <v>1726</v>
      </c>
      <c r="G1732" s="238">
        <f t="shared" ca="1" si="54"/>
        <v>2.1465456003413257E-2</v>
      </c>
      <c r="I1732" s="156"/>
    </row>
    <row r="1733" spans="2:9" x14ac:dyDescent="0.2">
      <c r="B1733" s="230">
        <v>43447</v>
      </c>
      <c r="C1733" s="124">
        <v>275.3</v>
      </c>
      <c r="D1733" s="156">
        <f t="shared" si="55"/>
        <v>-1.6319129646418446E-3</v>
      </c>
      <c r="E1733" s="156">
        <v>4.5946832950443245E-3</v>
      </c>
      <c r="F1733" s="124">
        <v>1727</v>
      </c>
      <c r="G1733" s="238">
        <f t="shared" ca="1" si="54"/>
        <v>3.3117198583450936E-3</v>
      </c>
      <c r="I1733" s="156"/>
    </row>
    <row r="1734" spans="2:9" x14ac:dyDescent="0.2">
      <c r="B1734" s="230">
        <v>43446</v>
      </c>
      <c r="C1734" s="124">
        <v>276.05</v>
      </c>
      <c r="D1734" s="156">
        <f t="shared" si="55"/>
        <v>2.7243007628042133E-3</v>
      </c>
      <c r="E1734" s="156">
        <v>4.5938104448742193E-3</v>
      </c>
      <c r="F1734" s="124">
        <v>1728</v>
      </c>
      <c r="G1734" s="238">
        <f t="shared" ca="1" si="54"/>
        <v>5.0618024602068134E-3</v>
      </c>
      <c r="I1734" s="156"/>
    </row>
    <row r="1735" spans="2:9" x14ac:dyDescent="0.2">
      <c r="B1735" s="230">
        <v>43445</v>
      </c>
      <c r="C1735" s="124">
        <v>274.7</v>
      </c>
      <c r="D1735" s="156">
        <f t="shared" si="55"/>
        <v>-4.8904184024634043E-3</v>
      </c>
      <c r="E1735" s="156">
        <v>4.5920169551396176E-3</v>
      </c>
      <c r="F1735" s="124">
        <v>1729</v>
      </c>
      <c r="G1735" s="238">
        <f t="shared" ref="G1735:G1798" ca="1" si="56">_xlfn.NORM.INV(RAND(),$L$8,$L$9)</f>
        <v>-1.0055176120323805E-2</v>
      </c>
      <c r="I1735" s="156"/>
    </row>
    <row r="1736" spans="2:9" x14ac:dyDescent="0.2">
      <c r="B1736" s="230">
        <v>43444</v>
      </c>
      <c r="C1736" s="124">
        <v>270.45</v>
      </c>
      <c r="D1736" s="156">
        <f t="shared" si="55"/>
        <v>-1.5471423370950128E-2</v>
      </c>
      <c r="E1736" s="156">
        <v>4.5901639344262789E-3</v>
      </c>
      <c r="F1736" s="124">
        <v>1730</v>
      </c>
      <c r="G1736" s="238">
        <f t="shared" ca="1" si="56"/>
        <v>-1.1478187746997014E-2</v>
      </c>
      <c r="I1736" s="156"/>
    </row>
    <row r="1737" spans="2:9" x14ac:dyDescent="0.2">
      <c r="B1737" s="230">
        <v>43441</v>
      </c>
      <c r="C1737" s="124">
        <v>274.05</v>
      </c>
      <c r="D1737" s="156">
        <f t="shared" si="55"/>
        <v>1.3311148086522548E-2</v>
      </c>
      <c r="E1737" s="156">
        <v>4.58790758643292E-3</v>
      </c>
      <c r="F1737" s="124">
        <v>1731</v>
      </c>
      <c r="G1737" s="238">
        <f t="shared" ca="1" si="56"/>
        <v>-9.6818993886609202E-3</v>
      </c>
      <c r="I1737" s="156"/>
    </row>
    <row r="1738" spans="2:9" x14ac:dyDescent="0.2">
      <c r="B1738" s="230">
        <v>43440</v>
      </c>
      <c r="C1738" s="124">
        <v>273.05</v>
      </c>
      <c r="D1738" s="156">
        <f t="shared" si="55"/>
        <v>-3.6489691662105455E-3</v>
      </c>
      <c r="E1738" s="156">
        <v>4.580152671755682E-3</v>
      </c>
      <c r="F1738" s="124">
        <v>1732</v>
      </c>
      <c r="G1738" s="238">
        <f t="shared" ca="1" si="56"/>
        <v>1.0635076345640487E-2</v>
      </c>
      <c r="I1738" s="156"/>
    </row>
    <row r="1739" spans="2:9" x14ac:dyDescent="0.2">
      <c r="B1739" s="230">
        <v>43439</v>
      </c>
      <c r="C1739" s="124">
        <v>275.35000000000002</v>
      </c>
      <c r="D1739" s="156">
        <f t="shared" si="55"/>
        <v>8.4233656839407117E-3</v>
      </c>
      <c r="E1739" s="156">
        <v>4.5793758480324482E-3</v>
      </c>
      <c r="F1739" s="124">
        <v>1733</v>
      </c>
      <c r="G1739" s="238">
        <f t="shared" ca="1" si="56"/>
        <v>-3.307898953542094E-2</v>
      </c>
      <c r="I1739" s="156"/>
    </row>
    <row r="1740" spans="2:9" x14ac:dyDescent="0.2">
      <c r="B1740" s="230">
        <v>43438</v>
      </c>
      <c r="C1740" s="124">
        <v>281.85000000000002</v>
      </c>
      <c r="D1740" s="156">
        <f t="shared" si="55"/>
        <v>2.3606319230070817E-2</v>
      </c>
      <c r="E1740" s="156">
        <v>4.5779161325764511E-3</v>
      </c>
      <c r="F1740" s="124">
        <v>1734</v>
      </c>
      <c r="G1740" s="238">
        <f t="shared" ca="1" si="56"/>
        <v>3.1749504348008897E-2</v>
      </c>
      <c r="I1740" s="156"/>
    </row>
    <row r="1741" spans="2:9" x14ac:dyDescent="0.2">
      <c r="B1741" s="230">
        <v>43437</v>
      </c>
      <c r="C1741" s="124">
        <v>282.95</v>
      </c>
      <c r="D1741" s="156">
        <f t="shared" si="55"/>
        <v>3.9027851694162347E-3</v>
      </c>
      <c r="E1741" s="156">
        <v>4.5612114577631814E-3</v>
      </c>
      <c r="F1741" s="124">
        <v>1735</v>
      </c>
      <c r="G1741" s="238">
        <f t="shared" ca="1" si="56"/>
        <v>-8.5202464709257433E-3</v>
      </c>
      <c r="I1741" s="156"/>
    </row>
    <row r="1742" spans="2:9" x14ac:dyDescent="0.2">
      <c r="B1742" s="230">
        <v>43434</v>
      </c>
      <c r="C1742" s="124">
        <v>285.8</v>
      </c>
      <c r="D1742" s="156">
        <f t="shared" si="55"/>
        <v>1.0072450963067761E-2</v>
      </c>
      <c r="E1742" s="156">
        <v>4.5605306799337596E-3</v>
      </c>
      <c r="F1742" s="124">
        <v>1736</v>
      </c>
      <c r="G1742" s="238">
        <f t="shared" ca="1" si="56"/>
        <v>7.3514817567393691E-3</v>
      </c>
      <c r="I1742" s="156"/>
    </row>
    <row r="1743" spans="2:9" x14ac:dyDescent="0.2">
      <c r="B1743" s="230">
        <v>43433</v>
      </c>
      <c r="C1743" s="124">
        <v>287.55</v>
      </c>
      <c r="D1743" s="156">
        <f t="shared" si="55"/>
        <v>6.1231630510846747E-3</v>
      </c>
      <c r="E1743" s="156">
        <v>4.5393336518830089E-3</v>
      </c>
      <c r="F1743" s="124">
        <v>1737</v>
      </c>
      <c r="G1743" s="238">
        <f t="shared" ca="1" si="56"/>
        <v>-2.4541478544070093E-2</v>
      </c>
      <c r="I1743" s="156"/>
    </row>
    <row r="1744" spans="2:9" x14ac:dyDescent="0.2">
      <c r="B1744" s="230">
        <v>43432</v>
      </c>
      <c r="C1744" s="124">
        <v>282.2</v>
      </c>
      <c r="D1744" s="156">
        <f t="shared" si="55"/>
        <v>-1.860545992001399E-2</v>
      </c>
      <c r="E1744" s="156">
        <v>4.5167888188171225E-3</v>
      </c>
      <c r="F1744" s="124">
        <v>1738</v>
      </c>
      <c r="G1744" s="238">
        <f t="shared" ca="1" si="56"/>
        <v>-1.747269643309585E-2</v>
      </c>
      <c r="I1744" s="156"/>
    </row>
    <row r="1745" spans="2:9" x14ac:dyDescent="0.2">
      <c r="B1745" s="230">
        <v>43431</v>
      </c>
      <c r="C1745" s="124">
        <v>284.85000000000002</v>
      </c>
      <c r="D1745" s="156">
        <f t="shared" si="55"/>
        <v>9.3905031892276194E-3</v>
      </c>
      <c r="E1745" s="156">
        <v>4.5053868756122235E-3</v>
      </c>
      <c r="F1745" s="124">
        <v>1739</v>
      </c>
      <c r="G1745" s="238">
        <f t="shared" ca="1" si="56"/>
        <v>-5.6521196787857105E-4</v>
      </c>
      <c r="I1745" s="156"/>
    </row>
    <row r="1746" spans="2:9" x14ac:dyDescent="0.2">
      <c r="B1746" s="230">
        <v>43430</v>
      </c>
      <c r="C1746" s="124">
        <v>285.64999999999998</v>
      </c>
      <c r="D1746" s="156">
        <f t="shared" si="55"/>
        <v>2.8084956994908002E-3</v>
      </c>
      <c r="E1746" s="156">
        <v>4.5021078050177807E-3</v>
      </c>
      <c r="F1746" s="124">
        <v>1740</v>
      </c>
      <c r="G1746" s="238">
        <f t="shared" ca="1" si="56"/>
        <v>-1.8747610391915619E-2</v>
      </c>
      <c r="I1746" s="156"/>
    </row>
    <row r="1747" spans="2:9" x14ac:dyDescent="0.2">
      <c r="B1747" s="230">
        <v>43426</v>
      </c>
      <c r="C1747" s="124">
        <v>280.5</v>
      </c>
      <c r="D1747" s="156">
        <f t="shared" si="55"/>
        <v>-1.8029056537720908E-2</v>
      </c>
      <c r="E1747" s="156">
        <v>4.4918950589154204E-3</v>
      </c>
      <c r="F1747" s="124">
        <v>1741</v>
      </c>
      <c r="G1747" s="238">
        <f t="shared" ca="1" si="56"/>
        <v>1.84335883372507E-2</v>
      </c>
      <c r="I1747" s="156"/>
    </row>
    <row r="1748" spans="2:9" x14ac:dyDescent="0.2">
      <c r="B1748" s="230">
        <v>43425</v>
      </c>
      <c r="C1748" s="124">
        <v>281.75</v>
      </c>
      <c r="D1748" s="156">
        <f t="shared" si="55"/>
        <v>4.4563279857397506E-3</v>
      </c>
      <c r="E1748" s="156">
        <v>4.4897959183673878E-3</v>
      </c>
      <c r="F1748" s="124">
        <v>1742</v>
      </c>
      <c r="G1748" s="238">
        <f t="shared" ca="1" si="56"/>
        <v>-1.0089110666196471E-2</v>
      </c>
      <c r="I1748" s="156"/>
    </row>
    <row r="1749" spans="2:9" x14ac:dyDescent="0.2">
      <c r="B1749" s="230">
        <v>43424</v>
      </c>
      <c r="C1749" s="124">
        <v>283.85000000000002</v>
      </c>
      <c r="D1749" s="156">
        <f t="shared" si="55"/>
        <v>7.4534161490684035E-3</v>
      </c>
      <c r="E1749" s="156">
        <v>4.4862518089725367E-3</v>
      </c>
      <c r="F1749" s="124">
        <v>1743</v>
      </c>
      <c r="G1749" s="238">
        <f t="shared" ca="1" si="56"/>
        <v>-2.8087732655563687E-2</v>
      </c>
      <c r="I1749" s="156"/>
    </row>
    <row r="1750" spans="2:9" x14ac:dyDescent="0.2">
      <c r="B1750" s="230">
        <v>43423</v>
      </c>
      <c r="C1750" s="124">
        <v>284.5</v>
      </c>
      <c r="D1750" s="156">
        <f t="shared" si="55"/>
        <v>2.2899418707062785E-3</v>
      </c>
      <c r="E1750" s="156">
        <v>4.4837615123606948E-3</v>
      </c>
      <c r="F1750" s="124">
        <v>1744</v>
      </c>
      <c r="G1750" s="238">
        <f t="shared" ca="1" si="56"/>
        <v>5.3490888106314865E-3</v>
      </c>
      <c r="I1750" s="156"/>
    </row>
    <row r="1751" spans="2:9" x14ac:dyDescent="0.2">
      <c r="B1751" s="230">
        <v>43420</v>
      </c>
      <c r="C1751" s="124">
        <v>276.55</v>
      </c>
      <c r="D1751" s="156">
        <f t="shared" si="55"/>
        <v>-2.7943760984182737E-2</v>
      </c>
      <c r="E1751" s="156">
        <v>4.4712990936556438E-3</v>
      </c>
      <c r="F1751" s="124">
        <v>1745</v>
      </c>
      <c r="G1751" s="238">
        <f t="shared" ca="1" si="56"/>
        <v>3.0449828403473276E-3</v>
      </c>
      <c r="I1751" s="156"/>
    </row>
    <row r="1752" spans="2:9" x14ac:dyDescent="0.2">
      <c r="B1752" s="230">
        <v>43419</v>
      </c>
      <c r="C1752" s="124">
        <v>274.5</v>
      </c>
      <c r="D1752" s="156">
        <f t="shared" si="55"/>
        <v>-7.4127644187308309E-3</v>
      </c>
      <c r="E1752" s="156">
        <v>4.4686813602969281E-3</v>
      </c>
      <c r="F1752" s="124">
        <v>1746</v>
      </c>
      <c r="G1752" s="238">
        <f t="shared" ca="1" si="56"/>
        <v>4.097693432553424E-3</v>
      </c>
      <c r="I1752" s="156"/>
    </row>
    <row r="1753" spans="2:9" x14ac:dyDescent="0.2">
      <c r="B1753" s="230">
        <v>43418</v>
      </c>
      <c r="C1753" s="124">
        <v>276.45</v>
      </c>
      <c r="D1753" s="156">
        <f t="shared" si="55"/>
        <v>7.1038251366119807E-3</v>
      </c>
      <c r="E1753" s="156">
        <v>4.4590471720252923E-3</v>
      </c>
      <c r="F1753" s="124">
        <v>1747</v>
      </c>
      <c r="G1753" s="238">
        <f t="shared" ca="1" si="56"/>
        <v>9.2595572459361879E-3</v>
      </c>
      <c r="I1753" s="156"/>
    </row>
    <row r="1754" spans="2:9" x14ac:dyDescent="0.2">
      <c r="B1754" s="230">
        <v>43417</v>
      </c>
      <c r="C1754" s="124">
        <v>276.85000000000002</v>
      </c>
      <c r="D1754" s="156">
        <f t="shared" si="55"/>
        <v>1.446916259721592E-3</v>
      </c>
      <c r="E1754" s="156">
        <v>4.4565486506561317E-3</v>
      </c>
      <c r="F1754" s="124">
        <v>1748</v>
      </c>
      <c r="G1754" s="238">
        <f t="shared" ca="1" si="56"/>
        <v>7.0244377511788497E-3</v>
      </c>
      <c r="I1754" s="156"/>
    </row>
    <row r="1755" spans="2:9" x14ac:dyDescent="0.2">
      <c r="B1755" s="230">
        <v>43416</v>
      </c>
      <c r="C1755" s="124">
        <v>273.85000000000002</v>
      </c>
      <c r="D1755" s="156">
        <f t="shared" si="55"/>
        <v>-1.0836192884233339E-2</v>
      </c>
      <c r="E1755" s="156">
        <v>4.4563279857397506E-3</v>
      </c>
      <c r="F1755" s="124">
        <v>1749</v>
      </c>
      <c r="G1755" s="238">
        <f t="shared" ca="1" si="56"/>
        <v>1.9357226783295458E-2</v>
      </c>
      <c r="I1755" s="156"/>
    </row>
    <row r="1756" spans="2:9" x14ac:dyDescent="0.2">
      <c r="B1756" s="230">
        <v>43413</v>
      </c>
      <c r="C1756" s="124">
        <v>277.25</v>
      </c>
      <c r="D1756" s="156">
        <f t="shared" si="55"/>
        <v>1.2415555961292594E-2</v>
      </c>
      <c r="E1756" s="156">
        <v>4.4537594969871327E-3</v>
      </c>
      <c r="F1756" s="124">
        <v>1750</v>
      </c>
      <c r="G1756" s="238">
        <f t="shared" ca="1" si="56"/>
        <v>1.9652636779096417E-2</v>
      </c>
      <c r="I1756" s="156"/>
    </row>
    <row r="1757" spans="2:9" x14ac:dyDescent="0.2">
      <c r="B1757" s="230">
        <v>43411</v>
      </c>
      <c r="C1757" s="124">
        <v>280.05</v>
      </c>
      <c r="D1757" s="156">
        <f t="shared" si="55"/>
        <v>1.0099188458070375E-2</v>
      </c>
      <c r="E1757" s="156">
        <v>4.4477390659748246E-3</v>
      </c>
      <c r="F1757" s="124">
        <v>1751</v>
      </c>
      <c r="G1757" s="238">
        <f t="shared" ca="1" si="56"/>
        <v>-2.0988015294131693E-2</v>
      </c>
      <c r="I1757" s="156"/>
    </row>
    <row r="1758" spans="2:9" x14ac:dyDescent="0.2">
      <c r="B1758" s="230">
        <v>43410</v>
      </c>
      <c r="C1758" s="124">
        <v>277.3</v>
      </c>
      <c r="D1758" s="156">
        <f t="shared" si="55"/>
        <v>-9.8196750580253518E-3</v>
      </c>
      <c r="E1758" s="156">
        <v>4.4326056645788035E-3</v>
      </c>
      <c r="F1758" s="124">
        <v>1752</v>
      </c>
      <c r="G1758" s="238">
        <f t="shared" ca="1" si="56"/>
        <v>-1.2819064011663221E-2</v>
      </c>
      <c r="I1758" s="156"/>
    </row>
    <row r="1759" spans="2:9" x14ac:dyDescent="0.2">
      <c r="B1759" s="230">
        <v>43409</v>
      </c>
      <c r="C1759" s="124">
        <v>279.60000000000002</v>
      </c>
      <c r="D1759" s="156">
        <f t="shared" si="55"/>
        <v>8.2942661377569827E-3</v>
      </c>
      <c r="E1759" s="156">
        <v>4.4303949038485115E-3</v>
      </c>
      <c r="F1759" s="124">
        <v>1753</v>
      </c>
      <c r="G1759" s="238">
        <f t="shared" ca="1" si="56"/>
        <v>1.3813240685043965E-2</v>
      </c>
      <c r="I1759" s="156"/>
    </row>
    <row r="1760" spans="2:9" x14ac:dyDescent="0.2">
      <c r="B1760" s="230">
        <v>43406</v>
      </c>
      <c r="C1760" s="124">
        <v>283.25</v>
      </c>
      <c r="D1760" s="156">
        <f t="shared" si="55"/>
        <v>1.3054363376251706E-2</v>
      </c>
      <c r="E1760" s="156">
        <v>4.4092546937227707E-3</v>
      </c>
      <c r="F1760" s="124">
        <v>1754</v>
      </c>
      <c r="G1760" s="238">
        <f t="shared" ca="1" si="56"/>
        <v>1.7971435278710004E-2</v>
      </c>
      <c r="I1760" s="156"/>
    </row>
    <row r="1761" spans="2:9" x14ac:dyDescent="0.2">
      <c r="B1761" s="230">
        <v>43405</v>
      </c>
      <c r="C1761" s="124">
        <v>277.39999999999998</v>
      </c>
      <c r="D1761" s="156">
        <f t="shared" si="55"/>
        <v>-2.0653133274492579E-2</v>
      </c>
      <c r="E1761" s="156">
        <v>4.4087136929460286E-3</v>
      </c>
      <c r="F1761" s="124">
        <v>1755</v>
      </c>
      <c r="G1761" s="238">
        <f t="shared" ca="1" si="56"/>
        <v>2.9575491652601919E-2</v>
      </c>
      <c r="I1761" s="156"/>
    </row>
    <row r="1762" spans="2:9" x14ac:dyDescent="0.2">
      <c r="B1762" s="230">
        <v>43404</v>
      </c>
      <c r="C1762" s="124">
        <v>280.10000000000002</v>
      </c>
      <c r="D1762" s="156">
        <f t="shared" si="55"/>
        <v>9.7332372025956942E-3</v>
      </c>
      <c r="E1762" s="156">
        <v>4.4085231447465031E-3</v>
      </c>
      <c r="F1762" s="124">
        <v>1756</v>
      </c>
      <c r="G1762" s="238">
        <f t="shared" ca="1" si="56"/>
        <v>-2.2202938623282386E-2</v>
      </c>
      <c r="I1762" s="156"/>
    </row>
    <row r="1763" spans="2:9" x14ac:dyDescent="0.2">
      <c r="B1763" s="230">
        <v>43403</v>
      </c>
      <c r="C1763" s="124">
        <v>278.95</v>
      </c>
      <c r="D1763" s="156">
        <f t="shared" si="55"/>
        <v>-4.1056765440915174E-3</v>
      </c>
      <c r="E1763" s="156">
        <v>4.3971076802814422E-3</v>
      </c>
      <c r="F1763" s="124">
        <v>1757</v>
      </c>
      <c r="G1763" s="238">
        <f t="shared" ca="1" si="56"/>
        <v>5.6842262220133458E-3</v>
      </c>
      <c r="I1763" s="156"/>
    </row>
    <row r="1764" spans="2:9" x14ac:dyDescent="0.2">
      <c r="B1764" s="230">
        <v>43402</v>
      </c>
      <c r="C1764" s="124">
        <v>283.5</v>
      </c>
      <c r="D1764" s="156">
        <f t="shared" si="55"/>
        <v>1.6311166875784232E-2</v>
      </c>
      <c r="E1764" s="156">
        <v>4.387990762124659E-3</v>
      </c>
      <c r="F1764" s="124">
        <v>1758</v>
      </c>
      <c r="G1764" s="238">
        <f t="shared" ca="1" si="56"/>
        <v>-4.4205767529982001E-3</v>
      </c>
      <c r="I1764" s="156"/>
    </row>
    <row r="1765" spans="2:9" x14ac:dyDescent="0.2">
      <c r="B1765" s="230">
        <v>43399</v>
      </c>
      <c r="C1765" s="124">
        <v>280.89999999999998</v>
      </c>
      <c r="D1765" s="156">
        <f t="shared" si="55"/>
        <v>-9.1710758377425844E-3</v>
      </c>
      <c r="E1765" s="156">
        <v>4.3850906916483726E-3</v>
      </c>
      <c r="F1765" s="124">
        <v>1759</v>
      </c>
      <c r="G1765" s="238">
        <f t="shared" ca="1" si="56"/>
        <v>-1.2595000071976765E-2</v>
      </c>
      <c r="I1765" s="156"/>
    </row>
    <row r="1766" spans="2:9" x14ac:dyDescent="0.2">
      <c r="B1766" s="230">
        <v>43398</v>
      </c>
      <c r="C1766" s="124">
        <v>287.55</v>
      </c>
      <c r="D1766" s="156">
        <f t="shared" si="55"/>
        <v>2.3673905304378906E-2</v>
      </c>
      <c r="E1766" s="156">
        <v>4.3774814211543578E-3</v>
      </c>
      <c r="F1766" s="124">
        <v>1760</v>
      </c>
      <c r="G1766" s="238">
        <f t="shared" ca="1" si="56"/>
        <v>-9.329389139124988E-3</v>
      </c>
      <c r="I1766" s="156"/>
    </row>
    <row r="1767" spans="2:9" x14ac:dyDescent="0.2">
      <c r="B1767" s="230">
        <v>43397</v>
      </c>
      <c r="C1767" s="124">
        <v>287.75</v>
      </c>
      <c r="D1767" s="156">
        <f t="shared" si="55"/>
        <v>6.9553121196309724E-4</v>
      </c>
      <c r="E1767" s="156">
        <v>4.3757118024335536E-3</v>
      </c>
      <c r="F1767" s="124">
        <v>1761</v>
      </c>
      <c r="G1767" s="238">
        <f t="shared" ca="1" si="56"/>
        <v>-8.8721965155111188E-3</v>
      </c>
      <c r="I1767" s="156"/>
    </row>
    <row r="1768" spans="2:9" x14ac:dyDescent="0.2">
      <c r="B1768" s="230">
        <v>43396</v>
      </c>
      <c r="C1768" s="124">
        <v>286</v>
      </c>
      <c r="D1768" s="156">
        <f t="shared" si="55"/>
        <v>-6.0816681146828849E-3</v>
      </c>
      <c r="E1768" s="156">
        <v>4.3737828432781163E-3</v>
      </c>
      <c r="F1768" s="124">
        <v>1762</v>
      </c>
      <c r="G1768" s="238">
        <f t="shared" ca="1" si="56"/>
        <v>-1.2055526705478795E-4</v>
      </c>
      <c r="I1768" s="156"/>
    </row>
    <row r="1769" spans="2:9" x14ac:dyDescent="0.2">
      <c r="B1769" s="230">
        <v>43395</v>
      </c>
      <c r="C1769" s="124">
        <v>288.5</v>
      </c>
      <c r="D1769" s="156">
        <f t="shared" si="55"/>
        <v>8.7412587412587419E-3</v>
      </c>
      <c r="E1769" s="156">
        <v>4.3557168784028625E-3</v>
      </c>
      <c r="F1769" s="124">
        <v>1763</v>
      </c>
      <c r="G1769" s="238">
        <f t="shared" ca="1" si="56"/>
        <v>-7.3643131696358912E-3</v>
      </c>
      <c r="I1769" s="156"/>
    </row>
    <row r="1770" spans="2:9" x14ac:dyDescent="0.2">
      <c r="B1770" s="230">
        <v>43392</v>
      </c>
      <c r="C1770" s="124">
        <v>289.45</v>
      </c>
      <c r="D1770" s="156">
        <f t="shared" si="55"/>
        <v>3.2928942807625254E-3</v>
      </c>
      <c r="E1770" s="156">
        <v>4.3489383474035444E-3</v>
      </c>
      <c r="F1770" s="124">
        <v>1764</v>
      </c>
      <c r="G1770" s="238">
        <f t="shared" ca="1" si="56"/>
        <v>-6.773294412606528E-3</v>
      </c>
      <c r="I1770" s="156"/>
    </row>
    <row r="1771" spans="2:9" x14ac:dyDescent="0.2">
      <c r="B1771" s="230">
        <v>43390</v>
      </c>
      <c r="C1771" s="124">
        <v>286.45</v>
      </c>
      <c r="D1771" s="156">
        <f t="shared" si="55"/>
        <v>-1.0364484366902746E-2</v>
      </c>
      <c r="E1771" s="156">
        <v>4.3463342102254016E-3</v>
      </c>
      <c r="F1771" s="124">
        <v>1765</v>
      </c>
      <c r="G1771" s="238">
        <f t="shared" ca="1" si="56"/>
        <v>1.7828253539450027E-3</v>
      </c>
      <c r="I1771" s="156"/>
    </row>
    <row r="1772" spans="2:9" x14ac:dyDescent="0.2">
      <c r="B1772" s="230">
        <v>43389</v>
      </c>
      <c r="C1772" s="124">
        <v>282.64999999999998</v>
      </c>
      <c r="D1772" s="156">
        <f t="shared" si="55"/>
        <v>-1.3265840460813446E-2</v>
      </c>
      <c r="E1772" s="156">
        <v>4.3329120779924532E-3</v>
      </c>
      <c r="F1772" s="124">
        <v>1766</v>
      </c>
      <c r="G1772" s="238">
        <f t="shared" ca="1" si="56"/>
        <v>2.7410064996148203E-3</v>
      </c>
      <c r="I1772" s="156"/>
    </row>
    <row r="1773" spans="2:9" x14ac:dyDescent="0.2">
      <c r="B1773" s="230">
        <v>43388</v>
      </c>
      <c r="C1773" s="124">
        <v>282.5</v>
      </c>
      <c r="D1773" s="156">
        <f t="shared" si="55"/>
        <v>-5.3069166814072983E-4</v>
      </c>
      <c r="E1773" s="156">
        <v>4.3227665706052146E-3</v>
      </c>
      <c r="F1773" s="124">
        <v>1767</v>
      </c>
      <c r="G1773" s="238">
        <f t="shared" ca="1" si="56"/>
        <v>-2.7667547731681771E-2</v>
      </c>
      <c r="I1773" s="156"/>
    </row>
    <row r="1774" spans="2:9" x14ac:dyDescent="0.2">
      <c r="B1774" s="230">
        <v>43385</v>
      </c>
      <c r="C1774" s="124">
        <v>275.2</v>
      </c>
      <c r="D1774" s="156">
        <f t="shared" si="55"/>
        <v>-2.5840707964601809E-2</v>
      </c>
      <c r="E1774" s="156">
        <v>4.3182121711258462E-3</v>
      </c>
      <c r="F1774" s="124">
        <v>1768</v>
      </c>
      <c r="G1774" s="238">
        <f t="shared" ca="1" si="56"/>
        <v>1.435853622343594E-2</v>
      </c>
      <c r="I1774" s="156"/>
    </row>
    <row r="1775" spans="2:9" x14ac:dyDescent="0.2">
      <c r="B1775" s="230">
        <v>43384</v>
      </c>
      <c r="C1775" s="124">
        <v>265.2</v>
      </c>
      <c r="D1775" s="156">
        <f t="shared" si="55"/>
        <v>-3.6337209302325583E-2</v>
      </c>
      <c r="E1775" s="156">
        <v>4.2985541227041589E-3</v>
      </c>
      <c r="F1775" s="124">
        <v>1769</v>
      </c>
      <c r="G1775" s="238">
        <f t="shared" ca="1" si="56"/>
        <v>1.2489976027469981E-2</v>
      </c>
      <c r="I1775" s="156"/>
    </row>
    <row r="1776" spans="2:9" x14ac:dyDescent="0.2">
      <c r="B1776" s="230">
        <v>43383</v>
      </c>
      <c r="C1776" s="124">
        <v>270.10000000000002</v>
      </c>
      <c r="D1776" s="156">
        <f t="shared" si="55"/>
        <v>1.8476621417798017E-2</v>
      </c>
      <c r="E1776" s="156">
        <v>4.2687453600595178E-3</v>
      </c>
      <c r="F1776" s="124">
        <v>1770</v>
      </c>
      <c r="G1776" s="238">
        <f t="shared" ca="1" si="56"/>
        <v>-8.53937584335741E-3</v>
      </c>
      <c r="I1776" s="156"/>
    </row>
    <row r="1777" spans="2:9" x14ac:dyDescent="0.2">
      <c r="B1777" s="230">
        <v>43382</v>
      </c>
      <c r="C1777" s="124">
        <v>268.5</v>
      </c>
      <c r="D1777" s="156">
        <f t="shared" si="55"/>
        <v>-5.9237319511292949E-3</v>
      </c>
      <c r="E1777" s="156">
        <v>4.2601999016876621E-3</v>
      </c>
      <c r="F1777" s="124">
        <v>1771</v>
      </c>
      <c r="G1777" s="238">
        <f t="shared" ca="1" si="56"/>
        <v>-5.7382657685918163E-3</v>
      </c>
      <c r="I1777" s="156"/>
    </row>
    <row r="1778" spans="2:9" x14ac:dyDescent="0.2">
      <c r="B1778" s="230">
        <v>43381</v>
      </c>
      <c r="C1778" s="124">
        <v>273.2</v>
      </c>
      <c r="D1778" s="156">
        <f t="shared" si="55"/>
        <v>1.7504655493482266E-2</v>
      </c>
      <c r="E1778" s="156">
        <v>4.2341110572046399E-3</v>
      </c>
      <c r="F1778" s="124">
        <v>1772</v>
      </c>
      <c r="G1778" s="238">
        <f t="shared" ca="1" si="56"/>
        <v>2.9340108877790573E-2</v>
      </c>
      <c r="I1778" s="156"/>
    </row>
    <row r="1779" spans="2:9" x14ac:dyDescent="0.2">
      <c r="B1779" s="230">
        <v>43378</v>
      </c>
      <c r="C1779" s="124">
        <v>276.5</v>
      </c>
      <c r="D1779" s="156">
        <f t="shared" si="55"/>
        <v>1.2079062957540306E-2</v>
      </c>
      <c r="E1779" s="156">
        <v>4.2317173377156986E-3</v>
      </c>
      <c r="F1779" s="124">
        <v>1773</v>
      </c>
      <c r="G1779" s="238">
        <f t="shared" ca="1" si="56"/>
        <v>4.1332177602920869E-3</v>
      </c>
      <c r="I1779" s="156"/>
    </row>
    <row r="1780" spans="2:9" x14ac:dyDescent="0.2">
      <c r="B1780" s="230">
        <v>43377</v>
      </c>
      <c r="C1780" s="124">
        <v>287.10000000000002</v>
      </c>
      <c r="D1780" s="156">
        <f t="shared" si="55"/>
        <v>3.8336347197106775E-2</v>
      </c>
      <c r="E1780" s="156">
        <v>4.2014777611435964E-3</v>
      </c>
      <c r="F1780" s="124">
        <v>1774</v>
      </c>
      <c r="G1780" s="238">
        <f t="shared" ca="1" si="56"/>
        <v>6.0256978919821639E-4</v>
      </c>
      <c r="I1780" s="156"/>
    </row>
    <row r="1781" spans="2:9" x14ac:dyDescent="0.2">
      <c r="B1781" s="230">
        <v>43376</v>
      </c>
      <c r="C1781" s="124">
        <v>295.2</v>
      </c>
      <c r="D1781" s="156">
        <f t="shared" si="55"/>
        <v>2.8213166144200507E-2</v>
      </c>
      <c r="E1781" s="156">
        <v>4.1790490341752284E-3</v>
      </c>
      <c r="F1781" s="124">
        <v>1775</v>
      </c>
      <c r="G1781" s="238">
        <f t="shared" ca="1" si="56"/>
        <v>-2.4640902337396878E-4</v>
      </c>
      <c r="I1781" s="156"/>
    </row>
    <row r="1782" spans="2:9" x14ac:dyDescent="0.2">
      <c r="B1782" s="230">
        <v>43374</v>
      </c>
      <c r="C1782" s="124">
        <v>297.10000000000002</v>
      </c>
      <c r="D1782" s="156">
        <f t="shared" si="55"/>
        <v>6.4363143631437471E-3</v>
      </c>
      <c r="E1782" s="156">
        <v>4.177417373141706E-3</v>
      </c>
      <c r="F1782" s="124">
        <v>1776</v>
      </c>
      <c r="G1782" s="238">
        <f t="shared" ca="1" si="56"/>
        <v>1.749565090414067E-2</v>
      </c>
      <c r="I1782" s="156"/>
    </row>
    <row r="1783" spans="2:9" x14ac:dyDescent="0.2">
      <c r="B1783" s="230">
        <v>43371</v>
      </c>
      <c r="C1783" s="124">
        <v>297.75</v>
      </c>
      <c r="D1783" s="156">
        <f t="shared" si="55"/>
        <v>2.187815550319681E-3</v>
      </c>
      <c r="E1783" s="156">
        <v>4.163649529326699E-3</v>
      </c>
      <c r="F1783" s="124">
        <v>1777</v>
      </c>
      <c r="G1783" s="238">
        <f t="shared" ca="1" si="56"/>
        <v>-3.7498980334789104E-3</v>
      </c>
      <c r="I1783" s="156"/>
    </row>
    <row r="1784" spans="2:9" x14ac:dyDescent="0.2">
      <c r="B1784" s="230">
        <v>43370</v>
      </c>
      <c r="C1784" s="124">
        <v>293.3</v>
      </c>
      <c r="D1784" s="156">
        <f t="shared" si="55"/>
        <v>-1.4945424013434051E-2</v>
      </c>
      <c r="E1784" s="156">
        <v>4.163197335553705E-3</v>
      </c>
      <c r="F1784" s="124">
        <v>1778</v>
      </c>
      <c r="G1784" s="238">
        <f t="shared" ca="1" si="56"/>
        <v>8.2263003125950017E-4</v>
      </c>
      <c r="I1784" s="156"/>
    </row>
    <row r="1785" spans="2:9" x14ac:dyDescent="0.2">
      <c r="B1785" s="230">
        <v>43369</v>
      </c>
      <c r="C1785" s="124">
        <v>293.14999999999998</v>
      </c>
      <c r="D1785" s="156">
        <f t="shared" si="55"/>
        <v>-5.1142175247198812E-4</v>
      </c>
      <c r="E1785" s="156">
        <v>4.1576584067852989E-3</v>
      </c>
      <c r="F1785" s="124">
        <v>1779</v>
      </c>
      <c r="G1785" s="238">
        <f t="shared" ca="1" si="56"/>
        <v>-1.0176523611477892E-2</v>
      </c>
      <c r="I1785" s="156"/>
    </row>
    <row r="1786" spans="2:9" x14ac:dyDescent="0.2">
      <c r="B1786" s="230">
        <v>43368</v>
      </c>
      <c r="C1786" s="124">
        <v>301.14999999999998</v>
      </c>
      <c r="D1786" s="156">
        <f t="shared" si="55"/>
        <v>2.7289783387344366E-2</v>
      </c>
      <c r="E1786" s="156">
        <v>4.1526323074793786E-3</v>
      </c>
      <c r="F1786" s="124">
        <v>1780</v>
      </c>
      <c r="G1786" s="238">
        <f t="shared" ca="1" si="56"/>
        <v>-4.5946899962730353E-3</v>
      </c>
      <c r="I1786" s="156"/>
    </row>
    <row r="1787" spans="2:9" x14ac:dyDescent="0.2">
      <c r="B1787" s="230">
        <v>43367</v>
      </c>
      <c r="C1787" s="124">
        <v>297.95</v>
      </c>
      <c r="D1787" s="156">
        <f t="shared" si="55"/>
        <v>-1.0625933919973398E-2</v>
      </c>
      <c r="E1787" s="156">
        <v>4.1383876841582521E-3</v>
      </c>
      <c r="F1787" s="124">
        <v>1781</v>
      </c>
      <c r="G1787" s="238">
        <f t="shared" ca="1" si="56"/>
        <v>-1.7251030429920166E-2</v>
      </c>
      <c r="I1787" s="156"/>
    </row>
    <row r="1788" spans="2:9" x14ac:dyDescent="0.2">
      <c r="B1788" s="230">
        <v>43364</v>
      </c>
      <c r="C1788" s="124">
        <v>303.95</v>
      </c>
      <c r="D1788" s="156">
        <f t="shared" si="55"/>
        <v>2.0137606981037087E-2</v>
      </c>
      <c r="E1788" s="156">
        <v>4.1368634568165136E-3</v>
      </c>
      <c r="F1788" s="124">
        <v>1782</v>
      </c>
      <c r="G1788" s="238">
        <f t="shared" ca="1" si="56"/>
        <v>-6.8586519356131203E-3</v>
      </c>
      <c r="I1788" s="156"/>
    </row>
    <row r="1789" spans="2:9" x14ac:dyDescent="0.2">
      <c r="B1789" s="230">
        <v>43362</v>
      </c>
      <c r="C1789" s="124">
        <v>299.64999999999998</v>
      </c>
      <c r="D1789" s="156">
        <f t="shared" si="55"/>
        <v>-1.4147063661786516E-2</v>
      </c>
      <c r="E1789" s="156">
        <v>4.133236080719538E-3</v>
      </c>
      <c r="F1789" s="124">
        <v>1783</v>
      </c>
      <c r="G1789" s="238">
        <f t="shared" ca="1" si="56"/>
        <v>2.5903882790444133E-2</v>
      </c>
      <c r="I1789" s="156"/>
    </row>
    <row r="1790" spans="2:9" x14ac:dyDescent="0.2">
      <c r="B1790" s="230">
        <v>43361</v>
      </c>
      <c r="C1790" s="124">
        <v>303.25</v>
      </c>
      <c r="D1790" s="156">
        <f t="shared" ref="D1790:D1853" si="57">(C1790-C1789)/C1789</f>
        <v>1.2014016352411222E-2</v>
      </c>
      <c r="E1790" s="156">
        <v>4.1317636404799053E-3</v>
      </c>
      <c r="F1790" s="124">
        <v>1784</v>
      </c>
      <c r="G1790" s="238">
        <f t="shared" ca="1" si="56"/>
        <v>-1.2260057393605556E-2</v>
      </c>
      <c r="I1790" s="156"/>
    </row>
    <row r="1791" spans="2:9" x14ac:dyDescent="0.2">
      <c r="B1791" s="230">
        <v>43360</v>
      </c>
      <c r="C1791" s="124">
        <v>302</v>
      </c>
      <c r="D1791" s="156">
        <f t="shared" si="57"/>
        <v>-4.1220115416323163E-3</v>
      </c>
      <c r="E1791" s="156">
        <v>4.1250542770299116E-3</v>
      </c>
      <c r="F1791" s="124">
        <v>1785</v>
      </c>
      <c r="G1791" s="238">
        <f t="shared" ca="1" si="56"/>
        <v>-3.8137314637735967E-3</v>
      </c>
      <c r="I1791" s="156"/>
    </row>
    <row r="1792" spans="2:9" x14ac:dyDescent="0.2">
      <c r="B1792" s="230">
        <v>43357</v>
      </c>
      <c r="C1792" s="124">
        <v>307.14999999999998</v>
      </c>
      <c r="D1792" s="156">
        <f t="shared" si="57"/>
        <v>1.7052980132450254E-2</v>
      </c>
      <c r="E1792" s="156">
        <v>4.1237113402061857E-3</v>
      </c>
      <c r="F1792" s="124">
        <v>1786</v>
      </c>
      <c r="G1792" s="238">
        <f t="shared" ca="1" si="56"/>
        <v>-1.0791955231513113E-2</v>
      </c>
      <c r="I1792" s="156"/>
    </row>
    <row r="1793" spans="2:9" x14ac:dyDescent="0.2">
      <c r="B1793" s="230">
        <v>43355</v>
      </c>
      <c r="C1793" s="124">
        <v>306.8</v>
      </c>
      <c r="D1793" s="156">
        <f t="shared" si="57"/>
        <v>-1.1395083835258535E-3</v>
      </c>
      <c r="E1793" s="156">
        <v>4.1183077499062741E-3</v>
      </c>
      <c r="F1793" s="124">
        <v>1787</v>
      </c>
      <c r="G1793" s="238">
        <f t="shared" ca="1" si="56"/>
        <v>1.9999784329994059E-2</v>
      </c>
      <c r="I1793" s="156"/>
    </row>
    <row r="1794" spans="2:9" x14ac:dyDescent="0.2">
      <c r="B1794" s="230">
        <v>43354</v>
      </c>
      <c r="C1794" s="124">
        <v>297.2</v>
      </c>
      <c r="D1794" s="156">
        <f t="shared" si="57"/>
        <v>-3.1290743155150007E-2</v>
      </c>
      <c r="E1794" s="156">
        <v>4.1124057573680862E-3</v>
      </c>
      <c r="F1794" s="124">
        <v>1788</v>
      </c>
      <c r="G1794" s="238">
        <f t="shared" ca="1" si="56"/>
        <v>2.9970231909658866E-2</v>
      </c>
      <c r="I1794" s="156"/>
    </row>
    <row r="1795" spans="2:9" x14ac:dyDescent="0.2">
      <c r="B1795" s="230">
        <v>43353</v>
      </c>
      <c r="C1795" s="124">
        <v>306.55</v>
      </c>
      <c r="D1795" s="156">
        <f t="shared" si="57"/>
        <v>3.1460296096904518E-2</v>
      </c>
      <c r="E1795" s="156">
        <v>4.1084634346755314E-3</v>
      </c>
      <c r="F1795" s="124">
        <v>1789</v>
      </c>
      <c r="G1795" s="238">
        <f t="shared" ca="1" si="56"/>
        <v>3.2668978602886409E-2</v>
      </c>
      <c r="I1795" s="156"/>
    </row>
    <row r="1796" spans="2:9" x14ac:dyDescent="0.2">
      <c r="B1796" s="230">
        <v>43350</v>
      </c>
      <c r="C1796" s="124">
        <v>310.45</v>
      </c>
      <c r="D1796" s="156">
        <f t="shared" si="57"/>
        <v>1.2722231283640442E-2</v>
      </c>
      <c r="E1796" s="156">
        <v>4.0975973179363861E-3</v>
      </c>
      <c r="F1796" s="124">
        <v>1790</v>
      </c>
      <c r="G1796" s="238">
        <f t="shared" ca="1" si="56"/>
        <v>1.1870166041522927E-2</v>
      </c>
      <c r="I1796" s="156"/>
    </row>
    <row r="1797" spans="2:9" x14ac:dyDescent="0.2">
      <c r="B1797" s="230">
        <v>43349</v>
      </c>
      <c r="C1797" s="124">
        <v>310.8</v>
      </c>
      <c r="D1797" s="156">
        <f t="shared" si="57"/>
        <v>1.1273957158963528E-3</v>
      </c>
      <c r="E1797" s="156">
        <v>4.0975973179363861E-3</v>
      </c>
      <c r="F1797" s="124">
        <v>1791</v>
      </c>
      <c r="G1797" s="238">
        <f t="shared" ca="1" si="56"/>
        <v>-3.2915664620227769E-2</v>
      </c>
      <c r="I1797" s="156"/>
    </row>
    <row r="1798" spans="2:9" x14ac:dyDescent="0.2">
      <c r="B1798" s="230">
        <v>43348</v>
      </c>
      <c r="C1798" s="124">
        <v>310.25</v>
      </c>
      <c r="D1798" s="156">
        <f t="shared" si="57"/>
        <v>-1.7696267696268061E-3</v>
      </c>
      <c r="E1798" s="156">
        <v>4.0862411957631644E-3</v>
      </c>
      <c r="F1798" s="124">
        <v>1792</v>
      </c>
      <c r="G1798" s="238">
        <f t="shared" ca="1" si="56"/>
        <v>-1.7462730905153309E-2</v>
      </c>
      <c r="I1798" s="156"/>
    </row>
    <row r="1799" spans="2:9" x14ac:dyDescent="0.2">
      <c r="B1799" s="230">
        <v>43347</v>
      </c>
      <c r="C1799" s="124">
        <v>309.60000000000002</v>
      </c>
      <c r="D1799" s="156">
        <f t="shared" si="57"/>
        <v>-2.0950846091860671E-3</v>
      </c>
      <c r="E1799" s="156">
        <v>4.0816326530611754E-3</v>
      </c>
      <c r="F1799" s="124">
        <v>1793</v>
      </c>
      <c r="G1799" s="238">
        <f t="shared" ref="G1799:G1862" ca="1" si="58">_xlfn.NORM.INV(RAND(),$L$8,$L$9)</f>
        <v>4.455007574519625E-3</v>
      </c>
      <c r="I1799" s="156"/>
    </row>
    <row r="1800" spans="2:9" x14ac:dyDescent="0.2">
      <c r="B1800" s="230">
        <v>43346</v>
      </c>
      <c r="C1800" s="124">
        <v>313.2</v>
      </c>
      <c r="D1800" s="156">
        <f t="shared" si="57"/>
        <v>1.1627906976744075E-2</v>
      </c>
      <c r="E1800" s="156">
        <v>4.0721614304889331E-3</v>
      </c>
      <c r="F1800" s="124">
        <v>1794</v>
      </c>
      <c r="G1800" s="238">
        <f t="shared" ca="1" si="58"/>
        <v>3.9351458194467979E-3</v>
      </c>
      <c r="I1800" s="156"/>
    </row>
    <row r="1801" spans="2:9" x14ac:dyDescent="0.2">
      <c r="B1801" s="230">
        <v>43343</v>
      </c>
      <c r="C1801" s="124">
        <v>319.85000000000002</v>
      </c>
      <c r="D1801" s="156">
        <f t="shared" si="57"/>
        <v>2.1232439335887723E-2</v>
      </c>
      <c r="E1801" s="156">
        <v>4.059395363743141E-3</v>
      </c>
      <c r="F1801" s="124">
        <v>1795</v>
      </c>
      <c r="G1801" s="238">
        <f t="shared" ca="1" si="58"/>
        <v>-1.3868785555721295E-2</v>
      </c>
      <c r="I1801" s="156"/>
    </row>
    <row r="1802" spans="2:9" x14ac:dyDescent="0.2">
      <c r="B1802" s="230">
        <v>43342</v>
      </c>
      <c r="C1802" s="124">
        <v>319.85000000000002</v>
      </c>
      <c r="D1802" s="156">
        <f t="shared" si="57"/>
        <v>0</v>
      </c>
      <c r="E1802" s="156">
        <v>4.0567951318459519E-3</v>
      </c>
      <c r="F1802" s="124">
        <v>1796</v>
      </c>
      <c r="G1802" s="238">
        <f t="shared" ca="1" si="58"/>
        <v>-9.0857902966529156E-3</v>
      </c>
      <c r="I1802" s="156"/>
    </row>
    <row r="1803" spans="2:9" x14ac:dyDescent="0.2">
      <c r="B1803" s="230">
        <v>43341</v>
      </c>
      <c r="C1803" s="124">
        <v>312.8</v>
      </c>
      <c r="D1803" s="156">
        <f t="shared" si="57"/>
        <v>-2.2041581991558576E-2</v>
      </c>
      <c r="E1803" s="156">
        <v>4.056403322387307E-3</v>
      </c>
      <c r="F1803" s="124">
        <v>1797</v>
      </c>
      <c r="G1803" s="238">
        <f t="shared" ca="1" si="58"/>
        <v>1.7260555650622064E-3</v>
      </c>
      <c r="I1803" s="156"/>
    </row>
    <row r="1804" spans="2:9" x14ac:dyDescent="0.2">
      <c r="B1804" s="230">
        <v>43340</v>
      </c>
      <c r="C1804" s="124">
        <v>311.64999999999998</v>
      </c>
      <c r="D1804" s="156">
        <f t="shared" si="57"/>
        <v>-3.6764705882354029E-3</v>
      </c>
      <c r="E1804" s="156">
        <v>4.0538349278417384E-3</v>
      </c>
      <c r="F1804" s="124">
        <v>1798</v>
      </c>
      <c r="G1804" s="238">
        <f t="shared" ca="1" si="58"/>
        <v>-2.2440417884062924E-2</v>
      </c>
      <c r="I1804" s="156"/>
    </row>
    <row r="1805" spans="2:9" x14ac:dyDescent="0.2">
      <c r="B1805" s="230">
        <v>43339</v>
      </c>
      <c r="C1805" s="124">
        <v>313.39999999999998</v>
      </c>
      <c r="D1805" s="156">
        <f t="shared" si="57"/>
        <v>5.6152735440397885E-3</v>
      </c>
      <c r="E1805" s="156">
        <v>4.0470225476970951E-3</v>
      </c>
      <c r="F1805" s="124">
        <v>1799</v>
      </c>
      <c r="G1805" s="238">
        <f t="shared" ca="1" si="58"/>
        <v>1.4539877626577116E-2</v>
      </c>
      <c r="I1805" s="156"/>
    </row>
    <row r="1806" spans="2:9" x14ac:dyDescent="0.2">
      <c r="B1806" s="230">
        <v>43336</v>
      </c>
      <c r="C1806" s="124">
        <v>310.39999999999998</v>
      </c>
      <c r="D1806" s="156">
        <f t="shared" si="57"/>
        <v>-9.5724313975749844E-3</v>
      </c>
      <c r="E1806" s="156">
        <v>4.0397239521966334E-3</v>
      </c>
      <c r="F1806" s="124">
        <v>1800</v>
      </c>
      <c r="G1806" s="238">
        <f t="shared" ca="1" si="58"/>
        <v>-5.8123643067101638E-3</v>
      </c>
      <c r="I1806" s="156"/>
    </row>
    <row r="1807" spans="2:9" x14ac:dyDescent="0.2">
      <c r="B1807" s="230">
        <v>43335</v>
      </c>
      <c r="C1807" s="124">
        <v>312</v>
      </c>
      <c r="D1807" s="156">
        <f t="shared" si="57"/>
        <v>5.1546391752578056E-3</v>
      </c>
      <c r="E1807" s="156">
        <v>4.0385844616188807E-3</v>
      </c>
      <c r="F1807" s="124">
        <v>1801</v>
      </c>
      <c r="G1807" s="238">
        <f t="shared" ca="1" si="58"/>
        <v>-3.8123323008557096E-3</v>
      </c>
      <c r="I1807" s="156"/>
    </row>
    <row r="1808" spans="2:9" x14ac:dyDescent="0.2">
      <c r="B1808" s="230">
        <v>43333</v>
      </c>
      <c r="C1808" s="124">
        <v>312.89999999999998</v>
      </c>
      <c r="D1808" s="156">
        <f t="shared" si="57"/>
        <v>2.8846153846153119E-3</v>
      </c>
      <c r="E1808" s="156">
        <v>4.0381791483112507E-3</v>
      </c>
      <c r="F1808" s="124">
        <v>1802</v>
      </c>
      <c r="G1808" s="238">
        <f t="shared" ca="1" si="58"/>
        <v>3.4852512419075938E-3</v>
      </c>
      <c r="I1808" s="156"/>
    </row>
    <row r="1809" spans="2:9" x14ac:dyDescent="0.2">
      <c r="B1809" s="230">
        <v>43332</v>
      </c>
      <c r="C1809" s="124">
        <v>313.3</v>
      </c>
      <c r="D1809" s="156">
        <f t="shared" si="57"/>
        <v>1.2783636944711861E-3</v>
      </c>
      <c r="E1809" s="156">
        <v>4.035087719298191E-3</v>
      </c>
      <c r="F1809" s="124">
        <v>1803</v>
      </c>
      <c r="G1809" s="238">
        <f t="shared" ca="1" si="58"/>
        <v>-1.4686023011055569E-2</v>
      </c>
      <c r="I1809" s="156"/>
    </row>
    <row r="1810" spans="2:9" x14ac:dyDescent="0.2">
      <c r="B1810" s="230">
        <v>43329</v>
      </c>
      <c r="C1810" s="124">
        <v>313.75</v>
      </c>
      <c r="D1810" s="156">
        <f t="shared" si="57"/>
        <v>1.4363230130864622E-3</v>
      </c>
      <c r="E1810" s="156">
        <v>4.0329651060844619E-3</v>
      </c>
      <c r="F1810" s="124">
        <v>1804</v>
      </c>
      <c r="G1810" s="238">
        <f t="shared" ca="1" si="58"/>
        <v>-1.1269244619988772E-2</v>
      </c>
      <c r="I1810" s="156"/>
    </row>
    <row r="1811" spans="2:9" x14ac:dyDescent="0.2">
      <c r="B1811" s="230">
        <v>43328</v>
      </c>
      <c r="C1811" s="124">
        <v>307.45</v>
      </c>
      <c r="D1811" s="156">
        <f t="shared" si="57"/>
        <v>-2.0079681274900434E-2</v>
      </c>
      <c r="E1811" s="156">
        <v>4.0322580645161593E-3</v>
      </c>
      <c r="F1811" s="124">
        <v>1805</v>
      </c>
      <c r="G1811" s="238">
        <f t="shared" ca="1" si="58"/>
        <v>1.7555325272131772E-2</v>
      </c>
      <c r="I1811" s="156"/>
    </row>
    <row r="1812" spans="2:9" x14ac:dyDescent="0.2">
      <c r="B1812" s="230">
        <v>43326</v>
      </c>
      <c r="C1812" s="124">
        <v>307.89999999999998</v>
      </c>
      <c r="D1812" s="156">
        <f t="shared" si="57"/>
        <v>1.4636526264432872E-3</v>
      </c>
      <c r="E1812" s="156">
        <v>4.0167975168886828E-3</v>
      </c>
      <c r="F1812" s="124">
        <v>1806</v>
      </c>
      <c r="G1812" s="238">
        <f t="shared" ca="1" si="58"/>
        <v>-2.5629092359086721E-2</v>
      </c>
      <c r="I1812" s="156"/>
    </row>
    <row r="1813" spans="2:9" x14ac:dyDescent="0.2">
      <c r="B1813" s="230">
        <v>43325</v>
      </c>
      <c r="C1813" s="124">
        <v>305.95</v>
      </c>
      <c r="D1813" s="156">
        <f t="shared" si="57"/>
        <v>-6.3332250730756372E-3</v>
      </c>
      <c r="E1813" s="156">
        <v>4.0098848323775523E-3</v>
      </c>
      <c r="F1813" s="124">
        <v>1807</v>
      </c>
      <c r="G1813" s="238">
        <f t="shared" ca="1" si="58"/>
        <v>-1.1458678945176701E-2</v>
      </c>
      <c r="I1813" s="156"/>
    </row>
    <row r="1814" spans="2:9" x14ac:dyDescent="0.2">
      <c r="B1814" s="230">
        <v>43322</v>
      </c>
      <c r="C1814" s="124">
        <v>304.8</v>
      </c>
      <c r="D1814" s="156">
        <f t="shared" si="57"/>
        <v>-3.7587841150514049E-3</v>
      </c>
      <c r="E1814" s="156">
        <v>4.0069686411150522E-3</v>
      </c>
      <c r="F1814" s="124">
        <v>1808</v>
      </c>
      <c r="G1814" s="238">
        <f t="shared" ca="1" si="58"/>
        <v>3.715890971249817E-3</v>
      </c>
      <c r="I1814" s="156"/>
    </row>
    <row r="1815" spans="2:9" x14ac:dyDescent="0.2">
      <c r="B1815" s="230">
        <v>43321</v>
      </c>
      <c r="C1815" s="124">
        <v>302.5</v>
      </c>
      <c r="D1815" s="156">
        <f t="shared" si="57"/>
        <v>-7.5459317585302209E-3</v>
      </c>
      <c r="E1815" s="156">
        <v>4.0063496862952691E-3</v>
      </c>
      <c r="F1815" s="124">
        <v>1809</v>
      </c>
      <c r="G1815" s="238">
        <f t="shared" ca="1" si="58"/>
        <v>-2.7854189454987088E-3</v>
      </c>
      <c r="I1815" s="156"/>
    </row>
    <row r="1816" spans="2:9" x14ac:dyDescent="0.2">
      <c r="B1816" s="230">
        <v>43320</v>
      </c>
      <c r="C1816" s="124">
        <v>300.95</v>
      </c>
      <c r="D1816" s="156">
        <f t="shared" si="57"/>
        <v>-5.123966942148798E-3</v>
      </c>
      <c r="E1816" s="156">
        <v>3.9973930045621876E-3</v>
      </c>
      <c r="F1816" s="124">
        <v>1810</v>
      </c>
      <c r="G1816" s="238">
        <f t="shared" ca="1" si="58"/>
        <v>2.7844156190863282E-2</v>
      </c>
      <c r="I1816" s="156"/>
    </row>
    <row r="1817" spans="2:9" x14ac:dyDescent="0.2">
      <c r="B1817" s="230">
        <v>43319</v>
      </c>
      <c r="C1817" s="124">
        <v>301.10000000000002</v>
      </c>
      <c r="D1817" s="156">
        <f t="shared" si="57"/>
        <v>4.9842166472847352E-4</v>
      </c>
      <c r="E1817" s="156">
        <v>3.9965871839777933E-3</v>
      </c>
      <c r="F1817" s="124">
        <v>1811</v>
      </c>
      <c r="G1817" s="238">
        <f t="shared" ca="1" si="58"/>
        <v>-2.851663611974849E-2</v>
      </c>
      <c r="I1817" s="156"/>
    </row>
    <row r="1818" spans="2:9" x14ac:dyDescent="0.2">
      <c r="B1818" s="230">
        <v>43318</v>
      </c>
      <c r="C1818" s="124">
        <v>301.8</v>
      </c>
      <c r="D1818" s="156">
        <f t="shared" si="57"/>
        <v>2.3248090335436355E-3</v>
      </c>
      <c r="E1818" s="156">
        <v>3.9957939011566294E-3</v>
      </c>
      <c r="F1818" s="124">
        <v>1812</v>
      </c>
      <c r="G1818" s="238">
        <f t="shared" ca="1" si="58"/>
        <v>5.7733137560713032E-3</v>
      </c>
      <c r="I1818" s="156"/>
    </row>
    <row r="1819" spans="2:9" x14ac:dyDescent="0.2">
      <c r="B1819" s="230">
        <v>43315</v>
      </c>
      <c r="C1819" s="124">
        <v>303.95</v>
      </c>
      <c r="D1819" s="156">
        <f t="shared" si="57"/>
        <v>7.1239231278991955E-3</v>
      </c>
      <c r="E1819" s="156">
        <v>3.9787488005243654E-3</v>
      </c>
      <c r="F1819" s="124">
        <v>1813</v>
      </c>
      <c r="G1819" s="238">
        <f t="shared" ca="1" si="58"/>
        <v>-1.5356520108121103E-3</v>
      </c>
      <c r="I1819" s="156"/>
    </row>
    <row r="1820" spans="2:9" x14ac:dyDescent="0.2">
      <c r="B1820" s="230">
        <v>43314</v>
      </c>
      <c r="C1820" s="124">
        <v>299.2</v>
      </c>
      <c r="D1820" s="156">
        <f t="shared" si="57"/>
        <v>-1.5627570324066458E-2</v>
      </c>
      <c r="E1820" s="156">
        <v>3.9772727272727702E-3</v>
      </c>
      <c r="F1820" s="124">
        <v>1814</v>
      </c>
      <c r="G1820" s="238">
        <f t="shared" ca="1" si="58"/>
        <v>-4.84220679628386E-3</v>
      </c>
      <c r="I1820" s="156"/>
    </row>
    <row r="1821" spans="2:9" x14ac:dyDescent="0.2">
      <c r="B1821" s="230">
        <v>43313</v>
      </c>
      <c r="C1821" s="124">
        <v>301.60000000000002</v>
      </c>
      <c r="D1821" s="156">
        <f t="shared" si="57"/>
        <v>8.0213903743316644E-3</v>
      </c>
      <c r="E1821" s="156">
        <v>3.9712556732224335E-3</v>
      </c>
      <c r="F1821" s="124">
        <v>1815</v>
      </c>
      <c r="G1821" s="238">
        <f t="shared" ca="1" si="58"/>
        <v>1.5618464392984342E-2</v>
      </c>
      <c r="I1821" s="156"/>
    </row>
    <row r="1822" spans="2:9" x14ac:dyDescent="0.2">
      <c r="B1822" s="230">
        <v>43312</v>
      </c>
      <c r="C1822" s="124">
        <v>297.7</v>
      </c>
      <c r="D1822" s="156">
        <f t="shared" si="57"/>
        <v>-1.2931034482758733E-2</v>
      </c>
      <c r="E1822" s="156">
        <v>3.9682539682537963E-3</v>
      </c>
      <c r="F1822" s="124">
        <v>1816</v>
      </c>
      <c r="G1822" s="238">
        <f t="shared" ca="1" si="58"/>
        <v>2.8502858587522929E-3</v>
      </c>
      <c r="I1822" s="156"/>
    </row>
    <row r="1823" spans="2:9" x14ac:dyDescent="0.2">
      <c r="B1823" s="230">
        <v>43311</v>
      </c>
      <c r="C1823" s="124">
        <v>301.05</v>
      </c>
      <c r="D1823" s="156">
        <f t="shared" si="57"/>
        <v>1.1252939200537531E-2</v>
      </c>
      <c r="E1823" s="156">
        <v>3.9669263489939899E-3</v>
      </c>
      <c r="F1823" s="124">
        <v>1817</v>
      </c>
      <c r="G1823" s="238">
        <f t="shared" ca="1" si="58"/>
        <v>-1.7597634145826518E-2</v>
      </c>
      <c r="I1823" s="156"/>
    </row>
    <row r="1824" spans="2:9" x14ac:dyDescent="0.2">
      <c r="B1824" s="230">
        <v>43308</v>
      </c>
      <c r="C1824" s="124">
        <v>302.55</v>
      </c>
      <c r="D1824" s="156">
        <f t="shared" si="57"/>
        <v>4.9825610363726956E-3</v>
      </c>
      <c r="E1824" s="156">
        <v>3.9653929343908536E-3</v>
      </c>
      <c r="F1824" s="124">
        <v>1818</v>
      </c>
      <c r="G1824" s="238">
        <f t="shared" ca="1" si="58"/>
        <v>1.8730664909115198E-3</v>
      </c>
      <c r="I1824" s="156"/>
    </row>
    <row r="1825" spans="2:9" x14ac:dyDescent="0.2">
      <c r="B1825" s="230">
        <v>43307</v>
      </c>
      <c r="C1825" s="124">
        <v>287.2</v>
      </c>
      <c r="D1825" s="156">
        <f t="shared" si="57"/>
        <v>-5.0735415633779611E-2</v>
      </c>
      <c r="E1825" s="156">
        <v>3.955696202531645E-3</v>
      </c>
      <c r="F1825" s="124">
        <v>1819</v>
      </c>
      <c r="G1825" s="238">
        <f t="shared" ca="1" si="58"/>
        <v>1.3242655907293989E-2</v>
      </c>
      <c r="I1825" s="156"/>
    </row>
    <row r="1826" spans="2:9" x14ac:dyDescent="0.2">
      <c r="B1826" s="230">
        <v>43306</v>
      </c>
      <c r="C1826" s="124">
        <v>286.14999999999998</v>
      </c>
      <c r="D1826" s="156">
        <f t="shared" si="57"/>
        <v>-3.6559888579387584E-3</v>
      </c>
      <c r="E1826" s="156">
        <v>3.9546079779918157E-3</v>
      </c>
      <c r="F1826" s="124">
        <v>1820</v>
      </c>
      <c r="G1826" s="238">
        <f t="shared" ca="1" si="58"/>
        <v>-3.8721527047943217E-3</v>
      </c>
      <c r="I1826" s="156"/>
    </row>
    <row r="1827" spans="2:9" x14ac:dyDescent="0.2">
      <c r="B1827" s="230">
        <v>43305</v>
      </c>
      <c r="C1827" s="124">
        <v>285.64999999999998</v>
      </c>
      <c r="D1827" s="156">
        <f t="shared" si="57"/>
        <v>-1.747335313646689E-3</v>
      </c>
      <c r="E1827" s="156">
        <v>3.9506953223767379E-3</v>
      </c>
      <c r="F1827" s="124">
        <v>1821</v>
      </c>
      <c r="G1827" s="238">
        <f t="shared" ca="1" si="58"/>
        <v>-1.9683814493789722E-2</v>
      </c>
      <c r="I1827" s="156"/>
    </row>
    <row r="1828" spans="2:9" x14ac:dyDescent="0.2">
      <c r="B1828" s="230">
        <v>43304</v>
      </c>
      <c r="C1828" s="124">
        <v>284.14999999999998</v>
      </c>
      <c r="D1828" s="156">
        <f t="shared" si="57"/>
        <v>-5.2511815158410649E-3</v>
      </c>
      <c r="E1828" s="156">
        <v>3.9506878004663907E-3</v>
      </c>
      <c r="F1828" s="124">
        <v>1822</v>
      </c>
      <c r="G1828" s="238">
        <f t="shared" ca="1" si="58"/>
        <v>5.9167708834468409E-3</v>
      </c>
      <c r="I1828" s="156"/>
    </row>
    <row r="1829" spans="2:9" x14ac:dyDescent="0.2">
      <c r="B1829" s="230">
        <v>43301</v>
      </c>
      <c r="C1829" s="124">
        <v>274</v>
      </c>
      <c r="D1829" s="156">
        <f t="shared" si="57"/>
        <v>-3.572057012141467E-2</v>
      </c>
      <c r="E1829" s="156">
        <v>3.9502671494771012E-3</v>
      </c>
      <c r="F1829" s="124">
        <v>1823</v>
      </c>
      <c r="G1829" s="238">
        <f t="shared" ca="1" si="58"/>
        <v>-1.5612707733822638E-2</v>
      </c>
      <c r="I1829" s="156"/>
    </row>
    <row r="1830" spans="2:9" x14ac:dyDescent="0.2">
      <c r="B1830" s="230">
        <v>43300</v>
      </c>
      <c r="C1830" s="124">
        <v>273.3</v>
      </c>
      <c r="D1830" s="156">
        <f t="shared" si="57"/>
        <v>-2.5547445255474036E-3</v>
      </c>
      <c r="E1830" s="156">
        <v>3.9481105470953615E-3</v>
      </c>
      <c r="F1830" s="124">
        <v>1824</v>
      </c>
      <c r="G1830" s="238">
        <f t="shared" ca="1" si="58"/>
        <v>-1.9009951002341929E-2</v>
      </c>
      <c r="I1830" s="156"/>
    </row>
    <row r="1831" spans="2:9" x14ac:dyDescent="0.2">
      <c r="B1831" s="230">
        <v>43299</v>
      </c>
      <c r="C1831" s="124">
        <v>268.55</v>
      </c>
      <c r="D1831" s="156">
        <f t="shared" si="57"/>
        <v>-1.7380168313208925E-2</v>
      </c>
      <c r="E1831" s="156">
        <v>3.9412396990326868E-3</v>
      </c>
      <c r="F1831" s="124">
        <v>1825</v>
      </c>
      <c r="G1831" s="238">
        <f t="shared" ca="1" si="58"/>
        <v>3.0124543549501781E-2</v>
      </c>
      <c r="I1831" s="156"/>
    </row>
    <row r="1832" spans="2:9" x14ac:dyDescent="0.2">
      <c r="B1832" s="230">
        <v>43298</v>
      </c>
      <c r="C1832" s="124">
        <v>269.85000000000002</v>
      </c>
      <c r="D1832" s="156">
        <f t="shared" si="57"/>
        <v>4.8408117668963368E-3</v>
      </c>
      <c r="E1832" s="156">
        <v>3.9215686274510619E-3</v>
      </c>
      <c r="F1832" s="124">
        <v>1826</v>
      </c>
      <c r="G1832" s="238">
        <f t="shared" ca="1" si="58"/>
        <v>8.4709000313276158E-3</v>
      </c>
      <c r="I1832" s="156"/>
    </row>
    <row r="1833" spans="2:9" x14ac:dyDescent="0.2">
      <c r="B1833" s="230">
        <v>43297</v>
      </c>
      <c r="C1833" s="124">
        <v>271.60000000000002</v>
      </c>
      <c r="D1833" s="156">
        <f t="shared" si="57"/>
        <v>6.4850843060959788E-3</v>
      </c>
      <c r="E1833" s="156">
        <v>3.9146080529080278E-3</v>
      </c>
      <c r="F1833" s="124">
        <v>1827</v>
      </c>
      <c r="G1833" s="238">
        <f t="shared" ca="1" si="58"/>
        <v>3.124579456869982E-2</v>
      </c>
      <c r="I1833" s="156"/>
    </row>
    <row r="1834" spans="2:9" x14ac:dyDescent="0.2">
      <c r="B1834" s="230">
        <v>43294</v>
      </c>
      <c r="C1834" s="124">
        <v>270.39999999999998</v>
      </c>
      <c r="D1834" s="156">
        <f t="shared" si="57"/>
        <v>-4.4182621502210804E-3</v>
      </c>
      <c r="E1834" s="156">
        <v>3.909158600148936E-3</v>
      </c>
      <c r="F1834" s="124">
        <v>1828</v>
      </c>
      <c r="G1834" s="238">
        <f t="shared" ca="1" si="58"/>
        <v>-7.675143536754748E-3</v>
      </c>
      <c r="I1834" s="156"/>
    </row>
    <row r="1835" spans="2:9" x14ac:dyDescent="0.2">
      <c r="B1835" s="230">
        <v>43293</v>
      </c>
      <c r="C1835" s="124">
        <v>277.2</v>
      </c>
      <c r="D1835" s="156">
        <f t="shared" si="57"/>
        <v>2.5147928994082885E-2</v>
      </c>
      <c r="E1835" s="156">
        <v>3.9083318529046819E-3</v>
      </c>
      <c r="F1835" s="124">
        <v>1829</v>
      </c>
      <c r="G1835" s="238">
        <f t="shared" ca="1" si="58"/>
        <v>-4.3153711676877884E-2</v>
      </c>
      <c r="I1835" s="156"/>
    </row>
    <row r="1836" spans="2:9" x14ac:dyDescent="0.2">
      <c r="B1836" s="230">
        <v>43292</v>
      </c>
      <c r="C1836" s="124">
        <v>275.75</v>
      </c>
      <c r="D1836" s="156">
        <f t="shared" si="57"/>
        <v>-5.2308802308801902E-3</v>
      </c>
      <c r="E1836" s="156">
        <v>3.904797322424736E-3</v>
      </c>
      <c r="F1836" s="124">
        <v>1830</v>
      </c>
      <c r="G1836" s="238">
        <f t="shared" ca="1" si="58"/>
        <v>-3.4596765101687202E-2</v>
      </c>
      <c r="I1836" s="156"/>
    </row>
    <row r="1837" spans="2:9" x14ac:dyDescent="0.2">
      <c r="B1837" s="230">
        <v>43291</v>
      </c>
      <c r="C1837" s="124">
        <v>277.05</v>
      </c>
      <c r="D1837" s="156">
        <f t="shared" si="57"/>
        <v>4.7144152311877109E-3</v>
      </c>
      <c r="E1837" s="156">
        <v>3.9027851694162347E-3</v>
      </c>
      <c r="F1837" s="124">
        <v>1831</v>
      </c>
      <c r="G1837" s="238">
        <f t="shared" ca="1" si="58"/>
        <v>-6.0524235253975964E-3</v>
      </c>
      <c r="I1837" s="156"/>
    </row>
    <row r="1838" spans="2:9" x14ac:dyDescent="0.2">
      <c r="B1838" s="230">
        <v>43290</v>
      </c>
      <c r="C1838" s="124">
        <v>274.39999999999998</v>
      </c>
      <c r="D1838" s="156">
        <f t="shared" si="57"/>
        <v>-9.5650604584011333E-3</v>
      </c>
      <c r="E1838" s="156">
        <v>3.8917803722979512E-3</v>
      </c>
      <c r="F1838" s="124">
        <v>1832</v>
      </c>
      <c r="G1838" s="238">
        <f t="shared" ca="1" si="58"/>
        <v>-2.0136905867805456E-2</v>
      </c>
      <c r="I1838" s="156"/>
    </row>
    <row r="1839" spans="2:9" x14ac:dyDescent="0.2">
      <c r="B1839" s="230">
        <v>43287</v>
      </c>
      <c r="C1839" s="124">
        <v>272.64999999999998</v>
      </c>
      <c r="D1839" s="156">
        <f t="shared" si="57"/>
        <v>-6.3775510204081634E-3</v>
      </c>
      <c r="E1839" s="156">
        <v>3.8903625110522718E-3</v>
      </c>
      <c r="F1839" s="124">
        <v>1833</v>
      </c>
      <c r="G1839" s="238">
        <f t="shared" ca="1" si="58"/>
        <v>-2.123926699466732E-2</v>
      </c>
      <c r="I1839" s="156"/>
    </row>
    <row r="1840" spans="2:9" x14ac:dyDescent="0.2">
      <c r="B1840" s="230">
        <v>43286</v>
      </c>
      <c r="C1840" s="124">
        <v>272.5</v>
      </c>
      <c r="D1840" s="156">
        <f t="shared" si="57"/>
        <v>-5.5015587749854126E-4</v>
      </c>
      <c r="E1840" s="156">
        <v>3.8894118812862139E-3</v>
      </c>
      <c r="F1840" s="124">
        <v>1834</v>
      </c>
      <c r="G1840" s="238">
        <f t="shared" ca="1" si="58"/>
        <v>-1.2025622388408763E-2</v>
      </c>
      <c r="I1840" s="156"/>
    </row>
    <row r="1841" spans="2:9" x14ac:dyDescent="0.2">
      <c r="B1841" s="230">
        <v>43285</v>
      </c>
      <c r="C1841" s="124">
        <v>264.39999999999998</v>
      </c>
      <c r="D1841" s="156">
        <f t="shared" si="57"/>
        <v>-2.9724770642201918E-2</v>
      </c>
      <c r="E1841" s="156">
        <v>3.8687712782420301E-3</v>
      </c>
      <c r="F1841" s="124">
        <v>1835</v>
      </c>
      <c r="G1841" s="238">
        <f t="shared" ca="1" si="58"/>
        <v>3.5727456946566304E-3</v>
      </c>
      <c r="I1841" s="156"/>
    </row>
    <row r="1842" spans="2:9" x14ac:dyDescent="0.2">
      <c r="B1842" s="230">
        <v>43284</v>
      </c>
      <c r="C1842" s="124">
        <v>265.45</v>
      </c>
      <c r="D1842" s="156">
        <f t="shared" si="57"/>
        <v>3.9712556732224335E-3</v>
      </c>
      <c r="E1842" s="156">
        <v>3.864945671990091E-3</v>
      </c>
      <c r="F1842" s="124">
        <v>1836</v>
      </c>
      <c r="G1842" s="238">
        <f t="shared" ca="1" si="58"/>
        <v>6.9020261552999486E-3</v>
      </c>
      <c r="I1842" s="156"/>
    </row>
    <row r="1843" spans="2:9" x14ac:dyDescent="0.2">
      <c r="B1843" s="230">
        <v>43283</v>
      </c>
      <c r="C1843" s="124">
        <v>263.05</v>
      </c>
      <c r="D1843" s="156">
        <f t="shared" si="57"/>
        <v>-9.0412507063476269E-3</v>
      </c>
      <c r="E1843" s="156">
        <v>3.86396908824719E-3</v>
      </c>
      <c r="F1843" s="124">
        <v>1837</v>
      </c>
      <c r="G1843" s="238">
        <f t="shared" ca="1" si="58"/>
        <v>5.5453952467399053E-3</v>
      </c>
      <c r="I1843" s="156"/>
    </row>
    <row r="1844" spans="2:9" x14ac:dyDescent="0.2">
      <c r="B1844" s="230">
        <v>43280</v>
      </c>
      <c r="C1844" s="124">
        <v>266.2</v>
      </c>
      <c r="D1844" s="156">
        <f t="shared" si="57"/>
        <v>1.1974909712982236E-2</v>
      </c>
      <c r="E1844" s="156">
        <v>3.8394874832708044E-3</v>
      </c>
      <c r="F1844" s="124">
        <v>1838</v>
      </c>
      <c r="G1844" s="238">
        <f t="shared" ca="1" si="58"/>
        <v>5.2062378657966443E-3</v>
      </c>
      <c r="I1844" s="156"/>
    </row>
    <row r="1845" spans="2:9" x14ac:dyDescent="0.2">
      <c r="B1845" s="230">
        <v>43279</v>
      </c>
      <c r="C1845" s="124">
        <v>260.5</v>
      </c>
      <c r="D1845" s="156">
        <f t="shared" si="57"/>
        <v>-2.1412471825694925E-2</v>
      </c>
      <c r="E1845" s="156">
        <v>3.830718715796988E-3</v>
      </c>
      <c r="F1845" s="124">
        <v>1839</v>
      </c>
      <c r="G1845" s="238">
        <f t="shared" ca="1" si="58"/>
        <v>7.5144849691819349E-4</v>
      </c>
      <c r="I1845" s="156"/>
    </row>
    <row r="1846" spans="2:9" x14ac:dyDescent="0.2">
      <c r="B1846" s="230">
        <v>43278</v>
      </c>
      <c r="C1846" s="124">
        <v>262.75</v>
      </c>
      <c r="D1846" s="156">
        <f t="shared" si="57"/>
        <v>8.6372360844529754E-3</v>
      </c>
      <c r="E1846" s="156">
        <v>3.7947063845935459E-3</v>
      </c>
      <c r="F1846" s="124">
        <v>1840</v>
      </c>
      <c r="G1846" s="238">
        <f t="shared" ca="1" si="58"/>
        <v>1.3385146659634408E-2</v>
      </c>
      <c r="I1846" s="156"/>
    </row>
    <row r="1847" spans="2:9" x14ac:dyDescent="0.2">
      <c r="B1847" s="230">
        <v>43277</v>
      </c>
      <c r="C1847" s="124">
        <v>264.8</v>
      </c>
      <c r="D1847" s="156">
        <f t="shared" si="57"/>
        <v>7.8020932445290632E-3</v>
      </c>
      <c r="E1847" s="156">
        <v>3.7918871252203934E-3</v>
      </c>
      <c r="F1847" s="124">
        <v>1841</v>
      </c>
      <c r="G1847" s="238">
        <f t="shared" ca="1" si="58"/>
        <v>5.2920867205160241E-3</v>
      </c>
      <c r="I1847" s="156"/>
    </row>
    <row r="1848" spans="2:9" x14ac:dyDescent="0.2">
      <c r="B1848" s="230">
        <v>43276</v>
      </c>
      <c r="C1848" s="124">
        <v>262.60000000000002</v>
      </c>
      <c r="D1848" s="156">
        <f t="shared" si="57"/>
        <v>-8.308157099697842E-3</v>
      </c>
      <c r="E1848" s="156">
        <v>3.7910200213245753E-3</v>
      </c>
      <c r="F1848" s="124">
        <v>1842</v>
      </c>
      <c r="G1848" s="238">
        <f t="shared" ca="1" si="58"/>
        <v>-4.4619640979362048E-3</v>
      </c>
      <c r="I1848" s="156"/>
    </row>
    <row r="1849" spans="2:9" x14ac:dyDescent="0.2">
      <c r="B1849" s="230">
        <v>43273</v>
      </c>
      <c r="C1849" s="124">
        <v>265.14999999999998</v>
      </c>
      <c r="D1849" s="156">
        <f t="shared" si="57"/>
        <v>9.7105864432595369E-3</v>
      </c>
      <c r="E1849" s="156">
        <v>3.7884217639711317E-3</v>
      </c>
      <c r="F1849" s="124">
        <v>1843</v>
      </c>
      <c r="G1849" s="238">
        <f t="shared" ca="1" si="58"/>
        <v>-7.1032582480282033E-3</v>
      </c>
      <c r="I1849" s="156"/>
    </row>
    <row r="1850" spans="2:9" x14ac:dyDescent="0.2">
      <c r="B1850" s="230">
        <v>43272</v>
      </c>
      <c r="C1850" s="124">
        <v>260.85000000000002</v>
      </c>
      <c r="D1850" s="156">
        <f t="shared" si="57"/>
        <v>-1.6217235527059986E-2</v>
      </c>
      <c r="E1850" s="156">
        <v>3.7857360428179996E-3</v>
      </c>
      <c r="F1850" s="124">
        <v>1844</v>
      </c>
      <c r="G1850" s="238">
        <f t="shared" ca="1" si="58"/>
        <v>-1.8160044367377993E-2</v>
      </c>
      <c r="I1850" s="156"/>
    </row>
    <row r="1851" spans="2:9" x14ac:dyDescent="0.2">
      <c r="B1851" s="230">
        <v>43271</v>
      </c>
      <c r="C1851" s="124">
        <v>263.75</v>
      </c>
      <c r="D1851" s="156">
        <f t="shared" si="57"/>
        <v>1.1117500479202519E-2</v>
      </c>
      <c r="E1851" s="156">
        <v>3.776063043835232E-3</v>
      </c>
      <c r="F1851" s="124">
        <v>1845</v>
      </c>
      <c r="G1851" s="238">
        <f t="shared" ca="1" si="58"/>
        <v>-8.6980343117013647E-3</v>
      </c>
      <c r="I1851" s="156"/>
    </row>
    <row r="1852" spans="2:9" x14ac:dyDescent="0.2">
      <c r="B1852" s="230">
        <v>43270</v>
      </c>
      <c r="C1852" s="124">
        <v>266.05</v>
      </c>
      <c r="D1852" s="156">
        <f t="shared" si="57"/>
        <v>8.7203791469194752E-3</v>
      </c>
      <c r="E1852" s="156">
        <v>3.7700282752121178E-3</v>
      </c>
      <c r="F1852" s="124">
        <v>1846</v>
      </c>
      <c r="G1852" s="238">
        <f t="shared" ca="1" si="58"/>
        <v>2.860656972276383E-2</v>
      </c>
      <c r="I1852" s="156"/>
    </row>
    <row r="1853" spans="2:9" x14ac:dyDescent="0.2">
      <c r="B1853" s="230">
        <v>43269</v>
      </c>
      <c r="C1853" s="124">
        <v>264.55</v>
      </c>
      <c r="D1853" s="156">
        <f t="shared" si="57"/>
        <v>-5.6380379627889495E-3</v>
      </c>
      <c r="E1853" s="156">
        <v>3.7644932992019274E-3</v>
      </c>
      <c r="F1853" s="124">
        <v>1847</v>
      </c>
      <c r="G1853" s="238">
        <f t="shared" ca="1" si="58"/>
        <v>-1.1002141979414886E-2</v>
      </c>
      <c r="I1853" s="156"/>
    </row>
    <row r="1854" spans="2:9" x14ac:dyDescent="0.2">
      <c r="B1854" s="230">
        <v>43266</v>
      </c>
      <c r="C1854" s="124">
        <v>264.5</v>
      </c>
      <c r="D1854" s="156">
        <f t="shared" ref="D1854:D1917" si="59">(C1854-C1853)/C1853</f>
        <v>-1.8900018900023195E-4</v>
      </c>
      <c r="E1854" s="156">
        <v>3.7511722413254454E-3</v>
      </c>
      <c r="F1854" s="124">
        <v>1848</v>
      </c>
      <c r="G1854" s="238">
        <f t="shared" ca="1" si="58"/>
        <v>-1.3232182519537729E-2</v>
      </c>
      <c r="I1854" s="156"/>
    </row>
    <row r="1855" spans="2:9" x14ac:dyDescent="0.2">
      <c r="B1855" s="230">
        <v>43265</v>
      </c>
      <c r="C1855" s="124">
        <v>267.25</v>
      </c>
      <c r="D1855" s="156">
        <f t="shared" si="59"/>
        <v>1.0396975425330813E-2</v>
      </c>
      <c r="E1855" s="156">
        <v>3.7327645311189201E-3</v>
      </c>
      <c r="F1855" s="124">
        <v>1849</v>
      </c>
      <c r="G1855" s="238">
        <f t="shared" ca="1" si="58"/>
        <v>1.0353727256020373E-3</v>
      </c>
      <c r="I1855" s="156"/>
    </row>
    <row r="1856" spans="2:9" x14ac:dyDescent="0.2">
      <c r="B1856" s="230">
        <v>43264</v>
      </c>
      <c r="C1856" s="124">
        <v>267.85000000000002</v>
      </c>
      <c r="D1856" s="156">
        <f t="shared" si="59"/>
        <v>2.2450888681011141E-3</v>
      </c>
      <c r="E1856" s="156">
        <v>3.7099494097808765E-3</v>
      </c>
      <c r="F1856" s="124">
        <v>1850</v>
      </c>
      <c r="G1856" s="238">
        <f t="shared" ca="1" si="58"/>
        <v>1.3487187090933474E-2</v>
      </c>
      <c r="I1856" s="156"/>
    </row>
    <row r="1857" spans="2:9" x14ac:dyDescent="0.2">
      <c r="B1857" s="230">
        <v>43263</v>
      </c>
      <c r="C1857" s="124">
        <v>270.25</v>
      </c>
      <c r="D1857" s="156">
        <f t="shared" si="59"/>
        <v>8.9602389397049724E-3</v>
      </c>
      <c r="E1857" s="156">
        <v>3.7014188772362972E-3</v>
      </c>
      <c r="F1857" s="124">
        <v>1851</v>
      </c>
      <c r="G1857" s="238">
        <f t="shared" ca="1" si="58"/>
        <v>-8.2957273820773725E-3</v>
      </c>
      <c r="I1857" s="156"/>
    </row>
    <row r="1858" spans="2:9" x14ac:dyDescent="0.2">
      <c r="B1858" s="230">
        <v>43262</v>
      </c>
      <c r="C1858" s="124">
        <v>269.25</v>
      </c>
      <c r="D1858" s="156">
        <f t="shared" si="59"/>
        <v>-3.7002775208140612E-3</v>
      </c>
      <c r="E1858" s="156">
        <v>3.7007775791092616E-3</v>
      </c>
      <c r="F1858" s="124">
        <v>1852</v>
      </c>
      <c r="G1858" s="238">
        <f t="shared" ca="1" si="58"/>
        <v>-1.4913288184710506E-2</v>
      </c>
      <c r="I1858" s="156"/>
    </row>
    <row r="1859" spans="2:9" x14ac:dyDescent="0.2">
      <c r="B1859" s="230">
        <v>43259</v>
      </c>
      <c r="C1859" s="124">
        <v>267.89999999999998</v>
      </c>
      <c r="D1859" s="156">
        <f t="shared" si="59"/>
        <v>-5.0139275766017555E-3</v>
      </c>
      <c r="E1859" s="156">
        <v>3.7000493339910847E-3</v>
      </c>
      <c r="F1859" s="124">
        <v>1853</v>
      </c>
      <c r="G1859" s="238">
        <f t="shared" ca="1" si="58"/>
        <v>-8.6061582213525639E-3</v>
      </c>
      <c r="I1859" s="156"/>
    </row>
    <row r="1860" spans="2:9" x14ac:dyDescent="0.2">
      <c r="B1860" s="230">
        <v>43258</v>
      </c>
      <c r="C1860" s="124">
        <v>271.05</v>
      </c>
      <c r="D1860" s="156">
        <f t="shared" si="59"/>
        <v>1.1758118701007967E-2</v>
      </c>
      <c r="E1860" s="156">
        <v>3.6956521739130188E-3</v>
      </c>
      <c r="F1860" s="124">
        <v>1854</v>
      </c>
      <c r="G1860" s="238">
        <f t="shared" ca="1" si="58"/>
        <v>6.6325969091435644E-3</v>
      </c>
      <c r="I1860" s="156"/>
    </row>
    <row r="1861" spans="2:9" x14ac:dyDescent="0.2">
      <c r="B1861" s="230">
        <v>43257</v>
      </c>
      <c r="C1861" s="124">
        <v>270.39999999999998</v>
      </c>
      <c r="D1861" s="156">
        <f t="shared" si="59"/>
        <v>-2.3980815347723079E-3</v>
      </c>
      <c r="E1861" s="156">
        <v>3.6900369003690036E-3</v>
      </c>
      <c r="F1861" s="124">
        <v>1855</v>
      </c>
      <c r="G1861" s="238">
        <f t="shared" ca="1" si="58"/>
        <v>-3.0125586221679265E-2</v>
      </c>
      <c r="I1861" s="156"/>
    </row>
    <row r="1862" spans="2:9" x14ac:dyDescent="0.2">
      <c r="B1862" s="230">
        <v>43256</v>
      </c>
      <c r="C1862" s="124">
        <v>267.5</v>
      </c>
      <c r="D1862" s="156">
        <f t="shared" si="59"/>
        <v>-1.0724852071005833E-2</v>
      </c>
      <c r="E1862" s="156">
        <v>3.6877688998155182E-3</v>
      </c>
      <c r="F1862" s="124">
        <v>1856</v>
      </c>
      <c r="G1862" s="238">
        <f t="shared" ca="1" si="58"/>
        <v>-8.3594029384064152E-3</v>
      </c>
      <c r="I1862" s="156"/>
    </row>
    <row r="1863" spans="2:9" x14ac:dyDescent="0.2">
      <c r="B1863" s="230">
        <v>43255</v>
      </c>
      <c r="C1863" s="124">
        <v>268.89999999999998</v>
      </c>
      <c r="D1863" s="156">
        <f t="shared" si="59"/>
        <v>5.2336448598129994E-3</v>
      </c>
      <c r="E1863" s="156">
        <v>3.6775436343470633E-3</v>
      </c>
      <c r="F1863" s="124">
        <v>1857</v>
      </c>
      <c r="G1863" s="238">
        <f t="shared" ref="G1863:G1926" ca="1" si="60">_xlfn.NORM.INV(RAND(),$L$8,$L$9)</f>
        <v>2.5597556011545453E-3</v>
      </c>
      <c r="I1863" s="156"/>
    </row>
    <row r="1864" spans="2:9" x14ac:dyDescent="0.2">
      <c r="B1864" s="230">
        <v>43252</v>
      </c>
      <c r="C1864" s="124">
        <v>269.95</v>
      </c>
      <c r="D1864" s="156">
        <f t="shared" si="59"/>
        <v>3.904797322424736E-3</v>
      </c>
      <c r="E1864" s="156">
        <v>3.6554161082004558E-3</v>
      </c>
      <c r="F1864" s="124">
        <v>1858</v>
      </c>
      <c r="G1864" s="238">
        <f t="shared" ca="1" si="60"/>
        <v>-1.8848684514043236E-2</v>
      </c>
      <c r="I1864" s="156"/>
    </row>
    <row r="1865" spans="2:9" x14ac:dyDescent="0.2">
      <c r="B1865" s="230">
        <v>43251</v>
      </c>
      <c r="C1865" s="124">
        <v>271.64999999999998</v>
      </c>
      <c r="D1865" s="156">
        <f t="shared" si="59"/>
        <v>6.2974624930542279E-3</v>
      </c>
      <c r="E1865" s="156">
        <v>3.6496350364963502E-3</v>
      </c>
      <c r="F1865" s="124">
        <v>1859</v>
      </c>
      <c r="G1865" s="238">
        <f t="shared" ca="1" si="60"/>
        <v>-8.6917240944381986E-4</v>
      </c>
      <c r="I1865" s="156"/>
    </row>
    <row r="1866" spans="2:9" x14ac:dyDescent="0.2">
      <c r="B1866" s="230">
        <v>43250</v>
      </c>
      <c r="C1866" s="124">
        <v>271.89999999999998</v>
      </c>
      <c r="D1866" s="156">
        <f t="shared" si="59"/>
        <v>9.2030185900975525E-4</v>
      </c>
      <c r="E1866" s="156">
        <v>3.6231884057971015E-3</v>
      </c>
      <c r="F1866" s="124">
        <v>1860</v>
      </c>
      <c r="G1866" s="238">
        <f t="shared" ca="1" si="60"/>
        <v>1.062225870280842E-2</v>
      </c>
      <c r="I1866" s="156"/>
    </row>
    <row r="1867" spans="2:9" x14ac:dyDescent="0.2">
      <c r="B1867" s="230">
        <v>43249</v>
      </c>
      <c r="C1867" s="124">
        <v>274.05</v>
      </c>
      <c r="D1867" s="156">
        <f t="shared" si="59"/>
        <v>7.9073188672307247E-3</v>
      </c>
      <c r="E1867" s="156">
        <v>3.621807091116998E-3</v>
      </c>
      <c r="F1867" s="124">
        <v>1861</v>
      </c>
      <c r="G1867" s="238">
        <f t="shared" ca="1" si="60"/>
        <v>2.7203599939239887E-4</v>
      </c>
      <c r="I1867" s="156"/>
    </row>
    <row r="1868" spans="2:9" x14ac:dyDescent="0.2">
      <c r="B1868" s="230">
        <v>43248</v>
      </c>
      <c r="C1868" s="124">
        <v>275.3</v>
      </c>
      <c r="D1868" s="156">
        <f t="shared" si="59"/>
        <v>4.5612114577631814E-3</v>
      </c>
      <c r="E1868" s="156">
        <v>3.6154201874973105E-3</v>
      </c>
      <c r="F1868" s="124">
        <v>1862</v>
      </c>
      <c r="G1868" s="238">
        <f t="shared" ca="1" si="60"/>
        <v>3.4006506956057579E-2</v>
      </c>
      <c r="I1868" s="156"/>
    </row>
    <row r="1869" spans="2:9" x14ac:dyDescent="0.2">
      <c r="B1869" s="230">
        <v>43245</v>
      </c>
      <c r="C1869" s="124">
        <v>272.3</v>
      </c>
      <c r="D1869" s="156">
        <f t="shared" si="59"/>
        <v>-1.0897203051216853E-2</v>
      </c>
      <c r="E1869" s="156">
        <v>3.6129343048111901E-3</v>
      </c>
      <c r="F1869" s="124">
        <v>1863</v>
      </c>
      <c r="G1869" s="238">
        <f t="shared" ca="1" si="60"/>
        <v>3.2084417444674931E-3</v>
      </c>
      <c r="I1869" s="156"/>
    </row>
    <row r="1870" spans="2:9" x14ac:dyDescent="0.2">
      <c r="B1870" s="230">
        <v>43244</v>
      </c>
      <c r="C1870" s="124">
        <v>274.85000000000002</v>
      </c>
      <c r="D1870" s="156">
        <f t="shared" si="59"/>
        <v>9.3646713183988661E-3</v>
      </c>
      <c r="E1870" s="156">
        <v>3.6080516521078184E-3</v>
      </c>
      <c r="F1870" s="124">
        <v>1864</v>
      </c>
      <c r="G1870" s="238">
        <f t="shared" ca="1" si="60"/>
        <v>-2.5737235035001938E-3</v>
      </c>
      <c r="I1870" s="156"/>
    </row>
    <row r="1871" spans="2:9" x14ac:dyDescent="0.2">
      <c r="B1871" s="230">
        <v>43243</v>
      </c>
      <c r="C1871" s="124">
        <v>273.45</v>
      </c>
      <c r="D1871" s="156">
        <f t="shared" si="59"/>
        <v>-5.0936874658906095E-3</v>
      </c>
      <c r="E1871" s="156">
        <v>3.6066362106275548E-3</v>
      </c>
      <c r="F1871" s="124">
        <v>1865</v>
      </c>
      <c r="G1871" s="238">
        <f t="shared" ca="1" si="60"/>
        <v>-1.2458209780445359E-2</v>
      </c>
      <c r="I1871" s="156"/>
    </row>
    <row r="1872" spans="2:9" x14ac:dyDescent="0.2">
      <c r="B1872" s="230">
        <v>43242</v>
      </c>
      <c r="C1872" s="124">
        <v>278.75</v>
      </c>
      <c r="D1872" s="156">
        <f t="shared" si="59"/>
        <v>1.9381971109892163E-2</v>
      </c>
      <c r="E1872" s="156">
        <v>3.6036036036035451E-3</v>
      </c>
      <c r="F1872" s="124">
        <v>1866</v>
      </c>
      <c r="G1872" s="238">
        <f t="shared" ca="1" si="60"/>
        <v>-7.6021199102012556E-3</v>
      </c>
      <c r="I1872" s="156"/>
    </row>
    <row r="1873" spans="2:9" x14ac:dyDescent="0.2">
      <c r="B1873" s="230">
        <v>43241</v>
      </c>
      <c r="C1873" s="124">
        <v>282.35000000000002</v>
      </c>
      <c r="D1873" s="156">
        <f t="shared" si="59"/>
        <v>1.2914798206278109E-2</v>
      </c>
      <c r="E1873" s="156">
        <v>3.5991500802219508E-3</v>
      </c>
      <c r="F1873" s="124">
        <v>1867</v>
      </c>
      <c r="G1873" s="238">
        <f t="shared" ca="1" si="60"/>
        <v>-9.7069721042271871E-3</v>
      </c>
      <c r="I1873" s="156"/>
    </row>
    <row r="1874" spans="2:9" x14ac:dyDescent="0.2">
      <c r="B1874" s="230">
        <v>43238</v>
      </c>
      <c r="C1874" s="124">
        <v>282.3</v>
      </c>
      <c r="D1874" s="156">
        <f t="shared" si="59"/>
        <v>-1.7708517797064411E-4</v>
      </c>
      <c r="E1874" s="156">
        <v>3.595946387708476E-3</v>
      </c>
      <c r="F1874" s="124">
        <v>1868</v>
      </c>
      <c r="G1874" s="238">
        <f t="shared" ca="1" si="60"/>
        <v>8.7057111707478756E-3</v>
      </c>
      <c r="I1874" s="156"/>
    </row>
    <row r="1875" spans="2:9" x14ac:dyDescent="0.2">
      <c r="B1875" s="230">
        <v>43237</v>
      </c>
      <c r="C1875" s="124">
        <v>278.95</v>
      </c>
      <c r="D1875" s="156">
        <f t="shared" si="59"/>
        <v>-1.1866808359900895E-2</v>
      </c>
      <c r="E1875" s="156">
        <v>3.5837223558259977E-3</v>
      </c>
      <c r="F1875" s="124">
        <v>1869</v>
      </c>
      <c r="G1875" s="238">
        <f t="shared" ca="1" si="60"/>
        <v>-2.56037063487429E-3</v>
      </c>
      <c r="I1875" s="156"/>
    </row>
    <row r="1876" spans="2:9" x14ac:dyDescent="0.2">
      <c r="B1876" s="230">
        <v>43236</v>
      </c>
      <c r="C1876" s="124">
        <v>285.85000000000002</v>
      </c>
      <c r="D1876" s="156">
        <f t="shared" si="59"/>
        <v>2.4735615701738788E-2</v>
      </c>
      <c r="E1876" s="156">
        <v>3.5677879714577348E-3</v>
      </c>
      <c r="F1876" s="124">
        <v>1870</v>
      </c>
      <c r="G1876" s="238">
        <f t="shared" ca="1" si="60"/>
        <v>-1.4570576744149613E-2</v>
      </c>
      <c r="I1876" s="156"/>
    </row>
    <row r="1877" spans="2:9" x14ac:dyDescent="0.2">
      <c r="B1877" s="230">
        <v>43235</v>
      </c>
      <c r="C1877" s="124">
        <v>281.85000000000002</v>
      </c>
      <c r="D1877" s="156">
        <f t="shared" si="59"/>
        <v>-1.3993353157250305E-2</v>
      </c>
      <c r="E1877" s="156">
        <v>3.5500061207001804E-3</v>
      </c>
      <c r="F1877" s="124">
        <v>1871</v>
      </c>
      <c r="G1877" s="238">
        <f t="shared" ca="1" si="60"/>
        <v>-3.1800597183431999E-2</v>
      </c>
      <c r="I1877" s="156"/>
    </row>
    <row r="1878" spans="2:9" x14ac:dyDescent="0.2">
      <c r="B1878" s="230">
        <v>43234</v>
      </c>
      <c r="C1878" s="124">
        <v>284.8</v>
      </c>
      <c r="D1878" s="156">
        <f t="shared" si="59"/>
        <v>1.0466560227071096E-2</v>
      </c>
      <c r="E1878" s="156">
        <v>3.5431429762400762E-3</v>
      </c>
      <c r="F1878" s="124">
        <v>1872</v>
      </c>
      <c r="G1878" s="238">
        <f t="shared" ca="1" si="60"/>
        <v>-1.3693478850377729E-2</v>
      </c>
      <c r="I1878" s="156"/>
    </row>
    <row r="1879" spans="2:9" x14ac:dyDescent="0.2">
      <c r="B1879" s="230">
        <v>43231</v>
      </c>
      <c r="C1879" s="124">
        <v>283.64999999999998</v>
      </c>
      <c r="D1879" s="156">
        <f t="shared" si="59"/>
        <v>-4.0379213483147268E-3</v>
      </c>
      <c r="E1879" s="156">
        <v>3.5349567949725003E-3</v>
      </c>
      <c r="F1879" s="124">
        <v>1873</v>
      </c>
      <c r="G1879" s="238">
        <f t="shared" ca="1" si="60"/>
        <v>5.3154075615116595E-3</v>
      </c>
      <c r="I1879" s="156"/>
    </row>
    <row r="1880" spans="2:9" x14ac:dyDescent="0.2">
      <c r="B1880" s="230">
        <v>43230</v>
      </c>
      <c r="C1880" s="124">
        <v>280.14999999999998</v>
      </c>
      <c r="D1880" s="156">
        <f t="shared" si="59"/>
        <v>-1.2339150361360834E-2</v>
      </c>
      <c r="E1880" s="156">
        <v>3.5211267605634025E-3</v>
      </c>
      <c r="F1880" s="124">
        <v>1874</v>
      </c>
      <c r="G1880" s="238">
        <f t="shared" ca="1" si="60"/>
        <v>1.7799426355376163E-2</v>
      </c>
      <c r="I1880" s="156"/>
    </row>
    <row r="1881" spans="2:9" x14ac:dyDescent="0.2">
      <c r="B1881" s="230">
        <v>43229</v>
      </c>
      <c r="C1881" s="124">
        <v>282.3</v>
      </c>
      <c r="D1881" s="156">
        <f t="shared" si="59"/>
        <v>7.6744601106551284E-3</v>
      </c>
      <c r="E1881" s="156">
        <v>3.5211267605633196E-3</v>
      </c>
      <c r="F1881" s="124">
        <v>1875</v>
      </c>
      <c r="G1881" s="238">
        <f t="shared" ca="1" si="60"/>
        <v>3.8727017190569755E-3</v>
      </c>
      <c r="I1881" s="156"/>
    </row>
    <row r="1882" spans="2:9" x14ac:dyDescent="0.2">
      <c r="B1882" s="230">
        <v>43228</v>
      </c>
      <c r="C1882" s="124">
        <v>282.7</v>
      </c>
      <c r="D1882" s="156">
        <f t="shared" si="59"/>
        <v>1.4169323414806136E-3</v>
      </c>
      <c r="E1882" s="156">
        <v>3.5139424166854556E-3</v>
      </c>
      <c r="F1882" s="124">
        <v>1876</v>
      </c>
      <c r="G1882" s="238">
        <f t="shared" ca="1" si="60"/>
        <v>4.7563507411306653E-2</v>
      </c>
      <c r="I1882" s="156"/>
    </row>
    <row r="1883" spans="2:9" x14ac:dyDescent="0.2">
      <c r="B1883" s="230">
        <v>43227</v>
      </c>
      <c r="C1883" s="124">
        <v>282.25</v>
      </c>
      <c r="D1883" s="156">
        <f t="shared" si="59"/>
        <v>-1.5917934205871547E-3</v>
      </c>
      <c r="E1883" s="156">
        <v>3.5081240768095427E-3</v>
      </c>
      <c r="F1883" s="124">
        <v>1877</v>
      </c>
      <c r="G1883" s="238">
        <f t="shared" ca="1" si="60"/>
        <v>4.0114287171984161E-3</v>
      </c>
      <c r="I1883" s="156"/>
    </row>
    <row r="1884" spans="2:9" x14ac:dyDescent="0.2">
      <c r="B1884" s="230">
        <v>43224</v>
      </c>
      <c r="C1884" s="124">
        <v>277.14999999999998</v>
      </c>
      <c r="D1884" s="156">
        <f t="shared" si="59"/>
        <v>-1.8069087688219743E-2</v>
      </c>
      <c r="E1884" s="156">
        <v>3.5066006600659831E-3</v>
      </c>
      <c r="F1884" s="124">
        <v>1878</v>
      </c>
      <c r="G1884" s="238">
        <f t="shared" ca="1" si="60"/>
        <v>2.8074340055794142E-3</v>
      </c>
      <c r="I1884" s="156"/>
    </row>
    <row r="1885" spans="2:9" x14ac:dyDescent="0.2">
      <c r="B1885" s="230">
        <v>43223</v>
      </c>
      <c r="C1885" s="124">
        <v>285</v>
      </c>
      <c r="D1885" s="156">
        <f t="shared" si="59"/>
        <v>2.8324012267725143E-2</v>
      </c>
      <c r="E1885" s="156">
        <v>3.4856102902618693E-3</v>
      </c>
      <c r="F1885" s="124">
        <v>1879</v>
      </c>
      <c r="G1885" s="238">
        <f t="shared" ca="1" si="60"/>
        <v>5.2739170764233264E-5</v>
      </c>
      <c r="I1885" s="156"/>
    </row>
    <row r="1886" spans="2:9" x14ac:dyDescent="0.2">
      <c r="B1886" s="230">
        <v>43222</v>
      </c>
      <c r="C1886" s="124">
        <v>287.25</v>
      </c>
      <c r="D1886" s="156">
        <f t="shared" si="59"/>
        <v>7.8947368421052634E-3</v>
      </c>
      <c r="E1886" s="156">
        <v>3.4846240961755506E-3</v>
      </c>
      <c r="F1886" s="124">
        <v>1880</v>
      </c>
      <c r="G1886" s="238">
        <f t="shared" ca="1" si="60"/>
        <v>-2.4639639986849095E-3</v>
      </c>
      <c r="I1886" s="156"/>
    </row>
    <row r="1887" spans="2:9" x14ac:dyDescent="0.2">
      <c r="B1887" s="230">
        <v>43220</v>
      </c>
      <c r="C1887" s="124">
        <v>281.45</v>
      </c>
      <c r="D1887" s="156">
        <f t="shared" si="59"/>
        <v>-2.0191470844212397E-2</v>
      </c>
      <c r="E1887" s="156">
        <v>3.4838413935365155E-3</v>
      </c>
      <c r="F1887" s="124">
        <v>1881</v>
      </c>
      <c r="G1887" s="238">
        <f t="shared" ca="1" si="60"/>
        <v>4.1252793620075419E-3</v>
      </c>
      <c r="I1887" s="156"/>
    </row>
    <row r="1888" spans="2:9" x14ac:dyDescent="0.2">
      <c r="B1888" s="230">
        <v>43217</v>
      </c>
      <c r="C1888" s="124">
        <v>279.39999999999998</v>
      </c>
      <c r="D1888" s="156">
        <f t="shared" si="59"/>
        <v>-7.2837093622313432E-3</v>
      </c>
      <c r="E1888" s="156">
        <v>3.4762456546930639E-3</v>
      </c>
      <c r="F1888" s="124">
        <v>1882</v>
      </c>
      <c r="G1888" s="238">
        <f t="shared" ca="1" si="60"/>
        <v>4.550055952784327E-3</v>
      </c>
      <c r="I1888" s="156"/>
    </row>
    <row r="1889" spans="2:9" x14ac:dyDescent="0.2">
      <c r="B1889" s="230">
        <v>43216</v>
      </c>
      <c r="C1889" s="124">
        <v>278.25</v>
      </c>
      <c r="D1889" s="156">
        <f t="shared" si="59"/>
        <v>-4.1159627773800188E-3</v>
      </c>
      <c r="E1889" s="156">
        <v>3.4722222222222363E-3</v>
      </c>
      <c r="F1889" s="124">
        <v>1883</v>
      </c>
      <c r="G1889" s="238">
        <f t="shared" ca="1" si="60"/>
        <v>-2.3227992501629519E-2</v>
      </c>
      <c r="I1889" s="156"/>
    </row>
    <row r="1890" spans="2:9" x14ac:dyDescent="0.2">
      <c r="B1890" s="230">
        <v>43215</v>
      </c>
      <c r="C1890" s="124">
        <v>274.10000000000002</v>
      </c>
      <c r="D1890" s="156">
        <f t="shared" si="59"/>
        <v>-1.4914645103324266E-2</v>
      </c>
      <c r="E1890" s="156">
        <v>3.472222222222222E-3</v>
      </c>
      <c r="F1890" s="124">
        <v>1884</v>
      </c>
      <c r="G1890" s="238">
        <f t="shared" ca="1" si="60"/>
        <v>2.3682330686719214E-2</v>
      </c>
      <c r="I1890" s="156"/>
    </row>
    <row r="1891" spans="2:9" x14ac:dyDescent="0.2">
      <c r="B1891" s="230">
        <v>43214</v>
      </c>
      <c r="C1891" s="124">
        <v>276</v>
      </c>
      <c r="D1891" s="156">
        <f t="shared" si="59"/>
        <v>6.9317767238233387E-3</v>
      </c>
      <c r="E1891" s="156">
        <v>3.4700519430134638E-3</v>
      </c>
      <c r="F1891" s="124">
        <v>1885</v>
      </c>
      <c r="G1891" s="238">
        <f t="shared" ca="1" si="60"/>
        <v>-2.679959383842519E-2</v>
      </c>
      <c r="I1891" s="156"/>
    </row>
    <row r="1892" spans="2:9" x14ac:dyDescent="0.2">
      <c r="B1892" s="230">
        <v>43213</v>
      </c>
      <c r="C1892" s="124">
        <v>275.5</v>
      </c>
      <c r="D1892" s="156">
        <f t="shared" si="59"/>
        <v>-1.8115942028985507E-3</v>
      </c>
      <c r="E1892" s="156">
        <v>3.4670910537684075E-3</v>
      </c>
      <c r="F1892" s="124">
        <v>1886</v>
      </c>
      <c r="G1892" s="238">
        <f t="shared" ca="1" si="60"/>
        <v>-3.2219827249939631E-2</v>
      </c>
      <c r="I1892" s="156"/>
    </row>
    <row r="1893" spans="2:9" x14ac:dyDescent="0.2">
      <c r="B1893" s="230">
        <v>43210</v>
      </c>
      <c r="C1893" s="124">
        <v>276.2</v>
      </c>
      <c r="D1893" s="156">
        <f t="shared" si="59"/>
        <v>2.540834845734986E-3</v>
      </c>
      <c r="E1893" s="156">
        <v>3.4668053388802714E-3</v>
      </c>
      <c r="F1893" s="124">
        <v>1887</v>
      </c>
      <c r="G1893" s="238">
        <f t="shared" ca="1" si="60"/>
        <v>-3.4803569427199923E-3</v>
      </c>
      <c r="I1893" s="156"/>
    </row>
    <row r="1894" spans="2:9" x14ac:dyDescent="0.2">
      <c r="B1894" s="230">
        <v>43209</v>
      </c>
      <c r="C1894" s="124">
        <v>277.35000000000002</v>
      </c>
      <c r="D1894" s="156">
        <f t="shared" si="59"/>
        <v>4.163649529326699E-3</v>
      </c>
      <c r="E1894" s="156">
        <v>3.462686567164152E-3</v>
      </c>
      <c r="F1894" s="124">
        <v>1888</v>
      </c>
      <c r="G1894" s="238">
        <f t="shared" ca="1" si="60"/>
        <v>8.1577209561797433E-3</v>
      </c>
      <c r="I1894" s="156"/>
    </row>
    <row r="1895" spans="2:9" x14ac:dyDescent="0.2">
      <c r="B1895" s="230">
        <v>43208</v>
      </c>
      <c r="C1895" s="124">
        <v>275.35000000000002</v>
      </c>
      <c r="D1895" s="156">
        <f t="shared" si="59"/>
        <v>-7.2111051018568587E-3</v>
      </c>
      <c r="E1895" s="156">
        <v>3.4611099257995789E-3</v>
      </c>
      <c r="F1895" s="124">
        <v>1889</v>
      </c>
      <c r="G1895" s="238">
        <f t="shared" ca="1" si="60"/>
        <v>1.679023752212689E-2</v>
      </c>
      <c r="I1895" s="156"/>
    </row>
    <row r="1896" spans="2:9" x14ac:dyDescent="0.2">
      <c r="B1896" s="230">
        <v>43207</v>
      </c>
      <c r="C1896" s="124">
        <v>267.60000000000002</v>
      </c>
      <c r="D1896" s="156">
        <f t="shared" si="59"/>
        <v>-2.8145996005084436E-2</v>
      </c>
      <c r="E1896" s="156">
        <v>3.457643862682228E-3</v>
      </c>
      <c r="F1896" s="124">
        <v>1890</v>
      </c>
      <c r="G1896" s="238">
        <f t="shared" ca="1" si="60"/>
        <v>7.044569971322251E-4</v>
      </c>
      <c r="I1896" s="156"/>
    </row>
    <row r="1897" spans="2:9" x14ac:dyDescent="0.2">
      <c r="B1897" s="230">
        <v>43206</v>
      </c>
      <c r="C1897" s="124">
        <v>264.45</v>
      </c>
      <c r="D1897" s="156">
        <f t="shared" si="59"/>
        <v>-1.1771300448430619E-2</v>
      </c>
      <c r="E1897" s="156">
        <v>3.4531877239176909E-3</v>
      </c>
      <c r="F1897" s="124">
        <v>1891</v>
      </c>
      <c r="G1897" s="238">
        <f t="shared" ca="1" si="60"/>
        <v>6.8040573567990682E-3</v>
      </c>
      <c r="I1897" s="156"/>
    </row>
    <row r="1898" spans="2:9" x14ac:dyDescent="0.2">
      <c r="B1898" s="230">
        <v>43203</v>
      </c>
      <c r="C1898" s="124">
        <v>260.75</v>
      </c>
      <c r="D1898" s="156">
        <f t="shared" si="59"/>
        <v>-1.3991302703724669E-2</v>
      </c>
      <c r="E1898" s="156">
        <v>3.4513144367747787E-3</v>
      </c>
      <c r="F1898" s="124">
        <v>1892</v>
      </c>
      <c r="G1898" s="238">
        <f t="shared" ca="1" si="60"/>
        <v>-4.6663330947604831E-2</v>
      </c>
      <c r="I1898" s="156"/>
    </row>
    <row r="1899" spans="2:9" x14ac:dyDescent="0.2">
      <c r="B1899" s="230">
        <v>43202</v>
      </c>
      <c r="C1899" s="124">
        <v>261.95</v>
      </c>
      <c r="D1899" s="156">
        <f t="shared" si="59"/>
        <v>4.6021093000958337E-3</v>
      </c>
      <c r="E1899" s="156">
        <v>3.4440344403443477E-3</v>
      </c>
      <c r="F1899" s="124">
        <v>1893</v>
      </c>
      <c r="G1899" s="238">
        <f t="shared" ca="1" si="60"/>
        <v>1.2967339659809313E-2</v>
      </c>
      <c r="I1899" s="156"/>
    </row>
    <row r="1900" spans="2:9" x14ac:dyDescent="0.2">
      <c r="B1900" s="230">
        <v>43201</v>
      </c>
      <c r="C1900" s="124">
        <v>265.14999999999998</v>
      </c>
      <c r="D1900" s="156">
        <f t="shared" si="59"/>
        <v>1.2216071769421603E-2</v>
      </c>
      <c r="E1900" s="156">
        <v>3.4355828220858338E-3</v>
      </c>
      <c r="F1900" s="124">
        <v>1894</v>
      </c>
      <c r="G1900" s="238">
        <f t="shared" ca="1" si="60"/>
        <v>-9.7730335104512251E-3</v>
      </c>
      <c r="I1900" s="156"/>
    </row>
    <row r="1901" spans="2:9" x14ac:dyDescent="0.2">
      <c r="B1901" s="230">
        <v>43200</v>
      </c>
      <c r="C1901" s="124">
        <v>266.7</v>
      </c>
      <c r="D1901" s="156">
        <f t="shared" si="59"/>
        <v>5.8457476899868429E-3</v>
      </c>
      <c r="E1901" s="156">
        <v>3.4352622411456335E-3</v>
      </c>
      <c r="F1901" s="124">
        <v>1895</v>
      </c>
      <c r="G1901" s="238">
        <f t="shared" ca="1" si="60"/>
        <v>1.0756143219641954E-3</v>
      </c>
      <c r="I1901" s="156"/>
    </row>
    <row r="1902" spans="2:9" x14ac:dyDescent="0.2">
      <c r="B1902" s="230">
        <v>43199</v>
      </c>
      <c r="C1902" s="124">
        <v>265.8</v>
      </c>
      <c r="D1902" s="156">
        <f t="shared" si="59"/>
        <v>-3.3745781777276989E-3</v>
      </c>
      <c r="E1902" s="156">
        <v>3.4163987138263437E-3</v>
      </c>
      <c r="F1902" s="124">
        <v>1896</v>
      </c>
      <c r="G1902" s="238">
        <f t="shared" ca="1" si="60"/>
        <v>-2.9244809356761315E-2</v>
      </c>
      <c r="I1902" s="156"/>
    </row>
    <row r="1903" spans="2:9" x14ac:dyDescent="0.2">
      <c r="B1903" s="230">
        <v>43196</v>
      </c>
      <c r="C1903" s="124">
        <v>260.85000000000002</v>
      </c>
      <c r="D1903" s="156">
        <f t="shared" si="59"/>
        <v>-1.862302483069973E-2</v>
      </c>
      <c r="E1903" s="156">
        <v>3.4083162917518746E-3</v>
      </c>
      <c r="F1903" s="124">
        <v>1897</v>
      </c>
      <c r="G1903" s="238">
        <f t="shared" ca="1" si="60"/>
        <v>-3.8731155955788285E-2</v>
      </c>
      <c r="I1903" s="156"/>
    </row>
    <row r="1904" spans="2:9" x14ac:dyDescent="0.2">
      <c r="B1904" s="230">
        <v>43195</v>
      </c>
      <c r="C1904" s="124">
        <v>259.64999999999998</v>
      </c>
      <c r="D1904" s="156">
        <f t="shared" si="59"/>
        <v>-4.6003450258771143E-3</v>
      </c>
      <c r="E1904" s="156">
        <v>3.4080482369903118E-3</v>
      </c>
      <c r="F1904" s="124">
        <v>1898</v>
      </c>
      <c r="G1904" s="238">
        <f t="shared" ca="1" si="60"/>
        <v>2.3138550081923336E-3</v>
      </c>
      <c r="I1904" s="156"/>
    </row>
    <row r="1905" spans="2:9" x14ac:dyDescent="0.2">
      <c r="B1905" s="230">
        <v>43194</v>
      </c>
      <c r="C1905" s="124">
        <v>258.60000000000002</v>
      </c>
      <c r="D1905" s="156">
        <f t="shared" si="59"/>
        <v>-4.043905257076659E-3</v>
      </c>
      <c r="E1905" s="156">
        <v>3.4043743879120913E-3</v>
      </c>
      <c r="F1905" s="124">
        <v>1899</v>
      </c>
      <c r="G1905" s="238">
        <f t="shared" ca="1" si="60"/>
        <v>-1.0894175720451461E-3</v>
      </c>
      <c r="I1905" s="156"/>
    </row>
    <row r="1906" spans="2:9" x14ac:dyDescent="0.2">
      <c r="B1906" s="230">
        <v>43193</v>
      </c>
      <c r="C1906" s="124">
        <v>258.5</v>
      </c>
      <c r="D1906" s="156">
        <f t="shared" si="59"/>
        <v>-3.8669760247495255E-4</v>
      </c>
      <c r="E1906" s="156">
        <v>3.3991926917357612E-3</v>
      </c>
      <c r="F1906" s="124">
        <v>1900</v>
      </c>
      <c r="G1906" s="238">
        <f t="shared" ca="1" si="60"/>
        <v>2.0744342457304204E-2</v>
      </c>
      <c r="I1906" s="156"/>
    </row>
    <row r="1907" spans="2:9" x14ac:dyDescent="0.2">
      <c r="B1907" s="230">
        <v>43192</v>
      </c>
      <c r="C1907" s="124">
        <v>258.25</v>
      </c>
      <c r="D1907" s="156">
        <f t="shared" si="59"/>
        <v>-9.6711798839458415E-4</v>
      </c>
      <c r="E1907" s="156">
        <v>3.3896731054977236E-3</v>
      </c>
      <c r="F1907" s="124">
        <v>1901</v>
      </c>
      <c r="G1907" s="238">
        <f t="shared" ca="1" si="60"/>
        <v>-1.7864685375390047E-2</v>
      </c>
      <c r="I1907" s="156"/>
    </row>
    <row r="1908" spans="2:9" x14ac:dyDescent="0.2">
      <c r="B1908" s="230">
        <v>43187</v>
      </c>
      <c r="C1908" s="124">
        <v>255.5</v>
      </c>
      <c r="D1908" s="156">
        <f t="shared" si="59"/>
        <v>-1.0648596321393998E-2</v>
      </c>
      <c r="E1908" s="156">
        <v>3.3869602032176606E-3</v>
      </c>
      <c r="F1908" s="124">
        <v>1902</v>
      </c>
      <c r="G1908" s="238">
        <f t="shared" ca="1" si="60"/>
        <v>-9.2021874944734905E-3</v>
      </c>
      <c r="I1908" s="156"/>
    </row>
    <row r="1909" spans="2:9" x14ac:dyDescent="0.2">
      <c r="B1909" s="230">
        <v>43186</v>
      </c>
      <c r="C1909" s="124">
        <v>258.89999999999998</v>
      </c>
      <c r="D1909" s="156">
        <f t="shared" si="59"/>
        <v>1.330724070450089E-2</v>
      </c>
      <c r="E1909" s="156">
        <v>3.3799008562415502E-3</v>
      </c>
      <c r="F1909" s="124">
        <v>1903</v>
      </c>
      <c r="G1909" s="238">
        <f t="shared" ca="1" si="60"/>
        <v>6.7025783120037629E-3</v>
      </c>
      <c r="I1909" s="156"/>
    </row>
    <row r="1910" spans="2:9" x14ac:dyDescent="0.2">
      <c r="B1910" s="230">
        <v>43185</v>
      </c>
      <c r="C1910" s="124">
        <v>258.10000000000002</v>
      </c>
      <c r="D1910" s="156">
        <f t="shared" si="59"/>
        <v>-3.0899961375046529E-3</v>
      </c>
      <c r="E1910" s="156">
        <v>3.3730260131855936E-3</v>
      </c>
      <c r="F1910" s="124">
        <v>1904</v>
      </c>
      <c r="G1910" s="238">
        <f t="shared" ca="1" si="60"/>
        <v>2.8660086064263178E-3</v>
      </c>
      <c r="I1910" s="156"/>
    </row>
    <row r="1911" spans="2:9" x14ac:dyDescent="0.2">
      <c r="B1911" s="230">
        <v>43182</v>
      </c>
      <c r="C1911" s="124">
        <v>256</v>
      </c>
      <c r="D1911" s="156">
        <f t="shared" si="59"/>
        <v>-8.136381247578546E-3</v>
      </c>
      <c r="E1911" s="156">
        <v>3.3690658499233505E-3</v>
      </c>
      <c r="F1911" s="124">
        <v>1905</v>
      </c>
      <c r="G1911" s="238">
        <f t="shared" ca="1" si="60"/>
        <v>-1.9225537424549095E-2</v>
      </c>
      <c r="I1911" s="156"/>
    </row>
    <row r="1912" spans="2:9" x14ac:dyDescent="0.2">
      <c r="B1912" s="230">
        <v>43181</v>
      </c>
      <c r="C1912" s="124">
        <v>258.3</v>
      </c>
      <c r="D1912" s="156">
        <f t="shared" si="59"/>
        <v>8.9843750000000444E-3</v>
      </c>
      <c r="E1912" s="156">
        <v>3.3641057737443815E-3</v>
      </c>
      <c r="F1912" s="124">
        <v>1906</v>
      </c>
      <c r="G1912" s="238">
        <f t="shared" ca="1" si="60"/>
        <v>-1.6169769586038229E-2</v>
      </c>
      <c r="I1912" s="156"/>
    </row>
    <row r="1913" spans="2:9" x14ac:dyDescent="0.2">
      <c r="B1913" s="230">
        <v>43180</v>
      </c>
      <c r="C1913" s="124">
        <v>259.05</v>
      </c>
      <c r="D1913" s="156">
        <f t="shared" si="59"/>
        <v>2.9036004645760743E-3</v>
      </c>
      <c r="E1913" s="156">
        <v>3.3626714231409609E-3</v>
      </c>
      <c r="F1913" s="124">
        <v>1907</v>
      </c>
      <c r="G1913" s="238">
        <f t="shared" ca="1" si="60"/>
        <v>7.6468926824358697E-3</v>
      </c>
      <c r="I1913" s="156"/>
    </row>
    <row r="1914" spans="2:9" x14ac:dyDescent="0.2">
      <c r="B1914" s="230">
        <v>43179</v>
      </c>
      <c r="C1914" s="124">
        <v>259.2</v>
      </c>
      <c r="D1914" s="156">
        <f t="shared" si="59"/>
        <v>5.790387955992174E-4</v>
      </c>
      <c r="E1914" s="156">
        <v>3.360648190774283E-3</v>
      </c>
      <c r="F1914" s="124">
        <v>1908</v>
      </c>
      <c r="G1914" s="238">
        <f t="shared" ca="1" si="60"/>
        <v>-3.1568562875695219E-2</v>
      </c>
      <c r="I1914" s="156"/>
    </row>
    <row r="1915" spans="2:9" x14ac:dyDescent="0.2">
      <c r="B1915" s="230">
        <v>43178</v>
      </c>
      <c r="C1915" s="124">
        <v>259.14999999999998</v>
      </c>
      <c r="D1915" s="156">
        <f t="shared" si="59"/>
        <v>-1.9290123456794511E-4</v>
      </c>
      <c r="E1915" s="156">
        <v>3.347280334728081E-3</v>
      </c>
      <c r="F1915" s="124">
        <v>1909</v>
      </c>
      <c r="G1915" s="238">
        <f t="shared" ca="1" si="60"/>
        <v>1.2005963640097605E-2</v>
      </c>
      <c r="I1915" s="156"/>
    </row>
    <row r="1916" spans="2:9" x14ac:dyDescent="0.2">
      <c r="B1916" s="230">
        <v>43175</v>
      </c>
      <c r="C1916" s="124">
        <v>260.5</v>
      </c>
      <c r="D1916" s="156">
        <f t="shared" si="59"/>
        <v>5.209338221107555E-3</v>
      </c>
      <c r="E1916" s="156">
        <v>3.3462603878116142E-3</v>
      </c>
      <c r="F1916" s="124">
        <v>1910</v>
      </c>
      <c r="G1916" s="238">
        <f t="shared" ca="1" si="60"/>
        <v>-2.4252691714675003E-2</v>
      </c>
      <c r="I1916" s="156"/>
    </row>
    <row r="1917" spans="2:9" x14ac:dyDescent="0.2">
      <c r="B1917" s="230">
        <v>43174</v>
      </c>
      <c r="C1917" s="124">
        <v>265.55</v>
      </c>
      <c r="D1917" s="156">
        <f t="shared" si="59"/>
        <v>1.938579654510561E-2</v>
      </c>
      <c r="E1917" s="156">
        <v>3.3416875522137967E-3</v>
      </c>
      <c r="F1917" s="124">
        <v>1911</v>
      </c>
      <c r="G1917" s="238">
        <f t="shared" ca="1" si="60"/>
        <v>-1.0151432198457983E-2</v>
      </c>
      <c r="I1917" s="156"/>
    </row>
    <row r="1918" spans="2:9" x14ac:dyDescent="0.2">
      <c r="B1918" s="230">
        <v>43173</v>
      </c>
      <c r="C1918" s="124">
        <v>268.05</v>
      </c>
      <c r="D1918" s="156">
        <f t="shared" ref="D1918:D1981" si="61">(C1918-C1917)/C1917</f>
        <v>9.4144228958764828E-3</v>
      </c>
      <c r="E1918" s="156">
        <v>3.3401134782143288E-3</v>
      </c>
      <c r="F1918" s="124">
        <v>1912</v>
      </c>
      <c r="G1918" s="238">
        <f t="shared" ca="1" si="60"/>
        <v>-1.1651889866900886E-2</v>
      </c>
      <c r="I1918" s="156"/>
    </row>
    <row r="1919" spans="2:9" x14ac:dyDescent="0.2">
      <c r="B1919" s="230">
        <v>43172</v>
      </c>
      <c r="C1919" s="124">
        <v>269.45</v>
      </c>
      <c r="D1919" s="156">
        <f t="shared" si="61"/>
        <v>5.2229061742211421E-3</v>
      </c>
      <c r="E1919" s="156">
        <v>3.3340279224838986E-3</v>
      </c>
      <c r="F1919" s="124">
        <v>1913</v>
      </c>
      <c r="G1919" s="238">
        <f t="shared" ca="1" si="60"/>
        <v>3.6742910114641689E-2</v>
      </c>
      <c r="I1919" s="156"/>
    </row>
    <row r="1920" spans="2:9" x14ac:dyDescent="0.2">
      <c r="B1920" s="230">
        <v>43171</v>
      </c>
      <c r="C1920" s="124">
        <v>270.10000000000002</v>
      </c>
      <c r="D1920" s="156">
        <f t="shared" si="61"/>
        <v>2.4123213954352725E-3</v>
      </c>
      <c r="E1920" s="156">
        <v>3.3322549336783328E-3</v>
      </c>
      <c r="F1920" s="124">
        <v>1914</v>
      </c>
      <c r="G1920" s="238">
        <f t="shared" ca="1" si="60"/>
        <v>2.9609678673594916E-2</v>
      </c>
      <c r="I1920" s="156"/>
    </row>
    <row r="1921" spans="2:9" x14ac:dyDescent="0.2">
      <c r="B1921" s="230">
        <v>43168</v>
      </c>
      <c r="C1921" s="124">
        <v>259.25</v>
      </c>
      <c r="D1921" s="156">
        <f t="shared" si="61"/>
        <v>-4.0170307293595046E-2</v>
      </c>
      <c r="E1921" s="156">
        <v>3.3307210031348856E-3</v>
      </c>
      <c r="F1921" s="124">
        <v>1915</v>
      </c>
      <c r="G1921" s="238">
        <f t="shared" ca="1" si="60"/>
        <v>6.14215932624317E-3</v>
      </c>
      <c r="I1921" s="156"/>
    </row>
    <row r="1922" spans="2:9" x14ac:dyDescent="0.2">
      <c r="B1922" s="230">
        <v>43167</v>
      </c>
      <c r="C1922" s="124">
        <v>258.85000000000002</v>
      </c>
      <c r="D1922" s="156">
        <f t="shared" si="61"/>
        <v>-1.5429122468658717E-3</v>
      </c>
      <c r="E1922" s="156">
        <v>3.3294730746960622E-3</v>
      </c>
      <c r="F1922" s="124">
        <v>1916</v>
      </c>
      <c r="G1922" s="238">
        <f t="shared" ca="1" si="60"/>
        <v>-1.8076224106397136E-2</v>
      </c>
      <c r="I1922" s="156"/>
    </row>
    <row r="1923" spans="2:9" x14ac:dyDescent="0.2">
      <c r="B1923" s="230">
        <v>43166</v>
      </c>
      <c r="C1923" s="124">
        <v>259.89999999999998</v>
      </c>
      <c r="D1923" s="156">
        <f t="shared" si="61"/>
        <v>4.056403322387307E-3</v>
      </c>
      <c r="E1923" s="156">
        <v>3.3271543324303299E-3</v>
      </c>
      <c r="F1923" s="124">
        <v>1917</v>
      </c>
      <c r="G1923" s="238">
        <f t="shared" ca="1" si="60"/>
        <v>-1.5957128912977511E-2</v>
      </c>
      <c r="I1923" s="156"/>
    </row>
    <row r="1924" spans="2:9" x14ac:dyDescent="0.2">
      <c r="B1924" s="230">
        <v>43165</v>
      </c>
      <c r="C1924" s="124">
        <v>256.5</v>
      </c>
      <c r="D1924" s="156">
        <f t="shared" si="61"/>
        <v>-1.3081954597922191E-2</v>
      </c>
      <c r="E1924" s="156">
        <v>3.3242312715184748E-3</v>
      </c>
      <c r="F1924" s="124">
        <v>1918</v>
      </c>
      <c r="G1924" s="238">
        <f t="shared" ca="1" si="60"/>
        <v>-6.1934087813063496E-3</v>
      </c>
      <c r="I1924" s="156"/>
    </row>
    <row r="1925" spans="2:9" x14ac:dyDescent="0.2">
      <c r="B1925" s="230">
        <v>43164</v>
      </c>
      <c r="C1925" s="124">
        <v>260.25</v>
      </c>
      <c r="D1925" s="156">
        <f t="shared" si="61"/>
        <v>1.4619883040935672E-2</v>
      </c>
      <c r="E1925" s="156">
        <v>3.3214595167035607E-3</v>
      </c>
      <c r="F1925" s="124">
        <v>1919</v>
      </c>
      <c r="G1925" s="238">
        <f t="shared" ca="1" si="60"/>
        <v>-2.2284386454306189E-4</v>
      </c>
      <c r="I1925" s="156"/>
    </row>
    <row r="1926" spans="2:9" x14ac:dyDescent="0.2">
      <c r="B1926" s="230">
        <v>43160</v>
      </c>
      <c r="C1926" s="124">
        <v>264</v>
      </c>
      <c r="D1926" s="156">
        <f t="shared" si="61"/>
        <v>1.4409221902017291E-2</v>
      </c>
      <c r="E1926" s="156">
        <v>3.3191085822664229E-3</v>
      </c>
      <c r="F1926" s="124">
        <v>1920</v>
      </c>
      <c r="G1926" s="238">
        <f t="shared" ca="1" si="60"/>
        <v>1.8020829349025869E-2</v>
      </c>
      <c r="I1926" s="156"/>
    </row>
    <row r="1927" spans="2:9" x14ac:dyDescent="0.2">
      <c r="B1927" s="230">
        <v>43159</v>
      </c>
      <c r="C1927" s="124">
        <v>265.05</v>
      </c>
      <c r="D1927" s="156">
        <f t="shared" si="61"/>
        <v>3.9772727272727702E-3</v>
      </c>
      <c r="E1927" s="156">
        <v>3.3061494379545116E-3</v>
      </c>
      <c r="F1927" s="124">
        <v>1921</v>
      </c>
      <c r="G1927" s="238">
        <f t="shared" ref="G1927:G1990" ca="1" si="62">_xlfn.NORM.INV(RAND(),$L$8,$L$9)</f>
        <v>-5.8485519644276712E-4</v>
      </c>
      <c r="I1927" s="156"/>
    </row>
    <row r="1928" spans="2:9" x14ac:dyDescent="0.2">
      <c r="B1928" s="230">
        <v>43158</v>
      </c>
      <c r="C1928" s="124">
        <v>266.39999999999998</v>
      </c>
      <c r="D1928" s="156">
        <f t="shared" si="61"/>
        <v>5.0933786078097183E-3</v>
      </c>
      <c r="E1928" s="156">
        <v>3.3030383849988994E-3</v>
      </c>
      <c r="F1928" s="124">
        <v>1922</v>
      </c>
      <c r="G1928" s="238">
        <f t="shared" ca="1" si="62"/>
        <v>3.6668761682738952E-3</v>
      </c>
      <c r="I1928" s="156"/>
    </row>
    <row r="1929" spans="2:9" x14ac:dyDescent="0.2">
      <c r="B1929" s="230">
        <v>43157</v>
      </c>
      <c r="C1929" s="124">
        <v>266.55</v>
      </c>
      <c r="D1929" s="156">
        <f t="shared" si="61"/>
        <v>5.630630630631911E-4</v>
      </c>
      <c r="E1929" s="156">
        <v>3.3018330866447258E-3</v>
      </c>
      <c r="F1929" s="124">
        <v>1923</v>
      </c>
      <c r="G1929" s="238">
        <f t="shared" ca="1" si="62"/>
        <v>2.0214665232906551E-2</v>
      </c>
      <c r="I1929" s="156"/>
    </row>
    <row r="1930" spans="2:9" x14ac:dyDescent="0.2">
      <c r="B1930" s="230">
        <v>43154</v>
      </c>
      <c r="C1930" s="124">
        <v>269.05</v>
      </c>
      <c r="D1930" s="156">
        <f t="shared" si="61"/>
        <v>9.3791033577190017E-3</v>
      </c>
      <c r="E1930" s="156">
        <v>3.2928942807625254E-3</v>
      </c>
      <c r="F1930" s="124">
        <v>1924</v>
      </c>
      <c r="G1930" s="238">
        <f t="shared" ca="1" si="62"/>
        <v>1.6829274047336592E-3</v>
      </c>
      <c r="I1930" s="156"/>
    </row>
    <row r="1931" spans="2:9" x14ac:dyDescent="0.2">
      <c r="B1931" s="230">
        <v>43153</v>
      </c>
      <c r="C1931" s="124">
        <v>267.10000000000002</v>
      </c>
      <c r="D1931" s="156">
        <f t="shared" si="61"/>
        <v>-7.2477234714736615E-3</v>
      </c>
      <c r="E1931" s="156">
        <v>3.2888726475426063E-3</v>
      </c>
      <c r="F1931" s="124">
        <v>1925</v>
      </c>
      <c r="G1931" s="238">
        <f t="shared" ca="1" si="62"/>
        <v>1.1644800740696988E-2</v>
      </c>
      <c r="I1931" s="156"/>
    </row>
    <row r="1932" spans="2:9" x14ac:dyDescent="0.2">
      <c r="B1932" s="230">
        <v>43152</v>
      </c>
      <c r="C1932" s="124">
        <v>268.2</v>
      </c>
      <c r="D1932" s="156">
        <f t="shared" si="61"/>
        <v>4.1183077499062741E-3</v>
      </c>
      <c r="E1932" s="156">
        <v>3.2882718304712952E-3</v>
      </c>
      <c r="F1932" s="124">
        <v>1926</v>
      </c>
      <c r="G1932" s="238">
        <f t="shared" ca="1" si="62"/>
        <v>-2.194491057665833E-2</v>
      </c>
      <c r="I1932" s="156"/>
    </row>
    <row r="1933" spans="2:9" x14ac:dyDescent="0.2">
      <c r="B1933" s="230">
        <v>43151</v>
      </c>
      <c r="C1933" s="124">
        <v>263.25</v>
      </c>
      <c r="D1933" s="156">
        <f t="shared" si="61"/>
        <v>-1.8456375838926134E-2</v>
      </c>
      <c r="E1933" s="156">
        <v>3.2739922242685138E-3</v>
      </c>
      <c r="F1933" s="124">
        <v>1927</v>
      </c>
      <c r="G1933" s="238">
        <f t="shared" ca="1" si="62"/>
        <v>4.1268974602517196E-3</v>
      </c>
      <c r="I1933" s="156"/>
    </row>
    <row r="1934" spans="2:9" x14ac:dyDescent="0.2">
      <c r="B1934" s="230">
        <v>43150</v>
      </c>
      <c r="C1934" s="124">
        <v>264.10000000000002</v>
      </c>
      <c r="D1934" s="156">
        <f t="shared" si="61"/>
        <v>3.2288698955366484E-3</v>
      </c>
      <c r="E1934" s="156">
        <v>3.2724297791109592E-3</v>
      </c>
      <c r="F1934" s="124">
        <v>1928</v>
      </c>
      <c r="G1934" s="238">
        <f t="shared" ca="1" si="62"/>
        <v>2.5721386791653323E-3</v>
      </c>
      <c r="I1934" s="156"/>
    </row>
    <row r="1935" spans="2:9" x14ac:dyDescent="0.2">
      <c r="B1935" s="230">
        <v>43147</v>
      </c>
      <c r="C1935" s="124">
        <v>266.45</v>
      </c>
      <c r="D1935" s="156">
        <f t="shared" si="61"/>
        <v>8.8981446421808625E-3</v>
      </c>
      <c r="E1935" s="156">
        <v>3.2522283787038446E-3</v>
      </c>
      <c r="F1935" s="124">
        <v>1929</v>
      </c>
      <c r="G1935" s="238">
        <f t="shared" ca="1" si="62"/>
        <v>6.9904468394047636E-3</v>
      </c>
      <c r="I1935" s="156"/>
    </row>
    <row r="1936" spans="2:9" x14ac:dyDescent="0.2">
      <c r="B1936" s="230">
        <v>43146</v>
      </c>
      <c r="C1936" s="124">
        <v>268.10000000000002</v>
      </c>
      <c r="D1936" s="156">
        <f t="shared" si="61"/>
        <v>6.1925314317884559E-3</v>
      </c>
      <c r="E1936" s="156">
        <v>3.2397408207342007E-3</v>
      </c>
      <c r="F1936" s="124">
        <v>1930</v>
      </c>
      <c r="G1936" s="238">
        <f t="shared" ca="1" si="62"/>
        <v>2.2603007426316529E-2</v>
      </c>
      <c r="I1936" s="156"/>
    </row>
    <row r="1937" spans="2:9" x14ac:dyDescent="0.2">
      <c r="B1937" s="230">
        <v>43145</v>
      </c>
      <c r="C1937" s="124">
        <v>266.5</v>
      </c>
      <c r="D1937" s="156">
        <f t="shared" si="61"/>
        <v>-5.9679224170086633E-3</v>
      </c>
      <c r="E1937" s="156">
        <v>3.2375159423133353E-3</v>
      </c>
      <c r="F1937" s="124">
        <v>1931</v>
      </c>
      <c r="G1937" s="238">
        <f t="shared" ca="1" si="62"/>
        <v>2.4067490840675474E-2</v>
      </c>
      <c r="I1937" s="156"/>
    </row>
    <row r="1938" spans="2:9" x14ac:dyDescent="0.2">
      <c r="B1938" s="230">
        <v>43143</v>
      </c>
      <c r="C1938" s="124">
        <v>269.85000000000002</v>
      </c>
      <c r="D1938" s="156">
        <f t="shared" si="61"/>
        <v>1.2570356472795582E-2</v>
      </c>
      <c r="E1938" s="156">
        <v>3.2288698955366484E-3</v>
      </c>
      <c r="F1938" s="124">
        <v>1932</v>
      </c>
      <c r="G1938" s="238">
        <f t="shared" ca="1" si="62"/>
        <v>1.6936077815509426E-3</v>
      </c>
      <c r="I1938" s="156"/>
    </row>
    <row r="1939" spans="2:9" x14ac:dyDescent="0.2">
      <c r="B1939" s="230">
        <v>43140</v>
      </c>
      <c r="C1939" s="124">
        <v>271.35000000000002</v>
      </c>
      <c r="D1939" s="156">
        <f t="shared" si="61"/>
        <v>5.5586436909394101E-3</v>
      </c>
      <c r="E1939" s="156">
        <v>3.2282095852992584E-3</v>
      </c>
      <c r="F1939" s="124">
        <v>1933</v>
      </c>
      <c r="G1939" s="238">
        <f t="shared" ca="1" si="62"/>
        <v>-5.9445757115763219E-3</v>
      </c>
      <c r="I1939" s="156"/>
    </row>
    <row r="1940" spans="2:9" x14ac:dyDescent="0.2">
      <c r="B1940" s="230">
        <v>43139</v>
      </c>
      <c r="C1940" s="124">
        <v>274.10000000000002</v>
      </c>
      <c r="D1940" s="156">
        <f t="shared" si="61"/>
        <v>1.013451262207481E-2</v>
      </c>
      <c r="E1940" s="156">
        <v>3.2260411866011133E-3</v>
      </c>
      <c r="F1940" s="124">
        <v>1934</v>
      </c>
      <c r="G1940" s="238">
        <f t="shared" ca="1" si="62"/>
        <v>-1.0329036281160938E-2</v>
      </c>
      <c r="I1940" s="156"/>
    </row>
    <row r="1941" spans="2:9" x14ac:dyDescent="0.2">
      <c r="B1941" s="230">
        <v>43138</v>
      </c>
      <c r="C1941" s="124">
        <v>275.14999999999998</v>
      </c>
      <c r="D1941" s="156">
        <f t="shared" si="61"/>
        <v>3.830718715796988E-3</v>
      </c>
      <c r="E1941" s="156">
        <v>3.2230703986428789E-3</v>
      </c>
      <c r="F1941" s="124">
        <v>1935</v>
      </c>
      <c r="G1941" s="238">
        <f t="shared" ca="1" si="62"/>
        <v>1.036594670771549E-3</v>
      </c>
      <c r="I1941" s="156"/>
    </row>
    <row r="1942" spans="2:9" x14ac:dyDescent="0.2">
      <c r="B1942" s="230">
        <v>43137</v>
      </c>
      <c r="C1942" s="124">
        <v>273.5</v>
      </c>
      <c r="D1942" s="156">
        <f t="shared" si="61"/>
        <v>-5.9967290568779842E-3</v>
      </c>
      <c r="E1942" s="156">
        <v>3.2214309935570994E-3</v>
      </c>
      <c r="F1942" s="124">
        <v>1936</v>
      </c>
      <c r="G1942" s="238">
        <f t="shared" ca="1" si="62"/>
        <v>-1.7441581782329909E-3</v>
      </c>
      <c r="I1942" s="156"/>
    </row>
    <row r="1943" spans="2:9" x14ac:dyDescent="0.2">
      <c r="B1943" s="230">
        <v>43136</v>
      </c>
      <c r="C1943" s="124">
        <v>279.25</v>
      </c>
      <c r="D1943" s="156">
        <f t="shared" si="61"/>
        <v>2.1023765996343691E-2</v>
      </c>
      <c r="E1943" s="156">
        <v>3.2195750160978749E-3</v>
      </c>
      <c r="F1943" s="124">
        <v>1937</v>
      </c>
      <c r="G1943" s="238">
        <f t="shared" ca="1" si="62"/>
        <v>1.5919731811866251E-2</v>
      </c>
      <c r="I1943" s="156"/>
    </row>
    <row r="1944" spans="2:9" x14ac:dyDescent="0.2">
      <c r="B1944" s="230">
        <v>43133</v>
      </c>
      <c r="C1944" s="124">
        <v>275.35000000000002</v>
      </c>
      <c r="D1944" s="156">
        <f t="shared" si="61"/>
        <v>-1.3965980304386668E-2</v>
      </c>
      <c r="E1944" s="156">
        <v>3.2160085760227879E-3</v>
      </c>
      <c r="F1944" s="124">
        <v>1938</v>
      </c>
      <c r="G1944" s="238">
        <f t="shared" ca="1" si="62"/>
        <v>1.189847668260805E-2</v>
      </c>
      <c r="I1944" s="156"/>
    </row>
    <row r="1945" spans="2:9" x14ac:dyDescent="0.2">
      <c r="B1945" s="230">
        <v>43132</v>
      </c>
      <c r="C1945" s="124">
        <v>275.3</v>
      </c>
      <c r="D1945" s="156">
        <f t="shared" si="61"/>
        <v>-1.8158707100058603E-4</v>
      </c>
      <c r="E1945" s="156">
        <v>3.2154340836013143E-3</v>
      </c>
      <c r="F1945" s="124">
        <v>1939</v>
      </c>
      <c r="G1945" s="238">
        <f t="shared" ca="1" si="62"/>
        <v>2.3585949832549439E-3</v>
      </c>
      <c r="I1945" s="156"/>
    </row>
    <row r="1946" spans="2:9" x14ac:dyDescent="0.2">
      <c r="B1946" s="230">
        <v>43131</v>
      </c>
      <c r="C1946" s="124">
        <v>271.39999999999998</v>
      </c>
      <c r="D1946" s="156">
        <f t="shared" si="61"/>
        <v>-1.4166363966582034E-2</v>
      </c>
      <c r="E1946" s="156">
        <v>3.2143267133508831E-3</v>
      </c>
      <c r="F1946" s="124">
        <v>1940</v>
      </c>
      <c r="G1946" s="238">
        <f t="shared" ca="1" si="62"/>
        <v>1.8862810316969254E-2</v>
      </c>
      <c r="I1946" s="156"/>
    </row>
    <row r="1947" spans="2:9" x14ac:dyDescent="0.2">
      <c r="B1947" s="230">
        <v>43130</v>
      </c>
      <c r="C1947" s="124">
        <v>275.2</v>
      </c>
      <c r="D1947" s="156">
        <f t="shared" si="61"/>
        <v>1.4001473839351554E-2</v>
      </c>
      <c r="E1947" s="156">
        <v>3.2091281868425691E-3</v>
      </c>
      <c r="F1947" s="124">
        <v>1941</v>
      </c>
      <c r="G1947" s="238">
        <f t="shared" ca="1" si="62"/>
        <v>1.6596954517347617E-3</v>
      </c>
      <c r="I1947" s="156"/>
    </row>
    <row r="1948" spans="2:9" x14ac:dyDescent="0.2">
      <c r="B1948" s="230">
        <v>43129</v>
      </c>
      <c r="C1948" s="124">
        <v>275.64999999999998</v>
      </c>
      <c r="D1948" s="156">
        <f t="shared" si="61"/>
        <v>1.6351744186046098E-3</v>
      </c>
      <c r="E1948" s="156">
        <v>3.2043381809218918E-3</v>
      </c>
      <c r="F1948" s="124">
        <v>1942</v>
      </c>
      <c r="G1948" s="238">
        <f t="shared" ca="1" si="62"/>
        <v>1.6748612639192553E-2</v>
      </c>
      <c r="I1948" s="156"/>
    </row>
    <row r="1949" spans="2:9" x14ac:dyDescent="0.2">
      <c r="B1949" s="230">
        <v>43125</v>
      </c>
      <c r="C1949" s="124">
        <v>281.25</v>
      </c>
      <c r="D1949" s="156">
        <f t="shared" si="61"/>
        <v>2.0315617631053957E-2</v>
      </c>
      <c r="E1949" s="156">
        <v>3.1939605110336655E-3</v>
      </c>
      <c r="F1949" s="124">
        <v>1943</v>
      </c>
      <c r="G1949" s="238">
        <f t="shared" ca="1" si="62"/>
        <v>-8.3518784080953336E-3</v>
      </c>
      <c r="I1949" s="156"/>
    </row>
    <row r="1950" spans="2:9" x14ac:dyDescent="0.2">
      <c r="B1950" s="230">
        <v>43124</v>
      </c>
      <c r="C1950" s="124">
        <v>281.45</v>
      </c>
      <c r="D1950" s="156">
        <f t="shared" si="61"/>
        <v>7.111111111110707E-4</v>
      </c>
      <c r="E1950" s="156">
        <v>3.1824611032531354E-3</v>
      </c>
      <c r="F1950" s="124">
        <v>1944</v>
      </c>
      <c r="G1950" s="238">
        <f t="shared" ca="1" si="62"/>
        <v>-2.2127677180864991E-2</v>
      </c>
      <c r="I1950" s="156"/>
    </row>
    <row r="1951" spans="2:9" x14ac:dyDescent="0.2">
      <c r="B1951" s="230">
        <v>43123</v>
      </c>
      <c r="C1951" s="124">
        <v>276.60000000000002</v>
      </c>
      <c r="D1951" s="156">
        <f t="shared" si="61"/>
        <v>-1.7232190442351986E-2</v>
      </c>
      <c r="E1951" s="156">
        <v>3.1780513315632472E-3</v>
      </c>
      <c r="F1951" s="124">
        <v>1945</v>
      </c>
      <c r="G1951" s="238">
        <f t="shared" ca="1" si="62"/>
        <v>3.1136854991679713E-2</v>
      </c>
      <c r="I1951" s="156"/>
    </row>
    <row r="1952" spans="2:9" x14ac:dyDescent="0.2">
      <c r="B1952" s="230">
        <v>43122</v>
      </c>
      <c r="C1952" s="124">
        <v>273.64999999999998</v>
      </c>
      <c r="D1952" s="156">
        <f t="shared" si="61"/>
        <v>-1.0665220535068855E-2</v>
      </c>
      <c r="E1952" s="156">
        <v>3.1669150521610387E-3</v>
      </c>
      <c r="F1952" s="124">
        <v>1946</v>
      </c>
      <c r="G1952" s="238">
        <f t="shared" ca="1" si="62"/>
        <v>8.3409997009699244E-3</v>
      </c>
      <c r="I1952" s="156"/>
    </row>
    <row r="1953" spans="2:9" x14ac:dyDescent="0.2">
      <c r="B1953" s="230">
        <v>43119</v>
      </c>
      <c r="C1953" s="124">
        <v>274.55</v>
      </c>
      <c r="D1953" s="156">
        <f t="shared" si="61"/>
        <v>3.2888726475426063E-3</v>
      </c>
      <c r="E1953" s="156">
        <v>3.1607099440796363E-3</v>
      </c>
      <c r="F1953" s="124">
        <v>1947</v>
      </c>
      <c r="G1953" s="238">
        <f t="shared" ca="1" si="62"/>
        <v>2.208746469672826E-2</v>
      </c>
      <c r="I1953" s="156"/>
    </row>
    <row r="1954" spans="2:9" x14ac:dyDescent="0.2">
      <c r="B1954" s="230">
        <v>43118</v>
      </c>
      <c r="C1954" s="124">
        <v>273.39999999999998</v>
      </c>
      <c r="D1954" s="156">
        <f t="shared" si="61"/>
        <v>-4.1886723729740814E-3</v>
      </c>
      <c r="E1954" s="156">
        <v>3.1471631205674112E-3</v>
      </c>
      <c r="F1954" s="124">
        <v>1948</v>
      </c>
      <c r="G1954" s="238">
        <f t="shared" ca="1" si="62"/>
        <v>-1.1352540544279251E-2</v>
      </c>
      <c r="I1954" s="156"/>
    </row>
    <row r="1955" spans="2:9" x14ac:dyDescent="0.2">
      <c r="B1955" s="230">
        <v>43117</v>
      </c>
      <c r="C1955" s="124">
        <v>266.05</v>
      </c>
      <c r="D1955" s="156">
        <f t="shared" si="61"/>
        <v>-2.6883686905632649E-2</v>
      </c>
      <c r="E1955" s="156">
        <v>3.1419939577039548E-3</v>
      </c>
      <c r="F1955" s="124">
        <v>1949</v>
      </c>
      <c r="G1955" s="238">
        <f t="shared" ca="1" si="62"/>
        <v>-1.5179650039635673E-2</v>
      </c>
      <c r="I1955" s="156"/>
    </row>
    <row r="1956" spans="2:9" x14ac:dyDescent="0.2">
      <c r="B1956" s="230">
        <v>43116</v>
      </c>
      <c r="C1956" s="124">
        <v>261.7</v>
      </c>
      <c r="D1956" s="156">
        <f t="shared" si="61"/>
        <v>-1.6350310092088038E-2</v>
      </c>
      <c r="E1956" s="156">
        <v>3.1239153071851238E-3</v>
      </c>
      <c r="F1956" s="124">
        <v>1950</v>
      </c>
      <c r="G1956" s="238">
        <f t="shared" ca="1" si="62"/>
        <v>-5.949941689173067E-3</v>
      </c>
      <c r="I1956" s="156"/>
    </row>
    <row r="1957" spans="2:9" x14ac:dyDescent="0.2">
      <c r="B1957" s="230">
        <v>43115</v>
      </c>
      <c r="C1957" s="124">
        <v>267.60000000000002</v>
      </c>
      <c r="D1957" s="156">
        <f t="shared" si="61"/>
        <v>2.2544898739014271E-2</v>
      </c>
      <c r="E1957" s="156">
        <v>3.1175168300727318E-3</v>
      </c>
      <c r="F1957" s="124">
        <v>1951</v>
      </c>
      <c r="G1957" s="238">
        <f t="shared" ca="1" si="62"/>
        <v>-3.7590083834728311E-2</v>
      </c>
      <c r="I1957" s="156"/>
    </row>
    <row r="1958" spans="2:9" x14ac:dyDescent="0.2">
      <c r="B1958" s="230">
        <v>43112</v>
      </c>
      <c r="C1958" s="124">
        <v>267.55</v>
      </c>
      <c r="D1958" s="156">
        <f t="shared" si="61"/>
        <v>-1.8684603886401856E-4</v>
      </c>
      <c r="E1958" s="156">
        <v>3.1122031122031916E-3</v>
      </c>
      <c r="F1958" s="124">
        <v>1952</v>
      </c>
      <c r="G1958" s="238">
        <f t="shared" ca="1" si="62"/>
        <v>-1.1338585704320494E-3</v>
      </c>
      <c r="I1958" s="156"/>
    </row>
    <row r="1959" spans="2:9" x14ac:dyDescent="0.2">
      <c r="B1959" s="230">
        <v>43111</v>
      </c>
      <c r="C1959" s="124">
        <v>269.8</v>
      </c>
      <c r="D1959" s="156">
        <f t="shared" si="61"/>
        <v>8.4096430573724536E-3</v>
      </c>
      <c r="E1959" s="156">
        <v>3.0878558436613925E-3</v>
      </c>
      <c r="F1959" s="124">
        <v>1953</v>
      </c>
      <c r="G1959" s="238">
        <f t="shared" ca="1" si="62"/>
        <v>1.1847362867328612E-2</v>
      </c>
      <c r="I1959" s="156"/>
    </row>
    <row r="1960" spans="2:9" x14ac:dyDescent="0.2">
      <c r="B1960" s="230">
        <v>43110</v>
      </c>
      <c r="C1960" s="124">
        <v>269.39999999999998</v>
      </c>
      <c r="D1960" s="156">
        <f t="shared" si="61"/>
        <v>-1.4825796886583917E-3</v>
      </c>
      <c r="E1960" s="156">
        <v>3.0799556486386594E-3</v>
      </c>
      <c r="F1960" s="124">
        <v>1954</v>
      </c>
      <c r="G1960" s="238">
        <f t="shared" ca="1" si="62"/>
        <v>-1.1609478877474226E-2</v>
      </c>
      <c r="I1960" s="156"/>
    </row>
    <row r="1961" spans="2:9" x14ac:dyDescent="0.2">
      <c r="B1961" s="230">
        <v>43109</v>
      </c>
      <c r="C1961" s="124">
        <v>270.55</v>
      </c>
      <c r="D1961" s="156">
        <f t="shared" si="61"/>
        <v>4.2687453600595178E-3</v>
      </c>
      <c r="E1961" s="156">
        <v>3.0683403068340149E-3</v>
      </c>
      <c r="F1961" s="124">
        <v>1955</v>
      </c>
      <c r="G1961" s="238">
        <f t="shared" ca="1" si="62"/>
        <v>1.9762214992540137E-2</v>
      </c>
      <c r="I1961" s="156"/>
    </row>
    <row r="1962" spans="2:9" x14ac:dyDescent="0.2">
      <c r="B1962" s="230">
        <v>43108</v>
      </c>
      <c r="C1962" s="124">
        <v>265.60000000000002</v>
      </c>
      <c r="D1962" s="156">
        <f t="shared" si="61"/>
        <v>-1.8296063574200661E-2</v>
      </c>
      <c r="E1962" s="156">
        <v>3.0193236714975845E-3</v>
      </c>
      <c r="F1962" s="124">
        <v>1956</v>
      </c>
      <c r="G1962" s="238">
        <f t="shared" ca="1" si="62"/>
        <v>-2.3669786274111509E-2</v>
      </c>
      <c r="I1962" s="156"/>
    </row>
    <row r="1963" spans="2:9" x14ac:dyDescent="0.2">
      <c r="B1963" s="230">
        <v>43105</v>
      </c>
      <c r="C1963" s="124">
        <v>262.89999999999998</v>
      </c>
      <c r="D1963" s="156">
        <f t="shared" si="61"/>
        <v>-1.0165662650602579E-2</v>
      </c>
      <c r="E1963" s="156">
        <v>3.0148320936578595E-3</v>
      </c>
      <c r="F1963" s="124">
        <v>1957</v>
      </c>
      <c r="G1963" s="238">
        <f t="shared" ca="1" si="62"/>
        <v>-1.1932782465171914E-2</v>
      </c>
      <c r="I1963" s="156"/>
    </row>
    <row r="1964" spans="2:9" x14ac:dyDescent="0.2">
      <c r="B1964" s="230">
        <v>43104</v>
      </c>
      <c r="C1964" s="124">
        <v>261.55</v>
      </c>
      <c r="D1964" s="156">
        <f t="shared" si="61"/>
        <v>-5.135032331684922E-3</v>
      </c>
      <c r="E1964" s="156">
        <v>3.014318010550156E-3</v>
      </c>
      <c r="F1964" s="124">
        <v>1958</v>
      </c>
      <c r="G1964" s="238">
        <f t="shared" ca="1" si="62"/>
        <v>-2.3278138409615182E-2</v>
      </c>
      <c r="I1964" s="156"/>
    </row>
    <row r="1965" spans="2:9" x14ac:dyDescent="0.2">
      <c r="B1965" s="230">
        <v>43103</v>
      </c>
      <c r="C1965" s="124">
        <v>261.14999999999998</v>
      </c>
      <c r="D1965" s="156">
        <f t="shared" si="61"/>
        <v>-1.5293442936342347E-3</v>
      </c>
      <c r="E1965" s="156">
        <v>3.0018010806483891E-3</v>
      </c>
      <c r="F1965" s="124">
        <v>1959</v>
      </c>
      <c r="G1965" s="238">
        <f t="shared" ca="1" si="62"/>
        <v>-8.8403797749613162E-3</v>
      </c>
      <c r="I1965" s="156"/>
    </row>
    <row r="1966" spans="2:9" x14ac:dyDescent="0.2">
      <c r="B1966" s="230">
        <v>43102</v>
      </c>
      <c r="C1966" s="124">
        <v>260.75</v>
      </c>
      <c r="D1966" s="156">
        <f t="shared" si="61"/>
        <v>-1.5316867700554367E-3</v>
      </c>
      <c r="E1966" s="156">
        <v>3.0003000300030001E-3</v>
      </c>
      <c r="F1966" s="124">
        <v>1960</v>
      </c>
      <c r="G1966" s="238">
        <f t="shared" ca="1" si="62"/>
        <v>1.6961852885994073E-2</v>
      </c>
      <c r="I1966" s="156"/>
    </row>
    <row r="1967" spans="2:9" x14ac:dyDescent="0.2">
      <c r="B1967" s="230">
        <v>43101</v>
      </c>
      <c r="C1967" s="124">
        <v>262.3</v>
      </c>
      <c r="D1967" s="156">
        <f t="shared" si="61"/>
        <v>5.9443911792905514E-3</v>
      </c>
      <c r="E1967" s="156">
        <v>2.9967036260114305E-3</v>
      </c>
      <c r="F1967" s="124">
        <v>1961</v>
      </c>
      <c r="G1967" s="238">
        <f t="shared" ca="1" si="62"/>
        <v>1.1122168637892255E-2</v>
      </c>
      <c r="I1967" s="156"/>
    </row>
    <row r="1968" spans="2:9" x14ac:dyDescent="0.2">
      <c r="B1968" s="230">
        <v>43098</v>
      </c>
      <c r="C1968" s="124">
        <v>263.25</v>
      </c>
      <c r="D1968" s="156">
        <f t="shared" si="61"/>
        <v>3.621807091116998E-3</v>
      </c>
      <c r="E1968" s="156">
        <v>2.9850746268656435E-3</v>
      </c>
      <c r="F1968" s="124">
        <v>1962</v>
      </c>
      <c r="G1968" s="238">
        <f t="shared" ca="1" si="62"/>
        <v>-3.2221812280351016E-2</v>
      </c>
      <c r="I1968" s="156"/>
    </row>
    <row r="1969" spans="2:9" x14ac:dyDescent="0.2">
      <c r="B1969" s="230">
        <v>43097</v>
      </c>
      <c r="C1969" s="124">
        <v>261.85000000000002</v>
      </c>
      <c r="D1969" s="156">
        <f t="shared" si="61"/>
        <v>-5.3181386514718982E-3</v>
      </c>
      <c r="E1969" s="156">
        <v>2.9823768639855243E-3</v>
      </c>
      <c r="F1969" s="124">
        <v>1963</v>
      </c>
      <c r="G1969" s="238">
        <f t="shared" ca="1" si="62"/>
        <v>2.2270550267624862E-3</v>
      </c>
      <c r="I1969" s="156"/>
    </row>
    <row r="1970" spans="2:9" x14ac:dyDescent="0.2">
      <c r="B1970" s="230">
        <v>43096</v>
      </c>
      <c r="C1970" s="124">
        <v>262.14999999999998</v>
      </c>
      <c r="D1970" s="156">
        <f t="shared" si="61"/>
        <v>1.1456940996752128E-3</v>
      </c>
      <c r="E1970" s="156">
        <v>2.9798505344812405E-3</v>
      </c>
      <c r="F1970" s="124">
        <v>1964</v>
      </c>
      <c r="G1970" s="238">
        <f t="shared" ca="1" si="62"/>
        <v>-6.5462160634088083E-3</v>
      </c>
      <c r="I1970" s="156"/>
    </row>
    <row r="1971" spans="2:9" x14ac:dyDescent="0.2">
      <c r="B1971" s="230">
        <v>43095</v>
      </c>
      <c r="C1971" s="124">
        <v>264.14999999999998</v>
      </c>
      <c r="D1971" s="156">
        <f t="shared" si="61"/>
        <v>7.6292199122639714E-3</v>
      </c>
      <c r="E1971" s="156">
        <v>2.9717682020802094E-3</v>
      </c>
      <c r="F1971" s="124">
        <v>1965</v>
      </c>
      <c r="G1971" s="238">
        <f t="shared" ca="1" si="62"/>
        <v>1.4127041293500286E-2</v>
      </c>
      <c r="I1971" s="156"/>
    </row>
    <row r="1972" spans="2:9" x14ac:dyDescent="0.2">
      <c r="B1972" s="230">
        <v>43091</v>
      </c>
      <c r="C1972" s="124">
        <v>263.10000000000002</v>
      </c>
      <c r="D1972" s="156">
        <f t="shared" si="61"/>
        <v>-3.975014196479101E-3</v>
      </c>
      <c r="E1972" s="156">
        <v>2.9644268774703278E-3</v>
      </c>
      <c r="F1972" s="124">
        <v>1966</v>
      </c>
      <c r="G1972" s="238">
        <f t="shared" ca="1" si="62"/>
        <v>-4.3663872156559638E-3</v>
      </c>
      <c r="I1972" s="156"/>
    </row>
    <row r="1973" spans="2:9" x14ac:dyDescent="0.2">
      <c r="B1973" s="230">
        <v>43090</v>
      </c>
      <c r="C1973" s="124">
        <v>263.05</v>
      </c>
      <c r="D1973" s="156">
        <f t="shared" si="61"/>
        <v>-1.9004180919806677E-4</v>
      </c>
      <c r="E1973" s="156">
        <v>2.9600394671930081E-3</v>
      </c>
      <c r="F1973" s="124">
        <v>1967</v>
      </c>
      <c r="G1973" s="238">
        <f t="shared" ca="1" si="62"/>
        <v>2.1094399184355572E-2</v>
      </c>
      <c r="I1973" s="156"/>
    </row>
    <row r="1974" spans="2:9" x14ac:dyDescent="0.2">
      <c r="B1974" s="230">
        <v>43089</v>
      </c>
      <c r="C1974" s="124">
        <v>263.3</v>
      </c>
      <c r="D1974" s="156">
        <f t="shared" si="61"/>
        <v>9.5038965976050182E-4</v>
      </c>
      <c r="E1974" s="156">
        <v>2.9543161838882122E-3</v>
      </c>
      <c r="F1974" s="124">
        <v>1968</v>
      </c>
      <c r="G1974" s="238">
        <f t="shared" ca="1" si="62"/>
        <v>1.8700202414076068E-2</v>
      </c>
      <c r="I1974" s="156"/>
    </row>
    <row r="1975" spans="2:9" x14ac:dyDescent="0.2">
      <c r="B1975" s="230">
        <v>43088</v>
      </c>
      <c r="C1975" s="124">
        <v>264.25</v>
      </c>
      <c r="D1975" s="156">
        <f t="shared" si="61"/>
        <v>3.6080516521078184E-3</v>
      </c>
      <c r="E1975" s="156">
        <v>2.9517027635317548E-3</v>
      </c>
      <c r="F1975" s="124">
        <v>1969</v>
      </c>
      <c r="G1975" s="238">
        <f t="shared" ca="1" si="62"/>
        <v>9.7862311373703636E-4</v>
      </c>
      <c r="I1975" s="156"/>
    </row>
    <row r="1976" spans="2:9" x14ac:dyDescent="0.2">
      <c r="B1976" s="230">
        <v>43087</v>
      </c>
      <c r="C1976" s="124">
        <v>263.2</v>
      </c>
      <c r="D1976" s="156">
        <f t="shared" si="61"/>
        <v>-3.9735099337748778E-3</v>
      </c>
      <c r="E1976" s="156">
        <v>2.9314767314034562E-3</v>
      </c>
      <c r="F1976" s="124">
        <v>1970</v>
      </c>
      <c r="G1976" s="238">
        <f t="shared" ca="1" si="62"/>
        <v>1.5255527762573745E-2</v>
      </c>
      <c r="I1976" s="156"/>
    </row>
    <row r="1977" spans="2:9" x14ac:dyDescent="0.2">
      <c r="B1977" s="230">
        <v>43084</v>
      </c>
      <c r="C1977" s="124">
        <v>264.60000000000002</v>
      </c>
      <c r="D1977" s="156">
        <f t="shared" si="61"/>
        <v>5.3191489361703427E-3</v>
      </c>
      <c r="E1977" s="156">
        <v>2.9263101888800064E-3</v>
      </c>
      <c r="F1977" s="124">
        <v>1971</v>
      </c>
      <c r="G1977" s="238">
        <f t="shared" ca="1" si="62"/>
        <v>-3.4210950771414658E-2</v>
      </c>
      <c r="I1977" s="156"/>
    </row>
    <row r="1978" spans="2:9" x14ac:dyDescent="0.2">
      <c r="B1978" s="230">
        <v>43083</v>
      </c>
      <c r="C1978" s="124">
        <v>264.25</v>
      </c>
      <c r="D1978" s="156">
        <f t="shared" si="61"/>
        <v>-1.3227513227514085E-3</v>
      </c>
      <c r="E1978" s="156">
        <v>2.9234067433248599E-3</v>
      </c>
      <c r="F1978" s="124">
        <v>1972</v>
      </c>
      <c r="G1978" s="238">
        <f t="shared" ca="1" si="62"/>
        <v>1.7713926918469739E-3</v>
      </c>
      <c r="I1978" s="156"/>
    </row>
    <row r="1979" spans="2:9" x14ac:dyDescent="0.2">
      <c r="B1979" s="230">
        <v>43082</v>
      </c>
      <c r="C1979" s="124">
        <v>259</v>
      </c>
      <c r="D1979" s="156">
        <f t="shared" si="61"/>
        <v>-1.9867549668874173E-2</v>
      </c>
      <c r="E1979" s="156">
        <v>2.9126213592232859E-3</v>
      </c>
      <c r="F1979" s="124">
        <v>1973</v>
      </c>
      <c r="G1979" s="238">
        <f t="shared" ca="1" si="62"/>
        <v>3.0529542554924984E-2</v>
      </c>
      <c r="I1979" s="156"/>
    </row>
    <row r="1980" spans="2:9" x14ac:dyDescent="0.2">
      <c r="B1980" s="230">
        <v>43081</v>
      </c>
      <c r="C1980" s="124">
        <v>261.55</v>
      </c>
      <c r="D1980" s="156">
        <f t="shared" si="61"/>
        <v>9.8455598455598897E-3</v>
      </c>
      <c r="E1980" s="156">
        <v>2.9085620796219279E-3</v>
      </c>
      <c r="F1980" s="124">
        <v>1974</v>
      </c>
      <c r="G1980" s="238">
        <f t="shared" ca="1" si="62"/>
        <v>-1.0052681819033354E-2</v>
      </c>
      <c r="I1980" s="156"/>
    </row>
    <row r="1981" spans="2:9" x14ac:dyDescent="0.2">
      <c r="B1981" s="230">
        <v>43080</v>
      </c>
      <c r="C1981" s="124">
        <v>266.25</v>
      </c>
      <c r="D1981" s="156">
        <f t="shared" si="61"/>
        <v>1.7969795450200683E-2</v>
      </c>
      <c r="E1981" s="156">
        <v>2.9051670471052795E-3</v>
      </c>
      <c r="F1981" s="124">
        <v>1975</v>
      </c>
      <c r="G1981" s="238">
        <f t="shared" ca="1" si="62"/>
        <v>-1.8000863473386904E-4</v>
      </c>
      <c r="I1981" s="156"/>
    </row>
    <row r="1982" spans="2:9" x14ac:dyDescent="0.2">
      <c r="B1982" s="230">
        <v>43077</v>
      </c>
      <c r="C1982" s="124">
        <v>262.2</v>
      </c>
      <c r="D1982" s="156">
        <f t="shared" ref="D1982:D2045" si="63">(C1982-C1981)/C1981</f>
        <v>-1.5211267605633846E-2</v>
      </c>
      <c r="E1982" s="156">
        <v>2.9041626331074389E-3</v>
      </c>
      <c r="F1982" s="124">
        <v>1976</v>
      </c>
      <c r="G1982" s="238">
        <f t="shared" ca="1" si="62"/>
        <v>-2.201498818474739E-2</v>
      </c>
      <c r="I1982" s="156"/>
    </row>
    <row r="1983" spans="2:9" x14ac:dyDescent="0.2">
      <c r="B1983" s="230">
        <v>43076</v>
      </c>
      <c r="C1983" s="124">
        <v>253.35</v>
      </c>
      <c r="D1983" s="156">
        <f t="shared" si="63"/>
        <v>-3.3752860411899295E-2</v>
      </c>
      <c r="E1983" s="156">
        <v>2.9036004645760743E-3</v>
      </c>
      <c r="F1983" s="124">
        <v>1977</v>
      </c>
      <c r="G1983" s="238">
        <f t="shared" ca="1" si="62"/>
        <v>7.3533217111414412E-3</v>
      </c>
      <c r="I1983" s="156"/>
    </row>
    <row r="1984" spans="2:9" x14ac:dyDescent="0.2">
      <c r="B1984" s="230">
        <v>43075</v>
      </c>
      <c r="C1984" s="124">
        <v>251.6</v>
      </c>
      <c r="D1984" s="156">
        <f t="shared" si="63"/>
        <v>-6.9074402999802645E-3</v>
      </c>
      <c r="E1984" s="156">
        <v>2.8968135051444036E-3</v>
      </c>
      <c r="F1984" s="124">
        <v>1978</v>
      </c>
      <c r="G1984" s="238">
        <f t="shared" ca="1" si="62"/>
        <v>-4.2387141778982133E-4</v>
      </c>
      <c r="I1984" s="156"/>
    </row>
    <row r="1985" spans="2:9" x14ac:dyDescent="0.2">
      <c r="B1985" s="230">
        <v>43074</v>
      </c>
      <c r="C1985" s="124">
        <v>253.85</v>
      </c>
      <c r="D1985" s="156">
        <f t="shared" si="63"/>
        <v>8.942766295707472E-3</v>
      </c>
      <c r="E1985" s="156">
        <v>2.8943560057886845E-3</v>
      </c>
      <c r="F1985" s="124">
        <v>1979</v>
      </c>
      <c r="G1985" s="238">
        <f t="shared" ca="1" si="62"/>
        <v>3.3264073090305046E-2</v>
      </c>
      <c r="I1985" s="156"/>
    </row>
    <row r="1986" spans="2:9" x14ac:dyDescent="0.2">
      <c r="B1986" s="230">
        <v>43073</v>
      </c>
      <c r="C1986" s="124">
        <v>255.1</v>
      </c>
      <c r="D1986" s="156">
        <f t="shared" si="63"/>
        <v>4.924167815639157E-3</v>
      </c>
      <c r="E1986" s="156">
        <v>2.8846153846153119E-3</v>
      </c>
      <c r="F1986" s="124">
        <v>1980</v>
      </c>
      <c r="G1986" s="238">
        <f t="shared" ca="1" si="62"/>
        <v>1.651782621181571E-2</v>
      </c>
      <c r="I1986" s="156"/>
    </row>
    <row r="1987" spans="2:9" x14ac:dyDescent="0.2">
      <c r="B1987" s="230">
        <v>43070</v>
      </c>
      <c r="C1987" s="124">
        <v>255.2</v>
      </c>
      <c r="D1987" s="156">
        <f t="shared" si="63"/>
        <v>3.9200313602506592E-4</v>
      </c>
      <c r="E1987" s="156">
        <v>2.8841300742663903E-3</v>
      </c>
      <c r="F1987" s="124">
        <v>1981</v>
      </c>
      <c r="G1987" s="238">
        <f t="shared" ca="1" si="62"/>
        <v>-2.8171115994020104E-3</v>
      </c>
      <c r="I1987" s="156"/>
    </row>
    <row r="1988" spans="2:9" x14ac:dyDescent="0.2">
      <c r="B1988" s="230">
        <v>43069</v>
      </c>
      <c r="C1988" s="124">
        <v>256.05</v>
      </c>
      <c r="D1988" s="156">
        <f t="shared" si="63"/>
        <v>3.3307210031348856E-3</v>
      </c>
      <c r="E1988" s="156">
        <v>2.8735632183908046E-3</v>
      </c>
      <c r="F1988" s="124">
        <v>1982</v>
      </c>
      <c r="G1988" s="238">
        <f t="shared" ca="1" si="62"/>
        <v>2.1505138142651058E-2</v>
      </c>
      <c r="I1988" s="156"/>
    </row>
    <row r="1989" spans="2:9" x14ac:dyDescent="0.2">
      <c r="B1989" s="230">
        <v>43068</v>
      </c>
      <c r="C1989" s="124">
        <v>258.05</v>
      </c>
      <c r="D1989" s="156">
        <f t="shared" si="63"/>
        <v>7.8109744190587773E-3</v>
      </c>
      <c r="E1989" s="156">
        <v>2.8717752357248568E-3</v>
      </c>
      <c r="F1989" s="124">
        <v>1983</v>
      </c>
      <c r="G1989" s="238">
        <f t="shared" ca="1" si="62"/>
        <v>1.390532800113121E-3</v>
      </c>
      <c r="I1989" s="156"/>
    </row>
    <row r="1990" spans="2:9" x14ac:dyDescent="0.2">
      <c r="B1990" s="230">
        <v>43067</v>
      </c>
      <c r="C1990" s="124">
        <v>257</v>
      </c>
      <c r="D1990" s="156">
        <f t="shared" si="63"/>
        <v>-4.0689788800620475E-3</v>
      </c>
      <c r="E1990" s="156">
        <v>2.868545772013056E-3</v>
      </c>
      <c r="F1990" s="124">
        <v>1984</v>
      </c>
      <c r="G1990" s="238">
        <f t="shared" ca="1" si="62"/>
        <v>7.88925723666393E-3</v>
      </c>
      <c r="I1990" s="156"/>
    </row>
    <row r="1991" spans="2:9" x14ac:dyDescent="0.2">
      <c r="B1991" s="230">
        <v>43066</v>
      </c>
      <c r="C1991" s="124">
        <v>259.25</v>
      </c>
      <c r="D1991" s="156">
        <f t="shared" si="63"/>
        <v>8.7548638132295721E-3</v>
      </c>
      <c r="E1991" s="156">
        <v>2.8485254691689296E-3</v>
      </c>
      <c r="F1991" s="124">
        <v>1985</v>
      </c>
      <c r="G1991" s="238">
        <f t="shared" ref="G1991:G2054" ca="1" si="64">_xlfn.NORM.INV(RAND(),$L$8,$L$9)</f>
        <v>-3.3245141825242804E-2</v>
      </c>
      <c r="I1991" s="156"/>
    </row>
    <row r="1992" spans="2:9" x14ac:dyDescent="0.2">
      <c r="B1992" s="230">
        <v>43063</v>
      </c>
      <c r="C1992" s="124">
        <v>260.75</v>
      </c>
      <c r="D1992" s="156">
        <f t="shared" si="63"/>
        <v>5.7859209257473485E-3</v>
      </c>
      <c r="E1992" s="156">
        <v>2.8449502133712388E-3</v>
      </c>
      <c r="F1992" s="124">
        <v>1986</v>
      </c>
      <c r="G1992" s="238">
        <f t="shared" ca="1" si="64"/>
        <v>7.7424358481656035E-3</v>
      </c>
      <c r="I1992" s="156"/>
    </row>
    <row r="1993" spans="2:9" x14ac:dyDescent="0.2">
      <c r="B1993" s="230">
        <v>43062</v>
      </c>
      <c r="C1993" s="124">
        <v>258.14999999999998</v>
      </c>
      <c r="D1993" s="156">
        <f t="shared" si="63"/>
        <v>-9.9712368168744878E-3</v>
      </c>
      <c r="E1993" s="156">
        <v>2.8385570668243375E-3</v>
      </c>
      <c r="F1993" s="124">
        <v>1987</v>
      </c>
      <c r="G1993" s="238">
        <f t="shared" ca="1" si="64"/>
        <v>-5.7772421449352653E-3</v>
      </c>
      <c r="I1993" s="156"/>
    </row>
    <row r="1994" spans="2:9" x14ac:dyDescent="0.2">
      <c r="B1994" s="230">
        <v>43061</v>
      </c>
      <c r="C1994" s="124">
        <v>258.14999999999998</v>
      </c>
      <c r="D1994" s="156">
        <f t="shared" si="63"/>
        <v>0</v>
      </c>
      <c r="E1994" s="156">
        <v>2.8373569298836368E-3</v>
      </c>
      <c r="F1994" s="124">
        <v>1988</v>
      </c>
      <c r="G1994" s="238">
        <f t="shared" ca="1" si="64"/>
        <v>-4.1278433497248722E-4</v>
      </c>
      <c r="I1994" s="156"/>
    </row>
    <row r="1995" spans="2:9" x14ac:dyDescent="0.2">
      <c r="B1995" s="230">
        <v>43060</v>
      </c>
      <c r="C1995" s="124">
        <v>255.8</v>
      </c>
      <c r="D1995" s="156">
        <f t="shared" si="63"/>
        <v>-9.1032345535540047E-3</v>
      </c>
      <c r="E1995" s="156">
        <v>2.8358738036156784E-3</v>
      </c>
      <c r="F1995" s="124">
        <v>1989</v>
      </c>
      <c r="G1995" s="238">
        <f t="shared" ca="1" si="64"/>
        <v>8.4980344225033186E-3</v>
      </c>
      <c r="I1995" s="156"/>
    </row>
    <row r="1996" spans="2:9" x14ac:dyDescent="0.2">
      <c r="B1996" s="230">
        <v>43059</v>
      </c>
      <c r="C1996" s="124">
        <v>259.2</v>
      </c>
      <c r="D1996" s="156">
        <f t="shared" si="63"/>
        <v>1.3291634089132046E-2</v>
      </c>
      <c r="E1996" s="156">
        <v>2.830355563417695E-3</v>
      </c>
      <c r="F1996" s="124">
        <v>1990</v>
      </c>
      <c r="G1996" s="238">
        <f t="shared" ca="1" si="64"/>
        <v>2.5885069760471249E-2</v>
      </c>
      <c r="I1996" s="156"/>
    </row>
    <row r="1997" spans="2:9" x14ac:dyDescent="0.2">
      <c r="B1997" s="230">
        <v>43056</v>
      </c>
      <c r="C1997" s="124">
        <v>258</v>
      </c>
      <c r="D1997" s="156">
        <f t="shared" si="63"/>
        <v>-4.629629629629586E-3</v>
      </c>
      <c r="E1997" s="156">
        <v>2.8273879647518698E-3</v>
      </c>
      <c r="F1997" s="124">
        <v>1991</v>
      </c>
      <c r="G1997" s="238">
        <f t="shared" ca="1" si="64"/>
        <v>3.1522856404455359E-3</v>
      </c>
      <c r="I1997" s="156"/>
    </row>
    <row r="1998" spans="2:9" x14ac:dyDescent="0.2">
      <c r="B1998" s="230">
        <v>43055</v>
      </c>
      <c r="C1998" s="124">
        <v>255.1</v>
      </c>
      <c r="D1998" s="156">
        <f t="shared" si="63"/>
        <v>-1.1240310077519402E-2</v>
      </c>
      <c r="E1998" s="156">
        <v>2.8240040342914887E-3</v>
      </c>
      <c r="F1998" s="124">
        <v>1992</v>
      </c>
      <c r="G1998" s="238">
        <f t="shared" ca="1" si="64"/>
        <v>-1.8530062641122565E-2</v>
      </c>
      <c r="I1998" s="156"/>
    </row>
    <row r="1999" spans="2:9" x14ac:dyDescent="0.2">
      <c r="B1999" s="230">
        <v>43054</v>
      </c>
      <c r="C1999" s="124">
        <v>253.3</v>
      </c>
      <c r="D1999" s="156">
        <f t="shared" si="63"/>
        <v>-7.0560564484515205E-3</v>
      </c>
      <c r="E1999" s="156">
        <v>2.8170431108204752E-3</v>
      </c>
      <c r="F1999" s="124">
        <v>1993</v>
      </c>
      <c r="G1999" s="238">
        <f t="shared" ca="1" si="64"/>
        <v>-1.1262901197605703E-2</v>
      </c>
      <c r="I1999" s="156"/>
    </row>
    <row r="2000" spans="2:9" x14ac:dyDescent="0.2">
      <c r="B2000" s="230">
        <v>43053</v>
      </c>
      <c r="C2000" s="124">
        <v>256.55</v>
      </c>
      <c r="D2000" s="156">
        <f t="shared" si="63"/>
        <v>1.2830635609948677E-2</v>
      </c>
      <c r="E2000" s="156">
        <v>2.8084956994908002E-3</v>
      </c>
      <c r="F2000" s="124">
        <v>1994</v>
      </c>
      <c r="G2000" s="238">
        <f t="shared" ca="1" si="64"/>
        <v>1.0426541825066167E-2</v>
      </c>
      <c r="I2000" s="156"/>
    </row>
    <row r="2001" spans="2:9" x14ac:dyDescent="0.2">
      <c r="B2001" s="230">
        <v>43052</v>
      </c>
      <c r="C2001" s="124">
        <v>258.3</v>
      </c>
      <c r="D2001" s="156">
        <f t="shared" si="63"/>
        <v>6.8212824010914046E-3</v>
      </c>
      <c r="E2001" s="156">
        <v>2.8025057698648488E-3</v>
      </c>
      <c r="F2001" s="124">
        <v>1995</v>
      </c>
      <c r="G2001" s="238">
        <f t="shared" ca="1" si="64"/>
        <v>-1.0502962101257273E-2</v>
      </c>
      <c r="I2001" s="156"/>
    </row>
    <row r="2002" spans="2:9" x14ac:dyDescent="0.2">
      <c r="B2002" s="230">
        <v>43049</v>
      </c>
      <c r="C2002" s="124">
        <v>261.7</v>
      </c>
      <c r="D2002" s="156">
        <f t="shared" si="63"/>
        <v>1.3162988772744782E-2</v>
      </c>
      <c r="E2002" s="156">
        <v>2.7968856300552162E-3</v>
      </c>
      <c r="F2002" s="124">
        <v>1996</v>
      </c>
      <c r="G2002" s="238">
        <f t="shared" ca="1" si="64"/>
        <v>7.9446702987956159E-3</v>
      </c>
      <c r="I2002" s="156"/>
    </row>
    <row r="2003" spans="2:9" x14ac:dyDescent="0.2">
      <c r="B2003" s="230">
        <v>43048</v>
      </c>
      <c r="C2003" s="124">
        <v>260.05</v>
      </c>
      <c r="D2003" s="156">
        <f t="shared" si="63"/>
        <v>-6.3049293083682744E-3</v>
      </c>
      <c r="E2003" s="156">
        <v>2.7961362480936015E-3</v>
      </c>
      <c r="F2003" s="124">
        <v>1997</v>
      </c>
      <c r="G2003" s="238">
        <f t="shared" ca="1" si="64"/>
        <v>1.2902381478329145E-2</v>
      </c>
      <c r="I2003" s="156"/>
    </row>
    <row r="2004" spans="2:9" x14ac:dyDescent="0.2">
      <c r="B2004" s="230">
        <v>43047</v>
      </c>
      <c r="C2004" s="124">
        <v>265.39999999999998</v>
      </c>
      <c r="D2004" s="156">
        <f t="shared" si="63"/>
        <v>2.0572966737165799E-2</v>
      </c>
      <c r="E2004" s="156">
        <v>2.7929027412692399E-3</v>
      </c>
      <c r="F2004" s="124">
        <v>1998</v>
      </c>
      <c r="G2004" s="238">
        <f t="shared" ca="1" si="64"/>
        <v>2.4018651651676909E-2</v>
      </c>
      <c r="I2004" s="156"/>
    </row>
    <row r="2005" spans="2:9" x14ac:dyDescent="0.2">
      <c r="B2005" s="230">
        <v>43046</v>
      </c>
      <c r="C2005" s="124">
        <v>265.3</v>
      </c>
      <c r="D2005" s="156">
        <f t="shared" si="63"/>
        <v>-3.7678975131863566E-4</v>
      </c>
      <c r="E2005" s="156">
        <v>2.7849893792778069E-3</v>
      </c>
      <c r="F2005" s="124">
        <v>1999</v>
      </c>
      <c r="G2005" s="238">
        <f t="shared" ca="1" si="64"/>
        <v>1.9691041078544611E-2</v>
      </c>
      <c r="I2005" s="156"/>
    </row>
    <row r="2006" spans="2:9" x14ac:dyDescent="0.2">
      <c r="B2006" s="230">
        <v>43045</v>
      </c>
      <c r="C2006" s="124">
        <v>264.89999999999998</v>
      </c>
      <c r="D2006" s="156">
        <f t="shared" si="63"/>
        <v>-1.507727101394776E-3</v>
      </c>
      <c r="E2006" s="156">
        <v>2.7770063871146904E-3</v>
      </c>
      <c r="F2006" s="124">
        <v>2000</v>
      </c>
      <c r="G2006" s="238">
        <f t="shared" ca="1" si="64"/>
        <v>7.9884597018699526E-3</v>
      </c>
      <c r="I2006" s="156"/>
    </row>
    <row r="2007" spans="2:9" x14ac:dyDescent="0.2">
      <c r="B2007" s="230">
        <v>43042</v>
      </c>
      <c r="C2007" s="124">
        <v>265.39999999999998</v>
      </c>
      <c r="D2007" s="156">
        <f t="shared" si="63"/>
        <v>1.887504718761797E-3</v>
      </c>
      <c r="E2007" s="156">
        <v>2.7768136063865134E-3</v>
      </c>
      <c r="F2007" s="124">
        <v>2001</v>
      </c>
      <c r="G2007" s="238">
        <f t="shared" ca="1" si="64"/>
        <v>-2.0360193536344801E-2</v>
      </c>
      <c r="I2007" s="156"/>
    </row>
    <row r="2008" spans="2:9" x14ac:dyDescent="0.2">
      <c r="B2008" s="230">
        <v>43041</v>
      </c>
      <c r="C2008" s="124">
        <v>265.64999999999998</v>
      </c>
      <c r="D2008" s="156">
        <f t="shared" si="63"/>
        <v>9.4197437829691044E-4</v>
      </c>
      <c r="E2008" s="156">
        <v>2.7717893440098351E-3</v>
      </c>
      <c r="F2008" s="124">
        <v>2002</v>
      </c>
      <c r="G2008" s="238">
        <f t="shared" ca="1" si="64"/>
        <v>-7.9809562294946216E-4</v>
      </c>
      <c r="I2008" s="156"/>
    </row>
    <row r="2009" spans="2:9" x14ac:dyDescent="0.2">
      <c r="B2009" s="230">
        <v>43040</v>
      </c>
      <c r="C2009" s="124">
        <v>269.85000000000002</v>
      </c>
      <c r="D2009" s="156">
        <f t="shared" si="63"/>
        <v>1.581027667984207E-2</v>
      </c>
      <c r="E2009" s="156">
        <v>2.7624309392263622E-3</v>
      </c>
      <c r="F2009" s="124">
        <v>2003</v>
      </c>
      <c r="G2009" s="238">
        <f t="shared" ca="1" si="64"/>
        <v>7.3251674373742311E-3</v>
      </c>
      <c r="I2009" s="156"/>
    </row>
    <row r="2010" spans="2:9" x14ac:dyDescent="0.2">
      <c r="B2010" s="230">
        <v>43039</v>
      </c>
      <c r="C2010" s="124">
        <v>265.7</v>
      </c>
      <c r="D2010" s="156">
        <f t="shared" si="63"/>
        <v>-1.5378914211599162E-2</v>
      </c>
      <c r="E2010" s="156">
        <v>2.7548209366390986E-3</v>
      </c>
      <c r="F2010" s="124">
        <v>2004</v>
      </c>
      <c r="G2010" s="238">
        <f t="shared" ca="1" si="64"/>
        <v>-6.7761706607786121E-4</v>
      </c>
      <c r="I2010" s="156"/>
    </row>
    <row r="2011" spans="2:9" x14ac:dyDescent="0.2">
      <c r="B2011" s="230">
        <v>43038</v>
      </c>
      <c r="C2011" s="124">
        <v>265.14999999999998</v>
      </c>
      <c r="D2011" s="156">
        <f t="shared" si="63"/>
        <v>-2.0700037636432497E-3</v>
      </c>
      <c r="E2011" s="156">
        <v>2.7482594356907034E-3</v>
      </c>
      <c r="F2011" s="124">
        <v>2005</v>
      </c>
      <c r="G2011" s="238">
        <f t="shared" ca="1" si="64"/>
        <v>2.5206056258389654E-2</v>
      </c>
      <c r="I2011" s="156"/>
    </row>
    <row r="2012" spans="2:9" x14ac:dyDescent="0.2">
      <c r="B2012" s="230">
        <v>43035</v>
      </c>
      <c r="C2012" s="124">
        <v>269.35000000000002</v>
      </c>
      <c r="D2012" s="156">
        <f t="shared" si="63"/>
        <v>1.5840090514803114E-2</v>
      </c>
      <c r="E2012" s="156">
        <v>2.7354900095148292E-3</v>
      </c>
      <c r="F2012" s="124">
        <v>2006</v>
      </c>
      <c r="G2012" s="238">
        <f t="shared" ca="1" si="64"/>
        <v>-1.7335572707482851E-2</v>
      </c>
      <c r="I2012" s="156"/>
    </row>
    <row r="2013" spans="2:9" x14ac:dyDescent="0.2">
      <c r="B2013" s="230">
        <v>43034</v>
      </c>
      <c r="C2013" s="124">
        <v>268.39999999999998</v>
      </c>
      <c r="D2013" s="156">
        <f t="shared" si="63"/>
        <v>-3.5270094672361068E-3</v>
      </c>
      <c r="E2013" s="156">
        <v>2.7342325920524969E-3</v>
      </c>
      <c r="F2013" s="124">
        <v>2007</v>
      </c>
      <c r="G2013" s="238">
        <f t="shared" ca="1" si="64"/>
        <v>-2.4495442908464202E-2</v>
      </c>
      <c r="I2013" s="156"/>
    </row>
    <row r="2014" spans="2:9" x14ac:dyDescent="0.2">
      <c r="B2014" s="230">
        <v>43033</v>
      </c>
      <c r="C2014" s="124">
        <v>269.25</v>
      </c>
      <c r="D2014" s="156">
        <f t="shared" si="63"/>
        <v>3.1669150521610387E-3</v>
      </c>
      <c r="E2014" s="156">
        <v>2.7272727272728307E-3</v>
      </c>
      <c r="F2014" s="124">
        <v>2008</v>
      </c>
      <c r="G2014" s="238">
        <f t="shared" ca="1" si="64"/>
        <v>-3.6522513826493718E-3</v>
      </c>
      <c r="I2014" s="156"/>
    </row>
    <row r="2015" spans="2:9" x14ac:dyDescent="0.2">
      <c r="B2015" s="230">
        <v>43032</v>
      </c>
      <c r="C2015" s="124">
        <v>267</v>
      </c>
      <c r="D2015" s="156">
        <f t="shared" si="63"/>
        <v>-8.356545961002786E-3</v>
      </c>
      <c r="E2015" s="156">
        <v>2.7243007628042133E-3</v>
      </c>
      <c r="F2015" s="124">
        <v>2009</v>
      </c>
      <c r="G2015" s="238">
        <f t="shared" ca="1" si="64"/>
        <v>-2.1384524177919237E-2</v>
      </c>
      <c r="I2015" s="156"/>
    </row>
    <row r="2016" spans="2:9" x14ac:dyDescent="0.2">
      <c r="B2016" s="230">
        <v>43031</v>
      </c>
      <c r="C2016" s="124">
        <v>267.05</v>
      </c>
      <c r="D2016" s="156">
        <f t="shared" si="63"/>
        <v>1.8726591760303884E-4</v>
      </c>
      <c r="E2016" s="156">
        <v>2.717391304347826E-3</v>
      </c>
      <c r="F2016" s="124">
        <v>2010</v>
      </c>
      <c r="G2016" s="238">
        <f t="shared" ca="1" si="64"/>
        <v>-8.0009767672442784E-4</v>
      </c>
      <c r="I2016" s="156"/>
    </row>
    <row r="2017" spans="2:9" x14ac:dyDescent="0.2">
      <c r="B2017" s="230">
        <v>43027</v>
      </c>
      <c r="C2017" s="124">
        <v>269.64999999999998</v>
      </c>
      <c r="D2017" s="156">
        <f t="shared" si="63"/>
        <v>9.7360044935404077E-3</v>
      </c>
      <c r="E2017" s="156">
        <v>2.7110522665656539E-3</v>
      </c>
      <c r="F2017" s="124">
        <v>2011</v>
      </c>
      <c r="G2017" s="238">
        <f t="shared" ca="1" si="64"/>
        <v>-3.3518294909068949E-2</v>
      </c>
      <c r="I2017" s="156"/>
    </row>
    <row r="2018" spans="2:9" x14ac:dyDescent="0.2">
      <c r="B2018" s="230">
        <v>43026</v>
      </c>
      <c r="C2018" s="124">
        <v>270.35000000000002</v>
      </c>
      <c r="D2018" s="156">
        <f t="shared" si="63"/>
        <v>2.5959577229743946E-3</v>
      </c>
      <c r="E2018" s="156">
        <v>2.70247205074971E-3</v>
      </c>
      <c r="F2018" s="124">
        <v>2012</v>
      </c>
      <c r="G2018" s="238">
        <f t="shared" ca="1" si="64"/>
        <v>-1.2448640736576753E-2</v>
      </c>
      <c r="I2018" s="156"/>
    </row>
    <row r="2019" spans="2:9" x14ac:dyDescent="0.2">
      <c r="B2019" s="230">
        <v>43025</v>
      </c>
      <c r="C2019" s="124">
        <v>267.25</v>
      </c>
      <c r="D2019" s="156">
        <f t="shared" si="63"/>
        <v>-1.1466617347882457E-2</v>
      </c>
      <c r="E2019" s="156">
        <v>2.6992696093998368E-3</v>
      </c>
      <c r="F2019" s="124">
        <v>2013</v>
      </c>
      <c r="G2019" s="238">
        <f t="shared" ca="1" si="64"/>
        <v>-1.2090465921639447E-2</v>
      </c>
      <c r="I2019" s="156"/>
    </row>
    <row r="2020" spans="2:9" x14ac:dyDescent="0.2">
      <c r="B2020" s="230">
        <v>43024</v>
      </c>
      <c r="C2020" s="124">
        <v>267.5</v>
      </c>
      <c r="D2020" s="156">
        <f t="shared" si="63"/>
        <v>9.3545369504209543E-4</v>
      </c>
      <c r="E2020" s="156">
        <v>2.696256351757657E-3</v>
      </c>
      <c r="F2020" s="124">
        <v>2014</v>
      </c>
      <c r="G2020" s="238">
        <f t="shared" ca="1" si="64"/>
        <v>-3.5865797411327519E-2</v>
      </c>
      <c r="I2020" s="156"/>
    </row>
    <row r="2021" spans="2:9" x14ac:dyDescent="0.2">
      <c r="B2021" s="230">
        <v>43021</v>
      </c>
      <c r="C2021" s="124">
        <v>265.95</v>
      </c>
      <c r="D2021" s="156">
        <f t="shared" si="63"/>
        <v>-5.7943925233645286E-3</v>
      </c>
      <c r="E2021" s="156">
        <v>2.6922813662187289E-3</v>
      </c>
      <c r="F2021" s="124">
        <v>2015</v>
      </c>
      <c r="G2021" s="238">
        <f t="shared" ca="1" si="64"/>
        <v>-2.6701027930829536E-3</v>
      </c>
      <c r="I2021" s="156"/>
    </row>
    <row r="2022" spans="2:9" x14ac:dyDescent="0.2">
      <c r="B2022" s="230">
        <v>43020</v>
      </c>
      <c r="C2022" s="124">
        <v>267</v>
      </c>
      <c r="D2022" s="156">
        <f t="shared" si="63"/>
        <v>3.9481105470953615E-3</v>
      </c>
      <c r="E2022" s="156">
        <v>2.6860185665142696E-3</v>
      </c>
      <c r="F2022" s="124">
        <v>2016</v>
      </c>
      <c r="G2022" s="238">
        <f t="shared" ca="1" si="64"/>
        <v>-6.9527477134802432E-3</v>
      </c>
      <c r="I2022" s="156"/>
    </row>
    <row r="2023" spans="2:9" x14ac:dyDescent="0.2">
      <c r="B2023" s="230">
        <v>43019</v>
      </c>
      <c r="C2023" s="124">
        <v>265.39999999999998</v>
      </c>
      <c r="D2023" s="156">
        <f t="shared" si="63"/>
        <v>-5.9925093632959654E-3</v>
      </c>
      <c r="E2023" s="156">
        <v>2.684236212786642E-3</v>
      </c>
      <c r="F2023" s="124">
        <v>2017</v>
      </c>
      <c r="G2023" s="238">
        <f t="shared" ca="1" si="64"/>
        <v>-1.0488570268297649E-2</v>
      </c>
      <c r="I2023" s="156"/>
    </row>
    <row r="2024" spans="2:9" x14ac:dyDescent="0.2">
      <c r="B2024" s="230">
        <v>43018</v>
      </c>
      <c r="C2024" s="124">
        <v>266.2</v>
      </c>
      <c r="D2024" s="156">
        <f t="shared" si="63"/>
        <v>3.014318010550156E-3</v>
      </c>
      <c r="E2024" s="156">
        <v>2.6783540297054364E-3</v>
      </c>
      <c r="F2024" s="124">
        <v>2018</v>
      </c>
      <c r="G2024" s="238">
        <f t="shared" ca="1" si="64"/>
        <v>8.863529696519103E-3</v>
      </c>
      <c r="I2024" s="156"/>
    </row>
    <row r="2025" spans="2:9" x14ac:dyDescent="0.2">
      <c r="B2025" s="230">
        <v>43017</v>
      </c>
      <c r="C2025" s="124">
        <v>268</v>
      </c>
      <c r="D2025" s="156">
        <f t="shared" si="63"/>
        <v>6.7618332081142429E-3</v>
      </c>
      <c r="E2025" s="156">
        <v>2.6731470230863248E-3</v>
      </c>
      <c r="F2025" s="124">
        <v>2019</v>
      </c>
      <c r="G2025" s="238">
        <f t="shared" ca="1" si="64"/>
        <v>-6.8202792098277709E-3</v>
      </c>
      <c r="I2025" s="156"/>
    </row>
    <row r="2026" spans="2:9" x14ac:dyDescent="0.2">
      <c r="B2026" s="230">
        <v>43014</v>
      </c>
      <c r="C2026" s="124">
        <v>266.14999999999998</v>
      </c>
      <c r="D2026" s="156">
        <f t="shared" si="63"/>
        <v>-6.9029850746269508E-3</v>
      </c>
      <c r="E2026" s="156">
        <v>2.6690391459074478E-3</v>
      </c>
      <c r="F2026" s="124">
        <v>2020</v>
      </c>
      <c r="G2026" s="238">
        <f t="shared" ca="1" si="64"/>
        <v>-1.4354239263363813E-2</v>
      </c>
      <c r="I2026" s="156"/>
    </row>
    <row r="2027" spans="2:9" x14ac:dyDescent="0.2">
      <c r="B2027" s="230">
        <v>43013</v>
      </c>
      <c r="C2027" s="124">
        <v>265.25</v>
      </c>
      <c r="D2027" s="156">
        <f t="shared" si="63"/>
        <v>-3.3815517565281882E-3</v>
      </c>
      <c r="E2027" s="156">
        <v>2.6680006670000149E-3</v>
      </c>
      <c r="F2027" s="124">
        <v>2021</v>
      </c>
      <c r="G2027" s="238">
        <f t="shared" ca="1" si="64"/>
        <v>2.4026004356512334E-3</v>
      </c>
      <c r="I2027" s="156"/>
    </row>
    <row r="2028" spans="2:9" x14ac:dyDescent="0.2">
      <c r="B2028" s="230">
        <v>43012</v>
      </c>
      <c r="C2028" s="124">
        <v>267.39999999999998</v>
      </c>
      <c r="D2028" s="156">
        <f t="shared" si="63"/>
        <v>8.1055607917058514E-3</v>
      </c>
      <c r="E2028" s="156">
        <v>2.6656973221859271E-3</v>
      </c>
      <c r="F2028" s="124">
        <v>2022</v>
      </c>
      <c r="G2028" s="238">
        <f t="shared" ca="1" si="64"/>
        <v>-6.109820524160839E-3</v>
      </c>
      <c r="I2028" s="156"/>
    </row>
    <row r="2029" spans="2:9" x14ac:dyDescent="0.2">
      <c r="B2029" s="230">
        <v>43011</v>
      </c>
      <c r="C2029" s="124">
        <v>261.39999999999998</v>
      </c>
      <c r="D2029" s="156">
        <f t="shared" si="63"/>
        <v>-2.243829468960359E-2</v>
      </c>
      <c r="E2029" s="156">
        <v>2.6631158455391714E-3</v>
      </c>
      <c r="F2029" s="124">
        <v>2023</v>
      </c>
      <c r="G2029" s="238">
        <f t="shared" ca="1" si="64"/>
        <v>9.4219518168996638E-3</v>
      </c>
      <c r="I2029" s="156"/>
    </row>
    <row r="2030" spans="2:9" x14ac:dyDescent="0.2">
      <c r="B2030" s="230">
        <v>43007</v>
      </c>
      <c r="C2030" s="124">
        <v>258.3</v>
      </c>
      <c r="D2030" s="156">
        <f t="shared" si="63"/>
        <v>-1.1859219586839963E-2</v>
      </c>
      <c r="E2030" s="156">
        <v>2.644230769230824E-3</v>
      </c>
      <c r="F2030" s="124">
        <v>2024</v>
      </c>
      <c r="G2030" s="238">
        <f t="shared" ca="1" si="64"/>
        <v>-2.1497071137207086E-2</v>
      </c>
      <c r="I2030" s="156"/>
    </row>
    <row r="2031" spans="2:9" x14ac:dyDescent="0.2">
      <c r="B2031" s="230">
        <v>43006</v>
      </c>
      <c r="C2031" s="124">
        <v>261.55</v>
      </c>
      <c r="D2031" s="156">
        <f t="shared" si="63"/>
        <v>1.2582268679829655E-2</v>
      </c>
      <c r="E2031" s="156">
        <v>2.64177527298342E-3</v>
      </c>
      <c r="F2031" s="124">
        <v>2025</v>
      </c>
      <c r="G2031" s="238">
        <f t="shared" ca="1" si="64"/>
        <v>-4.4782111931017535E-3</v>
      </c>
      <c r="I2031" s="156"/>
    </row>
    <row r="2032" spans="2:9" x14ac:dyDescent="0.2">
      <c r="B2032" s="230">
        <v>43005</v>
      </c>
      <c r="C2032" s="124">
        <v>258.5</v>
      </c>
      <c r="D2032" s="156">
        <f t="shared" si="63"/>
        <v>-1.1661250238960089E-2</v>
      </c>
      <c r="E2032" s="156">
        <v>2.6293595277075018E-3</v>
      </c>
      <c r="F2032" s="124">
        <v>2026</v>
      </c>
      <c r="G2032" s="238">
        <f t="shared" ca="1" si="64"/>
        <v>9.8142960515862094E-4</v>
      </c>
      <c r="I2032" s="156"/>
    </row>
    <row r="2033" spans="2:9" x14ac:dyDescent="0.2">
      <c r="B2033" s="230">
        <v>43004</v>
      </c>
      <c r="C2033" s="124">
        <v>262.45</v>
      </c>
      <c r="D2033" s="156">
        <f t="shared" si="63"/>
        <v>1.5280464216634385E-2</v>
      </c>
      <c r="E2033" s="156">
        <v>2.6287668305193805E-3</v>
      </c>
      <c r="F2033" s="124">
        <v>2027</v>
      </c>
      <c r="G2033" s="238">
        <f t="shared" ca="1" si="64"/>
        <v>2.3761629537651557E-4</v>
      </c>
      <c r="I2033" s="156"/>
    </row>
    <row r="2034" spans="2:9" x14ac:dyDescent="0.2">
      <c r="B2034" s="230">
        <v>43003</v>
      </c>
      <c r="C2034" s="124">
        <v>262.25</v>
      </c>
      <c r="D2034" s="156">
        <f t="shared" si="63"/>
        <v>-7.6204991426934133E-4</v>
      </c>
      <c r="E2034" s="156">
        <v>2.6182294223531942E-3</v>
      </c>
      <c r="F2034" s="124">
        <v>2028</v>
      </c>
      <c r="G2034" s="238">
        <f t="shared" ca="1" si="64"/>
        <v>2.3771855375989664E-2</v>
      </c>
      <c r="I2034" s="156"/>
    </row>
    <row r="2035" spans="2:9" x14ac:dyDescent="0.2">
      <c r="B2035" s="230">
        <v>43000</v>
      </c>
      <c r="C2035" s="124">
        <v>268.45</v>
      </c>
      <c r="D2035" s="156">
        <f t="shared" si="63"/>
        <v>2.3641563393708251E-2</v>
      </c>
      <c r="E2035" s="156">
        <v>2.6078710289235796E-3</v>
      </c>
      <c r="F2035" s="124">
        <v>2029</v>
      </c>
      <c r="G2035" s="238">
        <f t="shared" ca="1" si="64"/>
        <v>-1.3487700538240478E-2</v>
      </c>
      <c r="I2035" s="156"/>
    </row>
    <row r="2036" spans="2:9" x14ac:dyDescent="0.2">
      <c r="B2036" s="230">
        <v>42999</v>
      </c>
      <c r="C2036" s="124">
        <v>269.55</v>
      </c>
      <c r="D2036" s="156">
        <f t="shared" si="63"/>
        <v>4.0975973179363861E-3</v>
      </c>
      <c r="E2036" s="156">
        <v>2.6020491136769649E-3</v>
      </c>
      <c r="F2036" s="124">
        <v>2030</v>
      </c>
      <c r="G2036" s="238">
        <f t="shared" ca="1" si="64"/>
        <v>-3.5745908127911728E-3</v>
      </c>
      <c r="I2036" s="156"/>
    </row>
    <row r="2037" spans="2:9" x14ac:dyDescent="0.2">
      <c r="B2037" s="230">
        <v>42998</v>
      </c>
      <c r="C2037" s="124">
        <v>271.55</v>
      </c>
      <c r="D2037" s="156">
        <f t="shared" si="63"/>
        <v>7.4197736969022444E-3</v>
      </c>
      <c r="E2037" s="156">
        <v>2.5959577229743946E-3</v>
      </c>
      <c r="F2037" s="124">
        <v>2031</v>
      </c>
      <c r="G2037" s="238">
        <f t="shared" ca="1" si="64"/>
        <v>9.3450172653814743E-3</v>
      </c>
      <c r="I2037" s="156"/>
    </row>
    <row r="2038" spans="2:9" x14ac:dyDescent="0.2">
      <c r="B2038" s="230">
        <v>42997</v>
      </c>
      <c r="C2038" s="124">
        <v>267.85000000000002</v>
      </c>
      <c r="D2038" s="156">
        <f t="shared" si="63"/>
        <v>-1.3625483336402093E-2</v>
      </c>
      <c r="E2038" s="156">
        <v>2.5935851992737713E-3</v>
      </c>
      <c r="F2038" s="124">
        <v>2032</v>
      </c>
      <c r="G2038" s="238">
        <f t="shared" ca="1" si="64"/>
        <v>-2.6851636805539235E-3</v>
      </c>
      <c r="I2038" s="156"/>
    </row>
    <row r="2039" spans="2:9" x14ac:dyDescent="0.2">
      <c r="B2039" s="230">
        <v>42996</v>
      </c>
      <c r="C2039" s="124">
        <v>267</v>
      </c>
      <c r="D2039" s="156">
        <f t="shared" si="63"/>
        <v>-3.173417957812293E-3</v>
      </c>
      <c r="E2039" s="156">
        <v>2.5924147863657801E-3</v>
      </c>
      <c r="F2039" s="124">
        <v>2033</v>
      </c>
      <c r="G2039" s="238">
        <f t="shared" ca="1" si="64"/>
        <v>5.0151073407254717E-3</v>
      </c>
      <c r="I2039" s="156"/>
    </row>
    <row r="2040" spans="2:9" x14ac:dyDescent="0.2">
      <c r="B2040" s="230">
        <v>42993</v>
      </c>
      <c r="C2040" s="124">
        <v>269.3</v>
      </c>
      <c r="D2040" s="156">
        <f t="shared" si="63"/>
        <v>8.6142322097378706E-3</v>
      </c>
      <c r="E2040" s="156">
        <v>2.5867245600258775E-3</v>
      </c>
      <c r="F2040" s="124">
        <v>2034</v>
      </c>
      <c r="G2040" s="238">
        <f t="shared" ca="1" si="64"/>
        <v>4.3230870103803378E-3</v>
      </c>
      <c r="I2040" s="156"/>
    </row>
    <row r="2041" spans="2:9" x14ac:dyDescent="0.2">
      <c r="B2041" s="230">
        <v>42992</v>
      </c>
      <c r="C2041" s="124">
        <v>272</v>
      </c>
      <c r="D2041" s="156">
        <f t="shared" si="63"/>
        <v>1.0025993316004414E-2</v>
      </c>
      <c r="E2041" s="156">
        <v>2.5809361531523244E-3</v>
      </c>
      <c r="F2041" s="124">
        <v>2035</v>
      </c>
      <c r="G2041" s="238">
        <f t="shared" ca="1" si="64"/>
        <v>2.4459403634465689E-2</v>
      </c>
      <c r="I2041" s="156"/>
    </row>
    <row r="2042" spans="2:9" x14ac:dyDescent="0.2">
      <c r="B2042" s="230">
        <v>42991</v>
      </c>
      <c r="C2042" s="124">
        <v>271.5</v>
      </c>
      <c r="D2042" s="156">
        <f t="shared" si="63"/>
        <v>-1.838235294117647E-3</v>
      </c>
      <c r="E2042" s="156">
        <v>2.5792188651435873E-3</v>
      </c>
      <c r="F2042" s="124">
        <v>2036</v>
      </c>
      <c r="G2042" s="238">
        <f t="shared" ca="1" si="64"/>
        <v>1.0610522902882348E-2</v>
      </c>
      <c r="I2042" s="156"/>
    </row>
    <row r="2043" spans="2:9" x14ac:dyDescent="0.2">
      <c r="B2043" s="230">
        <v>42990</v>
      </c>
      <c r="C2043" s="124">
        <v>277.64999999999998</v>
      </c>
      <c r="D2043" s="156">
        <f t="shared" si="63"/>
        <v>2.2651933701657374E-2</v>
      </c>
      <c r="E2043" s="156">
        <v>2.5791324736225622E-3</v>
      </c>
      <c r="F2043" s="124">
        <v>2037</v>
      </c>
      <c r="G2043" s="238">
        <f t="shared" ca="1" si="64"/>
        <v>-1.0663467466531086E-3</v>
      </c>
      <c r="I2043" s="156"/>
    </row>
    <row r="2044" spans="2:9" x14ac:dyDescent="0.2">
      <c r="B2044" s="230">
        <v>42989</v>
      </c>
      <c r="C2044" s="124">
        <v>273.60000000000002</v>
      </c>
      <c r="D2044" s="156">
        <f t="shared" si="63"/>
        <v>-1.4586709886547649E-2</v>
      </c>
      <c r="E2044" s="156">
        <v>2.5789813023856171E-3</v>
      </c>
      <c r="F2044" s="124">
        <v>2038</v>
      </c>
      <c r="G2044" s="238">
        <f t="shared" ca="1" si="64"/>
        <v>1.7889371839134353E-2</v>
      </c>
      <c r="I2044" s="156"/>
    </row>
    <row r="2045" spans="2:9" x14ac:dyDescent="0.2">
      <c r="B2045" s="230">
        <v>42986</v>
      </c>
      <c r="C2045" s="124">
        <v>272.35000000000002</v>
      </c>
      <c r="D2045" s="156">
        <f t="shared" si="63"/>
        <v>-4.5687134502923974E-3</v>
      </c>
      <c r="E2045" s="156">
        <v>2.5698324022346286E-3</v>
      </c>
      <c r="F2045" s="124">
        <v>2039</v>
      </c>
      <c r="G2045" s="238">
        <f t="shared" ca="1" si="64"/>
        <v>-1.5741096591204713E-2</v>
      </c>
      <c r="I2045" s="156"/>
    </row>
    <row r="2046" spans="2:9" x14ac:dyDescent="0.2">
      <c r="B2046" s="230">
        <v>42985</v>
      </c>
      <c r="C2046" s="124">
        <v>270.39999999999998</v>
      </c>
      <c r="D2046" s="156">
        <f t="shared" ref="D2046:D2109" si="65">(C2046-C2045)/C2045</f>
        <v>-7.1599045346063712E-3</v>
      </c>
      <c r="E2046" s="156">
        <v>2.5545750116116252E-3</v>
      </c>
      <c r="F2046" s="124">
        <v>2040</v>
      </c>
      <c r="G2046" s="238">
        <f t="shared" ca="1" si="64"/>
        <v>-1.3664772744194878E-2</v>
      </c>
      <c r="I2046" s="156"/>
    </row>
    <row r="2047" spans="2:9" x14ac:dyDescent="0.2">
      <c r="B2047" s="230">
        <v>42984</v>
      </c>
      <c r="C2047" s="124">
        <v>275.7</v>
      </c>
      <c r="D2047" s="156">
        <f t="shared" si="65"/>
        <v>1.9600591715976376E-2</v>
      </c>
      <c r="E2047" s="156">
        <v>2.5522150416784485E-3</v>
      </c>
      <c r="F2047" s="124">
        <v>2041</v>
      </c>
      <c r="G2047" s="238">
        <f t="shared" ca="1" si="64"/>
        <v>3.6025911341147172E-3</v>
      </c>
      <c r="I2047" s="156"/>
    </row>
    <row r="2048" spans="2:9" x14ac:dyDescent="0.2">
      <c r="B2048" s="230">
        <v>42983</v>
      </c>
      <c r="C2048" s="124">
        <v>282.85000000000002</v>
      </c>
      <c r="D2048" s="156">
        <f t="shared" si="65"/>
        <v>2.5933986216902554E-2</v>
      </c>
      <c r="E2048" s="156">
        <v>2.5465230166503931E-3</v>
      </c>
      <c r="F2048" s="124">
        <v>2042</v>
      </c>
      <c r="G2048" s="238">
        <f t="shared" ca="1" si="64"/>
        <v>5.5176125704685932E-3</v>
      </c>
      <c r="I2048" s="156"/>
    </row>
    <row r="2049" spans="2:9" x14ac:dyDescent="0.2">
      <c r="B2049" s="230">
        <v>42982</v>
      </c>
      <c r="C2049" s="124">
        <v>283.10000000000002</v>
      </c>
      <c r="D2049" s="156">
        <f t="shared" si="65"/>
        <v>8.8386070355311994E-4</v>
      </c>
      <c r="E2049" s="156">
        <v>2.5441439258563009E-3</v>
      </c>
      <c r="F2049" s="124">
        <v>2043</v>
      </c>
      <c r="G2049" s="238">
        <f t="shared" ca="1" si="64"/>
        <v>-4.359475360666107E-3</v>
      </c>
      <c r="I2049" s="156"/>
    </row>
    <row r="2050" spans="2:9" x14ac:dyDescent="0.2">
      <c r="B2050" s="230">
        <v>42979</v>
      </c>
      <c r="C2050" s="124">
        <v>283.60000000000002</v>
      </c>
      <c r="D2050" s="156">
        <f t="shared" si="65"/>
        <v>1.7661603673613563E-3</v>
      </c>
      <c r="E2050" s="156">
        <v>2.540834845734986E-3</v>
      </c>
      <c r="F2050" s="124">
        <v>2044</v>
      </c>
      <c r="G2050" s="238">
        <f t="shared" ca="1" si="64"/>
        <v>1.7083562694520642E-2</v>
      </c>
      <c r="I2050" s="156"/>
    </row>
    <row r="2051" spans="2:9" x14ac:dyDescent="0.2">
      <c r="B2051" s="230">
        <v>42978</v>
      </c>
      <c r="C2051" s="124">
        <v>282.25</v>
      </c>
      <c r="D2051" s="156">
        <f t="shared" si="65"/>
        <v>-4.7602256699577671E-3</v>
      </c>
      <c r="E2051" s="156">
        <v>2.5351014040560734E-3</v>
      </c>
      <c r="F2051" s="124">
        <v>2045</v>
      </c>
      <c r="G2051" s="238">
        <f t="shared" ca="1" si="64"/>
        <v>-3.9955550515599781E-3</v>
      </c>
      <c r="I2051" s="156"/>
    </row>
    <row r="2052" spans="2:9" x14ac:dyDescent="0.2">
      <c r="B2052" s="230">
        <v>42977</v>
      </c>
      <c r="C2052" s="124">
        <v>282</v>
      </c>
      <c r="D2052" s="156">
        <f t="shared" si="65"/>
        <v>-8.8573959255978745E-4</v>
      </c>
      <c r="E2052" s="156">
        <v>2.535007242877761E-3</v>
      </c>
      <c r="F2052" s="124">
        <v>2046</v>
      </c>
      <c r="G2052" s="238">
        <f t="shared" ca="1" si="64"/>
        <v>-1.7047191000245692E-2</v>
      </c>
      <c r="I2052" s="156"/>
    </row>
    <row r="2053" spans="2:9" x14ac:dyDescent="0.2">
      <c r="B2053" s="230">
        <v>42976</v>
      </c>
      <c r="C2053" s="124">
        <v>280.25</v>
      </c>
      <c r="D2053" s="156">
        <f t="shared" si="65"/>
        <v>-6.2056737588652485E-3</v>
      </c>
      <c r="E2053" s="156">
        <v>2.5304253524521302E-3</v>
      </c>
      <c r="F2053" s="124">
        <v>2047</v>
      </c>
      <c r="G2053" s="238">
        <f t="shared" ca="1" si="64"/>
        <v>5.8789920813787895E-3</v>
      </c>
      <c r="I2053" s="156"/>
    </row>
    <row r="2054" spans="2:9" x14ac:dyDescent="0.2">
      <c r="B2054" s="230">
        <v>42975</v>
      </c>
      <c r="C2054" s="124">
        <v>282.45</v>
      </c>
      <c r="D2054" s="156">
        <f t="shared" si="65"/>
        <v>7.8501338090989775E-3</v>
      </c>
      <c r="E2054" s="156">
        <v>2.5295736924336241E-3</v>
      </c>
      <c r="F2054" s="124">
        <v>2048</v>
      </c>
      <c r="G2054" s="238">
        <f t="shared" ca="1" si="64"/>
        <v>2.0068551096753932E-2</v>
      </c>
      <c r="I2054" s="156"/>
    </row>
    <row r="2055" spans="2:9" x14ac:dyDescent="0.2">
      <c r="B2055" s="230">
        <v>42971</v>
      </c>
      <c r="C2055" s="124">
        <v>281.45</v>
      </c>
      <c r="D2055" s="156">
        <f t="shared" si="65"/>
        <v>-3.5404496371039124E-3</v>
      </c>
      <c r="E2055" s="156">
        <v>2.5286075515363431E-3</v>
      </c>
      <c r="F2055" s="124">
        <v>2049</v>
      </c>
      <c r="G2055" s="238">
        <f t="shared" ref="G2055:G2118" ca="1" si="66">_xlfn.NORM.INV(RAND(),$L$8,$L$9)</f>
        <v>1.785134512204664E-3</v>
      </c>
      <c r="I2055" s="156"/>
    </row>
    <row r="2056" spans="2:9" x14ac:dyDescent="0.2">
      <c r="B2056" s="230">
        <v>42970</v>
      </c>
      <c r="C2056" s="124">
        <v>282.55</v>
      </c>
      <c r="D2056" s="156">
        <f t="shared" si="65"/>
        <v>3.9083318529046819E-3</v>
      </c>
      <c r="E2056" s="156">
        <v>2.5205210563882838E-3</v>
      </c>
      <c r="F2056" s="124">
        <v>2050</v>
      </c>
      <c r="G2056" s="238">
        <f t="shared" ca="1" si="66"/>
        <v>5.1945133817480275E-2</v>
      </c>
      <c r="I2056" s="156"/>
    </row>
    <row r="2057" spans="2:9" x14ac:dyDescent="0.2">
      <c r="B2057" s="230">
        <v>42969</v>
      </c>
      <c r="C2057" s="124">
        <v>282.89999999999998</v>
      </c>
      <c r="D2057" s="156">
        <f t="shared" si="65"/>
        <v>1.2387188108298208E-3</v>
      </c>
      <c r="E2057" s="156">
        <v>2.5008775008775958E-3</v>
      </c>
      <c r="F2057" s="124">
        <v>2051</v>
      </c>
      <c r="G2057" s="238">
        <f t="shared" ca="1" si="66"/>
        <v>-7.6607223031731446E-3</v>
      </c>
      <c r="I2057" s="156"/>
    </row>
    <row r="2058" spans="2:9" x14ac:dyDescent="0.2">
      <c r="B2058" s="230">
        <v>42968</v>
      </c>
      <c r="C2058" s="124">
        <v>281.60000000000002</v>
      </c>
      <c r="D2058" s="156">
        <f t="shared" si="65"/>
        <v>-4.5952633439376271E-3</v>
      </c>
      <c r="E2058" s="156">
        <v>2.4912805181863239E-3</v>
      </c>
      <c r="F2058" s="124">
        <v>2052</v>
      </c>
      <c r="G2058" s="238">
        <f t="shared" ca="1" si="66"/>
        <v>-3.0976311889029328E-3</v>
      </c>
      <c r="I2058" s="156"/>
    </row>
    <row r="2059" spans="2:9" x14ac:dyDescent="0.2">
      <c r="B2059" s="230">
        <v>42965</v>
      </c>
      <c r="C2059" s="124">
        <v>281.85000000000002</v>
      </c>
      <c r="D2059" s="156">
        <f t="shared" si="65"/>
        <v>8.8778409090909088E-4</v>
      </c>
      <c r="E2059" s="156">
        <v>2.4658885418378856E-3</v>
      </c>
      <c r="F2059" s="124">
        <v>2053</v>
      </c>
      <c r="G2059" s="238">
        <f t="shared" ca="1" si="66"/>
        <v>-5.0285859104207062E-3</v>
      </c>
      <c r="I2059" s="156"/>
    </row>
    <row r="2060" spans="2:9" x14ac:dyDescent="0.2">
      <c r="B2060" s="230">
        <v>42964</v>
      </c>
      <c r="C2060" s="124">
        <v>280</v>
      </c>
      <c r="D2060" s="156">
        <f t="shared" si="65"/>
        <v>-6.5637750576548609E-3</v>
      </c>
      <c r="E2060" s="156">
        <v>2.4650780608052587E-3</v>
      </c>
      <c r="F2060" s="124">
        <v>2054</v>
      </c>
      <c r="G2060" s="238">
        <f t="shared" ca="1" si="66"/>
        <v>2.5297809369961857E-2</v>
      </c>
      <c r="I2060" s="156"/>
    </row>
    <row r="2061" spans="2:9" x14ac:dyDescent="0.2">
      <c r="B2061" s="230">
        <v>42963</v>
      </c>
      <c r="C2061" s="124">
        <v>279.2</v>
      </c>
      <c r="D2061" s="156">
        <f t="shared" si="65"/>
        <v>-2.8571428571428979E-3</v>
      </c>
      <c r="E2061" s="156">
        <v>2.450579970593017E-3</v>
      </c>
      <c r="F2061" s="124">
        <v>2055</v>
      </c>
      <c r="G2061" s="238">
        <f t="shared" ca="1" si="66"/>
        <v>2.3027480392415037E-2</v>
      </c>
      <c r="I2061" s="156"/>
    </row>
    <row r="2062" spans="2:9" x14ac:dyDescent="0.2">
      <c r="B2062" s="230">
        <v>42961</v>
      </c>
      <c r="C2062" s="124">
        <v>271.25</v>
      </c>
      <c r="D2062" s="156">
        <f t="shared" si="65"/>
        <v>-2.8474212034383915E-2</v>
      </c>
      <c r="E2062" s="156">
        <v>2.4449877750611754E-3</v>
      </c>
      <c r="F2062" s="124">
        <v>2056</v>
      </c>
      <c r="G2062" s="238">
        <f t="shared" ca="1" si="66"/>
        <v>1.3229217589900923E-2</v>
      </c>
      <c r="I2062" s="156"/>
    </row>
    <row r="2063" spans="2:9" x14ac:dyDescent="0.2">
      <c r="B2063" s="230">
        <v>42958</v>
      </c>
      <c r="C2063" s="124">
        <v>271.5</v>
      </c>
      <c r="D2063" s="156">
        <f t="shared" si="65"/>
        <v>9.2165898617511521E-4</v>
      </c>
      <c r="E2063" s="156">
        <v>2.4293956878226643E-3</v>
      </c>
      <c r="F2063" s="124">
        <v>2057</v>
      </c>
      <c r="G2063" s="238">
        <f t="shared" ca="1" si="66"/>
        <v>-1.8711019941857695E-2</v>
      </c>
      <c r="I2063" s="156"/>
    </row>
    <row r="2064" spans="2:9" x14ac:dyDescent="0.2">
      <c r="B2064" s="230">
        <v>42957</v>
      </c>
      <c r="C2064" s="124">
        <v>273.10000000000002</v>
      </c>
      <c r="D2064" s="156">
        <f t="shared" si="65"/>
        <v>5.8931860036833253E-3</v>
      </c>
      <c r="E2064" s="156">
        <v>2.4277456647398121E-3</v>
      </c>
      <c r="F2064" s="124">
        <v>2058</v>
      </c>
      <c r="G2064" s="238">
        <f t="shared" ca="1" si="66"/>
        <v>-1.3693092849737803E-2</v>
      </c>
      <c r="I2064" s="156"/>
    </row>
    <row r="2065" spans="2:9" x14ac:dyDescent="0.2">
      <c r="B2065" s="230">
        <v>42956</v>
      </c>
      <c r="C2065" s="124">
        <v>272.85000000000002</v>
      </c>
      <c r="D2065" s="156">
        <f t="shared" si="65"/>
        <v>-9.1541559868180144E-4</v>
      </c>
      <c r="E2065" s="156">
        <v>2.4165012514024433E-3</v>
      </c>
      <c r="F2065" s="124">
        <v>2059</v>
      </c>
      <c r="G2065" s="238">
        <f t="shared" ca="1" si="66"/>
        <v>-7.6270130487898907E-3</v>
      </c>
      <c r="I2065" s="156"/>
    </row>
    <row r="2066" spans="2:9" x14ac:dyDescent="0.2">
      <c r="B2066" s="230">
        <v>42955</v>
      </c>
      <c r="C2066" s="124">
        <v>274.14999999999998</v>
      </c>
      <c r="D2066" s="156">
        <f t="shared" si="65"/>
        <v>4.7645226314823328E-3</v>
      </c>
      <c r="E2066" s="156">
        <v>2.4164130207486711E-3</v>
      </c>
      <c r="F2066" s="124">
        <v>2060</v>
      </c>
      <c r="G2066" s="238">
        <f t="shared" ca="1" si="66"/>
        <v>7.8601681677605909E-3</v>
      </c>
      <c r="I2066" s="156"/>
    </row>
    <row r="2067" spans="2:9" x14ac:dyDescent="0.2">
      <c r="B2067" s="230">
        <v>42954</v>
      </c>
      <c r="C2067" s="124">
        <v>279.85000000000002</v>
      </c>
      <c r="D2067" s="156">
        <f t="shared" si="65"/>
        <v>2.0791537479482203E-2</v>
      </c>
      <c r="E2067" s="156">
        <v>2.4123213954352725E-3</v>
      </c>
      <c r="F2067" s="124">
        <v>2061</v>
      </c>
      <c r="G2067" s="238">
        <f t="shared" ca="1" si="66"/>
        <v>-3.7332590208502929E-2</v>
      </c>
      <c r="I2067" s="156"/>
    </row>
    <row r="2068" spans="2:9" x14ac:dyDescent="0.2">
      <c r="B2068" s="230">
        <v>42951</v>
      </c>
      <c r="C2068" s="124">
        <v>280.75</v>
      </c>
      <c r="D2068" s="156">
        <f t="shared" si="65"/>
        <v>3.2160085760227879E-3</v>
      </c>
      <c r="E2068" s="156">
        <v>2.4077046548957575E-3</v>
      </c>
      <c r="F2068" s="124">
        <v>2062</v>
      </c>
      <c r="G2068" s="238">
        <f t="shared" ca="1" si="66"/>
        <v>-1.154825850359288E-2</v>
      </c>
      <c r="I2068" s="156"/>
    </row>
    <row r="2069" spans="2:9" x14ac:dyDescent="0.2">
      <c r="B2069" s="230">
        <v>42950</v>
      </c>
      <c r="C2069" s="124">
        <v>281.39999999999998</v>
      </c>
      <c r="D2069" s="156">
        <f t="shared" si="65"/>
        <v>2.3152270703472029E-3</v>
      </c>
      <c r="E2069" s="156">
        <v>2.3820565791137813E-3</v>
      </c>
      <c r="F2069" s="124">
        <v>2063</v>
      </c>
      <c r="G2069" s="238">
        <f t="shared" ca="1" si="66"/>
        <v>-3.5750270325710265E-2</v>
      </c>
      <c r="I2069" s="156"/>
    </row>
    <row r="2070" spans="2:9" x14ac:dyDescent="0.2">
      <c r="B2070" s="230">
        <v>42949</v>
      </c>
      <c r="C2070" s="124">
        <v>285.45</v>
      </c>
      <c r="D2070" s="156">
        <f t="shared" si="65"/>
        <v>1.4392324093816673E-2</v>
      </c>
      <c r="E2070" s="156">
        <v>2.3800079333597553E-3</v>
      </c>
      <c r="F2070" s="124">
        <v>2064</v>
      </c>
      <c r="G2070" s="238">
        <f t="shared" ca="1" si="66"/>
        <v>-6.7054027363221179E-3</v>
      </c>
      <c r="I2070" s="156"/>
    </row>
    <row r="2071" spans="2:9" x14ac:dyDescent="0.2">
      <c r="B2071" s="230">
        <v>42948</v>
      </c>
      <c r="C2071" s="124">
        <v>287.85000000000002</v>
      </c>
      <c r="D2071" s="156">
        <f t="shared" si="65"/>
        <v>8.407777193904481E-3</v>
      </c>
      <c r="E2071" s="156">
        <v>2.3798191337458126E-3</v>
      </c>
      <c r="F2071" s="124">
        <v>2065</v>
      </c>
      <c r="G2071" s="238">
        <f t="shared" ca="1" si="66"/>
        <v>2.6880108934886019E-2</v>
      </c>
      <c r="I2071" s="156"/>
    </row>
    <row r="2072" spans="2:9" x14ac:dyDescent="0.2">
      <c r="B2072" s="230">
        <v>42947</v>
      </c>
      <c r="C2072" s="124">
        <v>285.25</v>
      </c>
      <c r="D2072" s="156">
        <f t="shared" si="65"/>
        <v>-9.0324821955880576E-3</v>
      </c>
      <c r="E2072" s="156">
        <v>2.376188094046995E-3</v>
      </c>
      <c r="F2072" s="124">
        <v>2066</v>
      </c>
      <c r="G2072" s="238">
        <f t="shared" ca="1" si="66"/>
        <v>-4.3640958004356842E-5</v>
      </c>
      <c r="I2072" s="156"/>
    </row>
    <row r="2073" spans="2:9" x14ac:dyDescent="0.2">
      <c r="B2073" s="230">
        <v>42944</v>
      </c>
      <c r="C2073" s="124">
        <v>291.55</v>
      </c>
      <c r="D2073" s="156">
        <f t="shared" si="65"/>
        <v>2.2085889570552186E-2</v>
      </c>
      <c r="E2073" s="156">
        <v>2.3748939779474226E-3</v>
      </c>
      <c r="F2073" s="124">
        <v>2067</v>
      </c>
      <c r="G2073" s="238">
        <f t="shared" ca="1" si="66"/>
        <v>2.2839016118275201E-3</v>
      </c>
      <c r="I2073" s="156"/>
    </row>
    <row r="2074" spans="2:9" x14ac:dyDescent="0.2">
      <c r="B2074" s="230">
        <v>42943</v>
      </c>
      <c r="C2074" s="124">
        <v>288.55</v>
      </c>
      <c r="D2074" s="156">
        <f t="shared" si="65"/>
        <v>-1.0289830217801405E-2</v>
      </c>
      <c r="E2074" s="156">
        <v>2.37404378791872E-3</v>
      </c>
      <c r="F2074" s="124">
        <v>2068</v>
      </c>
      <c r="G2074" s="238">
        <f t="shared" ca="1" si="66"/>
        <v>1.59275708664375E-2</v>
      </c>
      <c r="I2074" s="156"/>
    </row>
    <row r="2075" spans="2:9" x14ac:dyDescent="0.2">
      <c r="B2075" s="230">
        <v>42942</v>
      </c>
      <c r="C2075" s="124">
        <v>293.64999999999998</v>
      </c>
      <c r="D2075" s="156">
        <f t="shared" si="65"/>
        <v>1.7674579795529253E-2</v>
      </c>
      <c r="E2075" s="156">
        <v>2.3668639053254438E-3</v>
      </c>
      <c r="F2075" s="124">
        <v>2069</v>
      </c>
      <c r="G2075" s="238">
        <f t="shared" ca="1" si="66"/>
        <v>1.3689977390520696E-2</v>
      </c>
      <c r="I2075" s="156"/>
    </row>
    <row r="2076" spans="2:9" x14ac:dyDescent="0.2">
      <c r="B2076" s="230">
        <v>42941</v>
      </c>
      <c r="C2076" s="124">
        <v>291.39999999999998</v>
      </c>
      <c r="D2076" s="156">
        <f t="shared" si="65"/>
        <v>-7.6621828707645161E-3</v>
      </c>
      <c r="E2076" s="156">
        <v>2.3628248884221795E-3</v>
      </c>
      <c r="F2076" s="124">
        <v>2070</v>
      </c>
      <c r="G2076" s="238">
        <f t="shared" ca="1" si="66"/>
        <v>1.6399350334084573E-3</v>
      </c>
      <c r="I2076" s="156"/>
    </row>
    <row r="2077" spans="2:9" x14ac:dyDescent="0.2">
      <c r="B2077" s="230">
        <v>42940</v>
      </c>
      <c r="C2077" s="124">
        <v>293.25</v>
      </c>
      <c r="D2077" s="156">
        <f t="shared" si="65"/>
        <v>6.3486616334935582E-3</v>
      </c>
      <c r="E2077" s="156">
        <v>2.3616504303200048E-3</v>
      </c>
      <c r="F2077" s="124">
        <v>2071</v>
      </c>
      <c r="G2077" s="238">
        <f t="shared" ca="1" si="66"/>
        <v>1.1799994817454076E-2</v>
      </c>
      <c r="I2077" s="156"/>
    </row>
    <row r="2078" spans="2:9" x14ac:dyDescent="0.2">
      <c r="B2078" s="230">
        <v>42937</v>
      </c>
      <c r="C2078" s="124">
        <v>288.89999999999998</v>
      </c>
      <c r="D2078" s="156">
        <f t="shared" si="65"/>
        <v>-1.4833759590792917E-2</v>
      </c>
      <c r="E2078" s="156">
        <v>2.3598820058997384E-3</v>
      </c>
      <c r="F2078" s="124">
        <v>2072</v>
      </c>
      <c r="G2078" s="238">
        <f t="shared" ca="1" si="66"/>
        <v>8.1213091269470069E-3</v>
      </c>
      <c r="I2078" s="156"/>
    </row>
    <row r="2079" spans="2:9" x14ac:dyDescent="0.2">
      <c r="B2079" s="230">
        <v>42936</v>
      </c>
      <c r="C2079" s="124">
        <v>289.5</v>
      </c>
      <c r="D2079" s="156">
        <f t="shared" si="65"/>
        <v>2.0768431983386043E-3</v>
      </c>
      <c r="E2079" s="156">
        <v>2.3584905660377358E-3</v>
      </c>
      <c r="F2079" s="124">
        <v>2073</v>
      </c>
      <c r="G2079" s="238">
        <f t="shared" ca="1" si="66"/>
        <v>-5.6132404332027873E-3</v>
      </c>
      <c r="I2079" s="156"/>
    </row>
    <row r="2080" spans="2:9" x14ac:dyDescent="0.2">
      <c r="B2080" s="230">
        <v>42935</v>
      </c>
      <c r="C2080" s="124">
        <v>291.45</v>
      </c>
      <c r="D2080" s="156">
        <f t="shared" si="65"/>
        <v>6.735751295336748E-3</v>
      </c>
      <c r="E2080" s="156">
        <v>2.3567802755620482E-3</v>
      </c>
      <c r="F2080" s="124">
        <v>2074</v>
      </c>
      <c r="G2080" s="238">
        <f t="shared" ca="1" si="66"/>
        <v>-2.2480450190070549E-2</v>
      </c>
      <c r="I2080" s="156"/>
    </row>
    <row r="2081" spans="2:9" x14ac:dyDescent="0.2">
      <c r="B2081" s="230">
        <v>42934</v>
      </c>
      <c r="C2081" s="124">
        <v>284.55</v>
      </c>
      <c r="D2081" s="156">
        <f t="shared" si="65"/>
        <v>-2.3674729799279388E-2</v>
      </c>
      <c r="E2081" s="156">
        <v>2.3565573770491723E-3</v>
      </c>
      <c r="F2081" s="124">
        <v>2075</v>
      </c>
      <c r="G2081" s="238">
        <f t="shared" ca="1" si="66"/>
        <v>-1.6113785553095426E-2</v>
      </c>
      <c r="I2081" s="156"/>
    </row>
    <row r="2082" spans="2:9" x14ac:dyDescent="0.2">
      <c r="B2082" s="230">
        <v>42933</v>
      </c>
      <c r="C2082" s="124">
        <v>325.14999999999998</v>
      </c>
      <c r="D2082" s="156">
        <f t="shared" si="65"/>
        <v>0.14268142681426801</v>
      </c>
      <c r="E2082" s="156">
        <v>2.3490721165140105E-3</v>
      </c>
      <c r="F2082" s="124">
        <v>2076</v>
      </c>
      <c r="G2082" s="238">
        <f t="shared" ca="1" si="66"/>
        <v>1.3452528722841493E-2</v>
      </c>
      <c r="I2082" s="156"/>
    </row>
    <row r="2083" spans="2:9" x14ac:dyDescent="0.2">
      <c r="B2083" s="230">
        <v>42930</v>
      </c>
      <c r="C2083" s="124">
        <v>337.15</v>
      </c>
      <c r="D2083" s="156">
        <f t="shared" si="65"/>
        <v>3.6906043364600953E-2</v>
      </c>
      <c r="E2083" s="156">
        <v>2.3474178403755487E-3</v>
      </c>
      <c r="F2083" s="124">
        <v>2077</v>
      </c>
      <c r="G2083" s="238">
        <f t="shared" ca="1" si="66"/>
        <v>-1.640624610581131E-2</v>
      </c>
      <c r="I2083" s="156"/>
    </row>
    <row r="2084" spans="2:9" x14ac:dyDescent="0.2">
      <c r="B2084" s="230">
        <v>42929</v>
      </c>
      <c r="C2084" s="124">
        <v>338.75</v>
      </c>
      <c r="D2084" s="156">
        <f t="shared" si="65"/>
        <v>4.7456621681744712E-3</v>
      </c>
      <c r="E2084" s="156">
        <v>2.3407022106631398E-3</v>
      </c>
      <c r="F2084" s="124">
        <v>2078</v>
      </c>
      <c r="G2084" s="238">
        <f t="shared" ca="1" si="66"/>
        <v>-1.344403000547688E-2</v>
      </c>
      <c r="I2084" s="156"/>
    </row>
    <row r="2085" spans="2:9" x14ac:dyDescent="0.2">
      <c r="B2085" s="230">
        <v>42928</v>
      </c>
      <c r="C2085" s="124">
        <v>328.85</v>
      </c>
      <c r="D2085" s="156">
        <f t="shared" si="65"/>
        <v>-2.9225092250922444E-2</v>
      </c>
      <c r="E2085" s="156">
        <v>2.3404587299109296E-3</v>
      </c>
      <c r="F2085" s="124">
        <v>2079</v>
      </c>
      <c r="G2085" s="238">
        <f t="shared" ca="1" si="66"/>
        <v>-1.9629958161498224E-2</v>
      </c>
      <c r="I2085" s="156"/>
    </row>
    <row r="2086" spans="2:9" x14ac:dyDescent="0.2">
      <c r="B2086" s="230">
        <v>42927</v>
      </c>
      <c r="C2086" s="124">
        <v>330.4</v>
      </c>
      <c r="D2086" s="156">
        <f t="shared" si="65"/>
        <v>4.7133951649686919E-3</v>
      </c>
      <c r="E2086" s="156">
        <v>2.3248090335436355E-3</v>
      </c>
      <c r="F2086" s="124">
        <v>2080</v>
      </c>
      <c r="G2086" s="238">
        <f t="shared" ca="1" si="66"/>
        <v>-6.6882545670031879E-4</v>
      </c>
      <c r="I2086" s="156"/>
    </row>
    <row r="2087" spans="2:9" x14ac:dyDescent="0.2">
      <c r="B2087" s="230">
        <v>42926</v>
      </c>
      <c r="C2087" s="124">
        <v>333.3</v>
      </c>
      <c r="D2087" s="156">
        <f t="shared" si="65"/>
        <v>8.777239709443203E-3</v>
      </c>
      <c r="E2087" s="156">
        <v>2.3210318644518902E-3</v>
      </c>
      <c r="F2087" s="124">
        <v>2081</v>
      </c>
      <c r="G2087" s="238">
        <f t="shared" ca="1" si="66"/>
        <v>-8.9655080296719598E-3</v>
      </c>
      <c r="I2087" s="156"/>
    </row>
    <row r="2088" spans="2:9" x14ac:dyDescent="0.2">
      <c r="B2088" s="230">
        <v>42923</v>
      </c>
      <c r="C2088" s="124">
        <v>334.3</v>
      </c>
      <c r="D2088" s="156">
        <f t="shared" si="65"/>
        <v>3.0003000300030001E-3</v>
      </c>
      <c r="E2088" s="156">
        <v>2.3152270703472029E-3</v>
      </c>
      <c r="F2088" s="124">
        <v>2082</v>
      </c>
      <c r="G2088" s="238">
        <f t="shared" ca="1" si="66"/>
        <v>1.3098293514815885E-2</v>
      </c>
      <c r="I2088" s="156"/>
    </row>
    <row r="2089" spans="2:9" x14ac:dyDescent="0.2">
      <c r="B2089" s="230">
        <v>42922</v>
      </c>
      <c r="C2089" s="124">
        <v>337.1</v>
      </c>
      <c r="D2089" s="156">
        <f t="shared" si="65"/>
        <v>8.375710439724831E-3</v>
      </c>
      <c r="E2089" s="156">
        <v>2.308284175429685E-3</v>
      </c>
      <c r="F2089" s="124">
        <v>2083</v>
      </c>
      <c r="G2089" s="238">
        <f t="shared" ca="1" si="66"/>
        <v>5.4451768865139546E-3</v>
      </c>
      <c r="I2089" s="156"/>
    </row>
    <row r="2090" spans="2:9" x14ac:dyDescent="0.2">
      <c r="B2090" s="230">
        <v>42921</v>
      </c>
      <c r="C2090" s="124">
        <v>331.05</v>
      </c>
      <c r="D2090" s="156">
        <f t="shared" si="65"/>
        <v>-1.7947196677543787E-2</v>
      </c>
      <c r="E2090" s="156">
        <v>2.3049645390071376E-3</v>
      </c>
      <c r="F2090" s="124">
        <v>2084</v>
      </c>
      <c r="G2090" s="238">
        <f t="shared" ca="1" si="66"/>
        <v>1.8320608760787154E-2</v>
      </c>
      <c r="I2090" s="156"/>
    </row>
    <row r="2091" spans="2:9" x14ac:dyDescent="0.2">
      <c r="B2091" s="230">
        <v>42920</v>
      </c>
      <c r="C2091" s="124">
        <v>337.25</v>
      </c>
      <c r="D2091" s="156">
        <f t="shared" si="65"/>
        <v>1.8728288778130157E-2</v>
      </c>
      <c r="E2091" s="156">
        <v>2.2962112514351321E-3</v>
      </c>
      <c r="F2091" s="124">
        <v>2085</v>
      </c>
      <c r="G2091" s="238">
        <f t="shared" ca="1" si="66"/>
        <v>-3.0822142412752246E-2</v>
      </c>
      <c r="I2091" s="156"/>
    </row>
    <row r="2092" spans="2:9" x14ac:dyDescent="0.2">
      <c r="B2092" s="230">
        <v>42919</v>
      </c>
      <c r="C2092" s="124">
        <v>342.5</v>
      </c>
      <c r="D2092" s="156">
        <f t="shared" si="65"/>
        <v>1.5567086730911787E-2</v>
      </c>
      <c r="E2092" s="156">
        <v>2.2899418707062785E-3</v>
      </c>
      <c r="F2092" s="124">
        <v>2086</v>
      </c>
      <c r="G2092" s="238">
        <f t="shared" ca="1" si="66"/>
        <v>-1.6244527337728368E-2</v>
      </c>
      <c r="I2092" s="156"/>
    </row>
    <row r="2093" spans="2:9" x14ac:dyDescent="0.2">
      <c r="B2093" s="230">
        <v>42916</v>
      </c>
      <c r="C2093" s="124">
        <v>323.64999999999998</v>
      </c>
      <c r="D2093" s="156">
        <f t="shared" si="65"/>
        <v>-5.5036496350365033E-2</v>
      </c>
      <c r="E2093" s="156">
        <v>2.2871955170968732E-3</v>
      </c>
      <c r="F2093" s="124">
        <v>2087</v>
      </c>
      <c r="G2093" s="238">
        <f t="shared" ca="1" si="66"/>
        <v>-3.3137939249969606E-2</v>
      </c>
      <c r="I2093" s="156"/>
    </row>
    <row r="2094" spans="2:9" x14ac:dyDescent="0.2">
      <c r="B2094" s="230">
        <v>42915</v>
      </c>
      <c r="C2094" s="124">
        <v>311.60000000000002</v>
      </c>
      <c r="D2094" s="156">
        <f t="shared" si="65"/>
        <v>-3.7231577321180147E-2</v>
      </c>
      <c r="E2094" s="156">
        <v>2.2720452694302787E-3</v>
      </c>
      <c r="F2094" s="124">
        <v>2088</v>
      </c>
      <c r="G2094" s="238">
        <f t="shared" ca="1" si="66"/>
        <v>1.3423339824359726E-2</v>
      </c>
      <c r="I2094" s="156"/>
    </row>
    <row r="2095" spans="2:9" x14ac:dyDescent="0.2">
      <c r="B2095" s="230">
        <v>42914</v>
      </c>
      <c r="C2095" s="124">
        <v>308.35000000000002</v>
      </c>
      <c r="D2095" s="156">
        <f t="shared" si="65"/>
        <v>-1.0430038510911423E-2</v>
      </c>
      <c r="E2095" s="156">
        <v>2.2507219296755612E-3</v>
      </c>
      <c r="F2095" s="124">
        <v>2089</v>
      </c>
      <c r="G2095" s="238">
        <f t="shared" ca="1" si="66"/>
        <v>-6.3756841370462098E-3</v>
      </c>
      <c r="I2095" s="156"/>
    </row>
    <row r="2096" spans="2:9" x14ac:dyDescent="0.2">
      <c r="B2096" s="230">
        <v>42913</v>
      </c>
      <c r="C2096" s="124">
        <v>312.35000000000002</v>
      </c>
      <c r="D2096" s="156">
        <f t="shared" si="65"/>
        <v>1.2972271769093562E-2</v>
      </c>
      <c r="E2096" s="156">
        <v>2.2494376405897956E-3</v>
      </c>
      <c r="F2096" s="124">
        <v>2090</v>
      </c>
      <c r="G2096" s="238">
        <f t="shared" ca="1" si="66"/>
        <v>2.0495214290506724E-2</v>
      </c>
      <c r="I2096" s="156"/>
    </row>
    <row r="2097" spans="2:9" x14ac:dyDescent="0.2">
      <c r="B2097" s="230">
        <v>42909</v>
      </c>
      <c r="C2097" s="124">
        <v>311</v>
      </c>
      <c r="D2097" s="156">
        <f t="shared" si="65"/>
        <v>-4.3220745958060594E-3</v>
      </c>
      <c r="E2097" s="156">
        <v>2.2450888681011141E-3</v>
      </c>
      <c r="F2097" s="124">
        <v>2091</v>
      </c>
      <c r="G2097" s="238">
        <f t="shared" ca="1" si="66"/>
        <v>-1.4556201903103908E-3</v>
      </c>
      <c r="I2097" s="156"/>
    </row>
    <row r="2098" spans="2:9" x14ac:dyDescent="0.2">
      <c r="B2098" s="230">
        <v>42908</v>
      </c>
      <c r="C2098" s="124">
        <v>311.3</v>
      </c>
      <c r="D2098" s="156">
        <f t="shared" si="65"/>
        <v>9.6463022508042236E-4</v>
      </c>
      <c r="E2098" s="156">
        <v>2.238987588221017E-3</v>
      </c>
      <c r="F2098" s="124">
        <v>2092</v>
      </c>
      <c r="G2098" s="238">
        <f t="shared" ca="1" si="66"/>
        <v>3.915665435599713E-3</v>
      </c>
      <c r="I2098" s="156"/>
    </row>
    <row r="2099" spans="2:9" x14ac:dyDescent="0.2">
      <c r="B2099" s="230">
        <v>42907</v>
      </c>
      <c r="C2099" s="124">
        <v>308.95</v>
      </c>
      <c r="D2099" s="156">
        <f t="shared" si="65"/>
        <v>-7.5489881143592117E-3</v>
      </c>
      <c r="E2099" s="156">
        <v>2.2334723049435034E-3</v>
      </c>
      <c r="F2099" s="124">
        <v>2093</v>
      </c>
      <c r="G2099" s="238">
        <f t="shared" ca="1" si="66"/>
        <v>-5.8538789197709979E-3</v>
      </c>
      <c r="I2099" s="156"/>
    </row>
    <row r="2100" spans="2:9" x14ac:dyDescent="0.2">
      <c r="B2100" s="230">
        <v>42906</v>
      </c>
      <c r="C2100" s="124">
        <v>308.7</v>
      </c>
      <c r="D2100" s="156">
        <f t="shared" si="65"/>
        <v>-8.0919242595889308E-4</v>
      </c>
      <c r="E2100" s="156">
        <v>2.2310361923649829E-3</v>
      </c>
      <c r="F2100" s="124">
        <v>2094</v>
      </c>
      <c r="G2100" s="238">
        <f t="shared" ca="1" si="66"/>
        <v>-4.9001923684466485E-3</v>
      </c>
      <c r="I2100" s="156"/>
    </row>
    <row r="2101" spans="2:9" x14ac:dyDescent="0.2">
      <c r="B2101" s="230">
        <v>42905</v>
      </c>
      <c r="C2101" s="124">
        <v>310.89999999999998</v>
      </c>
      <c r="D2101" s="156">
        <f t="shared" si="65"/>
        <v>7.1266601878846409E-3</v>
      </c>
      <c r="E2101" s="156">
        <v>2.2299827491900582E-3</v>
      </c>
      <c r="F2101" s="124">
        <v>2095</v>
      </c>
      <c r="G2101" s="238">
        <f t="shared" ca="1" si="66"/>
        <v>4.4555712310498478E-3</v>
      </c>
      <c r="I2101" s="156"/>
    </row>
    <row r="2102" spans="2:9" x14ac:dyDescent="0.2">
      <c r="B2102" s="230">
        <v>42902</v>
      </c>
      <c r="C2102" s="124">
        <v>306.8</v>
      </c>
      <c r="D2102" s="156">
        <f t="shared" si="65"/>
        <v>-1.3187520102926878E-2</v>
      </c>
      <c r="E2102" s="156">
        <v>2.2290331568682402E-3</v>
      </c>
      <c r="F2102" s="124">
        <v>2096</v>
      </c>
      <c r="G2102" s="238">
        <f t="shared" ca="1" si="66"/>
        <v>-2.6054953071996838E-2</v>
      </c>
      <c r="I2102" s="156"/>
    </row>
    <row r="2103" spans="2:9" x14ac:dyDescent="0.2">
      <c r="B2103" s="230">
        <v>42901</v>
      </c>
      <c r="C2103" s="124">
        <v>301.89999999999998</v>
      </c>
      <c r="D2103" s="156">
        <f t="shared" si="65"/>
        <v>-1.5971316818774558E-2</v>
      </c>
      <c r="E2103" s="156">
        <v>2.2246391140992123E-3</v>
      </c>
      <c r="F2103" s="124">
        <v>2097</v>
      </c>
      <c r="G2103" s="238">
        <f t="shared" ca="1" si="66"/>
        <v>-2.2185156083191809E-2</v>
      </c>
      <c r="I2103" s="156"/>
    </row>
    <row r="2104" spans="2:9" x14ac:dyDescent="0.2">
      <c r="B2104" s="230">
        <v>42900</v>
      </c>
      <c r="C2104" s="124">
        <v>299.85000000000002</v>
      </c>
      <c r="D2104" s="156">
        <f t="shared" si="65"/>
        <v>-6.7903279231532115E-3</v>
      </c>
      <c r="E2104" s="156">
        <v>2.1916473882869453E-3</v>
      </c>
      <c r="F2104" s="124">
        <v>2098</v>
      </c>
      <c r="G2104" s="238">
        <f t="shared" ca="1" si="66"/>
        <v>3.3172019617134375E-2</v>
      </c>
      <c r="I2104" s="156"/>
    </row>
    <row r="2105" spans="2:9" x14ac:dyDescent="0.2">
      <c r="B2105" s="230">
        <v>42899</v>
      </c>
      <c r="C2105" s="124">
        <v>305.25</v>
      </c>
      <c r="D2105" s="156">
        <f t="shared" si="65"/>
        <v>1.8009004502251048E-2</v>
      </c>
      <c r="E2105" s="156">
        <v>2.1890900485148274E-3</v>
      </c>
      <c r="F2105" s="124">
        <v>2099</v>
      </c>
      <c r="G2105" s="238">
        <f t="shared" ca="1" si="66"/>
        <v>-1.4550979341893566E-2</v>
      </c>
      <c r="I2105" s="156"/>
    </row>
    <row r="2106" spans="2:9" x14ac:dyDescent="0.2">
      <c r="B2106" s="230">
        <v>42898</v>
      </c>
      <c r="C2106" s="124">
        <v>304.39999999999998</v>
      </c>
      <c r="D2106" s="156">
        <f t="shared" si="65"/>
        <v>-2.784602784602859E-3</v>
      </c>
      <c r="E2106" s="156">
        <v>2.187815550319681E-3</v>
      </c>
      <c r="F2106" s="124">
        <v>2100</v>
      </c>
      <c r="G2106" s="238">
        <f t="shared" ca="1" si="66"/>
        <v>-3.5024377382237952E-2</v>
      </c>
      <c r="I2106" s="156"/>
    </row>
    <row r="2107" spans="2:9" x14ac:dyDescent="0.2">
      <c r="B2107" s="230">
        <v>42895</v>
      </c>
      <c r="C2107" s="124">
        <v>306</v>
      </c>
      <c r="D2107" s="156">
        <f t="shared" si="65"/>
        <v>5.2562417871222823E-3</v>
      </c>
      <c r="E2107" s="156">
        <v>2.1814215597162909E-3</v>
      </c>
      <c r="F2107" s="124">
        <v>2101</v>
      </c>
      <c r="G2107" s="238">
        <f t="shared" ca="1" si="66"/>
        <v>1.8300702033273119E-2</v>
      </c>
      <c r="I2107" s="156"/>
    </row>
    <row r="2108" spans="2:9" x14ac:dyDescent="0.2">
      <c r="B2108" s="230">
        <v>42894</v>
      </c>
      <c r="C2108" s="124">
        <v>311.60000000000002</v>
      </c>
      <c r="D2108" s="156">
        <f t="shared" si="65"/>
        <v>1.8300653594771316E-2</v>
      </c>
      <c r="E2108" s="156">
        <v>2.1691973969630643E-3</v>
      </c>
      <c r="F2108" s="124">
        <v>2102</v>
      </c>
      <c r="G2108" s="238">
        <f t="shared" ca="1" si="66"/>
        <v>-6.8132992799526289E-3</v>
      </c>
      <c r="I2108" s="156"/>
    </row>
    <row r="2109" spans="2:9" x14ac:dyDescent="0.2">
      <c r="B2109" s="230">
        <v>42893</v>
      </c>
      <c r="C2109" s="124">
        <v>312.25</v>
      </c>
      <c r="D2109" s="156">
        <f t="shared" si="65"/>
        <v>2.0860077021822116E-3</v>
      </c>
      <c r="E2109" s="156">
        <v>2.1626870282915175E-3</v>
      </c>
      <c r="F2109" s="124">
        <v>2103</v>
      </c>
      <c r="G2109" s="238">
        <f t="shared" ca="1" si="66"/>
        <v>-2.6145178052766307E-2</v>
      </c>
      <c r="I2109" s="156"/>
    </row>
    <row r="2110" spans="2:9" x14ac:dyDescent="0.2">
      <c r="B2110" s="230">
        <v>42892</v>
      </c>
      <c r="C2110" s="124">
        <v>311.05</v>
      </c>
      <c r="D2110" s="156">
        <f t="shared" ref="D2110:D2173" si="67">(C2110-C2109)/C2109</f>
        <v>-3.8430744595676176E-3</v>
      </c>
      <c r="E2110" s="156">
        <v>2.1553272505209524E-3</v>
      </c>
      <c r="F2110" s="124">
        <v>2104</v>
      </c>
      <c r="G2110" s="238">
        <f t="shared" ca="1" si="66"/>
        <v>-1.8645386440704351E-2</v>
      </c>
      <c r="I2110" s="156"/>
    </row>
    <row r="2111" spans="2:9" x14ac:dyDescent="0.2">
      <c r="B2111" s="230">
        <v>42891</v>
      </c>
      <c r="C2111" s="124">
        <v>317.45</v>
      </c>
      <c r="D2111" s="156">
        <f t="shared" si="67"/>
        <v>2.0575470181642748E-2</v>
      </c>
      <c r="E2111" s="156">
        <v>2.1303035682585579E-3</v>
      </c>
      <c r="F2111" s="124">
        <v>2105</v>
      </c>
      <c r="G2111" s="238">
        <f t="shared" ca="1" si="66"/>
        <v>2.8047550871421771E-3</v>
      </c>
      <c r="I2111" s="156"/>
    </row>
    <row r="2112" spans="2:9" x14ac:dyDescent="0.2">
      <c r="B2112" s="230">
        <v>42888</v>
      </c>
      <c r="C2112" s="124">
        <v>319.2</v>
      </c>
      <c r="D2112" s="156">
        <f t="shared" si="67"/>
        <v>5.5126791620727679E-3</v>
      </c>
      <c r="E2112" s="156">
        <v>2.1093000958773206E-3</v>
      </c>
      <c r="F2112" s="124">
        <v>2106</v>
      </c>
      <c r="G2112" s="238">
        <f t="shared" ca="1" si="66"/>
        <v>-4.4806314877142948E-3</v>
      </c>
      <c r="I2112" s="156"/>
    </row>
    <row r="2113" spans="2:9" x14ac:dyDescent="0.2">
      <c r="B2113" s="230">
        <v>42887</v>
      </c>
      <c r="C2113" s="124">
        <v>314.2</v>
      </c>
      <c r="D2113" s="156">
        <f t="shared" si="67"/>
        <v>-1.5664160401002505E-2</v>
      </c>
      <c r="E2113" s="156">
        <v>2.1087160262417463E-3</v>
      </c>
      <c r="F2113" s="124">
        <v>2107</v>
      </c>
      <c r="G2113" s="238">
        <f t="shared" ca="1" si="66"/>
        <v>3.6838402868864497E-4</v>
      </c>
      <c r="I2113" s="156"/>
    </row>
    <row r="2114" spans="2:9" x14ac:dyDescent="0.2">
      <c r="B2114" s="230">
        <v>42886</v>
      </c>
      <c r="C2114" s="124">
        <v>311.8</v>
      </c>
      <c r="D2114" s="156">
        <f t="shared" si="67"/>
        <v>-7.6384468491406026E-3</v>
      </c>
      <c r="E2114" s="156">
        <v>2.1047708138446615E-3</v>
      </c>
      <c r="F2114" s="124">
        <v>2108</v>
      </c>
      <c r="G2114" s="238">
        <f t="shared" ca="1" si="66"/>
        <v>-9.2524707738766577E-3</v>
      </c>
      <c r="I2114" s="156"/>
    </row>
    <row r="2115" spans="2:9" x14ac:dyDescent="0.2">
      <c r="B2115" s="230">
        <v>42885</v>
      </c>
      <c r="C2115" s="124">
        <v>311.45</v>
      </c>
      <c r="D2115" s="156">
        <f t="shared" si="67"/>
        <v>-1.1225144323284886E-3</v>
      </c>
      <c r="E2115" s="156">
        <v>2.1034917963819941E-3</v>
      </c>
      <c r="F2115" s="124">
        <v>2109</v>
      </c>
      <c r="G2115" s="238">
        <f t="shared" ca="1" si="66"/>
        <v>-1.3958989080035743E-2</v>
      </c>
      <c r="I2115" s="156"/>
    </row>
    <row r="2116" spans="2:9" x14ac:dyDescent="0.2">
      <c r="B2116" s="230">
        <v>42884</v>
      </c>
      <c r="C2116" s="124">
        <v>315.85000000000002</v>
      </c>
      <c r="D2116" s="156">
        <f t="shared" si="67"/>
        <v>1.4127468293466157E-2</v>
      </c>
      <c r="E2116" s="156">
        <v>2.0885547201336674E-3</v>
      </c>
      <c r="F2116" s="124">
        <v>2110</v>
      </c>
      <c r="G2116" s="238">
        <f t="shared" ca="1" si="66"/>
        <v>1.5255833971202979E-2</v>
      </c>
      <c r="I2116" s="156"/>
    </row>
    <row r="2117" spans="2:9" x14ac:dyDescent="0.2">
      <c r="B2117" s="230">
        <v>42881</v>
      </c>
      <c r="C2117" s="124">
        <v>309.10000000000002</v>
      </c>
      <c r="D2117" s="156">
        <f t="shared" si="67"/>
        <v>-2.1370903910083901E-2</v>
      </c>
      <c r="E2117" s="156">
        <v>2.0860077021822116E-3</v>
      </c>
      <c r="F2117" s="124">
        <v>2111</v>
      </c>
      <c r="G2117" s="238">
        <f t="shared" ca="1" si="66"/>
        <v>-2.9706061837410962E-2</v>
      </c>
      <c r="I2117" s="156"/>
    </row>
    <row r="2118" spans="2:9" x14ac:dyDescent="0.2">
      <c r="B2118" s="230">
        <v>42880</v>
      </c>
      <c r="C2118" s="124">
        <v>300.05</v>
      </c>
      <c r="D2118" s="156">
        <f t="shared" si="67"/>
        <v>-2.9278550630863834E-2</v>
      </c>
      <c r="E2118" s="156">
        <v>2.0853778213934392E-3</v>
      </c>
      <c r="F2118" s="124">
        <v>2112</v>
      </c>
      <c r="G2118" s="238">
        <f t="shared" ca="1" si="66"/>
        <v>2.489822624307976E-2</v>
      </c>
      <c r="I2118" s="156"/>
    </row>
    <row r="2119" spans="2:9" x14ac:dyDescent="0.2">
      <c r="B2119" s="230">
        <v>42879</v>
      </c>
      <c r="C2119" s="124">
        <v>299.89999999999998</v>
      </c>
      <c r="D2119" s="156">
        <f t="shared" si="67"/>
        <v>-4.9991668055335476E-4</v>
      </c>
      <c r="E2119" s="156">
        <v>2.0768431983386043E-3</v>
      </c>
      <c r="F2119" s="124">
        <v>2113</v>
      </c>
      <c r="G2119" s="238">
        <f t="shared" ref="G2119:G2182" ca="1" si="68">_xlfn.NORM.INV(RAND(),$L$8,$L$9)</f>
        <v>-4.2436337883960656E-3</v>
      </c>
      <c r="I2119" s="156"/>
    </row>
    <row r="2120" spans="2:9" x14ac:dyDescent="0.2">
      <c r="B2120" s="230">
        <v>42878</v>
      </c>
      <c r="C2120" s="124">
        <v>300.14999999999998</v>
      </c>
      <c r="D2120" s="156">
        <f t="shared" si="67"/>
        <v>8.3361120373457831E-4</v>
      </c>
      <c r="E2120" s="156">
        <v>2.075496173303886E-3</v>
      </c>
      <c r="F2120" s="124">
        <v>2114</v>
      </c>
      <c r="G2120" s="238">
        <f t="shared" ca="1" si="68"/>
        <v>7.7615150420284732E-4</v>
      </c>
      <c r="I2120" s="156"/>
    </row>
    <row r="2121" spans="2:9" x14ac:dyDescent="0.2">
      <c r="B2121" s="230">
        <v>42877</v>
      </c>
      <c r="C2121" s="124">
        <v>303.60000000000002</v>
      </c>
      <c r="D2121" s="156">
        <f t="shared" si="67"/>
        <v>1.1494252873563371E-2</v>
      </c>
      <c r="E2121" s="156">
        <v>2.0688991531947979E-3</v>
      </c>
      <c r="F2121" s="124">
        <v>2115</v>
      </c>
      <c r="G2121" s="238">
        <f t="shared" ca="1" si="68"/>
        <v>-1.4347120778907369E-2</v>
      </c>
      <c r="I2121" s="156"/>
    </row>
    <row r="2122" spans="2:9" x14ac:dyDescent="0.2">
      <c r="B2122" s="230">
        <v>42874</v>
      </c>
      <c r="C2122" s="124">
        <v>286.2</v>
      </c>
      <c r="D2122" s="156">
        <f t="shared" si="67"/>
        <v>-5.7312252964426984E-2</v>
      </c>
      <c r="E2122" s="156">
        <v>2.0684900022982697E-3</v>
      </c>
      <c r="F2122" s="124">
        <v>2116</v>
      </c>
      <c r="G2122" s="238">
        <f t="shared" ca="1" si="68"/>
        <v>2.3137064094514274E-2</v>
      </c>
      <c r="I2122" s="156"/>
    </row>
    <row r="2123" spans="2:9" x14ac:dyDescent="0.2">
      <c r="B2123" s="230">
        <v>42873</v>
      </c>
      <c r="C2123" s="124">
        <v>277.89999999999998</v>
      </c>
      <c r="D2123" s="156">
        <f t="shared" si="67"/>
        <v>-2.9000698812019606E-2</v>
      </c>
      <c r="E2123" s="156">
        <v>2.0479213598197312E-3</v>
      </c>
      <c r="F2123" s="124">
        <v>2117</v>
      </c>
      <c r="G2123" s="238">
        <f t="shared" ca="1" si="68"/>
        <v>-5.0947838423914963E-3</v>
      </c>
      <c r="I2123" s="156"/>
    </row>
    <row r="2124" spans="2:9" x14ac:dyDescent="0.2">
      <c r="B2124" s="230">
        <v>42872</v>
      </c>
      <c r="C2124" s="124">
        <v>281.64999999999998</v>
      </c>
      <c r="D2124" s="156">
        <f t="shared" si="67"/>
        <v>1.3494062612450524E-2</v>
      </c>
      <c r="E2124" s="156">
        <v>2.0361622414073952E-3</v>
      </c>
      <c r="F2124" s="124">
        <v>2118</v>
      </c>
      <c r="G2124" s="238">
        <f t="shared" ca="1" si="68"/>
        <v>-3.1133951050693585E-2</v>
      </c>
      <c r="I2124" s="156"/>
    </row>
    <row r="2125" spans="2:9" x14ac:dyDescent="0.2">
      <c r="B2125" s="230">
        <v>42871</v>
      </c>
      <c r="C2125" s="124">
        <v>283.45</v>
      </c>
      <c r="D2125" s="156">
        <f t="shared" si="67"/>
        <v>6.3909107047754711E-3</v>
      </c>
      <c r="E2125" s="156">
        <v>2.0214030915577234E-3</v>
      </c>
      <c r="F2125" s="124">
        <v>2119</v>
      </c>
      <c r="G2125" s="238">
        <f t="shared" ca="1" si="68"/>
        <v>2.3928678103069933E-2</v>
      </c>
      <c r="I2125" s="156"/>
    </row>
    <row r="2126" spans="2:9" x14ac:dyDescent="0.2">
      <c r="B2126" s="230">
        <v>42870</v>
      </c>
      <c r="C2126" s="124">
        <v>277.95</v>
      </c>
      <c r="D2126" s="156">
        <f t="shared" si="67"/>
        <v>-1.9403774916210974E-2</v>
      </c>
      <c r="E2126" s="156">
        <v>2.0212228398181187E-3</v>
      </c>
      <c r="F2126" s="124">
        <v>2120</v>
      </c>
      <c r="G2126" s="238">
        <f t="shared" ca="1" si="68"/>
        <v>3.0360008175818111E-2</v>
      </c>
      <c r="I2126" s="156"/>
    </row>
    <row r="2127" spans="2:9" x14ac:dyDescent="0.2">
      <c r="B2127" s="230">
        <v>42867</v>
      </c>
      <c r="C2127" s="124">
        <v>274.95</v>
      </c>
      <c r="D2127" s="156">
        <f t="shared" si="67"/>
        <v>-1.0793308148947653E-2</v>
      </c>
      <c r="E2127" s="156">
        <v>1.9979280745893906E-3</v>
      </c>
      <c r="F2127" s="124">
        <v>2121</v>
      </c>
      <c r="G2127" s="238">
        <f t="shared" ca="1" si="68"/>
        <v>-2.2073560315915054E-2</v>
      </c>
      <c r="I2127" s="156"/>
    </row>
    <row r="2128" spans="2:9" x14ac:dyDescent="0.2">
      <c r="B2128" s="230">
        <v>42866</v>
      </c>
      <c r="C2128" s="124">
        <v>276.64999999999998</v>
      </c>
      <c r="D2128" s="156">
        <f t="shared" si="67"/>
        <v>6.1829423531550784E-3</v>
      </c>
      <c r="E2128" s="156">
        <v>1.9966567607725594E-3</v>
      </c>
      <c r="F2128" s="124">
        <v>2122</v>
      </c>
      <c r="G2128" s="238">
        <f t="shared" ca="1" si="68"/>
        <v>-1.9137226770444545E-2</v>
      </c>
      <c r="I2128" s="156"/>
    </row>
    <row r="2129" spans="2:9" x14ac:dyDescent="0.2">
      <c r="B2129" s="230">
        <v>42865</v>
      </c>
      <c r="C2129" s="124">
        <v>273.95</v>
      </c>
      <c r="D2129" s="156">
        <f t="shared" si="67"/>
        <v>-9.7596240737393408E-3</v>
      </c>
      <c r="E2129" s="156">
        <v>1.9946028393758603E-3</v>
      </c>
      <c r="F2129" s="124">
        <v>2123</v>
      </c>
      <c r="G2129" s="238">
        <f t="shared" ca="1" si="68"/>
        <v>-1.1204676434789902E-2</v>
      </c>
      <c r="I2129" s="156"/>
    </row>
    <row r="2130" spans="2:9" x14ac:dyDescent="0.2">
      <c r="B2130" s="230">
        <v>42864</v>
      </c>
      <c r="C2130" s="124">
        <v>271.5</v>
      </c>
      <c r="D2130" s="156">
        <f t="shared" si="67"/>
        <v>-8.9432378171198715E-3</v>
      </c>
      <c r="E2130" s="156">
        <v>1.9865357024611723E-3</v>
      </c>
      <c r="F2130" s="124">
        <v>2124</v>
      </c>
      <c r="G2130" s="238">
        <f t="shared" ca="1" si="68"/>
        <v>-1.369925360394934E-2</v>
      </c>
      <c r="I2130" s="156"/>
    </row>
    <row r="2131" spans="2:9" x14ac:dyDescent="0.2">
      <c r="B2131" s="230">
        <v>42863</v>
      </c>
      <c r="C2131" s="124">
        <v>272.95</v>
      </c>
      <c r="D2131" s="156">
        <f t="shared" si="67"/>
        <v>5.3406998158378955E-3</v>
      </c>
      <c r="E2131" s="156">
        <v>1.9858015191381905E-3</v>
      </c>
      <c r="F2131" s="124">
        <v>2125</v>
      </c>
      <c r="G2131" s="238">
        <f t="shared" ca="1" si="68"/>
        <v>-2.5377940252463574E-3</v>
      </c>
      <c r="I2131" s="156"/>
    </row>
    <row r="2132" spans="2:9" x14ac:dyDescent="0.2">
      <c r="B2132" s="230">
        <v>42860</v>
      </c>
      <c r="C2132" s="124">
        <v>277.14999999999998</v>
      </c>
      <c r="D2132" s="156">
        <f t="shared" si="67"/>
        <v>1.5387433595896644E-2</v>
      </c>
      <c r="E2132" s="156">
        <v>1.9466906259358408E-3</v>
      </c>
      <c r="F2132" s="124">
        <v>2126</v>
      </c>
      <c r="G2132" s="238">
        <f t="shared" ca="1" si="68"/>
        <v>-4.472845241329737E-3</v>
      </c>
      <c r="I2132" s="156"/>
    </row>
    <row r="2133" spans="2:9" x14ac:dyDescent="0.2">
      <c r="B2133" s="230">
        <v>42859</v>
      </c>
      <c r="C2133" s="124">
        <v>281.2</v>
      </c>
      <c r="D2133" s="156">
        <f t="shared" si="67"/>
        <v>1.4613025437488767E-2</v>
      </c>
      <c r="E2133" s="156">
        <v>1.9391588898315631E-3</v>
      </c>
      <c r="F2133" s="124">
        <v>2127</v>
      </c>
      <c r="G2133" s="238">
        <f t="shared" ca="1" si="68"/>
        <v>-5.6360222845927054E-3</v>
      </c>
      <c r="I2133" s="156"/>
    </row>
    <row r="2134" spans="2:9" x14ac:dyDescent="0.2">
      <c r="B2134" s="230">
        <v>42858</v>
      </c>
      <c r="C2134" s="124">
        <v>277.25</v>
      </c>
      <c r="D2134" s="156">
        <f t="shared" si="67"/>
        <v>-1.4046941678520585E-2</v>
      </c>
      <c r="E2134" s="156">
        <v>1.9332161687170375E-3</v>
      </c>
      <c r="F2134" s="124">
        <v>2128</v>
      </c>
      <c r="G2134" s="238">
        <f t="shared" ca="1" si="68"/>
        <v>-2.3251180174295751E-2</v>
      </c>
      <c r="I2134" s="156"/>
    </row>
    <row r="2135" spans="2:9" x14ac:dyDescent="0.2">
      <c r="B2135" s="230">
        <v>42857</v>
      </c>
      <c r="C2135" s="124">
        <v>279.2</v>
      </c>
      <c r="D2135" s="156">
        <f t="shared" si="67"/>
        <v>7.0333633904417986E-3</v>
      </c>
      <c r="E2135" s="156">
        <v>1.9330922653567641E-3</v>
      </c>
      <c r="F2135" s="124">
        <v>2129</v>
      </c>
      <c r="G2135" s="238">
        <f t="shared" ca="1" si="68"/>
        <v>-4.0304712589413925E-3</v>
      </c>
      <c r="I2135" s="156"/>
    </row>
    <row r="2136" spans="2:9" x14ac:dyDescent="0.2">
      <c r="B2136" s="230">
        <v>42853</v>
      </c>
      <c r="C2136" s="124">
        <v>278</v>
      </c>
      <c r="D2136" s="156">
        <f t="shared" si="67"/>
        <v>-4.2979942693409335E-3</v>
      </c>
      <c r="E2136" s="156">
        <v>1.9166267369430078E-3</v>
      </c>
      <c r="F2136" s="124">
        <v>2130</v>
      </c>
      <c r="G2136" s="238">
        <f t="shared" ca="1" si="68"/>
        <v>-2.5582313285016062E-2</v>
      </c>
      <c r="I2136" s="156"/>
    </row>
    <row r="2137" spans="2:9" x14ac:dyDescent="0.2">
      <c r="B2137" s="230">
        <v>42852</v>
      </c>
      <c r="C2137" s="124">
        <v>285.8</v>
      </c>
      <c r="D2137" s="156">
        <f t="shared" si="67"/>
        <v>2.8057553956834572E-2</v>
      </c>
      <c r="E2137" s="156">
        <v>1.894387875917621E-3</v>
      </c>
      <c r="F2137" s="124">
        <v>2131</v>
      </c>
      <c r="G2137" s="238">
        <f t="shared" ca="1" si="68"/>
        <v>-2.8177125376670437E-3</v>
      </c>
      <c r="I2137" s="156"/>
    </row>
    <row r="2138" spans="2:9" x14ac:dyDescent="0.2">
      <c r="B2138" s="230">
        <v>42851</v>
      </c>
      <c r="C2138" s="124">
        <v>290.89999999999998</v>
      </c>
      <c r="D2138" s="156">
        <f t="shared" si="67"/>
        <v>1.7844646606018075E-2</v>
      </c>
      <c r="E2138" s="156">
        <v>1.887504718761797E-3</v>
      </c>
      <c r="F2138" s="124">
        <v>2132</v>
      </c>
      <c r="G2138" s="238">
        <f t="shared" ca="1" si="68"/>
        <v>1.1928293001295618E-2</v>
      </c>
      <c r="I2138" s="156"/>
    </row>
    <row r="2139" spans="2:9" x14ac:dyDescent="0.2">
      <c r="B2139" s="230">
        <v>42850</v>
      </c>
      <c r="C2139" s="124">
        <v>281.3</v>
      </c>
      <c r="D2139" s="156">
        <f t="shared" si="67"/>
        <v>-3.3001031282227457E-2</v>
      </c>
      <c r="E2139" s="156">
        <v>1.8689151599442732E-3</v>
      </c>
      <c r="F2139" s="124">
        <v>2133</v>
      </c>
      <c r="G2139" s="238">
        <f t="shared" ca="1" si="68"/>
        <v>-4.9092102049522201E-4</v>
      </c>
      <c r="I2139" s="156"/>
    </row>
    <row r="2140" spans="2:9" x14ac:dyDescent="0.2">
      <c r="B2140" s="230">
        <v>42849</v>
      </c>
      <c r="C2140" s="124">
        <v>276.75</v>
      </c>
      <c r="D2140" s="156">
        <f t="shared" si="67"/>
        <v>-1.6174902239601888E-2</v>
      </c>
      <c r="E2140" s="156">
        <v>1.8602488082781336E-3</v>
      </c>
      <c r="F2140" s="124">
        <v>2134</v>
      </c>
      <c r="G2140" s="238">
        <f t="shared" ca="1" si="68"/>
        <v>-8.6673134090868055E-3</v>
      </c>
      <c r="I2140" s="156"/>
    </row>
    <row r="2141" spans="2:9" x14ac:dyDescent="0.2">
      <c r="B2141" s="230">
        <v>42846</v>
      </c>
      <c r="C2141" s="124">
        <v>274.35000000000002</v>
      </c>
      <c r="D2141" s="156">
        <f t="shared" si="67"/>
        <v>-8.6720867208671271E-3</v>
      </c>
      <c r="E2141" s="156">
        <v>1.8527095877721429E-3</v>
      </c>
      <c r="F2141" s="124">
        <v>2135</v>
      </c>
      <c r="G2141" s="238">
        <f t="shared" ca="1" si="68"/>
        <v>-2.6825841049665722E-2</v>
      </c>
      <c r="I2141" s="156"/>
    </row>
    <row r="2142" spans="2:9" x14ac:dyDescent="0.2">
      <c r="B2142" s="230">
        <v>42845</v>
      </c>
      <c r="C2142" s="124">
        <v>279.5</v>
      </c>
      <c r="D2142" s="156">
        <f t="shared" si="67"/>
        <v>1.8771642063058053E-2</v>
      </c>
      <c r="E2142" s="156">
        <v>1.848884506347907E-3</v>
      </c>
      <c r="F2142" s="124">
        <v>2136</v>
      </c>
      <c r="G2142" s="238">
        <f t="shared" ca="1" si="68"/>
        <v>-1.8158902763385717E-2</v>
      </c>
      <c r="I2142" s="156"/>
    </row>
    <row r="2143" spans="2:9" x14ac:dyDescent="0.2">
      <c r="B2143" s="230">
        <v>42844</v>
      </c>
      <c r="C2143" s="124">
        <v>278.7</v>
      </c>
      <c r="D2143" s="156">
        <f t="shared" si="67"/>
        <v>-2.8622540250447634E-3</v>
      </c>
      <c r="E2143" s="156">
        <v>1.8460481689778338E-3</v>
      </c>
      <c r="F2143" s="124">
        <v>2137</v>
      </c>
      <c r="G2143" s="238">
        <f t="shared" ca="1" si="68"/>
        <v>-6.1097276894344606E-3</v>
      </c>
      <c r="I2143" s="156"/>
    </row>
    <row r="2144" spans="2:9" x14ac:dyDescent="0.2">
      <c r="B2144" s="230">
        <v>42843</v>
      </c>
      <c r="C2144" s="124">
        <v>279.05</v>
      </c>
      <c r="D2144" s="156">
        <f t="shared" si="67"/>
        <v>1.255830642267753E-3</v>
      </c>
      <c r="E2144" s="156">
        <v>1.8400802944128854E-3</v>
      </c>
      <c r="F2144" s="124">
        <v>2138</v>
      </c>
      <c r="G2144" s="238">
        <f t="shared" ca="1" si="68"/>
        <v>-1.3459273061534625E-2</v>
      </c>
      <c r="I2144" s="156"/>
    </row>
    <row r="2145" spans="2:9" x14ac:dyDescent="0.2">
      <c r="B2145" s="230">
        <v>42842</v>
      </c>
      <c r="C2145" s="124">
        <v>279.10000000000002</v>
      </c>
      <c r="D2145" s="156">
        <f t="shared" si="67"/>
        <v>1.7917935853793717E-4</v>
      </c>
      <c r="E2145" s="156">
        <v>1.8176034897987262E-3</v>
      </c>
      <c r="F2145" s="124">
        <v>2139</v>
      </c>
      <c r="G2145" s="238">
        <f t="shared" ca="1" si="68"/>
        <v>-7.4804443232200351E-3</v>
      </c>
      <c r="I2145" s="156"/>
    </row>
    <row r="2146" spans="2:9" x14ac:dyDescent="0.2">
      <c r="B2146" s="230">
        <v>42838</v>
      </c>
      <c r="C2146" s="124">
        <v>279.14999999999998</v>
      </c>
      <c r="D2146" s="156">
        <f t="shared" si="67"/>
        <v>1.7914725904677364E-4</v>
      </c>
      <c r="E2146" s="156">
        <v>1.8165304268846503E-3</v>
      </c>
      <c r="F2146" s="124">
        <v>2140</v>
      </c>
      <c r="G2146" s="238">
        <f t="shared" ca="1" si="68"/>
        <v>9.9106899185584553E-3</v>
      </c>
      <c r="I2146" s="156"/>
    </row>
    <row r="2147" spans="2:9" x14ac:dyDescent="0.2">
      <c r="B2147" s="230">
        <v>42837</v>
      </c>
      <c r="C2147" s="124">
        <v>281.89999999999998</v>
      </c>
      <c r="D2147" s="156">
        <f t="shared" si="67"/>
        <v>9.8513344080243606E-3</v>
      </c>
      <c r="E2147" s="156">
        <v>1.8152938506921065E-3</v>
      </c>
      <c r="F2147" s="124">
        <v>2141</v>
      </c>
      <c r="G2147" s="238">
        <f t="shared" ca="1" si="68"/>
        <v>-6.2777853244065226E-3</v>
      </c>
      <c r="I2147" s="156"/>
    </row>
    <row r="2148" spans="2:9" x14ac:dyDescent="0.2">
      <c r="B2148" s="230">
        <v>42836</v>
      </c>
      <c r="C2148" s="124">
        <v>282.05</v>
      </c>
      <c r="D2148" s="156">
        <f t="shared" si="67"/>
        <v>5.3210358283091214E-4</v>
      </c>
      <c r="E2148" s="156">
        <v>1.8128916741271314E-3</v>
      </c>
      <c r="F2148" s="124">
        <v>2142</v>
      </c>
      <c r="G2148" s="238">
        <f t="shared" ca="1" si="68"/>
        <v>-1.7909811193491297E-2</v>
      </c>
      <c r="I2148" s="156"/>
    </row>
    <row r="2149" spans="2:9" x14ac:dyDescent="0.2">
      <c r="B2149" s="230">
        <v>42835</v>
      </c>
      <c r="C2149" s="124">
        <v>273.55</v>
      </c>
      <c r="D2149" s="156">
        <f t="shared" si="67"/>
        <v>-3.0136500620457366E-2</v>
      </c>
      <c r="E2149" s="156">
        <v>1.8097363817336245E-3</v>
      </c>
      <c r="F2149" s="124">
        <v>2143</v>
      </c>
      <c r="G2149" s="238">
        <f t="shared" ca="1" si="68"/>
        <v>2.4444086890400236E-2</v>
      </c>
      <c r="I2149" s="156"/>
    </row>
    <row r="2150" spans="2:9" x14ac:dyDescent="0.2">
      <c r="B2150" s="230">
        <v>42832</v>
      </c>
      <c r="C2150" s="124">
        <v>272.64999999999998</v>
      </c>
      <c r="D2150" s="156">
        <f t="shared" si="67"/>
        <v>-3.2900749405959935E-3</v>
      </c>
      <c r="E2150" s="156">
        <v>1.8050541516245193E-3</v>
      </c>
      <c r="F2150" s="124">
        <v>2144</v>
      </c>
      <c r="G2150" s="238">
        <f t="shared" ca="1" si="68"/>
        <v>-1.0025672811004969E-2</v>
      </c>
      <c r="I2150" s="156"/>
    </row>
    <row r="2151" spans="2:9" x14ac:dyDescent="0.2">
      <c r="B2151" s="230">
        <v>42831</v>
      </c>
      <c r="C2151" s="124">
        <v>274.10000000000002</v>
      </c>
      <c r="D2151" s="156">
        <f t="shared" si="67"/>
        <v>5.3181734824868715E-3</v>
      </c>
      <c r="E2151" s="156">
        <v>1.7885088307623774E-3</v>
      </c>
      <c r="F2151" s="124">
        <v>2145</v>
      </c>
      <c r="G2151" s="238">
        <f t="shared" ca="1" si="68"/>
        <v>2.3656005338348555E-3</v>
      </c>
      <c r="I2151" s="156"/>
    </row>
    <row r="2152" spans="2:9" x14ac:dyDescent="0.2">
      <c r="B2152" s="230">
        <v>42830</v>
      </c>
      <c r="C2152" s="124">
        <v>278.95</v>
      </c>
      <c r="D2152" s="156">
        <f t="shared" si="67"/>
        <v>1.7694272163443873E-2</v>
      </c>
      <c r="E2152" s="156">
        <v>1.7837235228539195E-3</v>
      </c>
      <c r="F2152" s="124">
        <v>2146</v>
      </c>
      <c r="G2152" s="238">
        <f t="shared" ca="1" si="68"/>
        <v>8.1306246282157654E-3</v>
      </c>
      <c r="I2152" s="156"/>
    </row>
    <row r="2153" spans="2:9" x14ac:dyDescent="0.2">
      <c r="B2153" s="230">
        <v>42828</v>
      </c>
      <c r="C2153" s="124">
        <v>281.55</v>
      </c>
      <c r="D2153" s="156">
        <f t="shared" si="67"/>
        <v>9.3206667861624772E-3</v>
      </c>
      <c r="E2153" s="156">
        <v>1.7750954113783868E-3</v>
      </c>
      <c r="F2153" s="124">
        <v>2147</v>
      </c>
      <c r="G2153" s="238">
        <f t="shared" ca="1" si="68"/>
        <v>-2.6748840816849705E-2</v>
      </c>
      <c r="I2153" s="156"/>
    </row>
    <row r="2154" spans="2:9" x14ac:dyDescent="0.2">
      <c r="B2154" s="230">
        <v>42825</v>
      </c>
      <c r="C2154" s="124">
        <v>280.3</v>
      </c>
      <c r="D2154" s="156">
        <f t="shared" si="67"/>
        <v>-4.4397087551056652E-3</v>
      </c>
      <c r="E2154" s="156">
        <v>1.7743250371649382E-3</v>
      </c>
      <c r="F2154" s="124">
        <v>2148</v>
      </c>
      <c r="G2154" s="238">
        <f t="shared" ca="1" si="68"/>
        <v>1.3144148159991613E-2</v>
      </c>
      <c r="I2154" s="156"/>
    </row>
    <row r="2155" spans="2:9" x14ac:dyDescent="0.2">
      <c r="B2155" s="230">
        <v>42824</v>
      </c>
      <c r="C2155" s="124">
        <v>282.75</v>
      </c>
      <c r="D2155" s="156">
        <f t="shared" si="67"/>
        <v>8.7406350338922172E-3</v>
      </c>
      <c r="E2155" s="156">
        <v>1.7667844522967192E-3</v>
      </c>
      <c r="F2155" s="124">
        <v>2149</v>
      </c>
      <c r="G2155" s="238">
        <f t="shared" ca="1" si="68"/>
        <v>2.7169720087091651E-2</v>
      </c>
      <c r="I2155" s="156"/>
    </row>
    <row r="2156" spans="2:9" x14ac:dyDescent="0.2">
      <c r="B2156" s="230">
        <v>42823</v>
      </c>
      <c r="C2156" s="124">
        <v>283.2</v>
      </c>
      <c r="D2156" s="156">
        <f t="shared" si="67"/>
        <v>1.5915119363394824E-3</v>
      </c>
      <c r="E2156" s="156">
        <v>1.7661603673613563E-3</v>
      </c>
      <c r="F2156" s="124">
        <v>2150</v>
      </c>
      <c r="G2156" s="238">
        <f t="shared" ca="1" si="68"/>
        <v>1.1170443725290134E-2</v>
      </c>
      <c r="I2156" s="156"/>
    </row>
    <row r="2157" spans="2:9" x14ac:dyDescent="0.2">
      <c r="B2157" s="230">
        <v>42822</v>
      </c>
      <c r="C2157" s="124">
        <v>280.5</v>
      </c>
      <c r="D2157" s="156">
        <f t="shared" si="67"/>
        <v>-9.5338983050847065E-3</v>
      </c>
      <c r="E2157" s="156">
        <v>1.7354415734670925E-3</v>
      </c>
      <c r="F2157" s="124">
        <v>2151</v>
      </c>
      <c r="G2157" s="238">
        <f t="shared" ca="1" si="68"/>
        <v>2.8212873722910536E-2</v>
      </c>
      <c r="I2157" s="156"/>
    </row>
    <row r="2158" spans="2:9" x14ac:dyDescent="0.2">
      <c r="B2158" s="230">
        <v>42821</v>
      </c>
      <c r="C2158" s="124">
        <v>281.60000000000002</v>
      </c>
      <c r="D2158" s="156">
        <f t="shared" si="67"/>
        <v>3.9215686274510619E-3</v>
      </c>
      <c r="E2158" s="156">
        <v>1.7340769555232907E-3</v>
      </c>
      <c r="F2158" s="124">
        <v>2152</v>
      </c>
      <c r="G2158" s="238">
        <f t="shared" ca="1" si="68"/>
        <v>-2.2743417656225028E-2</v>
      </c>
      <c r="I2158" s="156"/>
    </row>
    <row r="2159" spans="2:9" x14ac:dyDescent="0.2">
      <c r="B2159" s="230">
        <v>42818</v>
      </c>
      <c r="C2159" s="124">
        <v>281</v>
      </c>
      <c r="D2159" s="156">
        <f t="shared" si="67"/>
        <v>-2.1306818181818987E-3</v>
      </c>
      <c r="E2159" s="156">
        <v>1.7298045320877757E-3</v>
      </c>
      <c r="F2159" s="124">
        <v>2153</v>
      </c>
      <c r="G2159" s="238">
        <f t="shared" ca="1" si="68"/>
        <v>-3.230987009508187E-3</v>
      </c>
      <c r="I2159" s="156"/>
    </row>
    <row r="2160" spans="2:9" x14ac:dyDescent="0.2">
      <c r="B2160" s="230">
        <v>42817</v>
      </c>
      <c r="C2160" s="124">
        <v>277.60000000000002</v>
      </c>
      <c r="D2160" s="156">
        <f t="shared" si="67"/>
        <v>-1.2099644128113799E-2</v>
      </c>
      <c r="E2160" s="156">
        <v>1.6803192606594298E-3</v>
      </c>
      <c r="F2160" s="124">
        <v>2154</v>
      </c>
      <c r="G2160" s="238">
        <f t="shared" ca="1" si="68"/>
        <v>1.3976946202553291E-2</v>
      </c>
      <c r="I2160" s="156"/>
    </row>
    <row r="2161" spans="2:9" x14ac:dyDescent="0.2">
      <c r="B2161" s="230">
        <v>42816</v>
      </c>
      <c r="C2161" s="124">
        <v>279.85000000000002</v>
      </c>
      <c r="D2161" s="156">
        <f t="shared" si="67"/>
        <v>8.1051873198847262E-3</v>
      </c>
      <c r="E2161" s="156">
        <v>1.6760595839182321E-3</v>
      </c>
      <c r="F2161" s="124">
        <v>2155</v>
      </c>
      <c r="G2161" s="238">
        <f t="shared" ca="1" si="68"/>
        <v>1.3373584979298591E-2</v>
      </c>
      <c r="I2161" s="156"/>
    </row>
    <row r="2162" spans="2:9" x14ac:dyDescent="0.2">
      <c r="B2162" s="230">
        <v>42815</v>
      </c>
      <c r="C2162" s="124">
        <v>287.89999999999998</v>
      </c>
      <c r="D2162" s="156">
        <f t="shared" si="67"/>
        <v>2.876541004109328E-2</v>
      </c>
      <c r="E2162" s="156">
        <v>1.6744408563568679E-3</v>
      </c>
      <c r="F2162" s="124">
        <v>2156</v>
      </c>
      <c r="G2162" s="238">
        <f t="shared" ca="1" si="68"/>
        <v>-9.0514359946222943E-3</v>
      </c>
      <c r="I2162" s="156"/>
    </row>
    <row r="2163" spans="2:9" x14ac:dyDescent="0.2">
      <c r="B2163" s="230">
        <v>42814</v>
      </c>
      <c r="C2163" s="124">
        <v>281.89999999999998</v>
      </c>
      <c r="D2163" s="156">
        <f t="shared" si="67"/>
        <v>-2.0840569642236888E-2</v>
      </c>
      <c r="E2163" s="156">
        <v>1.6662038322687459E-3</v>
      </c>
      <c r="F2163" s="124">
        <v>2157</v>
      </c>
      <c r="G2163" s="238">
        <f t="shared" ca="1" si="68"/>
        <v>-8.8953734842800846E-3</v>
      </c>
      <c r="I2163" s="156"/>
    </row>
    <row r="2164" spans="2:9" x14ac:dyDescent="0.2">
      <c r="B2164" s="230">
        <v>42811</v>
      </c>
      <c r="C2164" s="124">
        <v>281.25</v>
      </c>
      <c r="D2164" s="156">
        <f t="shared" si="67"/>
        <v>-2.3057821922666806E-3</v>
      </c>
      <c r="E2164" s="156">
        <v>1.6652789342215058E-3</v>
      </c>
      <c r="F2164" s="124">
        <v>2158</v>
      </c>
      <c r="G2164" s="238">
        <f t="shared" ca="1" si="68"/>
        <v>-1.3426071907462259E-2</v>
      </c>
      <c r="I2164" s="156"/>
    </row>
    <row r="2165" spans="2:9" x14ac:dyDescent="0.2">
      <c r="B2165" s="230">
        <v>42810</v>
      </c>
      <c r="C2165" s="124">
        <v>268.45</v>
      </c>
      <c r="D2165" s="156">
        <f t="shared" si="67"/>
        <v>-4.5511111111111155E-2</v>
      </c>
      <c r="E2165" s="156">
        <v>1.662547742080324E-3</v>
      </c>
      <c r="F2165" s="124">
        <v>2159</v>
      </c>
      <c r="G2165" s="238">
        <f t="shared" ca="1" si="68"/>
        <v>4.8626508790456709E-3</v>
      </c>
      <c r="I2165" s="156"/>
    </row>
    <row r="2166" spans="2:9" x14ac:dyDescent="0.2">
      <c r="B2166" s="230">
        <v>42809</v>
      </c>
      <c r="C2166" s="124">
        <v>268.2</v>
      </c>
      <c r="D2166" s="156">
        <f t="shared" si="67"/>
        <v>-9.312721177127957E-4</v>
      </c>
      <c r="E2166" s="156">
        <v>1.6573295985061541E-3</v>
      </c>
      <c r="F2166" s="124">
        <v>2160</v>
      </c>
      <c r="G2166" s="238">
        <f t="shared" ca="1" si="68"/>
        <v>-3.2264504245822657E-3</v>
      </c>
      <c r="I2166" s="156"/>
    </row>
    <row r="2167" spans="2:9" x14ac:dyDescent="0.2">
      <c r="B2167" s="230">
        <v>42808</v>
      </c>
      <c r="C2167" s="124">
        <v>267.10000000000002</v>
      </c>
      <c r="D2167" s="156">
        <f t="shared" si="67"/>
        <v>-4.1014168530945786E-3</v>
      </c>
      <c r="E2167" s="156">
        <v>1.6419544233257663E-3</v>
      </c>
      <c r="F2167" s="124">
        <v>2161</v>
      </c>
      <c r="G2167" s="238">
        <f t="shared" ca="1" si="68"/>
        <v>-9.0744229364188248E-3</v>
      </c>
      <c r="I2167" s="156"/>
    </row>
    <row r="2168" spans="2:9" x14ac:dyDescent="0.2">
      <c r="B2168" s="230">
        <v>42804</v>
      </c>
      <c r="C2168" s="124">
        <v>263.45</v>
      </c>
      <c r="D2168" s="156">
        <f t="shared" si="67"/>
        <v>-1.3665293897416825E-2</v>
      </c>
      <c r="E2168" s="156">
        <v>1.635991820040923E-3</v>
      </c>
      <c r="F2168" s="124">
        <v>2162</v>
      </c>
      <c r="G2168" s="238">
        <f t="shared" ca="1" si="68"/>
        <v>2.7064164443255833E-2</v>
      </c>
      <c r="I2168" s="156"/>
    </row>
    <row r="2169" spans="2:9" x14ac:dyDescent="0.2">
      <c r="B2169" s="230">
        <v>42803</v>
      </c>
      <c r="C2169" s="124">
        <v>264.95</v>
      </c>
      <c r="D2169" s="156">
        <f t="shared" si="67"/>
        <v>5.6936800151831468E-3</v>
      </c>
      <c r="E2169" s="156">
        <v>1.6351744186046098E-3</v>
      </c>
      <c r="F2169" s="124">
        <v>2163</v>
      </c>
      <c r="G2169" s="238">
        <f t="shared" ca="1" si="68"/>
        <v>1.9636990114671578E-2</v>
      </c>
      <c r="I2169" s="156"/>
    </row>
    <row r="2170" spans="2:9" x14ac:dyDescent="0.2">
      <c r="B2170" s="230">
        <v>42802</v>
      </c>
      <c r="C2170" s="124">
        <v>264.14999999999998</v>
      </c>
      <c r="D2170" s="156">
        <f t="shared" si="67"/>
        <v>-3.0194376297415036E-3</v>
      </c>
      <c r="E2170" s="156">
        <v>1.6297262059974157E-3</v>
      </c>
      <c r="F2170" s="124">
        <v>2164</v>
      </c>
      <c r="G2170" s="238">
        <f t="shared" ca="1" si="68"/>
        <v>-1.6968424793437673E-2</v>
      </c>
      <c r="I2170" s="156"/>
    </row>
    <row r="2171" spans="2:9" x14ac:dyDescent="0.2">
      <c r="B2171" s="230">
        <v>42801</v>
      </c>
      <c r="C2171" s="124">
        <v>264.25</v>
      </c>
      <c r="D2171" s="156">
        <f t="shared" si="67"/>
        <v>3.7857278061715976E-4</v>
      </c>
      <c r="E2171" s="156">
        <v>1.6268098259313718E-3</v>
      </c>
      <c r="F2171" s="124">
        <v>2165</v>
      </c>
      <c r="G2171" s="238">
        <f t="shared" ca="1" si="68"/>
        <v>1.484612935671643E-2</v>
      </c>
      <c r="I2171" s="156"/>
    </row>
    <row r="2172" spans="2:9" x14ac:dyDescent="0.2">
      <c r="B2172" s="230">
        <v>42800</v>
      </c>
      <c r="C2172" s="124">
        <v>264.10000000000002</v>
      </c>
      <c r="D2172" s="156">
        <f t="shared" si="67"/>
        <v>-5.6764427625346169E-4</v>
      </c>
      <c r="E2172" s="156">
        <v>1.6202680807188014E-3</v>
      </c>
      <c r="F2172" s="124">
        <v>2166</v>
      </c>
      <c r="G2172" s="238">
        <f t="shared" ca="1" si="68"/>
        <v>-2.6323426134249449E-2</v>
      </c>
      <c r="I2172" s="156"/>
    </row>
    <row r="2173" spans="2:9" x14ac:dyDescent="0.2">
      <c r="B2173" s="230">
        <v>42797</v>
      </c>
      <c r="C2173" s="124">
        <v>261.55</v>
      </c>
      <c r="D2173" s="156">
        <f t="shared" si="67"/>
        <v>-9.6554335478985648E-3</v>
      </c>
      <c r="E2173" s="156">
        <v>1.6138497652582772E-3</v>
      </c>
      <c r="F2173" s="124">
        <v>2167</v>
      </c>
      <c r="G2173" s="238">
        <f t="shared" ca="1" si="68"/>
        <v>-1.260368626294029E-3</v>
      </c>
      <c r="I2173" s="156"/>
    </row>
    <row r="2174" spans="2:9" x14ac:dyDescent="0.2">
      <c r="B2174" s="230">
        <v>42796</v>
      </c>
      <c r="C2174" s="124">
        <v>264.75</v>
      </c>
      <c r="D2174" s="156">
        <f t="shared" ref="D2174:D2237" si="69">(C2174-C2173)/C2173</f>
        <v>1.223475434907279E-2</v>
      </c>
      <c r="E2174" s="156">
        <v>1.6036655211912683E-3</v>
      </c>
      <c r="F2174" s="124">
        <v>2168</v>
      </c>
      <c r="G2174" s="238">
        <f t="shared" ca="1" si="68"/>
        <v>-9.6564676800916047E-3</v>
      </c>
      <c r="I2174" s="156"/>
    </row>
    <row r="2175" spans="2:9" x14ac:dyDescent="0.2">
      <c r="B2175" s="230">
        <v>42795</v>
      </c>
      <c r="C2175" s="124">
        <v>268.5</v>
      </c>
      <c r="D2175" s="156">
        <f t="shared" si="69"/>
        <v>1.4164305949008499E-2</v>
      </c>
      <c r="E2175" s="156">
        <v>1.5915119363394824E-3</v>
      </c>
      <c r="F2175" s="124">
        <v>2169</v>
      </c>
      <c r="G2175" s="238">
        <f t="shared" ca="1" si="68"/>
        <v>3.5619775348685605E-3</v>
      </c>
      <c r="I2175" s="156"/>
    </row>
    <row r="2176" spans="2:9" x14ac:dyDescent="0.2">
      <c r="B2176" s="230">
        <v>42794</v>
      </c>
      <c r="C2176" s="124">
        <v>262.2</v>
      </c>
      <c r="D2176" s="156">
        <f t="shared" si="69"/>
        <v>-2.346368715083803E-2</v>
      </c>
      <c r="E2176" s="156">
        <v>1.5882469724042315E-3</v>
      </c>
      <c r="F2176" s="124">
        <v>2170</v>
      </c>
      <c r="G2176" s="238">
        <f t="shared" ca="1" si="68"/>
        <v>-1.0601708916266241E-2</v>
      </c>
      <c r="I2176" s="156"/>
    </row>
    <row r="2177" spans="2:9" x14ac:dyDescent="0.2">
      <c r="B2177" s="230">
        <v>42793</v>
      </c>
      <c r="C2177" s="124">
        <v>264.60000000000002</v>
      </c>
      <c r="D2177" s="156">
        <f t="shared" si="69"/>
        <v>9.1533180778033338E-3</v>
      </c>
      <c r="E2177" s="156">
        <v>1.5826362197603179E-3</v>
      </c>
      <c r="F2177" s="124">
        <v>2171</v>
      </c>
      <c r="G2177" s="238">
        <f t="shared" ca="1" si="68"/>
        <v>7.695285392977526E-3</v>
      </c>
      <c r="I2177" s="156"/>
    </row>
    <row r="2178" spans="2:9" x14ac:dyDescent="0.2">
      <c r="B2178" s="230">
        <v>42789</v>
      </c>
      <c r="C2178" s="124">
        <v>265.64999999999998</v>
      </c>
      <c r="D2178" s="156">
        <f t="shared" si="69"/>
        <v>3.9682539682537963E-3</v>
      </c>
      <c r="E2178" s="156">
        <v>1.5816896166728851E-3</v>
      </c>
      <c r="F2178" s="124">
        <v>2172</v>
      </c>
      <c r="G2178" s="238">
        <f t="shared" ca="1" si="68"/>
        <v>-4.1224344630260368E-2</v>
      </c>
      <c r="I2178" s="156"/>
    </row>
    <row r="2179" spans="2:9" x14ac:dyDescent="0.2">
      <c r="B2179" s="230">
        <v>42788</v>
      </c>
      <c r="C2179" s="124">
        <v>263.45</v>
      </c>
      <c r="D2179" s="156">
        <f t="shared" si="69"/>
        <v>-8.2815734989647605E-3</v>
      </c>
      <c r="E2179" s="156">
        <v>1.5814443858724902E-3</v>
      </c>
      <c r="F2179" s="124">
        <v>2173</v>
      </c>
      <c r="G2179" s="238">
        <f t="shared" ca="1" si="68"/>
        <v>-5.5724307065403919E-2</v>
      </c>
      <c r="I2179" s="156"/>
    </row>
    <row r="2180" spans="2:9" x14ac:dyDescent="0.2">
      <c r="B2180" s="230">
        <v>42787</v>
      </c>
      <c r="C2180" s="124">
        <v>263.14999999999998</v>
      </c>
      <c r="D2180" s="156">
        <f t="shared" si="69"/>
        <v>-1.1387360030366725E-3</v>
      </c>
      <c r="E2180" s="156">
        <v>1.5413683373110693E-3</v>
      </c>
      <c r="F2180" s="124">
        <v>2174</v>
      </c>
      <c r="G2180" s="238">
        <f t="shared" ca="1" si="68"/>
        <v>-1.9130809598833124E-2</v>
      </c>
      <c r="I2180" s="156"/>
    </row>
    <row r="2181" spans="2:9" x14ac:dyDescent="0.2">
      <c r="B2181" s="230">
        <v>42786</v>
      </c>
      <c r="C2181" s="124">
        <v>266.05</v>
      </c>
      <c r="D2181" s="156">
        <f t="shared" si="69"/>
        <v>1.1020330609918428E-2</v>
      </c>
      <c r="E2181" s="156">
        <v>1.5331996697724593E-3</v>
      </c>
      <c r="F2181" s="124">
        <v>2175</v>
      </c>
      <c r="G2181" s="238">
        <f t="shared" ca="1" si="68"/>
        <v>1.7193323933615841E-2</v>
      </c>
      <c r="I2181" s="156"/>
    </row>
    <row r="2182" spans="2:9" x14ac:dyDescent="0.2">
      <c r="B2182" s="230">
        <v>42783</v>
      </c>
      <c r="C2182" s="124">
        <v>268.14999999999998</v>
      </c>
      <c r="D2182" s="156">
        <f t="shared" si="69"/>
        <v>7.8932531479043999E-3</v>
      </c>
      <c r="E2182" s="156">
        <v>1.4956625785222002E-3</v>
      </c>
      <c r="F2182" s="124">
        <v>2176</v>
      </c>
      <c r="G2182" s="238">
        <f t="shared" ca="1" si="68"/>
        <v>-1.0720800287157481E-2</v>
      </c>
      <c r="I2182" s="156"/>
    </row>
    <row r="2183" spans="2:9" x14ac:dyDescent="0.2">
      <c r="B2183" s="230">
        <v>42782</v>
      </c>
      <c r="C2183" s="124">
        <v>266.64999999999998</v>
      </c>
      <c r="D2183" s="156">
        <f t="shared" si="69"/>
        <v>-5.5938840201379828E-3</v>
      </c>
      <c r="E2183" s="156">
        <v>1.4939309056957125E-3</v>
      </c>
      <c r="F2183" s="124">
        <v>2177</v>
      </c>
      <c r="G2183" s="238">
        <f t="shared" ref="G2183:G2246" ca="1" si="70">_xlfn.NORM.INV(RAND(),$L$8,$L$9)</f>
        <v>2.4116908365544767E-2</v>
      </c>
      <c r="I2183" s="156"/>
    </row>
    <row r="2184" spans="2:9" x14ac:dyDescent="0.2">
      <c r="B2184" s="230">
        <v>42781</v>
      </c>
      <c r="C2184" s="124">
        <v>273.39999999999998</v>
      </c>
      <c r="D2184" s="156">
        <f t="shared" si="69"/>
        <v>2.5314082130133135E-2</v>
      </c>
      <c r="E2184" s="156">
        <v>1.4817781337605309E-3</v>
      </c>
      <c r="F2184" s="124">
        <v>2178</v>
      </c>
      <c r="G2184" s="238">
        <f t="shared" ca="1" si="70"/>
        <v>9.1817329108406388E-3</v>
      </c>
      <c r="I2184" s="156"/>
    </row>
    <row r="2185" spans="2:9" x14ac:dyDescent="0.2">
      <c r="B2185" s="230">
        <v>42780</v>
      </c>
      <c r="C2185" s="124">
        <v>270.8</v>
      </c>
      <c r="D2185" s="156">
        <f t="shared" si="69"/>
        <v>-9.5098756400876592E-3</v>
      </c>
      <c r="E2185" s="156">
        <v>1.479483051216237E-3</v>
      </c>
      <c r="F2185" s="124">
        <v>2179</v>
      </c>
      <c r="G2185" s="238">
        <f t="shared" ca="1" si="70"/>
        <v>-3.65413706748818E-2</v>
      </c>
      <c r="I2185" s="156"/>
    </row>
    <row r="2186" spans="2:9" x14ac:dyDescent="0.2">
      <c r="B2186" s="230">
        <v>42779</v>
      </c>
      <c r="C2186" s="124">
        <v>270.60000000000002</v>
      </c>
      <c r="D2186" s="156">
        <f t="shared" si="69"/>
        <v>-7.3855243722300082E-4</v>
      </c>
      <c r="E2186" s="156">
        <v>1.4756517461878157E-3</v>
      </c>
      <c r="F2186" s="124">
        <v>2180</v>
      </c>
      <c r="G2186" s="238">
        <f t="shared" ca="1" si="70"/>
        <v>-1.5420972106565635E-2</v>
      </c>
      <c r="I2186" s="156"/>
    </row>
    <row r="2187" spans="2:9" x14ac:dyDescent="0.2">
      <c r="B2187" s="230">
        <v>42776</v>
      </c>
      <c r="C2187" s="124">
        <v>273.35000000000002</v>
      </c>
      <c r="D2187" s="156">
        <f t="shared" si="69"/>
        <v>1.016260162601626E-2</v>
      </c>
      <c r="E2187" s="156">
        <v>1.4705882352940864E-3</v>
      </c>
      <c r="F2187" s="124">
        <v>2181</v>
      </c>
      <c r="G2187" s="238">
        <f t="shared" ca="1" si="70"/>
        <v>-3.6060125397794497E-2</v>
      </c>
      <c r="I2187" s="156"/>
    </row>
    <row r="2188" spans="2:9" x14ac:dyDescent="0.2">
      <c r="B2188" s="230">
        <v>42775</v>
      </c>
      <c r="C2188" s="124">
        <v>277.64999999999998</v>
      </c>
      <c r="D2188" s="156">
        <f t="shared" si="69"/>
        <v>1.5730748125114154E-2</v>
      </c>
      <c r="E2188" s="156">
        <v>1.4636526264432872E-3</v>
      </c>
      <c r="F2188" s="124">
        <v>2182</v>
      </c>
      <c r="G2188" s="238">
        <f t="shared" ca="1" si="70"/>
        <v>2.8321596056703278E-2</v>
      </c>
      <c r="I2188" s="156"/>
    </row>
    <row r="2189" spans="2:9" x14ac:dyDescent="0.2">
      <c r="B2189" s="230">
        <v>42774</v>
      </c>
      <c r="C2189" s="124">
        <v>274.8</v>
      </c>
      <c r="D2189" s="156">
        <f t="shared" si="69"/>
        <v>-1.0264721772015005E-2</v>
      </c>
      <c r="E2189" s="156">
        <v>1.4629605000665536E-3</v>
      </c>
      <c r="F2189" s="124">
        <v>2183</v>
      </c>
      <c r="G2189" s="238">
        <f t="shared" ca="1" si="70"/>
        <v>1.5458696266905599E-2</v>
      </c>
      <c r="I2189" s="156"/>
    </row>
    <row r="2190" spans="2:9" x14ac:dyDescent="0.2">
      <c r="B2190" s="230">
        <v>42773</v>
      </c>
      <c r="C2190" s="124">
        <v>277.10000000000002</v>
      </c>
      <c r="D2190" s="156">
        <f t="shared" si="69"/>
        <v>8.3697234352256601E-3</v>
      </c>
      <c r="E2190" s="156">
        <v>1.4548417132216015E-3</v>
      </c>
      <c r="F2190" s="124">
        <v>2184</v>
      </c>
      <c r="G2190" s="238">
        <f t="shared" ca="1" si="70"/>
        <v>4.901613606510832E-3</v>
      </c>
      <c r="I2190" s="156"/>
    </row>
    <row r="2191" spans="2:9" x14ac:dyDescent="0.2">
      <c r="B2191" s="230">
        <v>42772</v>
      </c>
      <c r="C2191" s="124">
        <v>276.8</v>
      </c>
      <c r="D2191" s="156">
        <f t="shared" si="69"/>
        <v>-1.0826416456153423E-3</v>
      </c>
      <c r="E2191" s="156">
        <v>1.4541224371092598E-3</v>
      </c>
      <c r="F2191" s="124">
        <v>2185</v>
      </c>
      <c r="G2191" s="238">
        <f t="shared" ca="1" si="70"/>
        <v>3.0073893005531496E-2</v>
      </c>
      <c r="I2191" s="156"/>
    </row>
    <row r="2192" spans="2:9" x14ac:dyDescent="0.2">
      <c r="B2192" s="230">
        <v>42769</v>
      </c>
      <c r="C2192" s="124">
        <v>273.05</v>
      </c>
      <c r="D2192" s="156">
        <f t="shared" si="69"/>
        <v>-1.3547687861271676E-2</v>
      </c>
      <c r="E2192" s="156">
        <v>1.454016721192211E-3</v>
      </c>
      <c r="F2192" s="124">
        <v>2186</v>
      </c>
      <c r="G2192" s="238">
        <f t="shared" ca="1" si="70"/>
        <v>6.7250622484378046E-3</v>
      </c>
      <c r="I2192" s="156"/>
    </row>
    <row r="2193" spans="2:9" x14ac:dyDescent="0.2">
      <c r="B2193" s="230">
        <v>42768</v>
      </c>
      <c r="C2193" s="124">
        <v>274.3</v>
      </c>
      <c r="D2193" s="156">
        <f t="shared" si="69"/>
        <v>4.5779161325764511E-3</v>
      </c>
      <c r="E2193" s="156">
        <v>1.446916259721592E-3</v>
      </c>
      <c r="F2193" s="124">
        <v>2187</v>
      </c>
      <c r="G2193" s="238">
        <f t="shared" ca="1" si="70"/>
        <v>8.4964574219911736E-3</v>
      </c>
      <c r="I2193" s="156"/>
    </row>
    <row r="2194" spans="2:9" x14ac:dyDescent="0.2">
      <c r="B2194" s="230">
        <v>42767</v>
      </c>
      <c r="C2194" s="124">
        <v>269.7</v>
      </c>
      <c r="D2194" s="156">
        <f t="shared" si="69"/>
        <v>-1.6769959897922064E-2</v>
      </c>
      <c r="E2194" s="156">
        <v>1.4417012074247305E-3</v>
      </c>
      <c r="F2194" s="124">
        <v>2188</v>
      </c>
      <c r="G2194" s="238">
        <f t="shared" ca="1" si="70"/>
        <v>9.6646966166751124E-3</v>
      </c>
      <c r="I2194" s="156"/>
    </row>
    <row r="2195" spans="2:9" x14ac:dyDescent="0.2">
      <c r="B2195" s="230">
        <v>42766</v>
      </c>
      <c r="C2195" s="124">
        <v>258.10000000000002</v>
      </c>
      <c r="D2195" s="156">
        <f t="shared" si="69"/>
        <v>-4.3010752688171922E-2</v>
      </c>
      <c r="E2195" s="156">
        <v>1.4371257485030484E-3</v>
      </c>
      <c r="F2195" s="124">
        <v>2189</v>
      </c>
      <c r="G2195" s="238">
        <f t="shared" ca="1" si="70"/>
        <v>-1.9708813116443832E-2</v>
      </c>
      <c r="I2195" s="156"/>
    </row>
    <row r="2196" spans="2:9" x14ac:dyDescent="0.2">
      <c r="B2196" s="230">
        <v>42765</v>
      </c>
      <c r="C2196" s="124">
        <v>256.10000000000002</v>
      </c>
      <c r="D2196" s="156">
        <f t="shared" si="69"/>
        <v>-7.7489345215032927E-3</v>
      </c>
      <c r="E2196" s="156">
        <v>1.4363230130864622E-3</v>
      </c>
      <c r="F2196" s="124">
        <v>2190</v>
      </c>
      <c r="G2196" s="238">
        <f t="shared" ca="1" si="70"/>
        <v>-2.1271633056611967E-2</v>
      </c>
      <c r="I2196" s="156"/>
    </row>
    <row r="2197" spans="2:9" x14ac:dyDescent="0.2">
      <c r="B2197" s="230">
        <v>42762</v>
      </c>
      <c r="C2197" s="124">
        <v>257.39999999999998</v>
      </c>
      <c r="D2197" s="156">
        <f t="shared" si="69"/>
        <v>5.0761421319795172E-3</v>
      </c>
      <c r="E2197" s="156">
        <v>1.4350143501434781E-3</v>
      </c>
      <c r="F2197" s="124">
        <v>2191</v>
      </c>
      <c r="G2197" s="238">
        <f t="shared" ca="1" si="70"/>
        <v>1.3111451863259257E-2</v>
      </c>
      <c r="I2197" s="156"/>
    </row>
    <row r="2198" spans="2:9" x14ac:dyDescent="0.2">
      <c r="B2198" s="230">
        <v>42760</v>
      </c>
      <c r="C2198" s="124">
        <v>265.5</v>
      </c>
      <c r="D2198" s="156">
        <f t="shared" si="69"/>
        <v>3.1468531468531562E-2</v>
      </c>
      <c r="E2198" s="156">
        <v>1.4245014245014786E-3</v>
      </c>
      <c r="F2198" s="124">
        <v>2192</v>
      </c>
      <c r="G2198" s="238">
        <f t="shared" ca="1" si="70"/>
        <v>7.6628237604562241E-3</v>
      </c>
      <c r="I2198" s="156"/>
    </row>
    <row r="2199" spans="2:9" x14ac:dyDescent="0.2">
      <c r="B2199" s="230">
        <v>42759</v>
      </c>
      <c r="C2199" s="124">
        <v>259.85000000000002</v>
      </c>
      <c r="D2199" s="156">
        <f t="shared" si="69"/>
        <v>-2.1280602636534755E-2</v>
      </c>
      <c r="E2199" s="156">
        <v>1.4186633039092594E-3</v>
      </c>
      <c r="F2199" s="124">
        <v>2193</v>
      </c>
      <c r="G2199" s="238">
        <f t="shared" ca="1" si="70"/>
        <v>1.0236733237175336E-2</v>
      </c>
      <c r="I2199" s="156"/>
    </row>
    <row r="2200" spans="2:9" x14ac:dyDescent="0.2">
      <c r="B2200" s="230">
        <v>42758</v>
      </c>
      <c r="C2200" s="124">
        <v>259.64999999999998</v>
      </c>
      <c r="D2200" s="156">
        <f t="shared" si="69"/>
        <v>-7.6967481239193945E-4</v>
      </c>
      <c r="E2200" s="156">
        <v>1.4169323414806136E-3</v>
      </c>
      <c r="F2200" s="124">
        <v>2194</v>
      </c>
      <c r="G2200" s="238">
        <f t="shared" ca="1" si="70"/>
        <v>5.0783519178144811E-2</v>
      </c>
      <c r="I2200" s="156"/>
    </row>
    <row r="2201" spans="2:9" x14ac:dyDescent="0.2">
      <c r="B2201" s="230">
        <v>42755</v>
      </c>
      <c r="C2201" s="124">
        <v>255.4</v>
      </c>
      <c r="D2201" s="156">
        <f t="shared" si="69"/>
        <v>-1.6368187945310888E-2</v>
      </c>
      <c r="E2201" s="156">
        <v>1.4165924098064856E-3</v>
      </c>
      <c r="F2201" s="124">
        <v>2195</v>
      </c>
      <c r="G2201" s="238">
        <f t="shared" ca="1" si="70"/>
        <v>4.9048537363029733E-3</v>
      </c>
      <c r="I2201" s="156"/>
    </row>
    <row r="2202" spans="2:9" x14ac:dyDescent="0.2">
      <c r="B2202" s="230">
        <v>42754</v>
      </c>
      <c r="C2202" s="124">
        <v>254.15</v>
      </c>
      <c r="D2202" s="156">
        <f t="shared" si="69"/>
        <v>-4.8942834768989823E-3</v>
      </c>
      <c r="E2202" s="156">
        <v>1.4094000857895078E-3</v>
      </c>
      <c r="F2202" s="124">
        <v>2196</v>
      </c>
      <c r="G2202" s="238">
        <f t="shared" ca="1" si="70"/>
        <v>2.7513386596878922E-2</v>
      </c>
      <c r="I2202" s="156"/>
    </row>
    <row r="2203" spans="2:9" x14ac:dyDescent="0.2">
      <c r="B2203" s="230">
        <v>42753</v>
      </c>
      <c r="C2203" s="124">
        <v>250.85</v>
      </c>
      <c r="D2203" s="156">
        <f t="shared" si="69"/>
        <v>-1.2984457997245765E-2</v>
      </c>
      <c r="E2203" s="156">
        <v>1.3982458370408563E-3</v>
      </c>
      <c r="F2203" s="124">
        <v>2197</v>
      </c>
      <c r="G2203" s="238">
        <f t="shared" ca="1" si="70"/>
        <v>1.073155573082431E-3</v>
      </c>
      <c r="I2203" s="156"/>
    </row>
    <row r="2204" spans="2:9" x14ac:dyDescent="0.2">
      <c r="B2204" s="230">
        <v>42752</v>
      </c>
      <c r="C2204" s="124">
        <v>251.95</v>
      </c>
      <c r="D2204" s="156">
        <f t="shared" si="69"/>
        <v>4.3850906916483726E-3</v>
      </c>
      <c r="E2204" s="156">
        <v>1.3891258255550245E-3</v>
      </c>
      <c r="F2204" s="124">
        <v>2198</v>
      </c>
      <c r="G2204" s="238">
        <f t="shared" ca="1" si="70"/>
        <v>1.3408295274091729E-2</v>
      </c>
      <c r="I2204" s="156"/>
    </row>
    <row r="2205" spans="2:9" x14ac:dyDescent="0.2">
      <c r="B2205" s="230">
        <v>42751</v>
      </c>
      <c r="C2205" s="124">
        <v>248.8</v>
      </c>
      <c r="D2205" s="156">
        <f t="shared" si="69"/>
        <v>-1.2502480650922713E-2</v>
      </c>
      <c r="E2205" s="156">
        <v>1.3736263736262955E-3</v>
      </c>
      <c r="F2205" s="124">
        <v>2199</v>
      </c>
      <c r="G2205" s="238">
        <f t="shared" ca="1" si="70"/>
        <v>-3.5499688122124385E-3</v>
      </c>
      <c r="I2205" s="156"/>
    </row>
    <row r="2206" spans="2:9" x14ac:dyDescent="0.2">
      <c r="B2206" s="230">
        <v>42748</v>
      </c>
      <c r="C2206" s="124">
        <v>249.65</v>
      </c>
      <c r="D2206" s="156">
        <f t="shared" si="69"/>
        <v>3.4163987138263437E-3</v>
      </c>
      <c r="E2206" s="156">
        <v>1.3692377909630825E-3</v>
      </c>
      <c r="F2206" s="124">
        <v>2200</v>
      </c>
      <c r="G2206" s="238">
        <f t="shared" ca="1" si="70"/>
        <v>-6.8422066969877375E-3</v>
      </c>
      <c r="I2206" s="156"/>
    </row>
    <row r="2207" spans="2:9" x14ac:dyDescent="0.2">
      <c r="B2207" s="230">
        <v>42747</v>
      </c>
      <c r="C2207" s="124">
        <v>244.65</v>
      </c>
      <c r="D2207" s="156">
        <f t="shared" si="69"/>
        <v>-2.0028039254956938E-2</v>
      </c>
      <c r="E2207" s="156">
        <v>1.3655391641109751E-3</v>
      </c>
      <c r="F2207" s="124">
        <v>2201</v>
      </c>
      <c r="G2207" s="238">
        <f t="shared" ca="1" si="70"/>
        <v>1.157973025162517E-2</v>
      </c>
      <c r="I2207" s="156"/>
    </row>
    <row r="2208" spans="2:9" x14ac:dyDescent="0.2">
      <c r="B2208" s="230">
        <v>42746</v>
      </c>
      <c r="C2208" s="124">
        <v>247.55</v>
      </c>
      <c r="D2208" s="156">
        <f t="shared" si="69"/>
        <v>1.1853668506029045E-2</v>
      </c>
      <c r="E2208" s="156">
        <v>1.3602798289933985E-3</v>
      </c>
      <c r="F2208" s="124">
        <v>2202</v>
      </c>
      <c r="G2208" s="238">
        <f t="shared" ca="1" si="70"/>
        <v>-1.057650684032284E-3</v>
      </c>
      <c r="I2208" s="156"/>
    </row>
    <row r="2209" spans="2:9" x14ac:dyDescent="0.2">
      <c r="B2209" s="230">
        <v>42745</v>
      </c>
      <c r="C2209" s="124">
        <v>248.95</v>
      </c>
      <c r="D2209" s="156">
        <f t="shared" si="69"/>
        <v>5.6554231468389305E-3</v>
      </c>
      <c r="E2209" s="156">
        <v>1.353694160115879E-3</v>
      </c>
      <c r="F2209" s="124">
        <v>2203</v>
      </c>
      <c r="G2209" s="238">
        <f t="shared" ca="1" si="70"/>
        <v>1.4800806827296478E-2</v>
      </c>
      <c r="I2209" s="156"/>
    </row>
    <row r="2210" spans="2:9" x14ac:dyDescent="0.2">
      <c r="B2210" s="230">
        <v>42744</v>
      </c>
      <c r="C2210" s="124">
        <v>245.85</v>
      </c>
      <c r="D2210" s="156">
        <f t="shared" si="69"/>
        <v>-1.2452299658565955E-2</v>
      </c>
      <c r="E2210" s="156">
        <v>1.343429408891088E-3</v>
      </c>
      <c r="F2210" s="124">
        <v>2204</v>
      </c>
      <c r="G2210" s="238">
        <f t="shared" ca="1" si="70"/>
        <v>-2.4371043770477354E-2</v>
      </c>
      <c r="I2210" s="156"/>
    </row>
    <row r="2211" spans="2:9" x14ac:dyDescent="0.2">
      <c r="B2211" s="230">
        <v>42741</v>
      </c>
      <c r="C2211" s="124">
        <v>242.7</v>
      </c>
      <c r="D2211" s="156">
        <f t="shared" si="69"/>
        <v>-1.2812690665039681E-2</v>
      </c>
      <c r="E2211" s="156">
        <v>1.333451862387734E-3</v>
      </c>
      <c r="F2211" s="124">
        <v>2205</v>
      </c>
      <c r="G2211" s="238">
        <f t="shared" ca="1" si="70"/>
        <v>7.6669202456303232E-3</v>
      </c>
      <c r="I2211" s="156"/>
    </row>
    <row r="2212" spans="2:9" x14ac:dyDescent="0.2">
      <c r="B2212" s="230">
        <v>42740</v>
      </c>
      <c r="C2212" s="124">
        <v>246.75</v>
      </c>
      <c r="D2212" s="156">
        <f t="shared" si="69"/>
        <v>1.668726823238571E-2</v>
      </c>
      <c r="E2212" s="156">
        <v>1.3324647637095481E-3</v>
      </c>
      <c r="F2212" s="124">
        <v>2206</v>
      </c>
      <c r="G2212" s="238">
        <f t="shared" ca="1" si="70"/>
        <v>-1.0572169862709096E-2</v>
      </c>
      <c r="I2212" s="156"/>
    </row>
    <row r="2213" spans="2:9" x14ac:dyDescent="0.2">
      <c r="B2213" s="230">
        <v>42739</v>
      </c>
      <c r="C2213" s="124">
        <v>245.45</v>
      </c>
      <c r="D2213" s="156">
        <f t="shared" si="69"/>
        <v>-5.2684903748733995E-3</v>
      </c>
      <c r="E2213" s="156">
        <v>1.3280653408146927E-3</v>
      </c>
      <c r="F2213" s="124">
        <v>2207</v>
      </c>
      <c r="G2213" s="238">
        <f t="shared" ca="1" si="70"/>
        <v>1.11470260029053E-2</v>
      </c>
      <c r="I2213" s="156"/>
    </row>
    <row r="2214" spans="2:9" x14ac:dyDescent="0.2">
      <c r="B2214" s="230">
        <v>42738</v>
      </c>
      <c r="C2214" s="124">
        <v>243.35</v>
      </c>
      <c r="D2214" s="156">
        <f t="shared" si="69"/>
        <v>-8.5557139947035829E-3</v>
      </c>
      <c r="E2214" s="156">
        <v>1.3153717059009935E-3</v>
      </c>
      <c r="F2214" s="124">
        <v>2208</v>
      </c>
      <c r="G2214" s="238">
        <f t="shared" ca="1" si="70"/>
        <v>4.1377653918356315E-3</v>
      </c>
      <c r="I2214" s="156"/>
    </row>
    <row r="2215" spans="2:9" x14ac:dyDescent="0.2">
      <c r="B2215" s="230">
        <v>42737</v>
      </c>
      <c r="C2215" s="124">
        <v>240.95</v>
      </c>
      <c r="D2215" s="156">
        <f t="shared" si="69"/>
        <v>-9.862338196013995E-3</v>
      </c>
      <c r="E2215" s="156">
        <v>1.3140604467805237E-3</v>
      </c>
      <c r="F2215" s="124">
        <v>2209</v>
      </c>
      <c r="G2215" s="238">
        <f t="shared" ca="1" si="70"/>
        <v>-5.7256966645336206E-3</v>
      </c>
      <c r="I2215" s="156"/>
    </row>
    <row r="2216" spans="2:9" x14ac:dyDescent="0.2">
      <c r="B2216" s="230">
        <v>42734</v>
      </c>
      <c r="C2216" s="124">
        <v>241.65</v>
      </c>
      <c r="D2216" s="156">
        <f t="shared" si="69"/>
        <v>2.9051670471052795E-3</v>
      </c>
      <c r="E2216" s="156">
        <v>1.3115746462531385E-3</v>
      </c>
      <c r="F2216" s="124">
        <v>2210</v>
      </c>
      <c r="G2216" s="238">
        <f t="shared" ca="1" si="70"/>
        <v>4.2191748372864503E-3</v>
      </c>
      <c r="I2216" s="156"/>
    </row>
    <row r="2217" spans="2:9" x14ac:dyDescent="0.2">
      <c r="B2217" s="230">
        <v>42733</v>
      </c>
      <c r="C2217" s="124">
        <v>236</v>
      </c>
      <c r="D2217" s="156">
        <f t="shared" si="69"/>
        <v>-2.3380922822263627E-2</v>
      </c>
      <c r="E2217" s="156">
        <v>1.3074524791310011E-3</v>
      </c>
      <c r="F2217" s="124">
        <v>2211</v>
      </c>
      <c r="G2217" s="238">
        <f t="shared" ca="1" si="70"/>
        <v>-4.9358079430561396E-3</v>
      </c>
      <c r="I2217" s="156"/>
    </row>
    <row r="2218" spans="2:9" x14ac:dyDescent="0.2">
      <c r="B2218" s="230">
        <v>42732</v>
      </c>
      <c r="C2218" s="124">
        <v>235.45</v>
      </c>
      <c r="D2218" s="156">
        <f t="shared" si="69"/>
        <v>-2.3305084745763194E-3</v>
      </c>
      <c r="E2218" s="156">
        <v>1.3059945148231492E-3</v>
      </c>
      <c r="F2218" s="124">
        <v>2212</v>
      </c>
      <c r="G2218" s="238">
        <f t="shared" ca="1" si="70"/>
        <v>6.6865870133125333E-3</v>
      </c>
      <c r="I2218" s="156"/>
    </row>
    <row r="2219" spans="2:9" x14ac:dyDescent="0.2">
      <c r="B2219" s="230">
        <v>42731</v>
      </c>
      <c r="C2219" s="124">
        <v>234.05</v>
      </c>
      <c r="D2219" s="156">
        <f t="shared" si="69"/>
        <v>-5.9460607347631231E-3</v>
      </c>
      <c r="E2219" s="156">
        <v>1.3009283898054453E-3</v>
      </c>
      <c r="F2219" s="124">
        <v>2213</v>
      </c>
      <c r="G2219" s="238">
        <f t="shared" ca="1" si="70"/>
        <v>-2.5448617097413605E-2</v>
      </c>
      <c r="I2219" s="156"/>
    </row>
    <row r="2220" spans="2:9" x14ac:dyDescent="0.2">
      <c r="B2220" s="230">
        <v>42730</v>
      </c>
      <c r="C2220" s="124">
        <v>225</v>
      </c>
      <c r="D2220" s="156">
        <f t="shared" si="69"/>
        <v>-3.8666951506088489E-2</v>
      </c>
      <c r="E2220" s="156">
        <v>1.2979233226838025E-3</v>
      </c>
      <c r="F2220" s="124">
        <v>2214</v>
      </c>
      <c r="G2220" s="238">
        <f t="shared" ca="1" si="70"/>
        <v>3.3208353576831454E-2</v>
      </c>
      <c r="I2220" s="156"/>
    </row>
    <row r="2221" spans="2:9" x14ac:dyDescent="0.2">
      <c r="B2221" s="230">
        <v>42727</v>
      </c>
      <c r="C2221" s="124">
        <v>224.7</v>
      </c>
      <c r="D2221" s="156">
        <f t="shared" si="69"/>
        <v>-1.3333333333333838E-3</v>
      </c>
      <c r="E2221" s="156">
        <v>1.2874155133569085E-3</v>
      </c>
      <c r="F2221" s="124">
        <v>2215</v>
      </c>
      <c r="G2221" s="238">
        <f t="shared" ca="1" si="70"/>
        <v>-8.5007260006162329E-3</v>
      </c>
      <c r="I2221" s="156"/>
    </row>
    <row r="2222" spans="2:9" x14ac:dyDescent="0.2">
      <c r="B2222" s="230">
        <v>42726</v>
      </c>
      <c r="C2222" s="124">
        <v>227.55</v>
      </c>
      <c r="D2222" s="156">
        <f t="shared" si="69"/>
        <v>1.2683578104138954E-2</v>
      </c>
      <c r="E2222" s="156">
        <v>1.2783636944711861E-3</v>
      </c>
      <c r="F2222" s="124">
        <v>2216</v>
      </c>
      <c r="G2222" s="238">
        <f t="shared" ca="1" si="70"/>
        <v>-1.5141925033615167E-2</v>
      </c>
      <c r="I2222" s="156"/>
    </row>
    <row r="2223" spans="2:9" x14ac:dyDescent="0.2">
      <c r="B2223" s="230">
        <v>42725</v>
      </c>
      <c r="C2223" s="124">
        <v>226.3</v>
      </c>
      <c r="D2223" s="156">
        <f t="shared" si="69"/>
        <v>-5.4932981762250048E-3</v>
      </c>
      <c r="E2223" s="156">
        <v>1.2772875058057467E-3</v>
      </c>
      <c r="F2223" s="124">
        <v>2217</v>
      </c>
      <c r="G2223" s="238">
        <f t="shared" ca="1" si="70"/>
        <v>-4.0329726280168114E-3</v>
      </c>
      <c r="I2223" s="156"/>
    </row>
    <row r="2224" spans="2:9" x14ac:dyDescent="0.2">
      <c r="B2224" s="230">
        <v>42724</v>
      </c>
      <c r="C2224" s="124">
        <v>229.95</v>
      </c>
      <c r="D2224" s="156">
        <f t="shared" si="69"/>
        <v>1.6129032258064415E-2</v>
      </c>
      <c r="E2224" s="156">
        <v>1.2708498808577965E-3</v>
      </c>
      <c r="F2224" s="124">
        <v>2218</v>
      </c>
      <c r="G2224" s="238">
        <f t="shared" ca="1" si="70"/>
        <v>-2.4295840879462943E-2</v>
      </c>
      <c r="I2224" s="156"/>
    </row>
    <row r="2225" spans="2:9" x14ac:dyDescent="0.2">
      <c r="B2225" s="230">
        <v>42723</v>
      </c>
      <c r="C2225" s="124">
        <v>227</v>
      </c>
      <c r="D2225" s="156">
        <f t="shared" si="69"/>
        <v>-1.2828875842574423E-2</v>
      </c>
      <c r="E2225" s="156">
        <v>1.2660113196305293E-3</v>
      </c>
      <c r="F2225" s="124">
        <v>2219</v>
      </c>
      <c r="G2225" s="238">
        <f t="shared" ca="1" si="70"/>
        <v>1.9677835628424189E-2</v>
      </c>
      <c r="I2225" s="156"/>
    </row>
    <row r="2226" spans="2:9" x14ac:dyDescent="0.2">
      <c r="B2226" s="230">
        <v>42720</v>
      </c>
      <c r="C2226" s="124">
        <v>226.35</v>
      </c>
      <c r="D2226" s="156">
        <f t="shared" si="69"/>
        <v>-2.8634361233480427E-3</v>
      </c>
      <c r="E2226" s="156">
        <v>1.265822784810155E-3</v>
      </c>
      <c r="F2226" s="124">
        <v>2220</v>
      </c>
      <c r="G2226" s="238">
        <f t="shared" ca="1" si="70"/>
        <v>1.990098882559339E-2</v>
      </c>
      <c r="I2226" s="156"/>
    </row>
    <row r="2227" spans="2:9" x14ac:dyDescent="0.2">
      <c r="B2227" s="230">
        <v>42719</v>
      </c>
      <c r="C2227" s="124">
        <v>229.7</v>
      </c>
      <c r="D2227" s="156">
        <f t="shared" si="69"/>
        <v>1.4800088358736445E-2</v>
      </c>
      <c r="E2227" s="156">
        <v>1.2599951538648866E-3</v>
      </c>
      <c r="F2227" s="124">
        <v>2221</v>
      </c>
      <c r="G2227" s="238">
        <f t="shared" ca="1" si="70"/>
        <v>1.0949356416873557E-2</v>
      </c>
      <c r="I2227" s="156"/>
    </row>
    <row r="2228" spans="2:9" x14ac:dyDescent="0.2">
      <c r="B2228" s="230">
        <v>42718</v>
      </c>
      <c r="C2228" s="124">
        <v>233.15</v>
      </c>
      <c r="D2228" s="156">
        <f t="shared" si="69"/>
        <v>1.5019590770570385E-2</v>
      </c>
      <c r="E2228" s="156">
        <v>1.2585812356979665E-3</v>
      </c>
      <c r="F2228" s="124">
        <v>2222</v>
      </c>
      <c r="G2228" s="238">
        <f t="shared" ca="1" si="70"/>
        <v>-2.0668102276641584E-3</v>
      </c>
      <c r="I2228" s="156"/>
    </row>
    <row r="2229" spans="2:9" x14ac:dyDescent="0.2">
      <c r="B2229" s="230">
        <v>42717</v>
      </c>
      <c r="C2229" s="124">
        <v>235.65</v>
      </c>
      <c r="D2229" s="156">
        <f t="shared" si="69"/>
        <v>1.072271070126528E-2</v>
      </c>
      <c r="E2229" s="156">
        <v>1.258540093491555E-3</v>
      </c>
      <c r="F2229" s="124">
        <v>2223</v>
      </c>
      <c r="G2229" s="238">
        <f t="shared" ca="1" si="70"/>
        <v>-4.5917017396596297E-3</v>
      </c>
      <c r="I2229" s="156"/>
    </row>
    <row r="2230" spans="2:9" x14ac:dyDescent="0.2">
      <c r="B2230" s="230">
        <v>42716</v>
      </c>
      <c r="C2230" s="124">
        <v>232.3</v>
      </c>
      <c r="D2230" s="156">
        <f t="shared" si="69"/>
        <v>-1.4215998302567343E-2</v>
      </c>
      <c r="E2230" s="156">
        <v>1.255830642267753E-3</v>
      </c>
      <c r="F2230" s="124">
        <v>2224</v>
      </c>
      <c r="G2230" s="238">
        <f t="shared" ca="1" si="70"/>
        <v>5.417293316665614E-3</v>
      </c>
      <c r="I2230" s="156"/>
    </row>
    <row r="2231" spans="2:9" x14ac:dyDescent="0.2">
      <c r="B2231" s="230">
        <v>42713</v>
      </c>
      <c r="C2231" s="124">
        <v>236.15</v>
      </c>
      <c r="D2231" s="156">
        <f t="shared" si="69"/>
        <v>1.6573396470081766E-2</v>
      </c>
      <c r="E2231" s="156">
        <v>1.2497596616036306E-3</v>
      </c>
      <c r="F2231" s="124">
        <v>2225</v>
      </c>
      <c r="G2231" s="238">
        <f t="shared" ca="1" si="70"/>
        <v>3.687886528697995E-2</v>
      </c>
      <c r="I2231" s="156"/>
    </row>
    <row r="2232" spans="2:9" x14ac:dyDescent="0.2">
      <c r="B2232" s="230">
        <v>42712</v>
      </c>
      <c r="C2232" s="124">
        <v>233.3</v>
      </c>
      <c r="D2232" s="156">
        <f t="shared" si="69"/>
        <v>-1.2068600465805608E-2</v>
      </c>
      <c r="E2232" s="156">
        <v>1.2431626056688214E-3</v>
      </c>
      <c r="F2232" s="124">
        <v>2226</v>
      </c>
      <c r="G2232" s="238">
        <f t="shared" ca="1" si="70"/>
        <v>1.5391266948450187E-2</v>
      </c>
      <c r="I2232" s="156"/>
    </row>
    <row r="2233" spans="2:9" x14ac:dyDescent="0.2">
      <c r="B2233" s="230">
        <v>42711</v>
      </c>
      <c r="C2233" s="124">
        <v>227.2</v>
      </c>
      <c r="D2233" s="156">
        <f t="shared" si="69"/>
        <v>-2.6146592370338714E-2</v>
      </c>
      <c r="E2233" s="156">
        <v>1.2396891241120457E-3</v>
      </c>
      <c r="F2233" s="124">
        <v>2227</v>
      </c>
      <c r="G2233" s="238">
        <f t="shared" ca="1" si="70"/>
        <v>1.5596346078339568E-2</v>
      </c>
      <c r="I2233" s="156"/>
    </row>
    <row r="2234" spans="2:9" x14ac:dyDescent="0.2">
      <c r="B2234" s="230">
        <v>42710</v>
      </c>
      <c r="C2234" s="124">
        <v>230.2</v>
      </c>
      <c r="D2234" s="156">
        <f t="shared" si="69"/>
        <v>1.3204225352112678E-2</v>
      </c>
      <c r="E2234" s="156">
        <v>1.2393767705382488E-3</v>
      </c>
      <c r="F2234" s="124">
        <v>2228</v>
      </c>
      <c r="G2234" s="238">
        <f t="shared" ca="1" si="70"/>
        <v>1.8099926359458271E-2</v>
      </c>
      <c r="I2234" s="156"/>
    </row>
    <row r="2235" spans="2:9" x14ac:dyDescent="0.2">
      <c r="B2235" s="230">
        <v>42709</v>
      </c>
      <c r="C2235" s="124">
        <v>232.55</v>
      </c>
      <c r="D2235" s="156">
        <f t="shared" si="69"/>
        <v>1.0208514335360656E-2</v>
      </c>
      <c r="E2235" s="156">
        <v>1.2387188108298208E-3</v>
      </c>
      <c r="F2235" s="124">
        <v>2229</v>
      </c>
      <c r="G2235" s="238">
        <f t="shared" ca="1" si="70"/>
        <v>-1.0409480198323062E-2</v>
      </c>
      <c r="I2235" s="156"/>
    </row>
    <row r="2236" spans="2:9" x14ac:dyDescent="0.2">
      <c r="B2236" s="230">
        <v>42706</v>
      </c>
      <c r="C2236" s="124">
        <v>228.5</v>
      </c>
      <c r="D2236" s="156">
        <f t="shared" si="69"/>
        <v>-1.7415609546334171E-2</v>
      </c>
      <c r="E2236" s="156">
        <v>1.2342908438060978E-3</v>
      </c>
      <c r="F2236" s="124">
        <v>2230</v>
      </c>
      <c r="G2236" s="238">
        <f t="shared" ca="1" si="70"/>
        <v>-1.0400965634538033E-2</v>
      </c>
      <c r="I2236" s="156"/>
    </row>
    <row r="2237" spans="2:9" x14ac:dyDescent="0.2">
      <c r="B2237" s="230">
        <v>42705</v>
      </c>
      <c r="C2237" s="124">
        <v>233.5</v>
      </c>
      <c r="D2237" s="156">
        <f t="shared" si="69"/>
        <v>2.1881838074398249E-2</v>
      </c>
      <c r="E2237" s="156">
        <v>1.2328936012822092E-3</v>
      </c>
      <c r="F2237" s="124">
        <v>2231</v>
      </c>
      <c r="G2237" s="238">
        <f t="shared" ca="1" si="70"/>
        <v>-2.4543022643559471E-2</v>
      </c>
      <c r="I2237" s="156"/>
    </row>
    <row r="2238" spans="2:9" x14ac:dyDescent="0.2">
      <c r="B2238" s="230">
        <v>42704</v>
      </c>
      <c r="C2238" s="124">
        <v>232.5</v>
      </c>
      <c r="D2238" s="156">
        <f t="shared" ref="D2238:D2301" si="71">(C2238-C2237)/C2237</f>
        <v>-4.2826552462526769E-3</v>
      </c>
      <c r="E2238" s="156">
        <v>1.229580186193576E-3</v>
      </c>
      <c r="F2238" s="124">
        <v>2232</v>
      </c>
      <c r="G2238" s="238">
        <f t="shared" ca="1" si="70"/>
        <v>-8.3989408831965338E-3</v>
      </c>
      <c r="I2238" s="156"/>
    </row>
    <row r="2239" spans="2:9" x14ac:dyDescent="0.2">
      <c r="B2239" s="230">
        <v>42703</v>
      </c>
      <c r="C2239" s="124">
        <v>231.05</v>
      </c>
      <c r="D2239" s="156">
        <f t="shared" si="71"/>
        <v>-6.2365591397848972E-3</v>
      </c>
      <c r="E2239" s="156">
        <v>1.2258009975483642E-3</v>
      </c>
      <c r="F2239" s="124">
        <v>2233</v>
      </c>
      <c r="G2239" s="238">
        <f t="shared" ca="1" si="70"/>
        <v>-1.0363795783027922E-2</v>
      </c>
      <c r="I2239" s="156"/>
    </row>
    <row r="2240" spans="2:9" x14ac:dyDescent="0.2">
      <c r="B2240" s="230">
        <v>42702</v>
      </c>
      <c r="C2240" s="124">
        <v>233.7</v>
      </c>
      <c r="D2240" s="156">
        <f t="shared" si="71"/>
        <v>1.1469378922311089E-2</v>
      </c>
      <c r="E2240" s="156">
        <v>1.2175324675323983E-3</v>
      </c>
      <c r="F2240" s="124">
        <v>2234</v>
      </c>
      <c r="G2240" s="238">
        <f t="shared" ca="1" si="70"/>
        <v>8.7758662967984333E-3</v>
      </c>
      <c r="I2240" s="156"/>
    </row>
    <row r="2241" spans="2:9" x14ac:dyDescent="0.2">
      <c r="B2241" s="230">
        <v>42699</v>
      </c>
      <c r="C2241" s="124">
        <v>228.8</v>
      </c>
      <c r="D2241" s="156">
        <f t="shared" si="71"/>
        <v>-2.0967051775780818E-2</v>
      </c>
      <c r="E2241" s="156">
        <v>1.216249087813115E-3</v>
      </c>
      <c r="F2241" s="124">
        <v>2235</v>
      </c>
      <c r="G2241" s="238">
        <f t="shared" ca="1" si="70"/>
        <v>-3.2876084421841461E-3</v>
      </c>
      <c r="I2241" s="156"/>
    </row>
    <row r="2242" spans="2:9" x14ac:dyDescent="0.2">
      <c r="B2242" s="230">
        <v>42698</v>
      </c>
      <c r="C2242" s="124">
        <v>223.5</v>
      </c>
      <c r="D2242" s="156">
        <f t="shared" si="71"/>
        <v>-2.3164335664335713E-2</v>
      </c>
      <c r="E2242" s="156">
        <v>1.2090984659562955E-3</v>
      </c>
      <c r="F2242" s="124">
        <v>2236</v>
      </c>
      <c r="G2242" s="238">
        <f t="shared" ca="1" si="70"/>
        <v>-1.4272329980039951E-3</v>
      </c>
      <c r="I2242" s="156"/>
    </row>
    <row r="2243" spans="2:9" x14ac:dyDescent="0.2">
      <c r="B2243" s="230">
        <v>42697</v>
      </c>
      <c r="C2243" s="124">
        <v>224.65</v>
      </c>
      <c r="D2243" s="156">
        <f t="shared" si="71"/>
        <v>5.1454138702461101E-3</v>
      </c>
      <c r="E2243" s="156">
        <v>1.2081784386617999E-3</v>
      </c>
      <c r="F2243" s="124">
        <v>2237</v>
      </c>
      <c r="G2243" s="238">
        <f t="shared" ca="1" si="70"/>
        <v>1.4956857554341174E-2</v>
      </c>
      <c r="I2243" s="156"/>
    </row>
    <row r="2244" spans="2:9" x14ac:dyDescent="0.2">
      <c r="B2244" s="230">
        <v>42696</v>
      </c>
      <c r="C2244" s="124">
        <v>226.1</v>
      </c>
      <c r="D2244" s="156">
        <f t="shared" si="71"/>
        <v>6.4544847540618233E-3</v>
      </c>
      <c r="E2244" s="156">
        <v>1.2074378169524269E-3</v>
      </c>
      <c r="F2244" s="124">
        <v>2238</v>
      </c>
      <c r="G2244" s="238">
        <f t="shared" ca="1" si="70"/>
        <v>-4.1180253486982003E-2</v>
      </c>
      <c r="I2244" s="156"/>
    </row>
    <row r="2245" spans="2:9" x14ac:dyDescent="0.2">
      <c r="B2245" s="230">
        <v>42695</v>
      </c>
      <c r="C2245" s="124">
        <v>224.2</v>
      </c>
      <c r="D2245" s="156">
        <f t="shared" si="71"/>
        <v>-8.4033613445378408E-3</v>
      </c>
      <c r="E2245" s="156">
        <v>1.2009126936471718E-3</v>
      </c>
      <c r="F2245" s="124">
        <v>2239</v>
      </c>
      <c r="G2245" s="238">
        <f t="shared" ca="1" si="70"/>
        <v>-8.2327936465527891E-3</v>
      </c>
      <c r="I2245" s="156"/>
    </row>
    <row r="2246" spans="2:9" x14ac:dyDescent="0.2">
      <c r="B2246" s="230">
        <v>42692</v>
      </c>
      <c r="C2246" s="124">
        <v>227.85</v>
      </c>
      <c r="D2246" s="156">
        <f t="shared" si="71"/>
        <v>1.6280107047279242E-2</v>
      </c>
      <c r="E2246" s="156">
        <v>1.1964584828906438E-3</v>
      </c>
      <c r="F2246" s="124">
        <v>2240</v>
      </c>
      <c r="G2246" s="238">
        <f t="shared" ca="1" si="70"/>
        <v>3.1945386344928633E-2</v>
      </c>
      <c r="I2246" s="156"/>
    </row>
    <row r="2247" spans="2:9" x14ac:dyDescent="0.2">
      <c r="B2247" s="230">
        <v>42691</v>
      </c>
      <c r="C2247" s="124">
        <v>231.5</v>
      </c>
      <c r="D2247" s="156">
        <f t="shared" si="71"/>
        <v>1.6019310950186553E-2</v>
      </c>
      <c r="E2247" s="156">
        <v>1.1957484499556324E-3</v>
      </c>
      <c r="F2247" s="124">
        <v>2241</v>
      </c>
      <c r="G2247" s="238">
        <f t="shared" ref="G2247:G2310" ca="1" si="72">_xlfn.NORM.INV(RAND(),$L$8,$L$9)</f>
        <v>3.2494100127493909E-2</v>
      </c>
      <c r="I2247" s="156"/>
    </row>
    <row r="2248" spans="2:9" x14ac:dyDescent="0.2">
      <c r="B2248" s="230">
        <v>42690</v>
      </c>
      <c r="C2248" s="124">
        <v>230.9</v>
      </c>
      <c r="D2248" s="156">
        <f t="shared" si="71"/>
        <v>-2.5917926565874484E-3</v>
      </c>
      <c r="E2248" s="156">
        <v>1.1951357973049009E-3</v>
      </c>
      <c r="F2248" s="124">
        <v>2242</v>
      </c>
      <c r="G2248" s="238">
        <f t="shared" ca="1" si="72"/>
        <v>1.3130156360533933E-2</v>
      </c>
      <c r="I2248" s="156"/>
    </row>
    <row r="2249" spans="2:9" x14ac:dyDescent="0.2">
      <c r="B2249" s="230">
        <v>42689</v>
      </c>
      <c r="C2249" s="124">
        <v>237.5</v>
      </c>
      <c r="D2249" s="156">
        <f t="shared" si="71"/>
        <v>2.8583802511909891E-2</v>
      </c>
      <c r="E2249" s="156">
        <v>1.1921793037672867E-3</v>
      </c>
      <c r="F2249" s="124">
        <v>2243</v>
      </c>
      <c r="G2249" s="238">
        <f t="shared" ca="1" si="72"/>
        <v>9.2898469495887575E-3</v>
      </c>
      <c r="I2249" s="156"/>
    </row>
    <row r="2250" spans="2:9" x14ac:dyDescent="0.2">
      <c r="B2250" s="230">
        <v>42685</v>
      </c>
      <c r="C2250" s="124">
        <v>242.95</v>
      </c>
      <c r="D2250" s="156">
        <f t="shared" si="71"/>
        <v>2.2947368421052584E-2</v>
      </c>
      <c r="E2250" s="156">
        <v>1.1772496505039849E-3</v>
      </c>
      <c r="F2250" s="124">
        <v>2244</v>
      </c>
      <c r="G2250" s="238">
        <f t="shared" ca="1" si="72"/>
        <v>-6.5474902422979365E-3</v>
      </c>
      <c r="I2250" s="156"/>
    </row>
    <row r="2251" spans="2:9" x14ac:dyDescent="0.2">
      <c r="B2251" s="230">
        <v>42684</v>
      </c>
      <c r="C2251" s="124">
        <v>251.05</v>
      </c>
      <c r="D2251" s="156">
        <f t="shared" si="71"/>
        <v>3.3340193455443604E-2</v>
      </c>
      <c r="E2251" s="156">
        <v>1.1763058395183193E-3</v>
      </c>
      <c r="F2251" s="124">
        <v>2245</v>
      </c>
      <c r="G2251" s="238">
        <f t="shared" ca="1" si="72"/>
        <v>-4.3302664152002953E-3</v>
      </c>
      <c r="I2251" s="156"/>
    </row>
    <row r="2252" spans="2:9" x14ac:dyDescent="0.2">
      <c r="B2252" s="230">
        <v>42683</v>
      </c>
      <c r="C2252" s="124">
        <v>248.15</v>
      </c>
      <c r="D2252" s="156">
        <f t="shared" si="71"/>
        <v>-1.1551483768173693E-2</v>
      </c>
      <c r="E2252" s="156">
        <v>1.1706438541198528E-3</v>
      </c>
      <c r="F2252" s="124">
        <v>2246</v>
      </c>
      <c r="G2252" s="238">
        <f t="shared" ca="1" si="72"/>
        <v>1.291575809813292E-2</v>
      </c>
      <c r="I2252" s="156"/>
    </row>
    <row r="2253" spans="2:9" x14ac:dyDescent="0.2">
      <c r="B2253" s="230">
        <v>42682</v>
      </c>
      <c r="C2253" s="124">
        <v>255.6</v>
      </c>
      <c r="D2253" s="156">
        <f t="shared" si="71"/>
        <v>3.0022164013701343E-2</v>
      </c>
      <c r="E2253" s="156">
        <v>1.1701038467163711E-3</v>
      </c>
      <c r="F2253" s="124">
        <v>2247</v>
      </c>
      <c r="G2253" s="238">
        <f t="shared" ca="1" si="72"/>
        <v>-1.7081536568839133E-2</v>
      </c>
      <c r="I2253" s="156"/>
    </row>
    <row r="2254" spans="2:9" x14ac:dyDescent="0.2">
      <c r="B2254" s="230">
        <v>42681</v>
      </c>
      <c r="C2254" s="124">
        <v>256.5</v>
      </c>
      <c r="D2254" s="156">
        <f t="shared" si="71"/>
        <v>3.5211267605634025E-3</v>
      </c>
      <c r="E2254" s="156">
        <v>1.1637014658162287E-3</v>
      </c>
      <c r="F2254" s="124">
        <v>2248</v>
      </c>
      <c r="G2254" s="238">
        <f t="shared" ca="1" si="72"/>
        <v>-7.7023035843465648E-3</v>
      </c>
      <c r="I2254" s="156"/>
    </row>
    <row r="2255" spans="2:9" x14ac:dyDescent="0.2">
      <c r="B2255" s="230">
        <v>42678</v>
      </c>
      <c r="C2255" s="124">
        <v>249.05</v>
      </c>
      <c r="D2255" s="156">
        <f t="shared" si="71"/>
        <v>-2.9044834307992158E-2</v>
      </c>
      <c r="E2255" s="156">
        <v>1.1482939632545979E-3</v>
      </c>
      <c r="F2255" s="124">
        <v>2249</v>
      </c>
      <c r="G2255" s="238">
        <f t="shared" ca="1" si="72"/>
        <v>-3.3337910829837219E-3</v>
      </c>
      <c r="I2255" s="156"/>
    </row>
    <row r="2256" spans="2:9" x14ac:dyDescent="0.2">
      <c r="B2256" s="230">
        <v>42677</v>
      </c>
      <c r="C2256" s="124">
        <v>240.3</v>
      </c>
      <c r="D2256" s="156">
        <f t="shared" si="71"/>
        <v>-3.5133507327845814E-2</v>
      </c>
      <c r="E2256" s="156">
        <v>1.146405540960158E-3</v>
      </c>
      <c r="F2256" s="124">
        <v>2250</v>
      </c>
      <c r="G2256" s="238">
        <f t="shared" ca="1" si="72"/>
        <v>-8.6518258433343573E-3</v>
      </c>
      <c r="I2256" s="156"/>
    </row>
    <row r="2257" spans="2:9" x14ac:dyDescent="0.2">
      <c r="B2257" s="230">
        <v>42676</v>
      </c>
      <c r="C2257" s="124">
        <v>237.3</v>
      </c>
      <c r="D2257" s="156">
        <f t="shared" si="71"/>
        <v>-1.2484394506866416E-2</v>
      </c>
      <c r="E2257" s="156">
        <v>1.1456940996752128E-3</v>
      </c>
      <c r="F2257" s="124">
        <v>2251</v>
      </c>
      <c r="G2257" s="238">
        <f t="shared" ca="1" si="72"/>
        <v>6.4402727645667445E-3</v>
      </c>
      <c r="I2257" s="156"/>
    </row>
    <row r="2258" spans="2:9" x14ac:dyDescent="0.2">
      <c r="B2258" s="230">
        <v>42675</v>
      </c>
      <c r="C2258" s="124">
        <v>239.95</v>
      </c>
      <c r="D2258" s="156">
        <f t="shared" si="71"/>
        <v>1.1167298777918151E-2</v>
      </c>
      <c r="E2258" s="156">
        <v>1.1424219345009692E-3</v>
      </c>
      <c r="F2258" s="124">
        <v>2252</v>
      </c>
      <c r="G2258" s="238">
        <f t="shared" ca="1" si="72"/>
        <v>-2.7872446109785422E-2</v>
      </c>
      <c r="I2258" s="156"/>
    </row>
    <row r="2259" spans="2:9" x14ac:dyDescent="0.2">
      <c r="B2259" s="230">
        <v>42673</v>
      </c>
      <c r="C2259" s="124">
        <v>241.65</v>
      </c>
      <c r="D2259" s="156">
        <f t="shared" si="71"/>
        <v>7.084809335278254E-3</v>
      </c>
      <c r="E2259" s="156">
        <v>1.1416861826697492E-3</v>
      </c>
      <c r="F2259" s="124">
        <v>2253</v>
      </c>
      <c r="G2259" s="238">
        <f t="shared" ca="1" si="72"/>
        <v>-9.8703288910023529E-3</v>
      </c>
      <c r="I2259" s="156"/>
    </row>
    <row r="2260" spans="2:9" x14ac:dyDescent="0.2">
      <c r="B2260" s="230">
        <v>42671</v>
      </c>
      <c r="C2260" s="124">
        <v>243.1</v>
      </c>
      <c r="D2260" s="156">
        <f t="shared" si="71"/>
        <v>6.0004138216428245E-3</v>
      </c>
      <c r="E2260" s="156">
        <v>1.1273957158963528E-3</v>
      </c>
      <c r="F2260" s="124">
        <v>2254</v>
      </c>
      <c r="G2260" s="238">
        <f t="shared" ca="1" si="72"/>
        <v>-7.6242566599895641E-3</v>
      </c>
      <c r="I2260" s="156"/>
    </row>
    <row r="2261" spans="2:9" x14ac:dyDescent="0.2">
      <c r="B2261" s="230">
        <v>42670</v>
      </c>
      <c r="C2261" s="124">
        <v>243.1</v>
      </c>
      <c r="D2261" s="156">
        <f t="shared" si="71"/>
        <v>0</v>
      </c>
      <c r="E2261" s="156">
        <v>1.1230697239120687E-3</v>
      </c>
      <c r="F2261" s="124">
        <v>2255</v>
      </c>
      <c r="G2261" s="238">
        <f t="shared" ca="1" si="72"/>
        <v>-6.1868187895264609E-3</v>
      </c>
      <c r="I2261" s="156"/>
    </row>
    <row r="2262" spans="2:9" x14ac:dyDescent="0.2">
      <c r="B2262" s="230">
        <v>42669</v>
      </c>
      <c r="C2262" s="124">
        <v>238.75</v>
      </c>
      <c r="D2262" s="156">
        <f t="shared" si="71"/>
        <v>-1.7893870835047284E-2</v>
      </c>
      <c r="E2262" s="156">
        <v>1.1223344556677891E-3</v>
      </c>
      <c r="F2262" s="124">
        <v>2256</v>
      </c>
      <c r="G2262" s="238">
        <f t="shared" ca="1" si="72"/>
        <v>1.2479270036972679E-2</v>
      </c>
      <c r="I2262" s="156"/>
    </row>
    <row r="2263" spans="2:9" x14ac:dyDescent="0.2">
      <c r="B2263" s="230">
        <v>42668</v>
      </c>
      <c r="C2263" s="124">
        <v>238.75</v>
      </c>
      <c r="D2263" s="156">
        <f t="shared" si="71"/>
        <v>0</v>
      </c>
      <c r="E2263" s="156">
        <v>1.1120378092856105E-3</v>
      </c>
      <c r="F2263" s="124">
        <v>2257</v>
      </c>
      <c r="G2263" s="238">
        <f t="shared" ca="1" si="72"/>
        <v>2.044447302067055E-2</v>
      </c>
      <c r="I2263" s="156"/>
    </row>
    <row r="2264" spans="2:9" x14ac:dyDescent="0.2">
      <c r="B2264" s="230">
        <v>42667</v>
      </c>
      <c r="C2264" s="124">
        <v>241.35</v>
      </c>
      <c r="D2264" s="156">
        <f t="shared" si="71"/>
        <v>1.0890052356020918E-2</v>
      </c>
      <c r="E2264" s="156">
        <v>1.0987286140323384E-3</v>
      </c>
      <c r="F2264" s="124">
        <v>2258</v>
      </c>
      <c r="G2264" s="238">
        <f t="shared" ca="1" si="72"/>
        <v>3.1501725485714584E-3</v>
      </c>
      <c r="I2264" s="156"/>
    </row>
    <row r="2265" spans="2:9" x14ac:dyDescent="0.2">
      <c r="B2265" s="230">
        <v>42664</v>
      </c>
      <c r="C2265" s="124">
        <v>240.15</v>
      </c>
      <c r="D2265" s="156">
        <f t="shared" si="71"/>
        <v>-4.9720323182100212E-3</v>
      </c>
      <c r="E2265" s="156">
        <v>1.0844964164465757E-3</v>
      </c>
      <c r="F2265" s="124">
        <v>2259</v>
      </c>
      <c r="G2265" s="238">
        <f t="shared" ca="1" si="72"/>
        <v>-2.5679131287436218E-2</v>
      </c>
      <c r="I2265" s="156"/>
    </row>
    <row r="2266" spans="2:9" x14ac:dyDescent="0.2">
      <c r="B2266" s="230">
        <v>42663</v>
      </c>
      <c r="C2266" s="124">
        <v>239.35</v>
      </c>
      <c r="D2266" s="156">
        <f t="shared" si="71"/>
        <v>-3.3312513012700869E-3</v>
      </c>
      <c r="E2266" s="156">
        <v>1.0531858873090501E-3</v>
      </c>
      <c r="F2266" s="124">
        <v>2260</v>
      </c>
      <c r="G2266" s="238">
        <f t="shared" ca="1" si="72"/>
        <v>7.4427585550455233E-3</v>
      </c>
      <c r="I2266" s="156"/>
    </row>
    <row r="2267" spans="2:9" x14ac:dyDescent="0.2">
      <c r="B2267" s="230">
        <v>42662</v>
      </c>
      <c r="C2267" s="124">
        <v>239.45</v>
      </c>
      <c r="D2267" s="156">
        <f t="shared" si="71"/>
        <v>4.1779820346770133E-4</v>
      </c>
      <c r="E2267" s="156">
        <v>1.0347206254312383E-3</v>
      </c>
      <c r="F2267" s="124">
        <v>2261</v>
      </c>
      <c r="G2267" s="238">
        <f t="shared" ca="1" si="72"/>
        <v>-4.2373417469956992E-3</v>
      </c>
      <c r="I2267" s="156"/>
    </row>
    <row r="2268" spans="2:9" x14ac:dyDescent="0.2">
      <c r="B2268" s="230">
        <v>42661</v>
      </c>
      <c r="C2268" s="124">
        <v>245.95</v>
      </c>
      <c r="D2268" s="156">
        <f t="shared" si="71"/>
        <v>2.7145541866778033E-2</v>
      </c>
      <c r="E2268" s="156">
        <v>1.0316368638239731E-3</v>
      </c>
      <c r="F2268" s="124">
        <v>2262</v>
      </c>
      <c r="G2268" s="238">
        <f t="shared" ca="1" si="72"/>
        <v>-6.98059454357679E-3</v>
      </c>
      <c r="I2268" s="156"/>
    </row>
    <row r="2269" spans="2:9" x14ac:dyDescent="0.2">
      <c r="B2269" s="230">
        <v>42660</v>
      </c>
      <c r="C2269" s="124">
        <v>240.6</v>
      </c>
      <c r="D2269" s="156">
        <f t="shared" si="71"/>
        <v>-2.1752388696889589E-2</v>
      </c>
      <c r="E2269" s="156">
        <v>1.0258240042816545E-3</v>
      </c>
      <c r="F2269" s="124">
        <v>2263</v>
      </c>
      <c r="G2269" s="238">
        <f t="shared" ca="1" si="72"/>
        <v>3.5305045298554279E-2</v>
      </c>
      <c r="I2269" s="156"/>
    </row>
    <row r="2270" spans="2:9" x14ac:dyDescent="0.2">
      <c r="B2270" s="230">
        <v>42657</v>
      </c>
      <c r="C2270" s="124">
        <v>239.9</v>
      </c>
      <c r="D2270" s="156">
        <f t="shared" si="71"/>
        <v>-2.9093931837073511E-3</v>
      </c>
      <c r="E2270" s="156">
        <v>1.0235414534287086E-3</v>
      </c>
      <c r="F2270" s="124">
        <v>2264</v>
      </c>
      <c r="G2270" s="238">
        <f t="shared" ca="1" si="72"/>
        <v>-2.6499867152444442E-2</v>
      </c>
      <c r="I2270" s="156"/>
    </row>
    <row r="2271" spans="2:9" x14ac:dyDescent="0.2">
      <c r="B2271" s="230">
        <v>42656</v>
      </c>
      <c r="C2271" s="124">
        <v>238.95</v>
      </c>
      <c r="D2271" s="156">
        <f t="shared" si="71"/>
        <v>-3.9599833263860651E-3</v>
      </c>
      <c r="E2271" s="156">
        <v>1.0133765707336848E-3</v>
      </c>
      <c r="F2271" s="124">
        <v>2265</v>
      </c>
      <c r="G2271" s="238">
        <f t="shared" ca="1" si="72"/>
        <v>6.2547983584928237E-3</v>
      </c>
      <c r="I2271" s="156"/>
    </row>
    <row r="2272" spans="2:9" x14ac:dyDescent="0.2">
      <c r="B2272" s="230">
        <v>42653</v>
      </c>
      <c r="C2272" s="124">
        <v>240.1</v>
      </c>
      <c r="D2272" s="156">
        <f t="shared" si="71"/>
        <v>4.8127223268466445E-3</v>
      </c>
      <c r="E2272" s="156">
        <v>1.0129481194397507E-3</v>
      </c>
      <c r="F2272" s="124">
        <v>2266</v>
      </c>
      <c r="G2272" s="238">
        <f t="shared" ca="1" si="72"/>
        <v>1.384836231363218E-2</v>
      </c>
      <c r="I2272" s="156"/>
    </row>
    <row r="2273" spans="2:9" x14ac:dyDescent="0.2">
      <c r="B2273" s="230">
        <v>42650</v>
      </c>
      <c r="C2273" s="124">
        <v>238.95</v>
      </c>
      <c r="D2273" s="156">
        <f t="shared" si="71"/>
        <v>-4.7896709704290117E-3</v>
      </c>
      <c r="E2273" s="156">
        <v>1.0099679444957547E-3</v>
      </c>
      <c r="F2273" s="124">
        <v>2267</v>
      </c>
      <c r="G2273" s="238">
        <f t="shared" ca="1" si="72"/>
        <v>-5.909078366029134E-3</v>
      </c>
      <c r="I2273" s="156"/>
    </row>
    <row r="2274" spans="2:9" x14ac:dyDescent="0.2">
      <c r="B2274" s="230">
        <v>42649</v>
      </c>
      <c r="C2274" s="124">
        <v>237.4</v>
      </c>
      <c r="D2274" s="156">
        <f t="shared" si="71"/>
        <v>-6.4867127014018961E-3</v>
      </c>
      <c r="E2274" s="156">
        <v>1.0073029463610608E-3</v>
      </c>
      <c r="F2274" s="124">
        <v>2268</v>
      </c>
      <c r="G2274" s="238">
        <f t="shared" ca="1" si="72"/>
        <v>-1.0576202840580508E-2</v>
      </c>
      <c r="I2274" s="156"/>
    </row>
    <row r="2275" spans="2:9" x14ac:dyDescent="0.2">
      <c r="B2275" s="230">
        <v>42648</v>
      </c>
      <c r="C2275" s="124">
        <v>240.2</v>
      </c>
      <c r="D2275" s="156">
        <f t="shared" si="71"/>
        <v>1.1794439764111132E-2</v>
      </c>
      <c r="E2275" s="156">
        <v>1.0005628165843073E-3</v>
      </c>
      <c r="F2275" s="124">
        <v>2269</v>
      </c>
      <c r="G2275" s="238">
        <f t="shared" ca="1" si="72"/>
        <v>1.2471793187702604E-2</v>
      </c>
      <c r="I2275" s="156"/>
    </row>
    <row r="2276" spans="2:9" x14ac:dyDescent="0.2">
      <c r="B2276" s="230">
        <v>42647</v>
      </c>
      <c r="C2276" s="124">
        <v>241.2</v>
      </c>
      <c r="D2276" s="156">
        <f t="shared" si="71"/>
        <v>4.163197335553705E-3</v>
      </c>
      <c r="E2276" s="156">
        <v>9.7981579463055383E-4</v>
      </c>
      <c r="F2276" s="124">
        <v>2270</v>
      </c>
      <c r="G2276" s="238">
        <f t="shared" ca="1" si="72"/>
        <v>-6.7793118118229159E-3</v>
      </c>
      <c r="I2276" s="156"/>
    </row>
    <row r="2277" spans="2:9" x14ac:dyDescent="0.2">
      <c r="B2277" s="230">
        <v>42646</v>
      </c>
      <c r="C2277" s="124">
        <v>242.3</v>
      </c>
      <c r="D2277" s="156">
        <f t="shared" si="71"/>
        <v>4.5605306799337596E-3</v>
      </c>
      <c r="E2277" s="156">
        <v>9.7012029491665239E-4</v>
      </c>
      <c r="F2277" s="124">
        <v>2271</v>
      </c>
      <c r="G2277" s="238">
        <f t="shared" ca="1" si="72"/>
        <v>-2.5630473540227291E-2</v>
      </c>
      <c r="I2277" s="156"/>
    </row>
    <row r="2278" spans="2:9" x14ac:dyDescent="0.2">
      <c r="B2278" s="230">
        <v>42643</v>
      </c>
      <c r="C2278" s="124">
        <v>241.35</v>
      </c>
      <c r="D2278" s="156">
        <f t="shared" si="71"/>
        <v>-3.9207593891870283E-3</v>
      </c>
      <c r="E2278" s="156">
        <v>9.6463022508042236E-4</v>
      </c>
      <c r="F2278" s="124">
        <v>2272</v>
      </c>
      <c r="G2278" s="238">
        <f t="shared" ca="1" si="72"/>
        <v>1.1816791221492059E-2</v>
      </c>
      <c r="I2278" s="156"/>
    </row>
    <row r="2279" spans="2:9" x14ac:dyDescent="0.2">
      <c r="B2279" s="230">
        <v>42642</v>
      </c>
      <c r="C2279" s="124">
        <v>245.7</v>
      </c>
      <c r="D2279" s="156">
        <f t="shared" si="71"/>
        <v>1.8023617153511473E-2</v>
      </c>
      <c r="E2279" s="156">
        <v>9.6246390760341006E-4</v>
      </c>
      <c r="F2279" s="124">
        <v>2273</v>
      </c>
      <c r="G2279" s="238">
        <f t="shared" ca="1" si="72"/>
        <v>1.8804082391663299E-2</v>
      </c>
      <c r="I2279" s="156"/>
    </row>
    <row r="2280" spans="2:9" x14ac:dyDescent="0.2">
      <c r="B2280" s="230">
        <v>42641</v>
      </c>
      <c r="C2280" s="124">
        <v>246.95</v>
      </c>
      <c r="D2280" s="156">
        <f t="shared" si="71"/>
        <v>5.0875050875050874E-3</v>
      </c>
      <c r="E2280" s="156">
        <v>9.5667623342890766E-4</v>
      </c>
      <c r="F2280" s="124">
        <v>2274</v>
      </c>
      <c r="G2280" s="238">
        <f t="shared" ca="1" si="72"/>
        <v>1.5720698805113419E-2</v>
      </c>
      <c r="I2280" s="156"/>
    </row>
    <row r="2281" spans="2:9" x14ac:dyDescent="0.2">
      <c r="B2281" s="230">
        <v>42640</v>
      </c>
      <c r="C2281" s="124">
        <v>245.85</v>
      </c>
      <c r="D2281" s="156">
        <f t="shared" si="71"/>
        <v>-4.4543429844097768E-3</v>
      </c>
      <c r="E2281" s="156">
        <v>9.5434225727056971E-4</v>
      </c>
      <c r="F2281" s="124">
        <v>2275</v>
      </c>
      <c r="G2281" s="238">
        <f t="shared" ca="1" si="72"/>
        <v>2.1197194341549912E-2</v>
      </c>
      <c r="I2281" s="156"/>
    </row>
    <row r="2282" spans="2:9" x14ac:dyDescent="0.2">
      <c r="B2282" s="230">
        <v>42639</v>
      </c>
      <c r="C2282" s="124">
        <v>248.05</v>
      </c>
      <c r="D2282" s="156">
        <f t="shared" si="71"/>
        <v>8.9485458612976083E-3</v>
      </c>
      <c r="E2282" s="156">
        <v>9.5038965976050182E-4</v>
      </c>
      <c r="F2282" s="124">
        <v>2276</v>
      </c>
      <c r="G2282" s="238">
        <f t="shared" ca="1" si="72"/>
        <v>-6.8824468617823369E-3</v>
      </c>
      <c r="I2282" s="156"/>
    </row>
    <row r="2283" spans="2:9" x14ac:dyDescent="0.2">
      <c r="B2283" s="230">
        <v>42636</v>
      </c>
      <c r="C2283" s="124">
        <v>253.45</v>
      </c>
      <c r="D2283" s="156">
        <f t="shared" si="71"/>
        <v>2.1769804474904161E-2</v>
      </c>
      <c r="E2283" s="156">
        <v>9.4661113214686027E-4</v>
      </c>
      <c r="F2283" s="124">
        <v>2277</v>
      </c>
      <c r="G2283" s="238">
        <f t="shared" ca="1" si="72"/>
        <v>-1.9139617060369381E-2</v>
      </c>
      <c r="I2283" s="156"/>
    </row>
    <row r="2284" spans="2:9" x14ac:dyDescent="0.2">
      <c r="B2284" s="230">
        <v>42635</v>
      </c>
      <c r="C2284" s="124">
        <v>255.25</v>
      </c>
      <c r="D2284" s="156">
        <f t="shared" si="71"/>
        <v>7.1019925034524027E-3</v>
      </c>
      <c r="E2284" s="156">
        <v>9.4304036212744535E-4</v>
      </c>
      <c r="F2284" s="124">
        <v>2278</v>
      </c>
      <c r="G2284" s="238">
        <f t="shared" ca="1" si="72"/>
        <v>-1.4502424123981748E-2</v>
      </c>
      <c r="I2284" s="156"/>
    </row>
    <row r="2285" spans="2:9" x14ac:dyDescent="0.2">
      <c r="B2285" s="230">
        <v>42634</v>
      </c>
      <c r="C2285" s="124">
        <v>253.65</v>
      </c>
      <c r="D2285" s="156">
        <f t="shared" si="71"/>
        <v>-6.2683643486777449E-3</v>
      </c>
      <c r="E2285" s="156">
        <v>9.4197437829691044E-4</v>
      </c>
      <c r="F2285" s="124">
        <v>2279</v>
      </c>
      <c r="G2285" s="238">
        <f t="shared" ca="1" si="72"/>
        <v>-1.2359023512463155E-2</v>
      </c>
      <c r="I2285" s="156"/>
    </row>
    <row r="2286" spans="2:9" x14ac:dyDescent="0.2">
      <c r="B2286" s="230">
        <v>42633</v>
      </c>
      <c r="C2286" s="124">
        <v>256.95</v>
      </c>
      <c r="D2286" s="156">
        <f t="shared" si="71"/>
        <v>1.3010053222944936E-2</v>
      </c>
      <c r="E2286" s="156">
        <v>9.3545369504209543E-4</v>
      </c>
      <c r="F2286" s="124">
        <v>2280</v>
      </c>
      <c r="G2286" s="238">
        <f t="shared" ca="1" si="72"/>
        <v>1.3694348679232065E-2</v>
      </c>
      <c r="I2286" s="156"/>
    </row>
    <row r="2287" spans="2:9" x14ac:dyDescent="0.2">
      <c r="B2287" s="230">
        <v>42632</v>
      </c>
      <c r="C2287" s="124">
        <v>258.85000000000002</v>
      </c>
      <c r="D2287" s="156">
        <f t="shared" si="71"/>
        <v>7.3944347149252155E-3</v>
      </c>
      <c r="E2287" s="156">
        <v>9.2165898617511521E-4</v>
      </c>
      <c r="F2287" s="124">
        <v>2281</v>
      </c>
      <c r="G2287" s="238">
        <f t="shared" ca="1" si="72"/>
        <v>9.5861283444464342E-3</v>
      </c>
      <c r="I2287" s="156"/>
    </row>
    <row r="2288" spans="2:9" x14ac:dyDescent="0.2">
      <c r="B2288" s="230">
        <v>42629</v>
      </c>
      <c r="C2288" s="124">
        <v>260.35000000000002</v>
      </c>
      <c r="D2288" s="156">
        <f t="shared" si="71"/>
        <v>5.7948618891249751E-3</v>
      </c>
      <c r="E2288" s="156">
        <v>9.2114959469412599E-4</v>
      </c>
      <c r="F2288" s="124">
        <v>2282</v>
      </c>
      <c r="G2288" s="238">
        <f t="shared" ca="1" si="72"/>
        <v>-1.8189220813543017E-2</v>
      </c>
      <c r="I2288" s="156"/>
    </row>
    <row r="2289" spans="2:9" x14ac:dyDescent="0.2">
      <c r="B2289" s="230">
        <v>42628</v>
      </c>
      <c r="C2289" s="124">
        <v>255.9</v>
      </c>
      <c r="D2289" s="156">
        <f t="shared" si="71"/>
        <v>-1.7092375648165993E-2</v>
      </c>
      <c r="E2289" s="156">
        <v>9.2030185900975525E-4</v>
      </c>
      <c r="F2289" s="124">
        <v>2283</v>
      </c>
      <c r="G2289" s="238">
        <f t="shared" ca="1" si="72"/>
        <v>1.1607130689550917E-2</v>
      </c>
      <c r="I2289" s="156"/>
    </row>
    <row r="2290" spans="2:9" x14ac:dyDescent="0.2">
      <c r="B2290" s="230">
        <v>42627</v>
      </c>
      <c r="C2290" s="124">
        <v>251.85</v>
      </c>
      <c r="D2290" s="156">
        <f t="shared" si="71"/>
        <v>-1.5826494724501802E-2</v>
      </c>
      <c r="E2290" s="156">
        <v>9.0810025426801952E-4</v>
      </c>
      <c r="F2290" s="124">
        <v>2284</v>
      </c>
      <c r="G2290" s="238">
        <f t="shared" ca="1" si="72"/>
        <v>-1.1162606868436483E-2</v>
      </c>
      <c r="I2290" s="156"/>
    </row>
    <row r="2291" spans="2:9" x14ac:dyDescent="0.2">
      <c r="B2291" s="230">
        <v>42625</v>
      </c>
      <c r="C2291" s="124">
        <v>252.25</v>
      </c>
      <c r="D2291" s="156">
        <f t="shared" si="71"/>
        <v>1.5882469724042315E-3</v>
      </c>
      <c r="E2291" s="156">
        <v>9.0320638265825766E-4</v>
      </c>
      <c r="F2291" s="124">
        <v>2285</v>
      </c>
      <c r="G2291" s="238">
        <f t="shared" ca="1" si="72"/>
        <v>-7.7140192851198261E-3</v>
      </c>
      <c r="I2291" s="156"/>
    </row>
    <row r="2292" spans="2:9" x14ac:dyDescent="0.2">
      <c r="B2292" s="230">
        <v>42622</v>
      </c>
      <c r="C2292" s="124">
        <v>258.3</v>
      </c>
      <c r="D2292" s="156">
        <f t="shared" si="71"/>
        <v>2.3984142715560007E-2</v>
      </c>
      <c r="E2292" s="156">
        <v>8.8857295183929544E-4</v>
      </c>
      <c r="F2292" s="124">
        <v>2286</v>
      </c>
      <c r="G2292" s="238">
        <f t="shared" ca="1" si="72"/>
        <v>4.9590269457020303E-2</v>
      </c>
      <c r="I2292" s="156"/>
    </row>
    <row r="2293" spans="2:9" x14ac:dyDescent="0.2">
      <c r="B2293" s="230">
        <v>42621</v>
      </c>
      <c r="C2293" s="124">
        <v>264.89999999999998</v>
      </c>
      <c r="D2293" s="156">
        <f t="shared" si="71"/>
        <v>2.5551684088269321E-2</v>
      </c>
      <c r="E2293" s="156">
        <v>8.8778409090909088E-4</v>
      </c>
      <c r="F2293" s="124">
        <v>2287</v>
      </c>
      <c r="G2293" s="238">
        <f t="shared" ca="1" si="72"/>
        <v>-2.4635121185664206E-2</v>
      </c>
      <c r="I2293" s="156"/>
    </row>
    <row r="2294" spans="2:9" x14ac:dyDescent="0.2">
      <c r="B2294" s="230">
        <v>42620</v>
      </c>
      <c r="C2294" s="124">
        <v>262.8</v>
      </c>
      <c r="D2294" s="156">
        <f t="shared" si="71"/>
        <v>-7.9275198187994181E-3</v>
      </c>
      <c r="E2294" s="156">
        <v>8.8386070355311994E-4</v>
      </c>
      <c r="F2294" s="124">
        <v>2288</v>
      </c>
      <c r="G2294" s="238">
        <f t="shared" ca="1" si="72"/>
        <v>1.2877033422407807E-3</v>
      </c>
      <c r="I2294" s="156"/>
    </row>
    <row r="2295" spans="2:9" x14ac:dyDescent="0.2">
      <c r="B2295" s="230">
        <v>42619</v>
      </c>
      <c r="C2295" s="124">
        <v>262.60000000000002</v>
      </c>
      <c r="D2295" s="156">
        <f t="shared" si="71"/>
        <v>-7.6103500761030677E-4</v>
      </c>
      <c r="E2295" s="156">
        <v>8.837044892188806E-4</v>
      </c>
      <c r="F2295" s="124">
        <v>2289</v>
      </c>
      <c r="G2295" s="238">
        <f t="shared" ca="1" si="72"/>
        <v>2.1010823391167673E-2</v>
      </c>
      <c r="I2295" s="156"/>
    </row>
    <row r="2296" spans="2:9" x14ac:dyDescent="0.2">
      <c r="B2296" s="230">
        <v>42615</v>
      </c>
      <c r="C2296" s="124">
        <v>262.89999999999998</v>
      </c>
      <c r="D2296" s="156">
        <f t="shared" si="71"/>
        <v>1.1424219345009692E-3</v>
      </c>
      <c r="E2296" s="156">
        <v>8.6256469235195909E-4</v>
      </c>
      <c r="F2296" s="124">
        <v>2290</v>
      </c>
      <c r="G2296" s="238">
        <f t="shared" ca="1" si="72"/>
        <v>-2.7448825900435424E-3</v>
      </c>
      <c r="I2296" s="156"/>
    </row>
    <row r="2297" spans="2:9" x14ac:dyDescent="0.2">
      <c r="B2297" s="230">
        <v>42614</v>
      </c>
      <c r="C2297" s="124">
        <v>261</v>
      </c>
      <c r="D2297" s="156">
        <f t="shared" si="71"/>
        <v>-7.2270825408899866E-3</v>
      </c>
      <c r="E2297" s="156">
        <v>8.49411479189336E-4</v>
      </c>
      <c r="F2297" s="124">
        <v>2291</v>
      </c>
      <c r="G2297" s="238">
        <f t="shared" ca="1" si="72"/>
        <v>-2.9196350639267534E-2</v>
      </c>
      <c r="I2297" s="156"/>
    </row>
    <row r="2298" spans="2:9" x14ac:dyDescent="0.2">
      <c r="B2298" s="230">
        <v>42613</v>
      </c>
      <c r="C2298" s="124">
        <v>260.05</v>
      </c>
      <c r="D2298" s="156">
        <f t="shared" si="71"/>
        <v>-3.6398467432949754E-3</v>
      </c>
      <c r="E2298" s="156">
        <v>8.4875233406891861E-4</v>
      </c>
      <c r="F2298" s="124">
        <v>2292</v>
      </c>
      <c r="G2298" s="238">
        <f t="shared" ca="1" si="72"/>
        <v>2.5268633564247793E-2</v>
      </c>
      <c r="I2298" s="156"/>
    </row>
    <row r="2299" spans="2:9" x14ac:dyDescent="0.2">
      <c r="B2299" s="230">
        <v>42612</v>
      </c>
      <c r="C2299" s="124">
        <v>257.3</v>
      </c>
      <c r="D2299" s="156">
        <f t="shared" si="71"/>
        <v>-1.0574889444337626E-2</v>
      </c>
      <c r="E2299" s="156">
        <v>8.3710028461416819E-4</v>
      </c>
      <c r="F2299" s="124">
        <v>2293</v>
      </c>
      <c r="G2299" s="238">
        <f t="shared" ca="1" si="72"/>
        <v>-4.5761802926219439E-2</v>
      </c>
      <c r="I2299" s="156"/>
    </row>
    <row r="2300" spans="2:9" x14ac:dyDescent="0.2">
      <c r="B2300" s="230">
        <v>42611</v>
      </c>
      <c r="C2300" s="124">
        <v>252.8</v>
      </c>
      <c r="D2300" s="156">
        <f t="shared" si="71"/>
        <v>-1.7489312087057909E-2</v>
      </c>
      <c r="E2300" s="156">
        <v>8.3361120373457831E-4</v>
      </c>
      <c r="F2300" s="124">
        <v>2294</v>
      </c>
      <c r="G2300" s="238">
        <f t="shared" ca="1" si="72"/>
        <v>7.9577112285048948E-3</v>
      </c>
      <c r="I2300" s="156"/>
    </row>
    <row r="2301" spans="2:9" x14ac:dyDescent="0.2">
      <c r="B2301" s="230">
        <v>42608</v>
      </c>
      <c r="C2301" s="124">
        <v>253.8</v>
      </c>
      <c r="D2301" s="156">
        <f t="shared" si="71"/>
        <v>3.955696202531645E-3</v>
      </c>
      <c r="E2301" s="156">
        <v>8.2407291796724705E-4</v>
      </c>
      <c r="F2301" s="124">
        <v>2295</v>
      </c>
      <c r="G2301" s="238">
        <f t="shared" ca="1" si="72"/>
        <v>2.4471177876237899E-3</v>
      </c>
      <c r="I2301" s="156"/>
    </row>
    <row r="2302" spans="2:9" x14ac:dyDescent="0.2">
      <c r="B2302" s="230">
        <v>42607</v>
      </c>
      <c r="C2302" s="124">
        <v>253.45</v>
      </c>
      <c r="D2302" s="156">
        <f t="shared" ref="D2302:D2365" si="73">(C2302-C2301)/C2301</f>
        <v>-1.3790386130812559E-3</v>
      </c>
      <c r="E2302" s="156">
        <v>8.1833060556464816E-4</v>
      </c>
      <c r="F2302" s="124">
        <v>2296</v>
      </c>
      <c r="G2302" s="238">
        <f t="shared" ca="1" si="72"/>
        <v>-2.6089776412442749E-3</v>
      </c>
      <c r="I2302" s="156"/>
    </row>
    <row r="2303" spans="2:9" x14ac:dyDescent="0.2">
      <c r="B2303" s="230">
        <v>42606</v>
      </c>
      <c r="C2303" s="124">
        <v>250.25</v>
      </c>
      <c r="D2303" s="156">
        <f t="shared" si="73"/>
        <v>-1.2625764450581925E-2</v>
      </c>
      <c r="E2303" s="156">
        <v>8.141664970486291E-4</v>
      </c>
      <c r="F2303" s="124">
        <v>2297</v>
      </c>
      <c r="G2303" s="238">
        <f t="shared" ca="1" si="72"/>
        <v>-1.6227050364895695E-3</v>
      </c>
      <c r="I2303" s="156"/>
    </row>
    <row r="2304" spans="2:9" x14ac:dyDescent="0.2">
      <c r="B2304" s="230">
        <v>42605</v>
      </c>
      <c r="C2304" s="124">
        <v>251.4</v>
      </c>
      <c r="D2304" s="156">
        <f t="shared" si="73"/>
        <v>4.595404595404618E-3</v>
      </c>
      <c r="E2304" s="156">
        <v>8.0658170672684556E-4</v>
      </c>
      <c r="F2304" s="124">
        <v>2298</v>
      </c>
      <c r="G2304" s="238">
        <f t="shared" ca="1" si="72"/>
        <v>9.1276840316013522E-3</v>
      </c>
      <c r="I2304" s="156"/>
    </row>
    <row r="2305" spans="2:9" x14ac:dyDescent="0.2">
      <c r="B2305" s="230">
        <v>42604</v>
      </c>
      <c r="C2305" s="124">
        <v>254.1</v>
      </c>
      <c r="D2305" s="156">
        <f t="shared" si="73"/>
        <v>1.0739856801909262E-2</v>
      </c>
      <c r="E2305" s="156">
        <v>8.03950844148308E-4</v>
      </c>
      <c r="F2305" s="124">
        <v>2299</v>
      </c>
      <c r="G2305" s="238">
        <f t="shared" ca="1" si="72"/>
        <v>-1.0037760912601555E-2</v>
      </c>
      <c r="I2305" s="156"/>
    </row>
    <row r="2306" spans="2:9" x14ac:dyDescent="0.2">
      <c r="B2306" s="230">
        <v>42601</v>
      </c>
      <c r="C2306" s="124">
        <v>250.95</v>
      </c>
      <c r="D2306" s="156">
        <f t="shared" si="73"/>
        <v>-1.2396694214876056E-2</v>
      </c>
      <c r="E2306" s="156">
        <v>7.9173264438702276E-4</v>
      </c>
      <c r="F2306" s="124">
        <v>2300</v>
      </c>
      <c r="G2306" s="238">
        <f t="shared" ca="1" si="72"/>
        <v>-3.0465389992019008E-2</v>
      </c>
      <c r="I2306" s="156"/>
    </row>
    <row r="2307" spans="2:9" x14ac:dyDescent="0.2">
      <c r="B2307" s="230">
        <v>42600</v>
      </c>
      <c r="C2307" s="124">
        <v>252.15</v>
      </c>
      <c r="D2307" s="156">
        <f t="shared" si="73"/>
        <v>4.7818290496115445E-3</v>
      </c>
      <c r="E2307" s="156">
        <v>7.8937592867750505E-4</v>
      </c>
      <c r="F2307" s="124">
        <v>2301</v>
      </c>
      <c r="G2307" s="238">
        <f t="shared" ca="1" si="72"/>
        <v>-1.4653617550564593E-2</v>
      </c>
      <c r="I2307" s="156"/>
    </row>
    <row r="2308" spans="2:9" x14ac:dyDescent="0.2">
      <c r="B2308" s="230">
        <v>42599</v>
      </c>
      <c r="C2308" s="124">
        <v>253.7</v>
      </c>
      <c r="D2308" s="156">
        <f t="shared" si="73"/>
        <v>6.1471346420780603E-3</v>
      </c>
      <c r="E2308" s="156">
        <v>7.8492935635785129E-4</v>
      </c>
      <c r="F2308" s="124">
        <v>2302</v>
      </c>
      <c r="G2308" s="238">
        <f t="shared" ca="1" si="72"/>
        <v>-1.9186251676520188E-2</v>
      </c>
      <c r="I2308" s="156"/>
    </row>
    <row r="2309" spans="2:9" x14ac:dyDescent="0.2">
      <c r="B2309" s="230">
        <v>42598</v>
      </c>
      <c r="C2309" s="124">
        <v>255.1</v>
      </c>
      <c r="D2309" s="156">
        <f t="shared" si="73"/>
        <v>5.5183287347260771E-3</v>
      </c>
      <c r="E2309" s="156">
        <v>7.7754451442340645E-4</v>
      </c>
      <c r="F2309" s="124">
        <v>2303</v>
      </c>
      <c r="G2309" s="238">
        <f t="shared" ca="1" si="72"/>
        <v>-8.0708365463812073E-6</v>
      </c>
      <c r="I2309" s="156"/>
    </row>
    <row r="2310" spans="2:9" x14ac:dyDescent="0.2">
      <c r="B2310" s="230">
        <v>42594</v>
      </c>
      <c r="C2310" s="124">
        <v>254.1</v>
      </c>
      <c r="D2310" s="156">
        <f t="shared" si="73"/>
        <v>-3.9200313602508821E-3</v>
      </c>
      <c r="E2310" s="156">
        <v>7.772849892551209E-4</v>
      </c>
      <c r="F2310" s="124">
        <v>2304</v>
      </c>
      <c r="G2310" s="238">
        <f t="shared" ca="1" si="72"/>
        <v>9.4977552266638371E-3</v>
      </c>
      <c r="I2310" s="156"/>
    </row>
    <row r="2311" spans="2:9" x14ac:dyDescent="0.2">
      <c r="B2311" s="230">
        <v>42593</v>
      </c>
      <c r="C2311" s="124">
        <v>251.65</v>
      </c>
      <c r="D2311" s="156">
        <f t="shared" si="73"/>
        <v>-9.6418732782368698E-3</v>
      </c>
      <c r="E2311" s="156">
        <v>7.6215881484302669E-4</v>
      </c>
      <c r="F2311" s="124">
        <v>2305</v>
      </c>
      <c r="G2311" s="238">
        <f t="shared" ref="G2311:G2374" ca="1" si="74">_xlfn.NORM.INV(RAND(),$L$8,$L$9)</f>
        <v>2.1884635825979469E-4</v>
      </c>
      <c r="I2311" s="156"/>
    </row>
    <row r="2312" spans="2:9" x14ac:dyDescent="0.2">
      <c r="B2312" s="230">
        <v>42592</v>
      </c>
      <c r="C2312" s="124">
        <v>246.5</v>
      </c>
      <c r="D2312" s="156">
        <f t="shared" si="73"/>
        <v>-2.0464931452414091E-2</v>
      </c>
      <c r="E2312" s="156">
        <v>7.5184436821576332E-4</v>
      </c>
      <c r="F2312" s="124">
        <v>2306</v>
      </c>
      <c r="G2312" s="238">
        <f t="shared" ca="1" si="74"/>
        <v>1.2833928780260666E-2</v>
      </c>
      <c r="I2312" s="156"/>
    </row>
    <row r="2313" spans="2:9" x14ac:dyDescent="0.2">
      <c r="B2313" s="230">
        <v>42591</v>
      </c>
      <c r="C2313" s="124">
        <v>247.65</v>
      </c>
      <c r="D2313" s="156">
        <f t="shared" si="73"/>
        <v>4.6653144016227414E-3</v>
      </c>
      <c r="E2313" s="156">
        <v>7.5000000000002842E-4</v>
      </c>
      <c r="F2313" s="124">
        <v>2307</v>
      </c>
      <c r="G2313" s="238">
        <f t="shared" ca="1" si="74"/>
        <v>-2.7074326476628274E-2</v>
      </c>
      <c r="I2313" s="156"/>
    </row>
    <row r="2314" spans="2:9" x14ac:dyDescent="0.2">
      <c r="B2314" s="230">
        <v>42590</v>
      </c>
      <c r="C2314" s="124">
        <v>249.95</v>
      </c>
      <c r="D2314" s="156">
        <f t="shared" si="73"/>
        <v>9.2873006258832342E-3</v>
      </c>
      <c r="E2314" s="156">
        <v>7.3971062520342037E-4</v>
      </c>
      <c r="F2314" s="124">
        <v>2308</v>
      </c>
      <c r="G2314" s="238">
        <f t="shared" ca="1" si="74"/>
        <v>1.938397673411792E-2</v>
      </c>
      <c r="I2314" s="156"/>
    </row>
    <row r="2315" spans="2:9" x14ac:dyDescent="0.2">
      <c r="B2315" s="230">
        <v>42587</v>
      </c>
      <c r="C2315" s="124">
        <v>252.55</v>
      </c>
      <c r="D2315" s="156">
        <f t="shared" si="73"/>
        <v>1.0402080416083308E-2</v>
      </c>
      <c r="E2315" s="156">
        <v>7.3292289651124534E-4</v>
      </c>
      <c r="F2315" s="124">
        <v>2309</v>
      </c>
      <c r="G2315" s="238">
        <f t="shared" ca="1" si="74"/>
        <v>1.0306565516851558E-2</v>
      </c>
      <c r="I2315" s="156"/>
    </row>
    <row r="2316" spans="2:9" x14ac:dyDescent="0.2">
      <c r="B2316" s="230">
        <v>42586</v>
      </c>
      <c r="C2316" s="124">
        <v>252.1</v>
      </c>
      <c r="D2316" s="156">
        <f t="shared" si="73"/>
        <v>-1.7818253811127183E-3</v>
      </c>
      <c r="E2316" s="156">
        <v>7.2202166064984689E-4</v>
      </c>
      <c r="F2316" s="124">
        <v>2310</v>
      </c>
      <c r="G2316" s="238">
        <f t="shared" ca="1" si="74"/>
        <v>-1.6387860238660925E-2</v>
      </c>
      <c r="I2316" s="156"/>
    </row>
    <row r="2317" spans="2:9" x14ac:dyDescent="0.2">
      <c r="B2317" s="230">
        <v>42585</v>
      </c>
      <c r="C2317" s="124">
        <v>252.7</v>
      </c>
      <c r="D2317" s="156">
        <f t="shared" si="73"/>
        <v>2.3800079333597553E-3</v>
      </c>
      <c r="E2317" s="156">
        <v>7.2202166064977847E-4</v>
      </c>
      <c r="F2317" s="124">
        <v>2311</v>
      </c>
      <c r="G2317" s="238">
        <f t="shared" ca="1" si="74"/>
        <v>2.1796818560310911E-2</v>
      </c>
      <c r="I2317" s="156"/>
    </row>
    <row r="2318" spans="2:9" x14ac:dyDescent="0.2">
      <c r="B2318" s="230">
        <v>42584</v>
      </c>
      <c r="C2318" s="124">
        <v>260.8</v>
      </c>
      <c r="D2318" s="156">
        <f t="shared" si="73"/>
        <v>3.2053818757419958E-2</v>
      </c>
      <c r="E2318" s="156">
        <v>7.2117551609121328E-4</v>
      </c>
      <c r="F2318" s="124">
        <v>2312</v>
      </c>
      <c r="G2318" s="238">
        <f t="shared" ca="1" si="74"/>
        <v>8.9089274292626988E-3</v>
      </c>
      <c r="I2318" s="156"/>
    </row>
    <row r="2319" spans="2:9" x14ac:dyDescent="0.2">
      <c r="B2319" s="230">
        <v>42583</v>
      </c>
      <c r="C2319" s="124">
        <v>250.6</v>
      </c>
      <c r="D2319" s="156">
        <f t="shared" si="73"/>
        <v>-3.9110429447852826E-2</v>
      </c>
      <c r="E2319" s="156">
        <v>7.2098053352562209E-4</v>
      </c>
      <c r="F2319" s="124">
        <v>2313</v>
      </c>
      <c r="G2319" s="238">
        <f t="shared" ca="1" si="74"/>
        <v>2.4285125001634468E-2</v>
      </c>
      <c r="I2319" s="156"/>
    </row>
    <row r="2320" spans="2:9" x14ac:dyDescent="0.2">
      <c r="B2320" s="230">
        <v>42580</v>
      </c>
      <c r="C2320" s="124">
        <v>252.45</v>
      </c>
      <c r="D2320" s="156">
        <f t="shared" si="73"/>
        <v>7.3822825219473035E-3</v>
      </c>
      <c r="E2320" s="156">
        <v>7.1474343175423577E-4</v>
      </c>
      <c r="F2320" s="124">
        <v>2314</v>
      </c>
      <c r="G2320" s="238">
        <f t="shared" ca="1" si="74"/>
        <v>3.5577646763946508E-2</v>
      </c>
      <c r="I2320" s="156"/>
    </row>
    <row r="2321" spans="2:9" x14ac:dyDescent="0.2">
      <c r="B2321" s="230">
        <v>42579</v>
      </c>
      <c r="C2321" s="124">
        <v>254.3</v>
      </c>
      <c r="D2321" s="156">
        <f t="shared" si="73"/>
        <v>7.3281837987721242E-3</v>
      </c>
      <c r="E2321" s="156">
        <v>7.111111111110707E-4</v>
      </c>
      <c r="F2321" s="124">
        <v>2315</v>
      </c>
      <c r="G2321" s="238">
        <f t="shared" ca="1" si="74"/>
        <v>1.2600770450382244E-2</v>
      </c>
      <c r="I2321" s="156"/>
    </row>
    <row r="2322" spans="2:9" x14ac:dyDescent="0.2">
      <c r="B2322" s="230">
        <v>42578</v>
      </c>
      <c r="C2322" s="124">
        <v>247.4</v>
      </c>
      <c r="D2322" s="156">
        <f t="shared" si="73"/>
        <v>-2.7133307117577686E-2</v>
      </c>
      <c r="E2322" s="156">
        <v>7.0389488503052884E-4</v>
      </c>
      <c r="F2322" s="124">
        <v>2316</v>
      </c>
      <c r="G2322" s="238">
        <f t="shared" ca="1" si="74"/>
        <v>1.144056881892644E-2</v>
      </c>
      <c r="I2322" s="156"/>
    </row>
    <row r="2323" spans="2:9" x14ac:dyDescent="0.2">
      <c r="B2323" s="230">
        <v>42577</v>
      </c>
      <c r="C2323" s="124">
        <v>251.75</v>
      </c>
      <c r="D2323" s="156">
        <f t="shared" si="73"/>
        <v>1.7582861762328188E-2</v>
      </c>
      <c r="E2323" s="156">
        <v>7.0290534208062639E-4</v>
      </c>
      <c r="F2323" s="124">
        <v>2317</v>
      </c>
      <c r="G2323" s="238">
        <f t="shared" ca="1" si="74"/>
        <v>-1.1375909583489918E-2</v>
      </c>
      <c r="I2323" s="156"/>
    </row>
    <row r="2324" spans="2:9" x14ac:dyDescent="0.2">
      <c r="B2324" s="230">
        <v>42576</v>
      </c>
      <c r="C2324" s="124">
        <v>251.75</v>
      </c>
      <c r="D2324" s="156">
        <f t="shared" si="73"/>
        <v>0</v>
      </c>
      <c r="E2324" s="156">
        <v>6.9553121196309724E-4</v>
      </c>
      <c r="F2324" s="124">
        <v>2318</v>
      </c>
      <c r="G2324" s="238">
        <f t="shared" ca="1" si="74"/>
        <v>5.258660689198497E-3</v>
      </c>
      <c r="I2324" s="156"/>
    </row>
    <row r="2325" spans="2:9" x14ac:dyDescent="0.2">
      <c r="B2325" s="230">
        <v>42573</v>
      </c>
      <c r="C2325" s="124">
        <v>249.85</v>
      </c>
      <c r="D2325" s="156">
        <f t="shared" si="73"/>
        <v>-7.5471698113207773E-3</v>
      </c>
      <c r="E2325" s="156">
        <v>6.9137509568130743E-4</v>
      </c>
      <c r="F2325" s="124">
        <v>2319</v>
      </c>
      <c r="G2325" s="238">
        <f t="shared" ca="1" si="74"/>
        <v>3.7189725293046357E-4</v>
      </c>
      <c r="I2325" s="156"/>
    </row>
    <row r="2326" spans="2:9" x14ac:dyDescent="0.2">
      <c r="B2326" s="230">
        <v>42572</v>
      </c>
      <c r="C2326" s="124">
        <v>250.6</v>
      </c>
      <c r="D2326" s="156">
        <f t="shared" si="73"/>
        <v>3.0018010806483891E-3</v>
      </c>
      <c r="E2326" s="156">
        <v>6.5439672801634601E-4</v>
      </c>
      <c r="F2326" s="124">
        <v>2320</v>
      </c>
      <c r="G2326" s="238">
        <f t="shared" ca="1" si="74"/>
        <v>-6.0674995171820989E-3</v>
      </c>
      <c r="I2326" s="156"/>
    </row>
    <row r="2327" spans="2:9" x14ac:dyDescent="0.2">
      <c r="B2327" s="230">
        <v>42571</v>
      </c>
      <c r="C2327" s="124">
        <v>250.25</v>
      </c>
      <c r="D2327" s="156">
        <f t="shared" si="73"/>
        <v>-1.3966480446927147E-3</v>
      </c>
      <c r="E2327" s="156">
        <v>6.4020486555688117E-4</v>
      </c>
      <c r="F2327" s="124">
        <v>2321</v>
      </c>
      <c r="G2327" s="238">
        <f t="shared" ca="1" si="74"/>
        <v>-5.8268390678351571E-3</v>
      </c>
      <c r="I2327" s="156"/>
    </row>
    <row r="2328" spans="2:9" x14ac:dyDescent="0.2">
      <c r="B2328" s="230">
        <v>42570</v>
      </c>
      <c r="C2328" s="124">
        <v>249.05</v>
      </c>
      <c r="D2328" s="156">
        <f t="shared" si="73"/>
        <v>-4.7952047952047501E-3</v>
      </c>
      <c r="E2328" s="156">
        <v>6.3959066197635936E-4</v>
      </c>
      <c r="F2328" s="124">
        <v>2322</v>
      </c>
      <c r="G2328" s="238">
        <f t="shared" ca="1" si="74"/>
        <v>2.5842176029691303E-2</v>
      </c>
      <c r="I2328" s="156"/>
    </row>
    <row r="2329" spans="2:9" x14ac:dyDescent="0.2">
      <c r="B2329" s="230">
        <v>42569</v>
      </c>
      <c r="C2329" s="124">
        <v>248.9</v>
      </c>
      <c r="D2329" s="156">
        <f t="shared" si="73"/>
        <v>-6.0228869704880819E-4</v>
      </c>
      <c r="E2329" s="156">
        <v>6.3051702395967076E-4</v>
      </c>
      <c r="F2329" s="124">
        <v>2323</v>
      </c>
      <c r="G2329" s="238">
        <f t="shared" ca="1" si="74"/>
        <v>-1.1279990977760071E-2</v>
      </c>
      <c r="I2329" s="156"/>
    </row>
    <row r="2330" spans="2:9" x14ac:dyDescent="0.2">
      <c r="B2330" s="230">
        <v>42566</v>
      </c>
      <c r="C2330" s="124">
        <v>248.85</v>
      </c>
      <c r="D2330" s="156">
        <f t="shared" si="73"/>
        <v>-2.0088388911213887E-4</v>
      </c>
      <c r="E2330" s="156">
        <v>6.2870486797191646E-4</v>
      </c>
      <c r="F2330" s="124">
        <v>2324</v>
      </c>
      <c r="G2330" s="238">
        <f t="shared" ca="1" si="74"/>
        <v>2.5691701633972667E-2</v>
      </c>
      <c r="I2330" s="156"/>
    </row>
    <row r="2331" spans="2:9" x14ac:dyDescent="0.2">
      <c r="B2331" s="230">
        <v>42565</v>
      </c>
      <c r="C2331" s="124">
        <v>248.7</v>
      </c>
      <c r="D2331" s="156">
        <f t="shared" si="73"/>
        <v>-6.0277275467151171E-4</v>
      </c>
      <c r="E2331" s="156">
        <v>6.2827225130892433E-4</v>
      </c>
      <c r="F2331" s="124">
        <v>2325</v>
      </c>
      <c r="G2331" s="238">
        <f t="shared" ca="1" si="74"/>
        <v>2.2777063189378444E-2</v>
      </c>
      <c r="I2331" s="156"/>
    </row>
    <row r="2332" spans="2:9" x14ac:dyDescent="0.2">
      <c r="B2332" s="230">
        <v>42564</v>
      </c>
      <c r="C2332" s="124">
        <v>247.1</v>
      </c>
      <c r="D2332" s="156">
        <f t="shared" si="73"/>
        <v>-6.4334539605950718E-3</v>
      </c>
      <c r="E2332" s="156">
        <v>6.2707157574135443E-4</v>
      </c>
      <c r="F2332" s="124">
        <v>2326</v>
      </c>
      <c r="G2332" s="238">
        <f t="shared" ca="1" si="74"/>
        <v>2.1076866038734483E-3</v>
      </c>
      <c r="I2332" s="156"/>
    </row>
    <row r="2333" spans="2:9" x14ac:dyDescent="0.2">
      <c r="B2333" s="230">
        <v>42563</v>
      </c>
      <c r="C2333" s="124">
        <v>248.4</v>
      </c>
      <c r="D2333" s="156">
        <f t="shared" si="73"/>
        <v>5.2610279239174882E-3</v>
      </c>
      <c r="E2333" s="156">
        <v>6.2299324291955661E-4</v>
      </c>
      <c r="F2333" s="124">
        <v>2327</v>
      </c>
      <c r="G2333" s="238">
        <f t="shared" ca="1" si="74"/>
        <v>-2.0318156739438644E-3</v>
      </c>
      <c r="I2333" s="156"/>
    </row>
    <row r="2334" spans="2:9" x14ac:dyDescent="0.2">
      <c r="B2334" s="230">
        <v>42562</v>
      </c>
      <c r="C2334" s="124">
        <v>249.15</v>
      </c>
      <c r="D2334" s="156">
        <f t="shared" si="73"/>
        <v>3.0193236714975845E-3</v>
      </c>
      <c r="E2334" s="156">
        <v>6.2266500622667369E-4</v>
      </c>
      <c r="F2334" s="124">
        <v>2328</v>
      </c>
      <c r="G2334" s="238">
        <f t="shared" ca="1" si="74"/>
        <v>-7.0368413697597552E-3</v>
      </c>
      <c r="I2334" s="156"/>
    </row>
    <row r="2335" spans="2:9" x14ac:dyDescent="0.2">
      <c r="B2335" s="230">
        <v>42559</v>
      </c>
      <c r="C2335" s="124">
        <v>245.85</v>
      </c>
      <c r="D2335" s="156">
        <f t="shared" si="73"/>
        <v>-1.3245033112582827E-2</v>
      </c>
      <c r="E2335" s="156">
        <v>6.0518034374240084E-4</v>
      </c>
      <c r="F2335" s="124">
        <v>2329</v>
      </c>
      <c r="G2335" s="238">
        <f t="shared" ca="1" si="74"/>
        <v>-1.0428014314728055E-2</v>
      </c>
      <c r="I2335" s="156"/>
    </row>
    <row r="2336" spans="2:9" x14ac:dyDescent="0.2">
      <c r="B2336" s="230">
        <v>42558</v>
      </c>
      <c r="C2336" s="124">
        <v>247</v>
      </c>
      <c r="D2336" s="156">
        <f t="shared" si="73"/>
        <v>4.6776489729510092E-3</v>
      </c>
      <c r="E2336" s="156">
        <v>5.790387955992174E-4</v>
      </c>
      <c r="F2336" s="124">
        <v>2330</v>
      </c>
      <c r="G2336" s="238">
        <f t="shared" ca="1" si="74"/>
        <v>2.5395411455781544E-2</v>
      </c>
      <c r="I2336" s="156"/>
    </row>
    <row r="2337" spans="2:9" x14ac:dyDescent="0.2">
      <c r="B2337" s="230">
        <v>42556</v>
      </c>
      <c r="C2337" s="124">
        <v>243.55</v>
      </c>
      <c r="D2337" s="156">
        <f t="shared" si="73"/>
        <v>-1.3967611336032342E-2</v>
      </c>
      <c r="E2337" s="156">
        <v>5.7537399309547934E-4</v>
      </c>
      <c r="F2337" s="124">
        <v>2331</v>
      </c>
      <c r="G2337" s="238">
        <f t="shared" ca="1" si="74"/>
        <v>-1.57781906392431E-2</v>
      </c>
      <c r="I2337" s="156"/>
    </row>
    <row r="2338" spans="2:9" x14ac:dyDescent="0.2">
      <c r="B2338" s="230">
        <v>42555</v>
      </c>
      <c r="C2338" s="124">
        <v>244.9</v>
      </c>
      <c r="D2338" s="156">
        <f t="shared" si="73"/>
        <v>5.5430096489426988E-3</v>
      </c>
      <c r="E2338" s="156">
        <v>5.630630630631911E-4</v>
      </c>
      <c r="F2338" s="124">
        <v>2332</v>
      </c>
      <c r="G2338" s="238">
        <f t="shared" ca="1" si="74"/>
        <v>-2.0513941814980452E-2</v>
      </c>
      <c r="I2338" s="156"/>
    </row>
    <row r="2339" spans="2:9" x14ac:dyDescent="0.2">
      <c r="B2339" s="230">
        <v>42552</v>
      </c>
      <c r="C2339" s="124">
        <v>252.35</v>
      </c>
      <c r="D2339" s="156">
        <f t="shared" si="73"/>
        <v>3.0420579828501382E-2</v>
      </c>
      <c r="E2339" s="156">
        <v>5.6095736724021735E-4</v>
      </c>
      <c r="F2339" s="124">
        <v>2333</v>
      </c>
      <c r="G2339" s="238">
        <f t="shared" ca="1" si="74"/>
        <v>-3.6174708098613194E-2</v>
      </c>
      <c r="I2339" s="156"/>
    </row>
    <row r="2340" spans="2:9" x14ac:dyDescent="0.2">
      <c r="B2340" s="230">
        <v>42551</v>
      </c>
      <c r="C2340" s="124">
        <v>245.6</v>
      </c>
      <c r="D2340" s="156">
        <f t="shared" si="73"/>
        <v>-2.6748563503071133E-2</v>
      </c>
      <c r="E2340" s="156">
        <v>5.5845122859272413E-4</v>
      </c>
      <c r="F2340" s="124">
        <v>2334</v>
      </c>
      <c r="G2340" s="238">
        <f t="shared" ca="1" si="74"/>
        <v>-1.552364744991621E-2</v>
      </c>
      <c r="I2340" s="156"/>
    </row>
    <row r="2341" spans="2:9" x14ac:dyDescent="0.2">
      <c r="B2341" s="230">
        <v>42550</v>
      </c>
      <c r="C2341" s="124">
        <v>244.2</v>
      </c>
      <c r="D2341" s="156">
        <f t="shared" si="73"/>
        <v>-5.7003257328990461E-3</v>
      </c>
      <c r="E2341" s="156">
        <v>5.5845122859272413E-4</v>
      </c>
      <c r="F2341" s="124">
        <v>2335</v>
      </c>
      <c r="G2341" s="238">
        <f t="shared" ca="1" si="74"/>
        <v>2.893509245078095E-2</v>
      </c>
      <c r="I2341" s="156"/>
    </row>
    <row r="2342" spans="2:9" x14ac:dyDescent="0.2">
      <c r="B2342" s="230">
        <v>42549</v>
      </c>
      <c r="C2342" s="124">
        <v>245.67</v>
      </c>
      <c r="D2342" s="156">
        <f t="shared" si="73"/>
        <v>6.0196560196560155E-3</v>
      </c>
      <c r="E2342" s="156">
        <v>5.5524708495282508E-4</v>
      </c>
      <c r="F2342" s="124">
        <v>2336</v>
      </c>
      <c r="G2342" s="238">
        <f t="shared" ca="1" si="74"/>
        <v>9.4573634119565885E-3</v>
      </c>
      <c r="I2342" s="156"/>
    </row>
    <row r="2343" spans="2:9" x14ac:dyDescent="0.2">
      <c r="B2343" s="230">
        <v>42548</v>
      </c>
      <c r="C2343" s="124">
        <v>239.3</v>
      </c>
      <c r="D2343" s="156">
        <f t="shared" si="73"/>
        <v>-2.5929091871209248E-2</v>
      </c>
      <c r="E2343" s="156">
        <v>5.5346791342595974E-4</v>
      </c>
      <c r="F2343" s="124">
        <v>2337</v>
      </c>
      <c r="G2343" s="238">
        <f t="shared" ca="1" si="74"/>
        <v>-7.0022901580762565E-3</v>
      </c>
      <c r="I2343" s="156"/>
    </row>
    <row r="2344" spans="2:9" x14ac:dyDescent="0.2">
      <c r="B2344" s="230">
        <v>42545</v>
      </c>
      <c r="C2344" s="124">
        <v>236.07</v>
      </c>
      <c r="D2344" s="156">
        <f t="shared" si="73"/>
        <v>-1.3497701629753523E-2</v>
      </c>
      <c r="E2344" s="156">
        <v>5.4929964295520085E-4</v>
      </c>
      <c r="F2344" s="124">
        <v>2338</v>
      </c>
      <c r="G2344" s="238">
        <f t="shared" ca="1" si="74"/>
        <v>3.1260939901017283E-2</v>
      </c>
      <c r="I2344" s="156"/>
    </row>
    <row r="2345" spans="2:9" x14ac:dyDescent="0.2">
      <c r="B2345" s="230">
        <v>42544</v>
      </c>
      <c r="C2345" s="124">
        <v>240.17</v>
      </c>
      <c r="D2345" s="156">
        <f t="shared" si="73"/>
        <v>1.7367729910619707E-2</v>
      </c>
      <c r="E2345" s="156">
        <v>5.3650282695718481E-4</v>
      </c>
      <c r="F2345" s="124">
        <v>2339</v>
      </c>
      <c r="G2345" s="238">
        <f t="shared" ca="1" si="74"/>
        <v>1.0440017925693521E-2</v>
      </c>
      <c r="I2345" s="156"/>
    </row>
    <row r="2346" spans="2:9" x14ac:dyDescent="0.2">
      <c r="B2346" s="230">
        <v>42543</v>
      </c>
      <c r="C2346" s="124">
        <v>236.47</v>
      </c>
      <c r="D2346" s="156">
        <f t="shared" si="73"/>
        <v>-1.5405754257400961E-2</v>
      </c>
      <c r="E2346" s="156">
        <v>5.3210358283091214E-4</v>
      </c>
      <c r="F2346" s="124">
        <v>2340</v>
      </c>
      <c r="G2346" s="238">
        <f t="shared" ca="1" si="74"/>
        <v>-1.7784107817788213E-2</v>
      </c>
      <c r="I2346" s="156"/>
    </row>
    <row r="2347" spans="2:9" x14ac:dyDescent="0.2">
      <c r="B2347" s="230">
        <v>42542</v>
      </c>
      <c r="C2347" s="124">
        <v>239</v>
      </c>
      <c r="D2347" s="156">
        <f t="shared" si="73"/>
        <v>1.0699031589630825E-2</v>
      </c>
      <c r="E2347" s="156">
        <v>5.1809636592401137E-4</v>
      </c>
      <c r="F2347" s="124">
        <v>2341</v>
      </c>
      <c r="G2347" s="238">
        <f t="shared" ca="1" si="74"/>
        <v>1.033103272713377E-2</v>
      </c>
      <c r="I2347" s="156"/>
    </row>
    <row r="2348" spans="2:9" x14ac:dyDescent="0.2">
      <c r="B2348" s="230">
        <v>42541</v>
      </c>
      <c r="C2348" s="124">
        <v>238.7</v>
      </c>
      <c r="D2348" s="156">
        <f t="shared" si="73"/>
        <v>-1.25523012552306E-3</v>
      </c>
      <c r="E2348" s="156">
        <v>5.1768766177731585E-4</v>
      </c>
      <c r="F2348" s="124">
        <v>2342</v>
      </c>
      <c r="G2348" s="238">
        <f t="shared" ca="1" si="74"/>
        <v>-6.1518923737578718E-3</v>
      </c>
      <c r="I2348" s="156"/>
    </row>
    <row r="2349" spans="2:9" x14ac:dyDescent="0.2">
      <c r="B2349" s="230">
        <v>42538</v>
      </c>
      <c r="C2349" s="124">
        <v>239.9</v>
      </c>
      <c r="D2349" s="156">
        <f t="shared" si="73"/>
        <v>5.0272308336825186E-3</v>
      </c>
      <c r="E2349" s="156">
        <v>5.0838840874439621E-4</v>
      </c>
      <c r="F2349" s="124">
        <v>2343</v>
      </c>
      <c r="G2349" s="238">
        <f t="shared" ca="1" si="74"/>
        <v>-3.389116298027307E-3</v>
      </c>
      <c r="I2349" s="156"/>
    </row>
    <row r="2350" spans="2:9" x14ac:dyDescent="0.2">
      <c r="B2350" s="230">
        <v>42537</v>
      </c>
      <c r="C2350" s="124">
        <v>236.6</v>
      </c>
      <c r="D2350" s="156">
        <f t="shared" si="73"/>
        <v>-1.3755731554814554E-2</v>
      </c>
      <c r="E2350" s="156">
        <v>5.0694514853504382E-4</v>
      </c>
      <c r="F2350" s="124">
        <v>2344</v>
      </c>
      <c r="G2350" s="238">
        <f t="shared" ca="1" si="74"/>
        <v>1.4227347176486209E-2</v>
      </c>
      <c r="I2350" s="156"/>
    </row>
    <row r="2351" spans="2:9" x14ac:dyDescent="0.2">
      <c r="B2351" s="230">
        <v>42536</v>
      </c>
      <c r="C2351" s="124">
        <v>239.7</v>
      </c>
      <c r="D2351" s="156">
        <f t="shared" si="73"/>
        <v>1.3102282333051539E-2</v>
      </c>
      <c r="E2351" s="156">
        <v>5.0390526581014236E-4</v>
      </c>
      <c r="F2351" s="124">
        <v>2345</v>
      </c>
      <c r="G2351" s="238">
        <f t="shared" ca="1" si="74"/>
        <v>-7.0412298264761674E-3</v>
      </c>
      <c r="I2351" s="156"/>
    </row>
    <row r="2352" spans="2:9" x14ac:dyDescent="0.2">
      <c r="B2352" s="230">
        <v>42535</v>
      </c>
      <c r="C2352" s="124">
        <v>235.53</v>
      </c>
      <c r="D2352" s="156">
        <f t="shared" si="73"/>
        <v>-1.7396745932415469E-2</v>
      </c>
      <c r="E2352" s="156">
        <v>5.0180650341225571E-4</v>
      </c>
      <c r="F2352" s="124">
        <v>2346</v>
      </c>
      <c r="G2352" s="238">
        <f t="shared" ca="1" si="74"/>
        <v>-1.0895172363515501E-2</v>
      </c>
      <c r="I2352" s="156"/>
    </row>
    <row r="2353" spans="2:9" x14ac:dyDescent="0.2">
      <c r="B2353" s="230">
        <v>42534</v>
      </c>
      <c r="C2353" s="124">
        <v>233.27</v>
      </c>
      <c r="D2353" s="156">
        <f t="shared" si="73"/>
        <v>-9.5953806309174664E-3</v>
      </c>
      <c r="E2353" s="156">
        <v>5.004170141783825E-4</v>
      </c>
      <c r="F2353" s="124">
        <v>2347</v>
      </c>
      <c r="G2353" s="238">
        <f t="shared" ca="1" si="74"/>
        <v>-3.5914627755084787E-3</v>
      </c>
      <c r="I2353" s="156"/>
    </row>
    <row r="2354" spans="2:9" x14ac:dyDescent="0.2">
      <c r="B2354" s="230">
        <v>42531</v>
      </c>
      <c r="C2354" s="124">
        <v>233.8</v>
      </c>
      <c r="D2354" s="156">
        <f t="shared" si="73"/>
        <v>2.2720452694302787E-3</v>
      </c>
      <c r="E2354" s="156">
        <v>4.9842166472847352E-4</v>
      </c>
      <c r="F2354" s="124">
        <v>2348</v>
      </c>
      <c r="G2354" s="238">
        <f t="shared" ca="1" si="74"/>
        <v>1.0874034297604754E-4</v>
      </c>
      <c r="I2354" s="156"/>
    </row>
    <row r="2355" spans="2:9" x14ac:dyDescent="0.2">
      <c r="B2355" s="230">
        <v>42530</v>
      </c>
      <c r="C2355" s="124">
        <v>236.07</v>
      </c>
      <c r="D2355" s="156">
        <f t="shared" si="73"/>
        <v>9.7091531223266973E-3</v>
      </c>
      <c r="E2355" s="156">
        <v>4.891171435559929E-4</v>
      </c>
      <c r="F2355" s="124">
        <v>2349</v>
      </c>
      <c r="G2355" s="238">
        <f t="shared" ca="1" si="74"/>
        <v>-6.5029647902468783E-3</v>
      </c>
      <c r="I2355" s="156"/>
    </row>
    <row r="2356" spans="2:9" x14ac:dyDescent="0.2">
      <c r="B2356" s="230">
        <v>42529</v>
      </c>
      <c r="C2356" s="124">
        <v>241.87</v>
      </c>
      <c r="D2356" s="156">
        <f t="shared" si="73"/>
        <v>2.4568983775998695E-2</v>
      </c>
      <c r="E2356" s="156">
        <v>4.8816206980714823E-4</v>
      </c>
      <c r="F2356" s="124">
        <v>2350</v>
      </c>
      <c r="G2356" s="238">
        <f t="shared" ca="1" si="74"/>
        <v>-2.8161882126120179E-2</v>
      </c>
      <c r="I2356" s="156"/>
    </row>
    <row r="2357" spans="2:9" x14ac:dyDescent="0.2">
      <c r="B2357" s="230">
        <v>42528</v>
      </c>
      <c r="C2357" s="124">
        <v>241.83</v>
      </c>
      <c r="D2357" s="156">
        <f t="shared" si="73"/>
        <v>-1.6537809567119543E-4</v>
      </c>
      <c r="E2357" s="156">
        <v>4.8443744701462665E-4</v>
      </c>
      <c r="F2357" s="124">
        <v>2351</v>
      </c>
      <c r="G2357" s="238">
        <f t="shared" ca="1" si="74"/>
        <v>-6.4887411269805087E-3</v>
      </c>
      <c r="I2357" s="156"/>
    </row>
    <row r="2358" spans="2:9" x14ac:dyDescent="0.2">
      <c r="B2358" s="230">
        <v>42527</v>
      </c>
      <c r="C2358" s="124">
        <v>237.07</v>
      </c>
      <c r="D2358" s="156">
        <f t="shared" si="73"/>
        <v>-1.9683248563040229E-2</v>
      </c>
      <c r="E2358" s="156">
        <v>4.7276853252644816E-4</v>
      </c>
      <c r="F2358" s="124">
        <v>2352</v>
      </c>
      <c r="G2358" s="238">
        <f t="shared" ca="1" si="74"/>
        <v>1.4757313582898267E-3</v>
      </c>
      <c r="I2358" s="156"/>
    </row>
    <row r="2359" spans="2:9" x14ac:dyDescent="0.2">
      <c r="B2359" s="230">
        <v>42524</v>
      </c>
      <c r="C2359" s="124">
        <v>235.93</v>
      </c>
      <c r="D2359" s="156">
        <f t="shared" si="73"/>
        <v>-4.8087062892815894E-3</v>
      </c>
      <c r="E2359" s="156">
        <v>4.697040864255252E-4</v>
      </c>
      <c r="F2359" s="124">
        <v>2353</v>
      </c>
      <c r="G2359" s="238">
        <f t="shared" ca="1" si="74"/>
        <v>-8.0957159584638828E-3</v>
      </c>
      <c r="I2359" s="156"/>
    </row>
    <row r="2360" spans="2:9" x14ac:dyDescent="0.2">
      <c r="B2360" s="230">
        <v>42523</v>
      </c>
      <c r="C2360" s="124">
        <v>238.67</v>
      </c>
      <c r="D2360" s="156">
        <f t="shared" si="73"/>
        <v>1.1613614207603868E-2</v>
      </c>
      <c r="E2360" s="156">
        <v>4.6873535202022272E-4</v>
      </c>
      <c r="F2360" s="124">
        <v>2354</v>
      </c>
      <c r="G2360" s="238">
        <f t="shared" ca="1" si="74"/>
        <v>-7.286278390078187E-3</v>
      </c>
      <c r="I2360" s="156"/>
    </row>
    <row r="2361" spans="2:9" x14ac:dyDescent="0.2">
      <c r="B2361" s="230">
        <v>42522</v>
      </c>
      <c r="C2361" s="124">
        <v>240.93</v>
      </c>
      <c r="D2361" s="156">
        <f t="shared" si="73"/>
        <v>9.4691414924373378E-3</v>
      </c>
      <c r="E2361" s="156">
        <v>4.6296296296293663E-4</v>
      </c>
      <c r="F2361" s="124">
        <v>2355</v>
      </c>
      <c r="G2361" s="238">
        <f t="shared" ca="1" si="74"/>
        <v>1.0080479866432812E-2</v>
      </c>
      <c r="I2361" s="156"/>
    </row>
    <row r="2362" spans="2:9" x14ac:dyDescent="0.2">
      <c r="B2362" s="230">
        <v>42521</v>
      </c>
      <c r="C2362" s="124">
        <v>234.03</v>
      </c>
      <c r="D2362" s="156">
        <f t="shared" si="73"/>
        <v>-2.8639023782841513E-2</v>
      </c>
      <c r="E2362" s="156">
        <v>4.491354143273942E-4</v>
      </c>
      <c r="F2362" s="124">
        <v>2356</v>
      </c>
      <c r="G2362" s="238">
        <f t="shared" ca="1" si="74"/>
        <v>1.5373505457796727E-2</v>
      </c>
      <c r="I2362" s="156"/>
    </row>
    <row r="2363" spans="2:9" x14ac:dyDescent="0.2">
      <c r="B2363" s="230">
        <v>42520</v>
      </c>
      <c r="C2363" s="124">
        <v>237.67</v>
      </c>
      <c r="D2363" s="156">
        <f t="shared" si="73"/>
        <v>1.5553561509208162E-2</v>
      </c>
      <c r="E2363" s="156">
        <v>4.4885318012475569E-4</v>
      </c>
      <c r="F2363" s="124">
        <v>2357</v>
      </c>
      <c r="G2363" s="238">
        <f t="shared" ca="1" si="74"/>
        <v>9.6589797837575674E-3</v>
      </c>
      <c r="I2363" s="156"/>
    </row>
    <row r="2364" spans="2:9" x14ac:dyDescent="0.2">
      <c r="B2364" s="230">
        <v>42517</v>
      </c>
      <c r="C2364" s="124">
        <v>238.2</v>
      </c>
      <c r="D2364" s="156">
        <f t="shared" si="73"/>
        <v>2.2299827491900582E-3</v>
      </c>
      <c r="E2364" s="156">
        <v>4.4879946144066329E-4</v>
      </c>
      <c r="F2364" s="124">
        <v>2358</v>
      </c>
      <c r="G2364" s="238">
        <f t="shared" ca="1" si="74"/>
        <v>1.9370741092955675E-2</v>
      </c>
      <c r="I2364" s="156"/>
    </row>
    <row r="2365" spans="2:9" x14ac:dyDescent="0.2">
      <c r="B2365" s="230">
        <v>42516</v>
      </c>
      <c r="C2365" s="124">
        <v>240.29</v>
      </c>
      <c r="D2365" s="156">
        <f t="shared" si="73"/>
        <v>8.7741393786733984E-3</v>
      </c>
      <c r="E2365" s="156">
        <v>4.4749403341269275E-4</v>
      </c>
      <c r="F2365" s="124">
        <v>2359</v>
      </c>
      <c r="G2365" s="238">
        <f t="shared" ca="1" si="74"/>
        <v>2.8478569327159576E-2</v>
      </c>
      <c r="I2365" s="156"/>
    </row>
    <row r="2366" spans="2:9" x14ac:dyDescent="0.2">
      <c r="B2366" s="230">
        <v>42515</v>
      </c>
      <c r="C2366" s="124">
        <v>236.05</v>
      </c>
      <c r="D2366" s="156">
        <f t="shared" ref="D2366:D2429" si="75">(C2366-C2365)/C2365</f>
        <v>-1.7645345207873739E-2</v>
      </c>
      <c r="E2366" s="156">
        <v>4.3836577240046604E-4</v>
      </c>
      <c r="F2366" s="124">
        <v>2360</v>
      </c>
      <c r="G2366" s="238">
        <f t="shared" ca="1" si="74"/>
        <v>7.3166486789225478E-3</v>
      </c>
      <c r="I2366" s="156"/>
    </row>
    <row r="2367" spans="2:9" x14ac:dyDescent="0.2">
      <c r="B2367" s="230">
        <v>42514</v>
      </c>
      <c r="C2367" s="124">
        <v>230.74</v>
      </c>
      <c r="D2367" s="156">
        <f t="shared" si="75"/>
        <v>-2.2495234060580394E-2</v>
      </c>
      <c r="E2367" s="156">
        <v>4.3169063685728699E-4</v>
      </c>
      <c r="F2367" s="124">
        <v>2361</v>
      </c>
      <c r="G2367" s="238">
        <f t="shared" ca="1" si="74"/>
        <v>1.6152562647521115E-2</v>
      </c>
      <c r="I2367" s="156"/>
    </row>
    <row r="2368" spans="2:9" x14ac:dyDescent="0.2">
      <c r="B2368" s="230">
        <v>42513</v>
      </c>
      <c r="C2368" s="124">
        <v>229.95</v>
      </c>
      <c r="D2368" s="156">
        <f t="shared" si="75"/>
        <v>-3.4237670104880838E-3</v>
      </c>
      <c r="E2368" s="156">
        <v>4.2453831458286694E-4</v>
      </c>
      <c r="F2368" s="124">
        <v>2362</v>
      </c>
      <c r="G2368" s="238">
        <f t="shared" ca="1" si="74"/>
        <v>-5.7393069665058983E-3</v>
      </c>
      <c r="I2368" s="156"/>
    </row>
    <row r="2369" spans="2:9" x14ac:dyDescent="0.2">
      <c r="B2369" s="230">
        <v>42510</v>
      </c>
      <c r="C2369" s="124">
        <v>219.01</v>
      </c>
      <c r="D2369" s="156">
        <f t="shared" si="75"/>
        <v>-4.7575559904327019E-2</v>
      </c>
      <c r="E2369" s="156">
        <v>4.1779820346770133E-4</v>
      </c>
      <c r="F2369" s="124">
        <v>2363</v>
      </c>
      <c r="G2369" s="238">
        <f t="shared" ca="1" si="74"/>
        <v>-6.2639460977797026E-4</v>
      </c>
      <c r="I2369" s="156"/>
    </row>
    <row r="2370" spans="2:9" x14ac:dyDescent="0.2">
      <c r="B2370" s="230">
        <v>42509</v>
      </c>
      <c r="C2370" s="124">
        <v>215.36</v>
      </c>
      <c r="D2370" s="156">
        <f t="shared" si="75"/>
        <v>-1.6665905666407823E-2</v>
      </c>
      <c r="E2370" s="156">
        <v>4.0010669511871347E-4</v>
      </c>
      <c r="F2370" s="124">
        <v>2364</v>
      </c>
      <c r="G2370" s="238">
        <f t="shared" ca="1" si="74"/>
        <v>-9.136502873742439E-3</v>
      </c>
      <c r="I2370" s="156"/>
    </row>
    <row r="2371" spans="2:9" x14ac:dyDescent="0.2">
      <c r="B2371" s="230">
        <v>42508</v>
      </c>
      <c r="C2371" s="124">
        <v>220.57</v>
      </c>
      <c r="D2371" s="156">
        <f t="shared" si="75"/>
        <v>2.4192050520059339E-2</v>
      </c>
      <c r="E2371" s="156">
        <v>3.9200313602506592E-4</v>
      </c>
      <c r="F2371" s="124">
        <v>2365</v>
      </c>
      <c r="G2371" s="238">
        <f t="shared" ca="1" si="74"/>
        <v>-3.8855367123669733E-3</v>
      </c>
      <c r="I2371" s="156"/>
    </row>
    <row r="2372" spans="2:9" x14ac:dyDescent="0.2">
      <c r="B2372" s="230">
        <v>42507</v>
      </c>
      <c r="C2372" s="124">
        <v>219.11</v>
      </c>
      <c r="D2372" s="156">
        <f t="shared" si="75"/>
        <v>-6.619213855011922E-3</v>
      </c>
      <c r="E2372" s="156">
        <v>3.7857278061715976E-4</v>
      </c>
      <c r="F2372" s="124">
        <v>2366</v>
      </c>
      <c r="G2372" s="238">
        <f t="shared" ca="1" si="74"/>
        <v>1.2168995509995765E-3</v>
      </c>
      <c r="I2372" s="156"/>
    </row>
    <row r="2373" spans="2:9" x14ac:dyDescent="0.2">
      <c r="B2373" s="230">
        <v>42506</v>
      </c>
      <c r="C2373" s="124">
        <v>218.38</v>
      </c>
      <c r="D2373" s="156">
        <f t="shared" si="75"/>
        <v>-3.3316598968555437E-3</v>
      </c>
      <c r="E2373" s="156">
        <v>3.7243947858465586E-4</v>
      </c>
      <c r="F2373" s="124">
        <v>2367</v>
      </c>
      <c r="G2373" s="238">
        <f t="shared" ca="1" si="74"/>
        <v>1.6257527363060947E-2</v>
      </c>
      <c r="I2373" s="156"/>
    </row>
    <row r="2374" spans="2:9" x14ac:dyDescent="0.2">
      <c r="B2374" s="230">
        <v>42503</v>
      </c>
      <c r="C2374" s="124">
        <v>211.72</v>
      </c>
      <c r="D2374" s="156">
        <f t="shared" si="75"/>
        <v>-3.0497298287388942E-2</v>
      </c>
      <c r="E2374" s="156">
        <v>3.7178670065855736E-4</v>
      </c>
      <c r="F2374" s="124">
        <v>2368</v>
      </c>
      <c r="G2374" s="238">
        <f t="shared" ca="1" si="74"/>
        <v>1.9925625942456469E-2</v>
      </c>
      <c r="I2374" s="156"/>
    </row>
    <row r="2375" spans="2:9" x14ac:dyDescent="0.2">
      <c r="B2375" s="230">
        <v>42502</v>
      </c>
      <c r="C2375" s="124">
        <v>210.95</v>
      </c>
      <c r="D2375" s="156">
        <f t="shared" si="75"/>
        <v>-3.6368788966560091E-3</v>
      </c>
      <c r="E2375" s="156">
        <v>3.4281796366124388E-4</v>
      </c>
      <c r="F2375" s="124">
        <v>2369</v>
      </c>
      <c r="G2375" s="238">
        <f t="shared" ref="G2375:G2438" ca="1" si="76">_xlfn.NORM.INV(RAND(),$L$8,$L$9)</f>
        <v>8.8754328103926045E-3</v>
      </c>
      <c r="I2375" s="156"/>
    </row>
    <row r="2376" spans="2:9" x14ac:dyDescent="0.2">
      <c r="B2376" s="230">
        <v>42501</v>
      </c>
      <c r="C2376" s="124">
        <v>210.82</v>
      </c>
      <c r="D2376" s="156">
        <f t="shared" si="75"/>
        <v>-6.1625977719836672E-4</v>
      </c>
      <c r="E2376" s="156">
        <v>3.4205575508813283E-4</v>
      </c>
      <c r="F2376" s="124">
        <v>2370</v>
      </c>
      <c r="G2376" s="238">
        <f t="shared" ca="1" si="76"/>
        <v>-2.8662750954932752E-2</v>
      </c>
      <c r="I2376" s="156"/>
    </row>
    <row r="2377" spans="2:9" x14ac:dyDescent="0.2">
      <c r="B2377" s="230">
        <v>42500</v>
      </c>
      <c r="C2377" s="124">
        <v>214.47</v>
      </c>
      <c r="D2377" s="156">
        <f t="shared" si="75"/>
        <v>1.7313347879707834E-2</v>
      </c>
      <c r="E2377" s="156">
        <v>3.4019391052907892E-4</v>
      </c>
      <c r="F2377" s="124">
        <v>2371</v>
      </c>
      <c r="G2377" s="238">
        <f t="shared" ca="1" si="76"/>
        <v>1.3424285424032609E-2</v>
      </c>
      <c r="I2377" s="156"/>
    </row>
    <row r="2378" spans="2:9" x14ac:dyDescent="0.2">
      <c r="B2378" s="230">
        <v>42499</v>
      </c>
      <c r="C2378" s="124">
        <v>215.33</v>
      </c>
      <c r="D2378" s="156">
        <f t="shared" si="75"/>
        <v>4.0098848323775523E-3</v>
      </c>
      <c r="E2378" s="156">
        <v>3.3500837520931357E-4</v>
      </c>
      <c r="F2378" s="124">
        <v>2372</v>
      </c>
      <c r="G2378" s="238">
        <f t="shared" ca="1" si="76"/>
        <v>-1.4156727638185875E-2</v>
      </c>
      <c r="I2378" s="156"/>
    </row>
    <row r="2379" spans="2:9" x14ac:dyDescent="0.2">
      <c r="B2379" s="230">
        <v>42496</v>
      </c>
      <c r="C2379" s="124">
        <v>210.62</v>
      </c>
      <c r="D2379" s="156">
        <f t="shared" si="75"/>
        <v>-2.1873403613059061E-2</v>
      </c>
      <c r="E2379" s="156">
        <v>3.3448012232412642E-4</v>
      </c>
      <c r="F2379" s="124">
        <v>2373</v>
      </c>
      <c r="G2379" s="238">
        <f t="shared" ca="1" si="76"/>
        <v>-2.6452242497195581E-2</v>
      </c>
      <c r="I2379" s="156"/>
    </row>
    <row r="2380" spans="2:9" x14ac:dyDescent="0.2">
      <c r="B2380" s="230">
        <v>42495</v>
      </c>
      <c r="C2380" s="124">
        <v>210.59</v>
      </c>
      <c r="D2380" s="156">
        <f t="shared" si="75"/>
        <v>-1.4243661570601622E-4</v>
      </c>
      <c r="E2380" s="156">
        <v>3.1384856806584575E-4</v>
      </c>
      <c r="F2380" s="124">
        <v>2374</v>
      </c>
      <c r="G2380" s="238">
        <f t="shared" ca="1" si="76"/>
        <v>-2.7923025608870198E-2</v>
      </c>
      <c r="I2380" s="156"/>
    </row>
    <row r="2381" spans="2:9" x14ac:dyDescent="0.2">
      <c r="B2381" s="230">
        <v>42494</v>
      </c>
      <c r="C2381" s="124">
        <v>207.27</v>
      </c>
      <c r="D2381" s="156">
        <f t="shared" si="75"/>
        <v>-1.5765231017617138E-2</v>
      </c>
      <c r="E2381" s="156">
        <v>3.029385034837633E-4</v>
      </c>
      <c r="F2381" s="124">
        <v>2375</v>
      </c>
      <c r="G2381" s="238">
        <f t="shared" ca="1" si="76"/>
        <v>-9.9113333461453828E-3</v>
      </c>
      <c r="I2381" s="156"/>
    </row>
    <row r="2382" spans="2:9" x14ac:dyDescent="0.2">
      <c r="B2382" s="230">
        <v>42493</v>
      </c>
      <c r="C2382" s="124">
        <v>209.53</v>
      </c>
      <c r="D2382" s="156">
        <f t="shared" si="75"/>
        <v>1.0903652241038215E-2</v>
      </c>
      <c r="E2382" s="156">
        <v>3.0259474998102764E-4</v>
      </c>
      <c r="F2382" s="124">
        <v>2376</v>
      </c>
      <c r="G2382" s="238">
        <f t="shared" ca="1" si="76"/>
        <v>2.6007478072805578E-2</v>
      </c>
      <c r="I2382" s="156"/>
    </row>
    <row r="2383" spans="2:9" x14ac:dyDescent="0.2">
      <c r="B2383" s="230">
        <v>42492</v>
      </c>
      <c r="C2383" s="124">
        <v>212.91</v>
      </c>
      <c r="D2383" s="156">
        <f t="shared" si="75"/>
        <v>1.6131341573998929E-2</v>
      </c>
      <c r="E2383" s="156">
        <v>2.9967036260110955E-4</v>
      </c>
      <c r="F2383" s="124">
        <v>2377</v>
      </c>
      <c r="G2383" s="238">
        <f t="shared" ca="1" si="76"/>
        <v>-3.9336343580138169E-2</v>
      </c>
      <c r="I2383" s="156"/>
    </row>
    <row r="2384" spans="2:9" x14ac:dyDescent="0.2">
      <c r="B2384" s="230">
        <v>42489</v>
      </c>
      <c r="C2384" s="124">
        <v>215.43</v>
      </c>
      <c r="D2384" s="156">
        <f t="shared" si="75"/>
        <v>1.1835987036776151E-2</v>
      </c>
      <c r="E2384" s="156">
        <v>2.885447725305486E-4</v>
      </c>
      <c r="F2384" s="124">
        <v>2378</v>
      </c>
      <c r="G2384" s="238">
        <f t="shared" ca="1" si="76"/>
        <v>-1.2980843640171743E-2</v>
      </c>
      <c r="I2384" s="156"/>
    </row>
    <row r="2385" spans="2:9" x14ac:dyDescent="0.2">
      <c r="B2385" s="230">
        <v>42488</v>
      </c>
      <c r="C2385" s="124">
        <v>214.07</v>
      </c>
      <c r="D2385" s="156">
        <f t="shared" si="75"/>
        <v>-6.3129554843801405E-3</v>
      </c>
      <c r="E2385" s="156">
        <v>2.8455168881417607E-4</v>
      </c>
      <c r="F2385" s="124">
        <v>2379</v>
      </c>
      <c r="G2385" s="238">
        <f t="shared" ca="1" si="76"/>
        <v>1.7092366248962987E-2</v>
      </c>
      <c r="I2385" s="156"/>
    </row>
    <row r="2386" spans="2:9" x14ac:dyDescent="0.2">
      <c r="B2386" s="230">
        <v>42487</v>
      </c>
      <c r="C2386" s="124">
        <v>221.13</v>
      </c>
      <c r="D2386" s="156">
        <f t="shared" si="75"/>
        <v>3.2979866398841512E-2</v>
      </c>
      <c r="E2386" s="156">
        <v>2.8281876031111133E-4</v>
      </c>
      <c r="F2386" s="124">
        <v>2380</v>
      </c>
      <c r="G2386" s="238">
        <f t="shared" ca="1" si="76"/>
        <v>-5.2078011987045161E-3</v>
      </c>
      <c r="I2386" s="156"/>
    </row>
    <row r="2387" spans="2:9" x14ac:dyDescent="0.2">
      <c r="B2387" s="230">
        <v>42486</v>
      </c>
      <c r="C2387" s="124">
        <v>217.05</v>
      </c>
      <c r="D2387" s="156">
        <f t="shared" si="75"/>
        <v>-1.8450685117351713E-2</v>
      </c>
      <c r="E2387" s="156">
        <v>2.7438606118803706E-4</v>
      </c>
      <c r="F2387" s="124">
        <v>2381</v>
      </c>
      <c r="G2387" s="238">
        <f t="shared" ca="1" si="76"/>
        <v>1.5577338100612802E-2</v>
      </c>
      <c r="I2387" s="156"/>
    </row>
    <row r="2388" spans="2:9" x14ac:dyDescent="0.2">
      <c r="B2388" s="230">
        <v>42485</v>
      </c>
      <c r="C2388" s="124">
        <v>212.78</v>
      </c>
      <c r="D2388" s="156">
        <f t="shared" si="75"/>
        <v>-1.967288643169781E-2</v>
      </c>
      <c r="E2388" s="156">
        <v>2.6951756356123559E-4</v>
      </c>
      <c r="F2388" s="124">
        <v>2382</v>
      </c>
      <c r="G2388" s="238">
        <f t="shared" ca="1" si="76"/>
        <v>-1.8504382106497473E-3</v>
      </c>
      <c r="I2388" s="156"/>
    </row>
    <row r="2389" spans="2:9" x14ac:dyDescent="0.2">
      <c r="B2389" s="230">
        <v>42482</v>
      </c>
      <c r="C2389" s="124">
        <v>215.99</v>
      </c>
      <c r="D2389" s="156">
        <f t="shared" si="75"/>
        <v>1.5086004323714671E-2</v>
      </c>
      <c r="E2389" s="156">
        <v>2.6073353033201059E-4</v>
      </c>
      <c r="F2389" s="124">
        <v>2383</v>
      </c>
      <c r="G2389" s="238">
        <f t="shared" ca="1" si="76"/>
        <v>-3.7019994918030957E-3</v>
      </c>
      <c r="I2389" s="156"/>
    </row>
    <row r="2390" spans="2:9" x14ac:dyDescent="0.2">
      <c r="B2390" s="230">
        <v>42481</v>
      </c>
      <c r="C2390" s="124">
        <v>218.74</v>
      </c>
      <c r="D2390" s="156">
        <f t="shared" si="75"/>
        <v>1.2732070929209685E-2</v>
      </c>
      <c r="E2390" s="156">
        <v>2.5988201356575243E-4</v>
      </c>
      <c r="F2390" s="124">
        <v>2384</v>
      </c>
      <c r="G2390" s="238">
        <f t="shared" ca="1" si="76"/>
        <v>-1.764194414521492E-2</v>
      </c>
      <c r="I2390" s="156"/>
    </row>
    <row r="2391" spans="2:9" x14ac:dyDescent="0.2">
      <c r="B2391" s="230">
        <v>42480</v>
      </c>
      <c r="C2391" s="124">
        <v>222.42</v>
      </c>
      <c r="D2391" s="156">
        <f t="shared" si="75"/>
        <v>1.6823626222912946E-2</v>
      </c>
      <c r="E2391" s="156">
        <v>2.5850926324860952E-4</v>
      </c>
      <c r="F2391" s="124">
        <v>2385</v>
      </c>
      <c r="G2391" s="238">
        <f t="shared" ca="1" si="76"/>
        <v>2.5732575628363594E-3</v>
      </c>
      <c r="I2391" s="156"/>
    </row>
    <row r="2392" spans="2:9" x14ac:dyDescent="0.2">
      <c r="B2392" s="230">
        <v>42478</v>
      </c>
      <c r="C2392" s="124">
        <v>222.36</v>
      </c>
      <c r="D2392" s="156">
        <f t="shared" si="75"/>
        <v>-2.6975991367671009E-4</v>
      </c>
      <c r="E2392" s="156">
        <v>2.5616212216096043E-4</v>
      </c>
      <c r="F2392" s="124">
        <v>2386</v>
      </c>
      <c r="G2392" s="238">
        <f t="shared" ca="1" si="76"/>
        <v>-1.7213928817065124E-2</v>
      </c>
      <c r="I2392" s="156"/>
    </row>
    <row r="2393" spans="2:9" x14ac:dyDescent="0.2">
      <c r="B2393" s="230">
        <v>42473</v>
      </c>
      <c r="C2393" s="124">
        <v>219.6</v>
      </c>
      <c r="D2393" s="156">
        <f t="shared" si="75"/>
        <v>-1.2412304371289887E-2</v>
      </c>
      <c r="E2393" s="156">
        <v>2.5336767872979297E-4</v>
      </c>
      <c r="F2393" s="124">
        <v>2387</v>
      </c>
      <c r="G2393" s="238">
        <f t="shared" ca="1" si="76"/>
        <v>2.9265968597761258E-3</v>
      </c>
      <c r="I2393" s="156"/>
    </row>
    <row r="2394" spans="2:9" x14ac:dyDescent="0.2">
      <c r="B2394" s="230">
        <v>42472</v>
      </c>
      <c r="C2394" s="124">
        <v>213.74</v>
      </c>
      <c r="D2394" s="156">
        <f t="shared" si="75"/>
        <v>-2.6684881602914323E-2</v>
      </c>
      <c r="E2394" s="156">
        <v>2.4369440721347914E-4</v>
      </c>
      <c r="F2394" s="124">
        <v>2388</v>
      </c>
      <c r="G2394" s="238">
        <f t="shared" ca="1" si="76"/>
        <v>-1.7611098117750003E-2</v>
      </c>
      <c r="I2394" s="156"/>
    </row>
    <row r="2395" spans="2:9" x14ac:dyDescent="0.2">
      <c r="B2395" s="230">
        <v>42471</v>
      </c>
      <c r="C2395" s="124">
        <v>216.95</v>
      </c>
      <c r="D2395" s="156">
        <f t="shared" si="75"/>
        <v>1.5018246467670906E-2</v>
      </c>
      <c r="E2395" s="156">
        <v>2.4354603019962468E-4</v>
      </c>
      <c r="F2395" s="124">
        <v>2389</v>
      </c>
      <c r="G2395" s="238">
        <f t="shared" ca="1" si="76"/>
        <v>2.8333987225839029E-2</v>
      </c>
      <c r="I2395" s="156"/>
    </row>
    <row r="2396" spans="2:9" x14ac:dyDescent="0.2">
      <c r="B2396" s="230">
        <v>42468</v>
      </c>
      <c r="C2396" s="124">
        <v>212.94</v>
      </c>
      <c r="D2396" s="156">
        <f t="shared" si="75"/>
        <v>-1.8483521548743911E-2</v>
      </c>
      <c r="E2396" s="156">
        <v>2.4224806201551306E-4</v>
      </c>
      <c r="F2396" s="124">
        <v>2390</v>
      </c>
      <c r="G2396" s="238">
        <f t="shared" ca="1" si="76"/>
        <v>1.3451965245220885E-2</v>
      </c>
      <c r="I2396" s="156"/>
    </row>
    <row r="2397" spans="2:9" x14ac:dyDescent="0.2">
      <c r="B2397" s="230">
        <v>42467</v>
      </c>
      <c r="C2397" s="124">
        <v>211.78</v>
      </c>
      <c r="D2397" s="156">
        <f t="shared" si="75"/>
        <v>-5.4475439090823545E-3</v>
      </c>
      <c r="E2397" s="156">
        <v>2.4090580583004375E-4</v>
      </c>
      <c r="F2397" s="124">
        <v>2391</v>
      </c>
      <c r="G2397" s="238">
        <f t="shared" ca="1" si="76"/>
        <v>2.0297448098072667E-2</v>
      </c>
      <c r="I2397" s="156"/>
    </row>
    <row r="2398" spans="2:9" x14ac:dyDescent="0.2">
      <c r="B2398" s="230">
        <v>42466</v>
      </c>
      <c r="C2398" s="124">
        <v>216.06</v>
      </c>
      <c r="D2398" s="156">
        <f t="shared" si="75"/>
        <v>2.0209651525167634E-2</v>
      </c>
      <c r="E2398" s="156">
        <v>2.3934897079934392E-4</v>
      </c>
      <c r="F2398" s="124">
        <v>2392</v>
      </c>
      <c r="G2398" s="238">
        <f t="shared" ca="1" si="76"/>
        <v>3.4526830441518573E-3</v>
      </c>
      <c r="I2398" s="156"/>
    </row>
    <row r="2399" spans="2:9" x14ac:dyDescent="0.2">
      <c r="B2399" s="230">
        <v>42465</v>
      </c>
      <c r="C2399" s="124">
        <v>216.42</v>
      </c>
      <c r="D2399" s="156">
        <f t="shared" si="75"/>
        <v>1.6662038322687459E-3</v>
      </c>
      <c r="E2399" s="156">
        <v>2.3372677340201278E-4</v>
      </c>
      <c r="F2399" s="124">
        <v>2393</v>
      </c>
      <c r="G2399" s="238">
        <f t="shared" ca="1" si="76"/>
        <v>1.4134856344055436E-2</v>
      </c>
      <c r="I2399" s="156"/>
    </row>
    <row r="2400" spans="2:9" x14ac:dyDescent="0.2">
      <c r="B2400" s="230">
        <v>42464</v>
      </c>
      <c r="C2400" s="124">
        <v>219.24</v>
      </c>
      <c r="D2400" s="156">
        <f t="shared" si="75"/>
        <v>1.3030219018575094E-2</v>
      </c>
      <c r="E2400" s="156">
        <v>1.9607843137251001E-4</v>
      </c>
      <c r="F2400" s="124">
        <v>2394</v>
      </c>
      <c r="G2400" s="238">
        <f t="shared" ca="1" si="76"/>
        <v>-1.7951416640744879E-2</v>
      </c>
      <c r="I2400" s="156"/>
    </row>
    <row r="2401" spans="2:9" x14ac:dyDescent="0.2">
      <c r="B2401" s="230">
        <v>42461</v>
      </c>
      <c r="C2401" s="124">
        <v>222.79</v>
      </c>
      <c r="D2401" s="156">
        <f t="shared" si="75"/>
        <v>1.6192300675059217E-2</v>
      </c>
      <c r="E2401" s="156">
        <v>1.8812709030106988E-4</v>
      </c>
      <c r="F2401" s="124">
        <v>2395</v>
      </c>
      <c r="G2401" s="238">
        <f t="shared" ca="1" si="76"/>
        <v>-4.2780840619814362E-3</v>
      </c>
      <c r="I2401" s="156"/>
    </row>
    <row r="2402" spans="2:9" x14ac:dyDescent="0.2">
      <c r="B2402" s="230">
        <v>42460</v>
      </c>
      <c r="C2402" s="124">
        <v>217.62</v>
      </c>
      <c r="D2402" s="156">
        <f t="shared" si="75"/>
        <v>-2.320570941245113E-2</v>
      </c>
      <c r="E2402" s="156">
        <v>1.8737118231225625E-4</v>
      </c>
      <c r="F2402" s="124">
        <v>2396</v>
      </c>
      <c r="G2402" s="238">
        <f t="shared" ca="1" si="76"/>
        <v>2.5075757547440354E-2</v>
      </c>
      <c r="I2402" s="156"/>
    </row>
    <row r="2403" spans="2:9" x14ac:dyDescent="0.2">
      <c r="B2403" s="230">
        <v>42459</v>
      </c>
      <c r="C2403" s="124">
        <v>217.02</v>
      </c>
      <c r="D2403" s="156">
        <f t="shared" si="75"/>
        <v>-2.7570995312930537E-3</v>
      </c>
      <c r="E2403" s="156">
        <v>1.8726591760303884E-4</v>
      </c>
      <c r="F2403" s="124">
        <v>2397</v>
      </c>
      <c r="G2403" s="238">
        <f t="shared" ca="1" si="76"/>
        <v>-1.8268294127313626E-2</v>
      </c>
      <c r="I2403" s="156"/>
    </row>
    <row r="2404" spans="2:9" x14ac:dyDescent="0.2">
      <c r="B2404" s="230">
        <v>42458</v>
      </c>
      <c r="C2404" s="124">
        <v>212.15</v>
      </c>
      <c r="D2404" s="156">
        <f t="shared" si="75"/>
        <v>-2.2440328080361276E-2</v>
      </c>
      <c r="E2404" s="156">
        <v>1.8428933425474332E-4</v>
      </c>
      <c r="F2404" s="124">
        <v>2398</v>
      </c>
      <c r="G2404" s="238">
        <f t="shared" ca="1" si="76"/>
        <v>4.5018151968407444E-3</v>
      </c>
      <c r="I2404" s="156"/>
    </row>
    <row r="2405" spans="2:9" x14ac:dyDescent="0.2">
      <c r="B2405" s="230">
        <v>42457</v>
      </c>
      <c r="C2405" s="124">
        <v>213.77</v>
      </c>
      <c r="D2405" s="156">
        <f t="shared" si="75"/>
        <v>7.6361065283997382E-3</v>
      </c>
      <c r="E2405" s="156">
        <v>1.8400956849752527E-4</v>
      </c>
      <c r="F2405" s="124">
        <v>2399</v>
      </c>
      <c r="G2405" s="238">
        <f t="shared" ca="1" si="76"/>
        <v>5.5346626546082722E-4</v>
      </c>
      <c r="I2405" s="156"/>
    </row>
    <row r="2406" spans="2:9" x14ac:dyDescent="0.2">
      <c r="B2406" s="230">
        <v>42452</v>
      </c>
      <c r="C2406" s="124">
        <v>214.96</v>
      </c>
      <c r="D2406" s="156">
        <f t="shared" si="75"/>
        <v>5.5667305983065803E-3</v>
      </c>
      <c r="E2406" s="156">
        <v>1.8125793003427414E-4</v>
      </c>
      <c r="F2406" s="124">
        <v>2400</v>
      </c>
      <c r="G2406" s="238">
        <f t="shared" ca="1" si="76"/>
        <v>-1.1272953929409578E-2</v>
      </c>
      <c r="I2406" s="156"/>
    </row>
    <row r="2407" spans="2:9" x14ac:dyDescent="0.2">
      <c r="B2407" s="230">
        <v>42451</v>
      </c>
      <c r="C2407" s="124">
        <v>214.23</v>
      </c>
      <c r="D2407" s="156">
        <f t="shared" si="75"/>
        <v>-3.3959806475624215E-3</v>
      </c>
      <c r="E2407" s="156">
        <v>1.7917935853793717E-4</v>
      </c>
      <c r="F2407" s="124">
        <v>2401</v>
      </c>
      <c r="G2407" s="238">
        <f t="shared" ca="1" si="76"/>
        <v>5.4860312343743105E-3</v>
      </c>
      <c r="I2407" s="156"/>
    </row>
    <row r="2408" spans="2:9" x14ac:dyDescent="0.2">
      <c r="B2408" s="230">
        <v>42450</v>
      </c>
      <c r="C2408" s="124">
        <v>219.74</v>
      </c>
      <c r="D2408" s="156">
        <f t="shared" si="75"/>
        <v>2.5720020538673481E-2</v>
      </c>
      <c r="E2408" s="156">
        <v>1.7914725904677364E-4</v>
      </c>
      <c r="F2408" s="124">
        <v>2402</v>
      </c>
      <c r="G2408" s="238">
        <f t="shared" ca="1" si="76"/>
        <v>-4.0821971868354179E-2</v>
      </c>
      <c r="I2408" s="156"/>
    </row>
    <row r="2409" spans="2:9" x14ac:dyDescent="0.2">
      <c r="B2409" s="230">
        <v>42447</v>
      </c>
      <c r="C2409" s="124">
        <v>215.3</v>
      </c>
      <c r="D2409" s="156">
        <f t="shared" si="75"/>
        <v>-2.0205697642668597E-2</v>
      </c>
      <c r="E2409" s="156">
        <v>1.76616036736226E-4</v>
      </c>
      <c r="F2409" s="124">
        <v>2403</v>
      </c>
      <c r="G2409" s="238">
        <f t="shared" ca="1" si="76"/>
        <v>-4.292909380213027E-3</v>
      </c>
      <c r="I2409" s="156"/>
    </row>
    <row r="2410" spans="2:9" x14ac:dyDescent="0.2">
      <c r="B2410" s="230">
        <v>42446</v>
      </c>
      <c r="C2410" s="124">
        <v>214.57</v>
      </c>
      <c r="D2410" s="156">
        <f t="shared" si="75"/>
        <v>-3.3906177426847105E-3</v>
      </c>
      <c r="E2410" s="156">
        <v>1.7574692442878754E-4</v>
      </c>
      <c r="F2410" s="124">
        <v>2404</v>
      </c>
      <c r="G2410" s="238">
        <f t="shared" ca="1" si="76"/>
        <v>-2.5079250277078212E-2</v>
      </c>
      <c r="I2410" s="156"/>
    </row>
    <row r="2411" spans="2:9" x14ac:dyDescent="0.2">
      <c r="B2411" s="230">
        <v>42445</v>
      </c>
      <c r="C2411" s="124">
        <v>213.51</v>
      </c>
      <c r="D2411" s="156">
        <f t="shared" si="75"/>
        <v>-4.9401127837069595E-3</v>
      </c>
      <c r="E2411" s="156">
        <v>1.6909982526352031E-4</v>
      </c>
      <c r="F2411" s="124">
        <v>2405</v>
      </c>
      <c r="G2411" s="238">
        <f t="shared" ca="1" si="76"/>
        <v>-7.8545969538847734E-3</v>
      </c>
      <c r="I2411" s="156"/>
    </row>
    <row r="2412" spans="2:9" x14ac:dyDescent="0.2">
      <c r="B2412" s="230">
        <v>42444</v>
      </c>
      <c r="C2412" s="124">
        <v>209.83</v>
      </c>
      <c r="D2412" s="156">
        <f t="shared" si="75"/>
        <v>-1.7235726663856393E-2</v>
      </c>
      <c r="E2412" s="156">
        <v>1.6556291390725184E-4</v>
      </c>
      <c r="F2412" s="124">
        <v>2406</v>
      </c>
      <c r="G2412" s="238">
        <f t="shared" ca="1" si="76"/>
        <v>1.3725978572997826E-2</v>
      </c>
      <c r="I2412" s="156"/>
    </row>
    <row r="2413" spans="2:9" x14ac:dyDescent="0.2">
      <c r="B2413" s="230">
        <v>42443</v>
      </c>
      <c r="C2413" s="124">
        <v>215.49</v>
      </c>
      <c r="D2413" s="156">
        <f t="shared" si="75"/>
        <v>2.6974217223466598E-2</v>
      </c>
      <c r="E2413" s="156">
        <v>1.5764582238571274E-4</v>
      </c>
      <c r="F2413" s="124">
        <v>2407</v>
      </c>
      <c r="G2413" s="238">
        <f t="shared" ca="1" si="76"/>
        <v>5.5965638749815002E-3</v>
      </c>
      <c r="I2413" s="156"/>
    </row>
    <row r="2414" spans="2:9" x14ac:dyDescent="0.2">
      <c r="B2414" s="230">
        <v>42440</v>
      </c>
      <c r="C2414" s="124">
        <v>213.01</v>
      </c>
      <c r="D2414" s="156">
        <f t="shared" si="75"/>
        <v>-1.15086546939534E-2</v>
      </c>
      <c r="E2414" s="156">
        <v>1.4732603250995009E-4</v>
      </c>
      <c r="F2414" s="124">
        <v>2408</v>
      </c>
      <c r="G2414" s="238">
        <f t="shared" ca="1" si="76"/>
        <v>1.5872411824202438E-2</v>
      </c>
      <c r="I2414" s="156"/>
    </row>
    <row r="2415" spans="2:9" x14ac:dyDescent="0.2">
      <c r="B2415" s="230">
        <v>42439</v>
      </c>
      <c r="C2415" s="124">
        <v>209.56</v>
      </c>
      <c r="D2415" s="156">
        <f t="shared" si="75"/>
        <v>-1.6196422703159425E-2</v>
      </c>
      <c r="E2415" s="156">
        <v>1.4035744362309878E-4</v>
      </c>
      <c r="F2415" s="124">
        <v>2409</v>
      </c>
      <c r="G2415" s="238">
        <f t="shared" ca="1" si="76"/>
        <v>2.0198546121290652E-2</v>
      </c>
      <c r="I2415" s="156"/>
    </row>
    <row r="2416" spans="2:9" x14ac:dyDescent="0.2">
      <c r="B2416" s="230">
        <v>42438</v>
      </c>
      <c r="C2416" s="124">
        <v>212.08</v>
      </c>
      <c r="D2416" s="156">
        <f t="shared" si="75"/>
        <v>1.202519564802448E-2</v>
      </c>
      <c r="E2416" s="156">
        <v>1.3958032847904498E-4</v>
      </c>
      <c r="F2416" s="124">
        <v>2410</v>
      </c>
      <c r="G2416" s="238">
        <f t="shared" ca="1" si="76"/>
        <v>-1.8653997367757136E-2</v>
      </c>
      <c r="I2416" s="156"/>
    </row>
    <row r="2417" spans="2:9" x14ac:dyDescent="0.2">
      <c r="B2417" s="230">
        <v>42437</v>
      </c>
      <c r="C2417" s="124">
        <v>212.31</v>
      </c>
      <c r="D2417" s="156">
        <f t="shared" si="75"/>
        <v>1.0844964164465757E-3</v>
      </c>
      <c r="E2417" s="156">
        <v>1.3764624913971616E-4</v>
      </c>
      <c r="F2417" s="124">
        <v>2411</v>
      </c>
      <c r="G2417" s="238">
        <f t="shared" ca="1" si="76"/>
        <v>1.5845423167752778E-2</v>
      </c>
      <c r="I2417" s="156"/>
    </row>
    <row r="2418" spans="2:9" x14ac:dyDescent="0.2">
      <c r="B2418" s="230">
        <v>42433</v>
      </c>
      <c r="C2418" s="124">
        <v>208.96</v>
      </c>
      <c r="D2418" s="156">
        <f t="shared" si="75"/>
        <v>-1.577881399839854E-2</v>
      </c>
      <c r="E2418" s="156">
        <v>1.250781738586901E-4</v>
      </c>
      <c r="F2418" s="124">
        <v>2412</v>
      </c>
      <c r="G2418" s="238">
        <f t="shared" ca="1" si="76"/>
        <v>3.6668531633961545E-3</v>
      </c>
      <c r="I2418" s="156"/>
    </row>
    <row r="2419" spans="2:9" x14ac:dyDescent="0.2">
      <c r="B2419" s="230">
        <v>42432</v>
      </c>
      <c r="C2419" s="124">
        <v>210.92</v>
      </c>
      <c r="D2419" s="156">
        <f t="shared" si="75"/>
        <v>9.3797856049003606E-3</v>
      </c>
      <c r="E2419" s="156">
        <v>1.2368583797158037E-4</v>
      </c>
      <c r="F2419" s="124">
        <v>2413</v>
      </c>
      <c r="G2419" s="238">
        <f t="shared" ca="1" si="76"/>
        <v>8.5814220631466771E-3</v>
      </c>
      <c r="I2419" s="156"/>
    </row>
    <row r="2420" spans="2:9" x14ac:dyDescent="0.2">
      <c r="B2420" s="230">
        <v>42431</v>
      </c>
      <c r="C2420" s="124">
        <v>211.85</v>
      </c>
      <c r="D2420" s="156">
        <f t="shared" si="75"/>
        <v>4.4092546937227707E-3</v>
      </c>
      <c r="E2420" s="156">
        <v>1.2120918280771707E-4</v>
      </c>
      <c r="F2420" s="124">
        <v>2414</v>
      </c>
      <c r="G2420" s="238">
        <f t="shared" ca="1" si="76"/>
        <v>1.3533979975442268E-2</v>
      </c>
      <c r="I2420" s="156"/>
    </row>
    <row r="2421" spans="2:9" x14ac:dyDescent="0.2">
      <c r="B2421" s="230">
        <v>42430</v>
      </c>
      <c r="C2421" s="124">
        <v>215.69</v>
      </c>
      <c r="D2421" s="156">
        <f t="shared" si="75"/>
        <v>1.8126032570214792E-2</v>
      </c>
      <c r="E2421" s="156">
        <v>1.1996161228409637E-4</v>
      </c>
      <c r="F2421" s="124">
        <v>2415</v>
      </c>
      <c r="G2421" s="238">
        <f t="shared" ca="1" si="76"/>
        <v>-3.0520977061545593E-2</v>
      </c>
      <c r="I2421" s="156"/>
    </row>
    <row r="2422" spans="2:9" x14ac:dyDescent="0.2">
      <c r="B2422" s="230">
        <v>42429</v>
      </c>
      <c r="C2422" s="124">
        <v>196</v>
      </c>
      <c r="D2422" s="156">
        <f t="shared" si="75"/>
        <v>-9.1288423199962901E-2</v>
      </c>
      <c r="E2422" s="156">
        <v>1.1618720081798432E-4</v>
      </c>
      <c r="F2422" s="124">
        <v>2416</v>
      </c>
      <c r="G2422" s="238">
        <f t="shared" ca="1" si="76"/>
        <v>5.0345897913899847E-3</v>
      </c>
      <c r="I2422" s="156"/>
    </row>
    <row r="2423" spans="2:9" x14ac:dyDescent="0.2">
      <c r="B2423" s="230">
        <v>42426</v>
      </c>
      <c r="C2423" s="124">
        <v>192.89</v>
      </c>
      <c r="D2423" s="156">
        <f t="shared" si="75"/>
        <v>-1.5867346938775579E-2</v>
      </c>
      <c r="E2423" s="156">
        <v>1.1081560283690464E-4</v>
      </c>
      <c r="F2423" s="124">
        <v>2417</v>
      </c>
      <c r="G2423" s="238">
        <f t="shared" ca="1" si="76"/>
        <v>4.9371111360811707E-3</v>
      </c>
      <c r="I2423" s="156"/>
    </row>
    <row r="2424" spans="2:9" x14ac:dyDescent="0.2">
      <c r="B2424" s="230">
        <v>42425</v>
      </c>
      <c r="C2424" s="124">
        <v>189.74</v>
      </c>
      <c r="D2424" s="156">
        <f t="shared" si="75"/>
        <v>-1.6330551091295439E-2</v>
      </c>
      <c r="E2424" s="156">
        <v>1.0111632421929E-4</v>
      </c>
      <c r="F2424" s="124">
        <v>2418</v>
      </c>
      <c r="G2424" s="238">
        <f t="shared" ca="1" si="76"/>
        <v>1.6889995838571498E-2</v>
      </c>
      <c r="I2424" s="156"/>
    </row>
    <row r="2425" spans="2:9" x14ac:dyDescent="0.2">
      <c r="B2425" s="230">
        <v>42424</v>
      </c>
      <c r="C2425" s="124">
        <v>190.67</v>
      </c>
      <c r="D2425" s="156">
        <f t="shared" si="75"/>
        <v>4.9014440813743981E-3</v>
      </c>
      <c r="E2425" s="156">
        <v>0</v>
      </c>
      <c r="F2425" s="124">
        <v>2419</v>
      </c>
      <c r="G2425" s="238">
        <f t="shared" ca="1" si="76"/>
        <v>1.067319369854537E-2</v>
      </c>
      <c r="I2425" s="156"/>
    </row>
    <row r="2426" spans="2:9" x14ac:dyDescent="0.2">
      <c r="B2426" s="230">
        <v>42423</v>
      </c>
      <c r="C2426" s="124">
        <v>194.78</v>
      </c>
      <c r="D2426" s="156">
        <f t="shared" si="75"/>
        <v>2.155556721036353E-2</v>
      </c>
      <c r="E2426" s="156">
        <v>0</v>
      </c>
      <c r="F2426" s="124">
        <v>2420</v>
      </c>
      <c r="G2426" s="238">
        <f t="shared" ca="1" si="76"/>
        <v>-1.4685060514493652E-2</v>
      </c>
      <c r="I2426" s="156"/>
    </row>
    <row r="2427" spans="2:9" x14ac:dyDescent="0.2">
      <c r="B2427" s="230">
        <v>42422</v>
      </c>
      <c r="C2427" s="124">
        <v>198.79</v>
      </c>
      <c r="D2427" s="156">
        <f t="shared" si="75"/>
        <v>2.0587329294588719E-2</v>
      </c>
      <c r="E2427" s="156">
        <v>0</v>
      </c>
      <c r="F2427" s="124">
        <v>2421</v>
      </c>
      <c r="G2427" s="238">
        <f t="shared" ca="1" si="76"/>
        <v>-3.3383507849747083E-4</v>
      </c>
      <c r="I2427" s="156"/>
    </row>
    <row r="2428" spans="2:9" x14ac:dyDescent="0.2">
      <c r="B2428" s="230">
        <v>42419</v>
      </c>
      <c r="C2428" s="124">
        <v>201.9</v>
      </c>
      <c r="D2428" s="156">
        <f t="shared" si="75"/>
        <v>1.5644650133306574E-2</v>
      </c>
      <c r="E2428" s="156">
        <v>0</v>
      </c>
      <c r="F2428" s="124">
        <v>2422</v>
      </c>
      <c r="G2428" s="238">
        <f t="shared" ca="1" si="76"/>
        <v>-4.4004227911303767E-3</v>
      </c>
      <c r="I2428" s="156"/>
    </row>
    <row r="2429" spans="2:9" x14ac:dyDescent="0.2">
      <c r="B2429" s="230">
        <v>42418</v>
      </c>
      <c r="C2429" s="124">
        <v>202.5</v>
      </c>
      <c r="D2429" s="156">
        <f t="shared" si="75"/>
        <v>2.9717682020802094E-3</v>
      </c>
      <c r="E2429" s="156">
        <v>0</v>
      </c>
      <c r="F2429" s="124">
        <v>2423</v>
      </c>
      <c r="G2429" s="238">
        <f t="shared" ca="1" si="76"/>
        <v>-2.9203192022620177E-3</v>
      </c>
      <c r="I2429" s="156"/>
    </row>
    <row r="2430" spans="2:9" x14ac:dyDescent="0.2">
      <c r="B2430" s="230">
        <v>42417</v>
      </c>
      <c r="C2430" s="124">
        <v>198.79</v>
      </c>
      <c r="D2430" s="156">
        <f t="shared" ref="D2430:D2493" si="77">(C2430-C2429)/C2429</f>
        <v>-1.8320987654321028E-2</v>
      </c>
      <c r="E2430" s="156">
        <v>0</v>
      </c>
      <c r="F2430" s="124">
        <v>2424</v>
      </c>
      <c r="G2430" s="238">
        <f t="shared" ca="1" si="76"/>
        <v>1.0769763160627034E-2</v>
      </c>
      <c r="I2430" s="156"/>
    </row>
    <row r="2431" spans="2:9" x14ac:dyDescent="0.2">
      <c r="B2431" s="230">
        <v>42416</v>
      </c>
      <c r="C2431" s="124">
        <v>195.9</v>
      </c>
      <c r="D2431" s="156">
        <f t="shared" si="77"/>
        <v>-1.4537954625484111E-2</v>
      </c>
      <c r="E2431" s="156">
        <v>0</v>
      </c>
      <c r="F2431" s="124">
        <v>2425</v>
      </c>
      <c r="G2431" s="238">
        <f t="shared" ca="1" si="76"/>
        <v>-3.9500470881342889E-3</v>
      </c>
      <c r="I2431" s="156"/>
    </row>
    <row r="2432" spans="2:9" x14ac:dyDescent="0.2">
      <c r="B2432" s="230">
        <v>42415</v>
      </c>
      <c r="C2432" s="124">
        <v>201.34</v>
      </c>
      <c r="D2432" s="156">
        <f t="shared" si="77"/>
        <v>2.7769270035732506E-2</v>
      </c>
      <c r="E2432" s="156">
        <v>0</v>
      </c>
      <c r="F2432" s="124">
        <v>2426</v>
      </c>
      <c r="G2432" s="238">
        <f t="shared" ca="1" si="76"/>
        <v>-9.4909159079273938E-3</v>
      </c>
      <c r="I2432" s="156"/>
    </row>
    <row r="2433" spans="2:9" x14ac:dyDescent="0.2">
      <c r="B2433" s="230">
        <v>42412</v>
      </c>
      <c r="C2433" s="124">
        <v>198.95</v>
      </c>
      <c r="D2433" s="156">
        <f t="shared" si="77"/>
        <v>-1.1870467865302547E-2</v>
      </c>
      <c r="E2433" s="156">
        <v>0</v>
      </c>
      <c r="F2433" s="124">
        <v>2427</v>
      </c>
      <c r="G2433" s="238">
        <f t="shared" ca="1" si="76"/>
        <v>8.0640727200919204E-3</v>
      </c>
      <c r="I2433" s="156"/>
    </row>
    <row r="2434" spans="2:9" x14ac:dyDescent="0.2">
      <c r="B2434" s="230">
        <v>42411</v>
      </c>
      <c r="C2434" s="124">
        <v>197.93</v>
      </c>
      <c r="D2434" s="156">
        <f t="shared" si="77"/>
        <v>-5.1269163106307204E-3</v>
      </c>
      <c r="E2434" s="156">
        <v>0</v>
      </c>
      <c r="F2434" s="124">
        <v>2428</v>
      </c>
      <c r="G2434" s="238">
        <f t="shared" ca="1" si="76"/>
        <v>-1.7827034800771989E-2</v>
      </c>
      <c r="I2434" s="156"/>
    </row>
    <row r="2435" spans="2:9" x14ac:dyDescent="0.2">
      <c r="B2435" s="230">
        <v>42410</v>
      </c>
      <c r="C2435" s="124">
        <v>204.85</v>
      </c>
      <c r="D2435" s="156">
        <f t="shared" si="77"/>
        <v>3.4961855201333741E-2</v>
      </c>
      <c r="E2435" s="156">
        <v>0</v>
      </c>
      <c r="F2435" s="124">
        <v>2429</v>
      </c>
      <c r="G2435" s="238">
        <f t="shared" ca="1" si="76"/>
        <v>-2.0955631763037431E-2</v>
      </c>
      <c r="I2435" s="156"/>
    </row>
    <row r="2436" spans="2:9" x14ac:dyDescent="0.2">
      <c r="B2436" s="230">
        <v>42409</v>
      </c>
      <c r="C2436" s="124">
        <v>207.11</v>
      </c>
      <c r="D2436" s="156">
        <f t="shared" si="77"/>
        <v>1.1032462777642272E-2</v>
      </c>
      <c r="E2436" s="156">
        <v>0</v>
      </c>
      <c r="F2436" s="124">
        <v>2430</v>
      </c>
      <c r="G2436" s="238">
        <f t="shared" ca="1" si="76"/>
        <v>-1.7906915454369326E-2</v>
      </c>
      <c r="I2436" s="156"/>
    </row>
    <row r="2437" spans="2:9" x14ac:dyDescent="0.2">
      <c r="B2437" s="230">
        <v>42408</v>
      </c>
      <c r="C2437" s="124">
        <v>209</v>
      </c>
      <c r="D2437" s="156">
        <f t="shared" si="77"/>
        <v>9.1255854376900494E-3</v>
      </c>
      <c r="E2437" s="156">
        <v>0</v>
      </c>
      <c r="F2437" s="124">
        <v>2431</v>
      </c>
      <c r="G2437" s="238">
        <f t="shared" ca="1" si="76"/>
        <v>-1.867053651593582E-2</v>
      </c>
      <c r="I2437" s="156"/>
    </row>
    <row r="2438" spans="2:9" x14ac:dyDescent="0.2">
      <c r="B2438" s="230">
        <v>42405</v>
      </c>
      <c r="C2438" s="124">
        <v>214.76</v>
      </c>
      <c r="D2438" s="156">
        <f t="shared" si="77"/>
        <v>2.7559808612440149E-2</v>
      </c>
      <c r="E2438" s="156">
        <v>0</v>
      </c>
      <c r="F2438" s="124">
        <v>2432</v>
      </c>
      <c r="G2438" s="238">
        <f t="shared" ca="1" si="76"/>
        <v>1.5142893854899329E-2</v>
      </c>
      <c r="I2438" s="156"/>
    </row>
    <row r="2439" spans="2:9" x14ac:dyDescent="0.2">
      <c r="B2439" s="230">
        <v>42404</v>
      </c>
      <c r="C2439" s="124">
        <v>213.34</v>
      </c>
      <c r="D2439" s="156">
        <f t="shared" si="77"/>
        <v>-6.6120320357607914E-3</v>
      </c>
      <c r="E2439" s="156">
        <v>0</v>
      </c>
      <c r="F2439" s="124">
        <v>2433</v>
      </c>
      <c r="G2439" s="238">
        <f t="shared" ref="G2439:G2502" ca="1" si="78">_xlfn.NORM.INV(RAND(),$L$8,$L$9)</f>
        <v>-1.8857833950684019E-2</v>
      </c>
      <c r="I2439" s="156"/>
    </row>
    <row r="2440" spans="2:9" x14ac:dyDescent="0.2">
      <c r="B2440" s="230">
        <v>42403</v>
      </c>
      <c r="C2440" s="124">
        <v>213.44</v>
      </c>
      <c r="D2440" s="156">
        <f t="shared" si="77"/>
        <v>4.6873535202022272E-4</v>
      </c>
      <c r="E2440" s="156">
        <v>0</v>
      </c>
      <c r="F2440" s="124">
        <v>2434</v>
      </c>
      <c r="G2440" s="238">
        <f t="shared" ca="1" si="78"/>
        <v>2.7768324234895125E-3</v>
      </c>
      <c r="I2440" s="156"/>
    </row>
    <row r="2441" spans="2:9" x14ac:dyDescent="0.2">
      <c r="B2441" s="230">
        <v>42402</v>
      </c>
      <c r="C2441" s="124">
        <v>214.96</v>
      </c>
      <c r="D2441" s="156">
        <f t="shared" si="77"/>
        <v>7.1214392803598684E-3</v>
      </c>
      <c r="E2441" s="156">
        <v>0</v>
      </c>
      <c r="F2441" s="124">
        <v>2435</v>
      </c>
      <c r="G2441" s="238">
        <f t="shared" ca="1" si="78"/>
        <v>-1.9210109267811706E-2</v>
      </c>
      <c r="I2441" s="156"/>
    </row>
    <row r="2442" spans="2:9" x14ac:dyDescent="0.2">
      <c r="B2442" s="230">
        <v>42401</v>
      </c>
      <c r="C2442" s="124">
        <v>215.3</v>
      </c>
      <c r="D2442" s="156">
        <f t="shared" si="77"/>
        <v>1.5816896166728851E-3</v>
      </c>
      <c r="E2442" s="156">
        <v>0</v>
      </c>
      <c r="F2442" s="124">
        <v>2436</v>
      </c>
      <c r="G2442" s="238">
        <f t="shared" ca="1" si="78"/>
        <v>1.5376930944876206E-2</v>
      </c>
      <c r="I2442" s="156"/>
    </row>
    <row r="2443" spans="2:9" x14ac:dyDescent="0.2">
      <c r="B2443" s="230">
        <v>42398</v>
      </c>
      <c r="C2443" s="124">
        <v>212.28</v>
      </c>
      <c r="D2443" s="156">
        <f t="shared" si="77"/>
        <v>-1.4026939154667952E-2</v>
      </c>
      <c r="E2443" s="156">
        <v>0</v>
      </c>
      <c r="F2443" s="124">
        <v>2437</v>
      </c>
      <c r="G2443" s="238">
        <f t="shared" ca="1" si="78"/>
        <v>1.5712787321950677E-2</v>
      </c>
      <c r="I2443" s="156"/>
    </row>
    <row r="2444" spans="2:9" x14ac:dyDescent="0.2">
      <c r="B2444" s="230">
        <v>42397</v>
      </c>
      <c r="C2444" s="124">
        <v>211.18</v>
      </c>
      <c r="D2444" s="156">
        <f t="shared" si="77"/>
        <v>-5.1818353118522438E-3</v>
      </c>
      <c r="E2444" s="156">
        <v>0</v>
      </c>
      <c r="F2444" s="124">
        <v>2438</v>
      </c>
      <c r="G2444" s="238">
        <f t="shared" ca="1" si="78"/>
        <v>5.0372475533227608E-3</v>
      </c>
      <c r="I2444" s="156"/>
    </row>
    <row r="2445" spans="2:9" x14ac:dyDescent="0.2">
      <c r="B2445" s="230">
        <v>42396</v>
      </c>
      <c r="C2445" s="124">
        <v>207.47</v>
      </c>
      <c r="D2445" s="156">
        <f t="shared" si="77"/>
        <v>-1.7567951510559749E-2</v>
      </c>
      <c r="E2445" s="156">
        <v>0</v>
      </c>
      <c r="F2445" s="124">
        <v>2439</v>
      </c>
      <c r="G2445" s="238">
        <f t="shared" ca="1" si="78"/>
        <v>-4.6937683650327489E-3</v>
      </c>
      <c r="I2445" s="156"/>
    </row>
    <row r="2446" spans="2:9" x14ac:dyDescent="0.2">
      <c r="B2446" s="230">
        <v>42394</v>
      </c>
      <c r="C2446" s="124">
        <v>205.12</v>
      </c>
      <c r="D2446" s="156">
        <f t="shared" si="77"/>
        <v>-1.1326938834530266E-2</v>
      </c>
      <c r="E2446" s="156">
        <v>0</v>
      </c>
      <c r="F2446" s="124">
        <v>2440</v>
      </c>
      <c r="G2446" s="238">
        <f t="shared" ca="1" si="78"/>
        <v>-1.394238700613677E-2</v>
      </c>
      <c r="I2446" s="156"/>
    </row>
    <row r="2447" spans="2:9" x14ac:dyDescent="0.2">
      <c r="B2447" s="230">
        <v>42391</v>
      </c>
      <c r="C2447" s="124">
        <v>204.69</v>
      </c>
      <c r="D2447" s="156">
        <f t="shared" si="77"/>
        <v>-2.0963338533541674E-3</v>
      </c>
      <c r="E2447" s="156">
        <v>0</v>
      </c>
      <c r="F2447" s="124">
        <v>2441</v>
      </c>
      <c r="G2447" s="238">
        <f t="shared" ca="1" si="78"/>
        <v>-1.0286781805789695E-2</v>
      </c>
      <c r="I2447" s="156"/>
    </row>
    <row r="2448" spans="2:9" x14ac:dyDescent="0.2">
      <c r="B2448" s="230">
        <v>42390</v>
      </c>
      <c r="C2448" s="124">
        <v>203.13</v>
      </c>
      <c r="D2448" s="156">
        <f t="shared" si="77"/>
        <v>-7.6212809614539167E-3</v>
      </c>
      <c r="E2448" s="156">
        <v>0</v>
      </c>
      <c r="F2448" s="124">
        <v>2442</v>
      </c>
      <c r="G2448" s="238">
        <f t="shared" ca="1" si="78"/>
        <v>1.6553504381205311E-2</v>
      </c>
      <c r="I2448" s="156"/>
    </row>
    <row r="2449" spans="2:9" x14ac:dyDescent="0.2">
      <c r="B2449" s="230">
        <v>42389</v>
      </c>
      <c r="C2449" s="124">
        <v>204.82</v>
      </c>
      <c r="D2449" s="156">
        <f t="shared" si="77"/>
        <v>8.3197952050410948E-3</v>
      </c>
      <c r="E2449" s="156">
        <v>0</v>
      </c>
      <c r="F2449" s="124">
        <v>2443</v>
      </c>
      <c r="G2449" s="238">
        <f t="shared" ca="1" si="78"/>
        <v>-1.6559628068827711E-2</v>
      </c>
      <c r="I2449" s="156"/>
    </row>
    <row r="2450" spans="2:9" x14ac:dyDescent="0.2">
      <c r="B2450" s="230">
        <v>42388</v>
      </c>
      <c r="C2450" s="124">
        <v>208.2</v>
      </c>
      <c r="D2450" s="156">
        <f t="shared" si="77"/>
        <v>1.6502294697783398E-2</v>
      </c>
      <c r="E2450" s="156">
        <v>0</v>
      </c>
      <c r="F2450" s="124">
        <v>2444</v>
      </c>
      <c r="G2450" s="238">
        <f t="shared" ca="1" si="78"/>
        <v>5.0523538026820336E-3</v>
      </c>
      <c r="I2450" s="156"/>
    </row>
    <row r="2451" spans="2:9" x14ac:dyDescent="0.2">
      <c r="B2451" s="230">
        <v>42387</v>
      </c>
      <c r="C2451" s="124">
        <v>209.1</v>
      </c>
      <c r="D2451" s="156">
        <f t="shared" si="77"/>
        <v>4.3227665706052146E-3</v>
      </c>
      <c r="E2451" s="156">
        <v>-1.1990407673863637E-4</v>
      </c>
      <c r="F2451" s="124">
        <v>2445</v>
      </c>
      <c r="G2451" s="238">
        <f t="shared" ca="1" si="78"/>
        <v>-7.9033065695830011E-3</v>
      </c>
      <c r="I2451" s="156"/>
    </row>
    <row r="2452" spans="2:9" x14ac:dyDescent="0.2">
      <c r="B2452" s="230">
        <v>42384</v>
      </c>
      <c r="C2452" s="124">
        <v>208.1</v>
      </c>
      <c r="D2452" s="156">
        <f t="shared" si="77"/>
        <v>-4.7824007651841227E-3</v>
      </c>
      <c r="E2452" s="156">
        <v>-1.2041422493366267E-4</v>
      </c>
      <c r="F2452" s="124">
        <v>2446</v>
      </c>
      <c r="G2452" s="238">
        <f t="shared" ca="1" si="78"/>
        <v>-1.2262411220223727E-2</v>
      </c>
      <c r="I2452" s="156"/>
    </row>
    <row r="2453" spans="2:9" x14ac:dyDescent="0.2">
      <c r="B2453" s="230">
        <v>42383</v>
      </c>
      <c r="C2453" s="124">
        <v>210.32</v>
      </c>
      <c r="D2453" s="156">
        <f t="shared" si="77"/>
        <v>1.0667948101874094E-2</v>
      </c>
      <c r="E2453" s="156">
        <v>-1.2204051745179862E-4</v>
      </c>
      <c r="F2453" s="124">
        <v>2447</v>
      </c>
      <c r="G2453" s="238">
        <f t="shared" ca="1" si="78"/>
        <v>1.8599742673122234E-2</v>
      </c>
      <c r="I2453" s="156"/>
    </row>
    <row r="2454" spans="2:9" x14ac:dyDescent="0.2">
      <c r="B2454" s="230">
        <v>42382</v>
      </c>
      <c r="C2454" s="124">
        <v>209.33</v>
      </c>
      <c r="D2454" s="156">
        <f t="shared" si="77"/>
        <v>-4.7071129707112053E-3</v>
      </c>
      <c r="E2454" s="156">
        <v>-1.2221950623319945E-4</v>
      </c>
      <c r="F2454" s="124">
        <v>2448</v>
      </c>
      <c r="G2454" s="238">
        <f t="shared" ca="1" si="78"/>
        <v>-1.8163163633056537E-2</v>
      </c>
      <c r="I2454" s="156"/>
    </row>
    <row r="2455" spans="2:9" x14ac:dyDescent="0.2">
      <c r="B2455" s="230">
        <v>42381</v>
      </c>
      <c r="C2455" s="124">
        <v>208.93</v>
      </c>
      <c r="D2455" s="156">
        <f t="shared" si="77"/>
        <v>-1.9108584531601091E-3</v>
      </c>
      <c r="E2455" s="156">
        <v>-1.264798138217428E-4</v>
      </c>
      <c r="F2455" s="124">
        <v>2449</v>
      </c>
      <c r="G2455" s="238">
        <f t="shared" ca="1" si="78"/>
        <v>-2.4121616004830135E-2</v>
      </c>
      <c r="I2455" s="156"/>
    </row>
    <row r="2456" spans="2:9" x14ac:dyDescent="0.2">
      <c r="B2456" s="230">
        <v>42380</v>
      </c>
      <c r="C2456" s="124">
        <v>209.53</v>
      </c>
      <c r="D2456" s="156">
        <f t="shared" si="77"/>
        <v>2.8717752357248568E-3</v>
      </c>
      <c r="E2456" s="156">
        <v>-1.3145210761546374E-4</v>
      </c>
      <c r="F2456" s="124">
        <v>2450</v>
      </c>
      <c r="G2456" s="238">
        <f t="shared" ca="1" si="78"/>
        <v>-3.0105582986894228E-2</v>
      </c>
      <c r="I2456" s="156"/>
    </row>
    <row r="2457" spans="2:9" x14ac:dyDescent="0.2">
      <c r="B2457" s="230">
        <v>42377</v>
      </c>
      <c r="C2457" s="124">
        <v>207.94</v>
      </c>
      <c r="D2457" s="156">
        <f t="shared" si="77"/>
        <v>-7.5884121605498183E-3</v>
      </c>
      <c r="E2457" s="156">
        <v>-1.3150973172015227E-4</v>
      </c>
      <c r="F2457" s="124">
        <v>2451</v>
      </c>
      <c r="G2457" s="238">
        <f t="shared" ca="1" si="78"/>
        <v>2.8316286363100126E-2</v>
      </c>
      <c r="I2457" s="156"/>
    </row>
    <row r="2458" spans="2:9" x14ac:dyDescent="0.2">
      <c r="B2458" s="230">
        <v>42376</v>
      </c>
      <c r="C2458" s="124">
        <v>205.25</v>
      </c>
      <c r="D2458" s="156">
        <f t="shared" si="77"/>
        <v>-1.2936423968452427E-2</v>
      </c>
      <c r="E2458" s="156">
        <v>-1.34740624298231E-4</v>
      </c>
      <c r="F2458" s="124">
        <v>2452</v>
      </c>
      <c r="G2458" s="238">
        <f t="shared" ca="1" si="78"/>
        <v>-6.4422036328017161E-3</v>
      </c>
      <c r="I2458" s="156"/>
    </row>
    <row r="2459" spans="2:9" x14ac:dyDescent="0.2">
      <c r="B2459" s="230">
        <v>42375</v>
      </c>
      <c r="C2459" s="124">
        <v>208.9</v>
      </c>
      <c r="D2459" s="156">
        <f t="shared" si="77"/>
        <v>1.7783191230207093E-2</v>
      </c>
      <c r="E2459" s="156">
        <v>-1.4243661570601622E-4</v>
      </c>
      <c r="F2459" s="124">
        <v>2453</v>
      </c>
      <c r="G2459" s="238">
        <f t="shared" ca="1" si="78"/>
        <v>4.1922663785426938E-2</v>
      </c>
      <c r="I2459" s="156"/>
    </row>
    <row r="2460" spans="2:9" x14ac:dyDescent="0.2">
      <c r="B2460" s="230">
        <v>42374</v>
      </c>
      <c r="C2460" s="124">
        <v>215.36</v>
      </c>
      <c r="D2460" s="156">
        <f t="shared" si="77"/>
        <v>3.092388702728582E-2</v>
      </c>
      <c r="E2460" s="156">
        <v>-1.4501160092794237E-4</v>
      </c>
      <c r="F2460" s="124">
        <v>2454</v>
      </c>
      <c r="G2460" s="238">
        <f t="shared" ca="1" si="78"/>
        <v>-2.0241741349360976E-3</v>
      </c>
      <c r="I2460" s="156"/>
    </row>
    <row r="2461" spans="2:9" x14ac:dyDescent="0.2">
      <c r="B2461" s="230">
        <v>42373</v>
      </c>
      <c r="C2461" s="124">
        <v>215.53</v>
      </c>
      <c r="D2461" s="156">
        <f t="shared" si="77"/>
        <v>7.8937592867750505E-4</v>
      </c>
      <c r="E2461" s="156">
        <v>-1.4868414531397697E-4</v>
      </c>
      <c r="F2461" s="124">
        <v>2455</v>
      </c>
      <c r="G2461" s="238">
        <f t="shared" ca="1" si="78"/>
        <v>1.5415410204710555E-2</v>
      </c>
      <c r="I2461" s="156"/>
    </row>
    <row r="2462" spans="2:9" x14ac:dyDescent="0.2">
      <c r="B2462" s="230">
        <v>42370</v>
      </c>
      <c r="C2462" s="124">
        <v>217.12</v>
      </c>
      <c r="D2462" s="156">
        <f t="shared" si="77"/>
        <v>7.377163271934317E-3</v>
      </c>
      <c r="E2462" s="156">
        <v>-1.5439246564768225E-4</v>
      </c>
      <c r="F2462" s="124">
        <v>2456</v>
      </c>
      <c r="G2462" s="238">
        <f t="shared" ca="1" si="78"/>
        <v>-3.5537654355984105E-2</v>
      </c>
      <c r="I2462" s="156"/>
    </row>
    <row r="2463" spans="2:9" x14ac:dyDescent="0.2">
      <c r="B2463" s="230">
        <v>42369</v>
      </c>
      <c r="C2463" s="124">
        <v>217.32</v>
      </c>
      <c r="D2463" s="156">
        <f t="shared" si="77"/>
        <v>9.2114959469412599E-4</v>
      </c>
      <c r="E2463" s="156">
        <v>-1.6537809567119543E-4</v>
      </c>
      <c r="F2463" s="124">
        <v>2457</v>
      </c>
      <c r="G2463" s="238">
        <f t="shared" ca="1" si="78"/>
        <v>3.1833602952623725E-2</v>
      </c>
      <c r="I2463" s="156"/>
    </row>
    <row r="2464" spans="2:9" x14ac:dyDescent="0.2">
      <c r="B2464" s="230">
        <v>42368</v>
      </c>
      <c r="C2464" s="124">
        <v>216.49</v>
      </c>
      <c r="D2464" s="156">
        <f t="shared" si="77"/>
        <v>-3.8192527148904112E-3</v>
      </c>
      <c r="E2464" s="156">
        <v>-1.7394329448608656E-4</v>
      </c>
      <c r="F2464" s="124">
        <v>2458</v>
      </c>
      <c r="G2464" s="238">
        <f t="shared" ca="1" si="78"/>
        <v>8.9033370944297131E-3</v>
      </c>
      <c r="I2464" s="156"/>
    </row>
    <row r="2465" spans="2:9" x14ac:dyDescent="0.2">
      <c r="B2465" s="230">
        <v>42367</v>
      </c>
      <c r="C2465" s="124">
        <v>215.36</v>
      </c>
      <c r="D2465" s="156">
        <f t="shared" si="77"/>
        <v>-5.2196406300521756E-3</v>
      </c>
      <c r="E2465" s="156">
        <v>-1.764446404940099E-4</v>
      </c>
      <c r="F2465" s="124">
        <v>2459</v>
      </c>
      <c r="G2465" s="238">
        <f t="shared" ca="1" si="78"/>
        <v>1.2108813807652516E-3</v>
      </c>
      <c r="I2465" s="156"/>
    </row>
    <row r="2466" spans="2:9" x14ac:dyDescent="0.2">
      <c r="B2466" s="230">
        <v>42366</v>
      </c>
      <c r="C2466" s="124">
        <v>216.26</v>
      </c>
      <c r="D2466" s="156">
        <f t="shared" si="77"/>
        <v>4.1790490341752284E-3</v>
      </c>
      <c r="E2466" s="156">
        <v>-1.7662383538655029E-4</v>
      </c>
      <c r="F2466" s="124">
        <v>2460</v>
      </c>
      <c r="G2466" s="238">
        <f t="shared" ca="1" si="78"/>
        <v>-1.6257095294683614E-2</v>
      </c>
      <c r="I2466" s="156"/>
    </row>
    <row r="2467" spans="2:9" x14ac:dyDescent="0.2">
      <c r="B2467" s="230">
        <v>42362</v>
      </c>
      <c r="C2467" s="124">
        <v>214.6</v>
      </c>
      <c r="D2467" s="156">
        <f t="shared" si="77"/>
        <v>-7.6759456210117299E-3</v>
      </c>
      <c r="E2467" s="156">
        <v>-1.7708517797064411E-4</v>
      </c>
      <c r="F2467" s="124">
        <v>2461</v>
      </c>
      <c r="G2467" s="238">
        <f t="shared" ca="1" si="78"/>
        <v>-1.641460423862454E-2</v>
      </c>
      <c r="I2467" s="156"/>
    </row>
    <row r="2468" spans="2:9" x14ac:dyDescent="0.2">
      <c r="B2468" s="230">
        <v>42361</v>
      </c>
      <c r="C2468" s="124">
        <v>213.14</v>
      </c>
      <c r="D2468" s="156">
        <f t="shared" si="77"/>
        <v>-6.8033550792171854E-3</v>
      </c>
      <c r="E2468" s="156">
        <v>-1.8158707100058603E-4</v>
      </c>
      <c r="F2468" s="124">
        <v>2462</v>
      </c>
      <c r="G2468" s="238">
        <f t="shared" ca="1" si="78"/>
        <v>-4.2578274543737561E-3</v>
      </c>
      <c r="I2468" s="156"/>
    </row>
    <row r="2469" spans="2:9" x14ac:dyDescent="0.2">
      <c r="B2469" s="230">
        <v>42360</v>
      </c>
      <c r="C2469" s="124">
        <v>212.31</v>
      </c>
      <c r="D2469" s="156">
        <f t="shared" si="77"/>
        <v>-3.8941540771323269E-3</v>
      </c>
      <c r="E2469" s="156">
        <v>-1.8304960644317968E-4</v>
      </c>
      <c r="F2469" s="124">
        <v>2463</v>
      </c>
      <c r="G2469" s="238">
        <f t="shared" ca="1" si="78"/>
        <v>-3.6327723488732512E-2</v>
      </c>
      <c r="I2469" s="156"/>
    </row>
    <row r="2470" spans="2:9" x14ac:dyDescent="0.2">
      <c r="B2470" s="230">
        <v>42359</v>
      </c>
      <c r="C2470" s="124">
        <v>216.49</v>
      </c>
      <c r="D2470" s="156">
        <f t="shared" si="77"/>
        <v>1.9688191795016751E-2</v>
      </c>
      <c r="E2470" s="156">
        <v>-1.8684603886401856E-4</v>
      </c>
      <c r="F2470" s="124">
        <v>2464</v>
      </c>
      <c r="G2470" s="238">
        <f t="shared" ca="1" si="78"/>
        <v>3.7636641719322765E-3</v>
      </c>
      <c r="I2470" s="156"/>
    </row>
    <row r="2471" spans="2:9" x14ac:dyDescent="0.2">
      <c r="B2471" s="230">
        <v>42356</v>
      </c>
      <c r="C2471" s="124">
        <v>210.22</v>
      </c>
      <c r="D2471" s="156">
        <f t="shared" si="77"/>
        <v>-2.8962076770289665E-2</v>
      </c>
      <c r="E2471" s="156">
        <v>-1.8900018900023195E-4</v>
      </c>
      <c r="F2471" s="124">
        <v>2465</v>
      </c>
      <c r="G2471" s="238">
        <f t="shared" ca="1" si="78"/>
        <v>-2.1269293032248407E-2</v>
      </c>
      <c r="I2471" s="156"/>
    </row>
    <row r="2472" spans="2:9" x14ac:dyDescent="0.2">
      <c r="B2472" s="230">
        <v>42355</v>
      </c>
      <c r="C2472" s="124">
        <v>212.48</v>
      </c>
      <c r="D2472" s="156">
        <f t="shared" si="77"/>
        <v>1.0750642184378227E-2</v>
      </c>
      <c r="E2472" s="156">
        <v>-1.9004180919806677E-4</v>
      </c>
      <c r="F2472" s="124">
        <v>2466</v>
      </c>
      <c r="G2472" s="238">
        <f t="shared" ca="1" si="78"/>
        <v>1.0292901222458753E-2</v>
      </c>
      <c r="I2472" s="156"/>
    </row>
    <row r="2473" spans="2:9" x14ac:dyDescent="0.2">
      <c r="B2473" s="230">
        <v>42354</v>
      </c>
      <c r="C2473" s="124">
        <v>211.65</v>
      </c>
      <c r="D2473" s="156">
        <f t="shared" si="77"/>
        <v>-3.9062499999999254E-3</v>
      </c>
      <c r="E2473" s="156">
        <v>-1.9290123456794511E-4</v>
      </c>
      <c r="F2473" s="124">
        <v>2467</v>
      </c>
      <c r="G2473" s="238">
        <f t="shared" ca="1" si="78"/>
        <v>9.7629765040212826E-3</v>
      </c>
      <c r="I2473" s="156"/>
    </row>
    <row r="2474" spans="2:9" x14ac:dyDescent="0.2">
      <c r="B2474" s="230">
        <v>42353</v>
      </c>
      <c r="C2474" s="124">
        <v>214.1</v>
      </c>
      <c r="D2474" s="156">
        <f t="shared" si="77"/>
        <v>1.1575714623198624E-2</v>
      </c>
      <c r="E2474" s="156">
        <v>-1.9692792437972181E-4</v>
      </c>
      <c r="F2474" s="124">
        <v>2468</v>
      </c>
      <c r="G2474" s="238">
        <f t="shared" ca="1" si="78"/>
        <v>2.0543908912831984E-3</v>
      </c>
      <c r="I2474" s="156"/>
    </row>
    <row r="2475" spans="2:9" x14ac:dyDescent="0.2">
      <c r="B2475" s="230">
        <v>42352</v>
      </c>
      <c r="C2475" s="124">
        <v>212.21</v>
      </c>
      <c r="D2475" s="156">
        <f t="shared" si="77"/>
        <v>-8.8276506305464096E-3</v>
      </c>
      <c r="E2475" s="156">
        <v>-1.9712201852943053E-4</v>
      </c>
      <c r="F2475" s="124">
        <v>2469</v>
      </c>
      <c r="G2475" s="238">
        <f t="shared" ca="1" si="78"/>
        <v>-6.0242677841926516E-3</v>
      </c>
      <c r="I2475" s="156"/>
    </row>
    <row r="2476" spans="2:9" x14ac:dyDescent="0.2">
      <c r="B2476" s="230">
        <v>42349</v>
      </c>
      <c r="C2476" s="124">
        <v>212.81</v>
      </c>
      <c r="D2476" s="156">
        <f t="shared" si="77"/>
        <v>2.8273879647518698E-3</v>
      </c>
      <c r="E2476" s="156">
        <v>-2.0088388911213887E-4</v>
      </c>
      <c r="F2476" s="124">
        <v>2470</v>
      </c>
      <c r="G2476" s="238">
        <f t="shared" ca="1" si="78"/>
        <v>1.109831119735585E-2</v>
      </c>
      <c r="I2476" s="156"/>
    </row>
    <row r="2477" spans="2:9" x14ac:dyDescent="0.2">
      <c r="B2477" s="230">
        <v>42348</v>
      </c>
      <c r="C2477" s="124">
        <v>212.97</v>
      </c>
      <c r="D2477" s="156">
        <f t="shared" si="77"/>
        <v>7.5184436821576332E-4</v>
      </c>
      <c r="E2477" s="156">
        <v>-2.0237452779284004E-4</v>
      </c>
      <c r="F2477" s="124">
        <v>2471</v>
      </c>
      <c r="G2477" s="238">
        <f t="shared" ca="1" si="78"/>
        <v>5.4341342907281761E-3</v>
      </c>
      <c r="I2477" s="156"/>
    </row>
    <row r="2478" spans="2:9" x14ac:dyDescent="0.2">
      <c r="B2478" s="230">
        <v>42347</v>
      </c>
      <c r="C2478" s="124">
        <v>210.42</v>
      </c>
      <c r="D2478" s="156">
        <f t="shared" si="77"/>
        <v>-1.1973517396816506E-2</v>
      </c>
      <c r="E2478" s="156">
        <v>-2.0742584526027815E-4</v>
      </c>
      <c r="F2478" s="124">
        <v>2472</v>
      </c>
      <c r="G2478" s="238">
        <f t="shared" ca="1" si="78"/>
        <v>1.7734823851163768E-2</v>
      </c>
      <c r="I2478" s="156"/>
    </row>
    <row r="2479" spans="2:9" x14ac:dyDescent="0.2">
      <c r="B2479" s="230">
        <v>42346</v>
      </c>
      <c r="C2479" s="124">
        <v>208.67</v>
      </c>
      <c r="D2479" s="156">
        <f t="shared" si="77"/>
        <v>-8.3166999334664017E-3</v>
      </c>
      <c r="E2479" s="156">
        <v>-2.1693542555500136E-4</v>
      </c>
      <c r="F2479" s="124">
        <v>2473</v>
      </c>
      <c r="G2479" s="238">
        <f t="shared" ca="1" si="78"/>
        <v>-1.0813527644599169E-2</v>
      </c>
      <c r="I2479" s="156"/>
    </row>
    <row r="2480" spans="2:9" x14ac:dyDescent="0.2">
      <c r="B2480" s="230">
        <v>42345</v>
      </c>
      <c r="C2480" s="124">
        <v>207.87</v>
      </c>
      <c r="D2480" s="156">
        <f t="shared" si="77"/>
        <v>-3.8338045718118705E-3</v>
      </c>
      <c r="E2480" s="156">
        <v>-2.3089355806984796E-4</v>
      </c>
      <c r="F2480" s="124">
        <v>2474</v>
      </c>
      <c r="G2480" s="238">
        <f t="shared" ca="1" si="78"/>
        <v>2.2955096567180939E-2</v>
      </c>
      <c r="I2480" s="156"/>
    </row>
    <row r="2481" spans="2:9" x14ac:dyDescent="0.2">
      <c r="B2481" s="230">
        <v>42342</v>
      </c>
      <c r="C2481" s="124">
        <v>222.72</v>
      </c>
      <c r="D2481" s="156">
        <f t="shared" si="77"/>
        <v>7.1438880069274041E-2</v>
      </c>
      <c r="E2481" s="156">
        <v>-2.3815194093823743E-4</v>
      </c>
      <c r="F2481" s="124">
        <v>2475</v>
      </c>
      <c r="G2481" s="238">
        <f t="shared" ca="1" si="78"/>
        <v>1.4742937456334489E-2</v>
      </c>
      <c r="I2481" s="156"/>
    </row>
    <row r="2482" spans="2:9" x14ac:dyDescent="0.2">
      <c r="B2482" s="230">
        <v>42341</v>
      </c>
      <c r="C2482" s="124">
        <v>227.63</v>
      </c>
      <c r="D2482" s="156">
        <f t="shared" si="77"/>
        <v>2.2045617816091941E-2</v>
      </c>
      <c r="E2482" s="156">
        <v>-2.3917723032772716E-4</v>
      </c>
      <c r="F2482" s="124">
        <v>2476</v>
      </c>
      <c r="G2482" s="238">
        <f t="shared" ca="1" si="78"/>
        <v>2.3680460006945663E-3</v>
      </c>
      <c r="I2482" s="156"/>
    </row>
    <row r="2483" spans="2:9" x14ac:dyDescent="0.2">
      <c r="B2483" s="230">
        <v>42340</v>
      </c>
      <c r="C2483" s="124">
        <v>231.64</v>
      </c>
      <c r="D2483" s="156">
        <f t="shared" si="77"/>
        <v>1.7616307165136368E-2</v>
      </c>
      <c r="E2483" s="156">
        <v>-2.4038461538467004E-4</v>
      </c>
      <c r="F2483" s="124">
        <v>2477</v>
      </c>
      <c r="G2483" s="238">
        <f t="shared" ca="1" si="78"/>
        <v>-2.0014949212685297E-2</v>
      </c>
      <c r="I2483" s="156"/>
    </row>
    <row r="2484" spans="2:9" x14ac:dyDescent="0.2">
      <c r="B2484" s="230">
        <v>42339</v>
      </c>
      <c r="C2484" s="124">
        <v>229.55</v>
      </c>
      <c r="D2484" s="156">
        <f t="shared" si="77"/>
        <v>-9.0226213089275396E-3</v>
      </c>
      <c r="E2484" s="156">
        <v>-2.6585138907364391E-4</v>
      </c>
      <c r="F2484" s="124">
        <v>2478</v>
      </c>
      <c r="G2484" s="238">
        <f t="shared" ca="1" si="78"/>
        <v>-1.070200252840099E-2</v>
      </c>
      <c r="I2484" s="156"/>
    </row>
    <row r="2485" spans="2:9" x14ac:dyDescent="0.2">
      <c r="B2485" s="230">
        <v>42338</v>
      </c>
      <c r="C2485" s="124">
        <v>227.1</v>
      </c>
      <c r="D2485" s="156">
        <f t="shared" si="77"/>
        <v>-1.0673055979089597E-2</v>
      </c>
      <c r="E2485" s="156">
        <v>-2.6975991367671009E-4</v>
      </c>
      <c r="F2485" s="124">
        <v>2479</v>
      </c>
      <c r="G2485" s="238">
        <f t="shared" ca="1" si="78"/>
        <v>-2.2069800156767787E-2</v>
      </c>
      <c r="I2485" s="156"/>
    </row>
    <row r="2486" spans="2:9" x14ac:dyDescent="0.2">
      <c r="B2486" s="230">
        <v>42335</v>
      </c>
      <c r="C2486" s="124">
        <v>228.29</v>
      </c>
      <c r="D2486" s="156">
        <f t="shared" si="77"/>
        <v>5.2399823866138163E-3</v>
      </c>
      <c r="E2486" s="156">
        <v>-2.7272727272728304E-4</v>
      </c>
      <c r="F2486" s="124">
        <v>2480</v>
      </c>
      <c r="G2486" s="238">
        <f t="shared" ca="1" si="78"/>
        <v>-5.5960226950213738E-3</v>
      </c>
      <c r="I2486" s="156"/>
    </row>
    <row r="2487" spans="2:9" x14ac:dyDescent="0.2">
      <c r="B2487" s="230">
        <v>42334</v>
      </c>
      <c r="C2487" s="124">
        <v>227.26</v>
      </c>
      <c r="D2487" s="156">
        <f t="shared" si="77"/>
        <v>-4.5118051601033826E-3</v>
      </c>
      <c r="E2487" s="156">
        <v>-2.9750836742277459E-4</v>
      </c>
      <c r="F2487" s="124">
        <v>2481</v>
      </c>
      <c r="G2487" s="238">
        <f t="shared" ca="1" si="78"/>
        <v>1.0776804441340557E-2</v>
      </c>
      <c r="I2487" s="156"/>
    </row>
    <row r="2488" spans="2:9" x14ac:dyDescent="0.2">
      <c r="B2488" s="230">
        <v>42332</v>
      </c>
      <c r="C2488" s="124">
        <v>222.69</v>
      </c>
      <c r="D2488" s="156">
        <f t="shared" si="77"/>
        <v>-2.0109126111062189E-2</v>
      </c>
      <c r="E2488" s="156">
        <v>-3.0940594059399783E-4</v>
      </c>
      <c r="F2488" s="124">
        <v>2482</v>
      </c>
      <c r="G2488" s="238">
        <f t="shared" ca="1" si="78"/>
        <v>1.2995932664122415E-2</v>
      </c>
      <c r="I2488" s="156"/>
    </row>
    <row r="2489" spans="2:9" x14ac:dyDescent="0.2">
      <c r="B2489" s="230">
        <v>42331</v>
      </c>
      <c r="C2489" s="124">
        <v>223.58</v>
      </c>
      <c r="D2489" s="156">
        <f t="shared" si="77"/>
        <v>3.9965871839777933E-3</v>
      </c>
      <c r="E2489" s="156">
        <v>-3.0957013974877576E-4</v>
      </c>
      <c r="F2489" s="124">
        <v>2483</v>
      </c>
      <c r="G2489" s="238">
        <f t="shared" ca="1" si="78"/>
        <v>2.5307963754524539E-3</v>
      </c>
      <c r="I2489" s="156"/>
    </row>
    <row r="2490" spans="2:9" x14ac:dyDescent="0.2">
      <c r="B2490" s="230">
        <v>42328</v>
      </c>
      <c r="C2490" s="124">
        <v>228.36</v>
      </c>
      <c r="D2490" s="156">
        <f t="shared" si="77"/>
        <v>2.1379372036854822E-2</v>
      </c>
      <c r="E2490" s="156">
        <v>-3.1052686057345136E-4</v>
      </c>
      <c r="F2490" s="124">
        <v>2484</v>
      </c>
      <c r="G2490" s="238">
        <f t="shared" ca="1" si="78"/>
        <v>-7.8992466032247223E-3</v>
      </c>
      <c r="I2490" s="156"/>
    </row>
    <row r="2491" spans="2:9" x14ac:dyDescent="0.2">
      <c r="B2491" s="230">
        <v>42327</v>
      </c>
      <c r="C2491" s="124">
        <v>233.39</v>
      </c>
      <c r="D2491" s="156">
        <f t="shared" si="77"/>
        <v>2.2026624627780576E-2</v>
      </c>
      <c r="E2491" s="156">
        <v>-3.1259768677705565E-4</v>
      </c>
      <c r="F2491" s="124">
        <v>2485</v>
      </c>
      <c r="G2491" s="238">
        <f t="shared" ca="1" si="78"/>
        <v>-1.220985139266135E-2</v>
      </c>
      <c r="I2491" s="156"/>
    </row>
    <row r="2492" spans="2:9" x14ac:dyDescent="0.2">
      <c r="B2492" s="230">
        <v>42326</v>
      </c>
      <c r="C2492" s="124">
        <v>230.61</v>
      </c>
      <c r="D2492" s="156">
        <f t="shared" si="77"/>
        <v>-1.1911392947426937E-2</v>
      </c>
      <c r="E2492" s="156">
        <v>-3.1320611199352639E-4</v>
      </c>
      <c r="F2492" s="124">
        <v>2486</v>
      </c>
      <c r="G2492" s="238">
        <f t="shared" ca="1" si="78"/>
        <v>-8.8168975936682784E-3</v>
      </c>
      <c r="I2492" s="156"/>
    </row>
    <row r="2493" spans="2:9" x14ac:dyDescent="0.2">
      <c r="B2493" s="230">
        <v>42325</v>
      </c>
      <c r="C2493" s="124">
        <v>231.44</v>
      </c>
      <c r="D2493" s="156">
        <f t="shared" si="77"/>
        <v>3.5991500802219508E-3</v>
      </c>
      <c r="E2493" s="156">
        <v>-3.1879283778758977E-4</v>
      </c>
      <c r="F2493" s="124">
        <v>2487</v>
      </c>
      <c r="G2493" s="238">
        <f t="shared" ca="1" si="78"/>
        <v>7.7450132555629495E-4</v>
      </c>
      <c r="I2493" s="156"/>
    </row>
    <row r="2494" spans="2:9" x14ac:dyDescent="0.2">
      <c r="B2494" s="230">
        <v>42324</v>
      </c>
      <c r="C2494" s="124">
        <v>224.28</v>
      </c>
      <c r="D2494" s="156">
        <f t="shared" ref="D2494:D2557" si="79">(C2494-C2493)/C2493</f>
        <v>-3.0936743864500505E-2</v>
      </c>
      <c r="E2494" s="156">
        <v>-3.2478077297820802E-4</v>
      </c>
      <c r="F2494" s="124">
        <v>2488</v>
      </c>
      <c r="G2494" s="238">
        <f t="shared" ca="1" si="78"/>
        <v>-1.7767622041597771E-2</v>
      </c>
      <c r="I2494" s="156"/>
    </row>
    <row r="2495" spans="2:9" x14ac:dyDescent="0.2">
      <c r="B2495" s="230">
        <v>42321</v>
      </c>
      <c r="C2495" s="124">
        <v>218.64</v>
      </c>
      <c r="D2495" s="156">
        <f t="shared" si="79"/>
        <v>-2.5147137506688136E-2</v>
      </c>
      <c r="E2495" s="156">
        <v>-3.2770768474525849E-4</v>
      </c>
      <c r="F2495" s="124">
        <v>2489</v>
      </c>
      <c r="G2495" s="238">
        <f t="shared" ca="1" si="78"/>
        <v>5.0175478439064225E-2</v>
      </c>
      <c r="I2495" s="156"/>
    </row>
    <row r="2496" spans="2:9" x14ac:dyDescent="0.2">
      <c r="B2496" s="230">
        <v>42319</v>
      </c>
      <c r="C2496" s="124">
        <v>221.59</v>
      </c>
      <c r="D2496" s="156">
        <f t="shared" si="79"/>
        <v>1.3492499085254378E-2</v>
      </c>
      <c r="E2496" s="156">
        <v>-3.4924330616997826E-4</v>
      </c>
      <c r="F2496" s="124">
        <v>2490</v>
      </c>
      <c r="G2496" s="238">
        <f t="shared" ca="1" si="78"/>
        <v>2.2722536398964575E-2</v>
      </c>
      <c r="I2496" s="156"/>
    </row>
    <row r="2497" spans="2:9" x14ac:dyDescent="0.2">
      <c r="B2497" s="230">
        <v>42318</v>
      </c>
      <c r="C2497" s="124">
        <v>223.25</v>
      </c>
      <c r="D2497" s="156">
        <f t="shared" si="79"/>
        <v>7.4913127848729479E-3</v>
      </c>
      <c r="E2497" s="156">
        <v>-3.5211267605626801E-4</v>
      </c>
      <c r="F2497" s="124">
        <v>2491</v>
      </c>
      <c r="G2497" s="238">
        <f t="shared" ca="1" si="78"/>
        <v>-2.1620244628139784E-2</v>
      </c>
      <c r="I2497" s="156"/>
    </row>
    <row r="2498" spans="2:9" x14ac:dyDescent="0.2">
      <c r="B2498" s="230">
        <v>42317</v>
      </c>
      <c r="C2498" s="124">
        <v>227.43</v>
      </c>
      <c r="D2498" s="156">
        <f t="shared" si="79"/>
        <v>1.8723404255319178E-2</v>
      </c>
      <c r="E2498" s="156">
        <v>-3.5465484483847081E-4</v>
      </c>
      <c r="F2498" s="124">
        <v>2492</v>
      </c>
      <c r="G2498" s="238">
        <f t="shared" ca="1" si="78"/>
        <v>-2.8207144482932565E-2</v>
      </c>
      <c r="I2498" s="156"/>
    </row>
    <row r="2499" spans="2:9" x14ac:dyDescent="0.2">
      <c r="B2499" s="230">
        <v>42314</v>
      </c>
      <c r="C2499" s="124">
        <v>223.88</v>
      </c>
      <c r="D2499" s="156">
        <f t="shared" si="79"/>
        <v>-1.5609198434683249E-2</v>
      </c>
      <c r="E2499" s="156">
        <v>-3.5720664404345739E-4</v>
      </c>
      <c r="F2499" s="124">
        <v>2493</v>
      </c>
      <c r="G2499" s="238">
        <f t="shared" ca="1" si="78"/>
        <v>2.4101323678784306E-3</v>
      </c>
      <c r="I2499" s="156"/>
    </row>
    <row r="2500" spans="2:9" x14ac:dyDescent="0.2">
      <c r="B2500" s="230">
        <v>42313</v>
      </c>
      <c r="C2500" s="124">
        <v>223.52</v>
      </c>
      <c r="D2500" s="156">
        <f t="shared" si="79"/>
        <v>-1.6080042880113688E-3</v>
      </c>
      <c r="E2500" s="156">
        <v>-3.6086194453032881E-4</v>
      </c>
      <c r="F2500" s="124">
        <v>2494</v>
      </c>
      <c r="G2500" s="238">
        <f t="shared" ca="1" si="78"/>
        <v>-9.3278905486989389E-3</v>
      </c>
      <c r="I2500" s="156"/>
    </row>
    <row r="2501" spans="2:9" x14ac:dyDescent="0.2">
      <c r="B2501" s="230">
        <v>42312</v>
      </c>
      <c r="C2501" s="124">
        <v>222.55</v>
      </c>
      <c r="D2501" s="156">
        <f t="shared" si="79"/>
        <v>-4.3396564065855351E-3</v>
      </c>
      <c r="E2501" s="156">
        <v>-3.6088054853844747E-4</v>
      </c>
      <c r="F2501" s="124">
        <v>2495</v>
      </c>
      <c r="G2501" s="238">
        <f t="shared" ca="1" si="78"/>
        <v>6.2605826355133292E-3</v>
      </c>
      <c r="I2501" s="156"/>
    </row>
    <row r="2502" spans="2:9" x14ac:dyDescent="0.2">
      <c r="B2502" s="230">
        <v>42311</v>
      </c>
      <c r="C2502" s="124">
        <v>221.99</v>
      </c>
      <c r="D2502" s="156">
        <f t="shared" si="79"/>
        <v>-2.5162884745001226E-3</v>
      </c>
      <c r="E2502" s="156">
        <v>-3.6350418029815602E-4</v>
      </c>
      <c r="F2502" s="124">
        <v>2496</v>
      </c>
      <c r="G2502" s="238">
        <f t="shared" ca="1" si="78"/>
        <v>4.136474371660823E-3</v>
      </c>
      <c r="I2502" s="156"/>
    </row>
    <row r="2503" spans="2:9" x14ac:dyDescent="0.2">
      <c r="B2503" s="230">
        <v>42310</v>
      </c>
      <c r="C2503" s="124">
        <v>223.55</v>
      </c>
      <c r="D2503" s="156">
        <f t="shared" si="79"/>
        <v>7.0273435740348762E-3</v>
      </c>
      <c r="E2503" s="156">
        <v>-3.6630036630044957E-4</v>
      </c>
      <c r="F2503" s="124">
        <v>2497</v>
      </c>
      <c r="G2503" s="238">
        <f t="shared" ref="G2503:G2566" ca="1" si="80">_xlfn.NORM.INV(RAND(),$L$8,$L$9)</f>
        <v>-1.5869838239943066E-2</v>
      </c>
      <c r="I2503" s="156"/>
    </row>
    <row r="2504" spans="2:9" x14ac:dyDescent="0.2">
      <c r="B2504" s="230">
        <v>42307</v>
      </c>
      <c r="C2504" s="124">
        <v>221.86</v>
      </c>
      <c r="D2504" s="156">
        <f t="shared" si="79"/>
        <v>-7.5598300156564423E-3</v>
      </c>
      <c r="E2504" s="156">
        <v>-3.685503685503127E-4</v>
      </c>
      <c r="F2504" s="124">
        <v>2498</v>
      </c>
      <c r="G2504" s="238">
        <f t="shared" ca="1" si="80"/>
        <v>-1.5933092425860516E-2</v>
      </c>
      <c r="I2504" s="156"/>
    </row>
    <row r="2505" spans="2:9" x14ac:dyDescent="0.2">
      <c r="B2505" s="230">
        <v>42306</v>
      </c>
      <c r="C2505" s="124">
        <v>232.03</v>
      </c>
      <c r="D2505" s="156">
        <f t="shared" si="79"/>
        <v>4.5839718741548664E-2</v>
      </c>
      <c r="E2505" s="156">
        <v>-3.7509377344330399E-4</v>
      </c>
      <c r="F2505" s="124">
        <v>2499</v>
      </c>
      <c r="G2505" s="238">
        <f t="shared" ca="1" si="80"/>
        <v>-1.6220850837534641E-2</v>
      </c>
      <c r="I2505" s="156"/>
    </row>
    <row r="2506" spans="2:9" x14ac:dyDescent="0.2">
      <c r="B2506" s="230">
        <v>42305</v>
      </c>
      <c r="C2506" s="124">
        <v>235.48</v>
      </c>
      <c r="D2506" s="156">
        <f t="shared" si="79"/>
        <v>1.486876696978834E-2</v>
      </c>
      <c r="E2506" s="156">
        <v>-3.7678975131863566E-4</v>
      </c>
      <c r="F2506" s="124">
        <v>2500</v>
      </c>
      <c r="G2506" s="238">
        <f t="shared" ca="1" si="80"/>
        <v>-1.6466701457449752E-2</v>
      </c>
      <c r="I2506" s="156"/>
    </row>
    <row r="2507" spans="2:9" x14ac:dyDescent="0.2">
      <c r="B2507" s="230">
        <v>42304</v>
      </c>
      <c r="C2507" s="124">
        <v>236.01</v>
      </c>
      <c r="D2507" s="156">
        <f t="shared" si="79"/>
        <v>2.2507219296755612E-3</v>
      </c>
      <c r="E2507" s="156">
        <v>-3.8669760247495255E-4</v>
      </c>
      <c r="F2507" s="124">
        <v>2501</v>
      </c>
      <c r="G2507" s="238">
        <f t="shared" ca="1" si="80"/>
        <v>1.926248997301571E-2</v>
      </c>
      <c r="I2507" s="156"/>
    </row>
    <row r="2508" spans="2:9" x14ac:dyDescent="0.2">
      <c r="B2508" s="230">
        <v>42303</v>
      </c>
      <c r="C2508" s="124">
        <v>236.34</v>
      </c>
      <c r="D2508" s="156">
        <f t="shared" si="79"/>
        <v>1.3982458370408563E-3</v>
      </c>
      <c r="E2508" s="156">
        <v>-3.9880358923228041E-4</v>
      </c>
      <c r="F2508" s="124">
        <v>2502</v>
      </c>
      <c r="G2508" s="238">
        <f t="shared" ca="1" si="80"/>
        <v>1.2486343576118507E-3</v>
      </c>
      <c r="I2508" s="156"/>
    </row>
    <row r="2509" spans="2:9" x14ac:dyDescent="0.2">
      <c r="B2509" s="230">
        <v>42300</v>
      </c>
      <c r="C2509" s="124">
        <v>237.57</v>
      </c>
      <c r="D2509" s="156">
        <f t="shared" si="79"/>
        <v>5.2043665905051606E-3</v>
      </c>
      <c r="E2509" s="156">
        <v>-4.0363269424821118E-4</v>
      </c>
      <c r="F2509" s="124">
        <v>2503</v>
      </c>
      <c r="G2509" s="238">
        <f t="shared" ca="1" si="80"/>
        <v>5.0540575309939864E-3</v>
      </c>
      <c r="I2509" s="156"/>
    </row>
    <row r="2510" spans="2:9" x14ac:dyDescent="0.2">
      <c r="B2510" s="230">
        <v>42298</v>
      </c>
      <c r="C2510" s="124">
        <v>231.07</v>
      </c>
      <c r="D2510" s="156">
        <f t="shared" si="79"/>
        <v>-2.7360356947426022E-2</v>
      </c>
      <c r="E2510" s="156">
        <v>-4.2105263157894235E-4</v>
      </c>
      <c r="F2510" s="124">
        <v>2504</v>
      </c>
      <c r="G2510" s="238">
        <f t="shared" ca="1" si="80"/>
        <v>3.0873864239955438E-2</v>
      </c>
      <c r="I2510" s="156"/>
    </row>
    <row r="2511" spans="2:9" x14ac:dyDescent="0.2">
      <c r="B2511" s="230">
        <v>42297</v>
      </c>
      <c r="C2511" s="124">
        <v>231.14</v>
      </c>
      <c r="D2511" s="156">
        <f t="shared" si="79"/>
        <v>3.029385034837633E-4</v>
      </c>
      <c r="E2511" s="156">
        <v>-4.2211903756857031E-4</v>
      </c>
      <c r="F2511" s="124">
        <v>2505</v>
      </c>
      <c r="G2511" s="238">
        <f t="shared" ca="1" si="80"/>
        <v>1.073835389211825E-2</v>
      </c>
      <c r="I2511" s="156"/>
    </row>
    <row r="2512" spans="2:9" x14ac:dyDescent="0.2">
      <c r="B2512" s="230">
        <v>42296</v>
      </c>
      <c r="C2512" s="124">
        <v>232.7</v>
      </c>
      <c r="D2512" s="156">
        <f t="shared" si="79"/>
        <v>6.7491563554555782E-3</v>
      </c>
      <c r="E2512" s="156">
        <v>-4.2682146058301387E-4</v>
      </c>
      <c r="F2512" s="124">
        <v>2506</v>
      </c>
      <c r="G2512" s="238">
        <f t="shared" ca="1" si="80"/>
        <v>1.3054126215029193E-2</v>
      </c>
      <c r="I2512" s="156"/>
    </row>
    <row r="2513" spans="2:9" x14ac:dyDescent="0.2">
      <c r="B2513" s="230">
        <v>42293</v>
      </c>
      <c r="C2513" s="124">
        <v>231.24</v>
      </c>
      <c r="D2513" s="156">
        <f t="shared" si="79"/>
        <v>-6.274172754619594E-3</v>
      </c>
      <c r="E2513" s="156">
        <v>-4.294979169352005E-4</v>
      </c>
      <c r="F2513" s="124">
        <v>2507</v>
      </c>
      <c r="G2513" s="238">
        <f t="shared" ca="1" si="80"/>
        <v>-3.3170317386307713E-2</v>
      </c>
      <c r="I2513" s="156"/>
    </row>
    <row r="2514" spans="2:9" x14ac:dyDescent="0.2">
      <c r="B2514" s="230">
        <v>42292</v>
      </c>
      <c r="C2514" s="124">
        <v>231.64</v>
      </c>
      <c r="D2514" s="156">
        <f t="shared" si="79"/>
        <v>1.7298045320877757E-3</v>
      </c>
      <c r="E2514" s="156">
        <v>-4.3923865300148079E-4</v>
      </c>
      <c r="F2514" s="124">
        <v>2508</v>
      </c>
      <c r="G2514" s="238">
        <f t="shared" ca="1" si="80"/>
        <v>1.1956858764669892E-3</v>
      </c>
      <c r="I2514" s="156"/>
    </row>
    <row r="2515" spans="2:9" x14ac:dyDescent="0.2">
      <c r="B2515" s="230">
        <v>42291</v>
      </c>
      <c r="C2515" s="124">
        <v>228.12</v>
      </c>
      <c r="D2515" s="156">
        <f t="shared" si="79"/>
        <v>-1.5195993783457011E-2</v>
      </c>
      <c r="E2515" s="156">
        <v>-4.5424262612813907E-4</v>
      </c>
      <c r="F2515" s="124">
        <v>2509</v>
      </c>
      <c r="G2515" s="238">
        <f t="shared" ca="1" si="80"/>
        <v>-6.0685369489577911E-3</v>
      </c>
      <c r="I2515" s="156"/>
    </row>
    <row r="2516" spans="2:9" x14ac:dyDescent="0.2">
      <c r="B2516" s="230">
        <v>42290</v>
      </c>
      <c r="C2516" s="124">
        <v>228.09</v>
      </c>
      <c r="D2516" s="156">
        <f t="shared" si="79"/>
        <v>-1.3150973172015227E-4</v>
      </c>
      <c r="E2516" s="156">
        <v>-4.6384340646595071E-4</v>
      </c>
      <c r="F2516" s="124">
        <v>2510</v>
      </c>
      <c r="G2516" s="238">
        <f t="shared" ca="1" si="80"/>
        <v>-1.628830982920727E-2</v>
      </c>
      <c r="I2516" s="156"/>
    </row>
    <row r="2517" spans="2:9" x14ac:dyDescent="0.2">
      <c r="B2517" s="230">
        <v>42289</v>
      </c>
      <c r="C2517" s="124">
        <v>225.9</v>
      </c>
      <c r="D2517" s="156">
        <f t="shared" si="79"/>
        <v>-9.6014731027225988E-3</v>
      </c>
      <c r="E2517" s="156">
        <v>-4.7025628967784769E-4</v>
      </c>
      <c r="F2517" s="124">
        <v>2511</v>
      </c>
      <c r="G2517" s="238">
        <f t="shared" ca="1" si="80"/>
        <v>1.2851216399212072E-2</v>
      </c>
      <c r="I2517" s="156"/>
    </row>
    <row r="2518" spans="2:9" x14ac:dyDescent="0.2">
      <c r="B2518" s="230">
        <v>42286</v>
      </c>
      <c r="C2518" s="124">
        <v>227.69</v>
      </c>
      <c r="D2518" s="156">
        <f t="shared" si="79"/>
        <v>7.9238601150951396E-3</v>
      </c>
      <c r="E2518" s="156">
        <v>-4.7025628967794792E-4</v>
      </c>
      <c r="F2518" s="124">
        <v>2512</v>
      </c>
      <c r="G2518" s="238">
        <f t="shared" ca="1" si="80"/>
        <v>1.705048376653125E-2</v>
      </c>
      <c r="I2518" s="156"/>
    </row>
    <row r="2519" spans="2:9" x14ac:dyDescent="0.2">
      <c r="B2519" s="230">
        <v>42285</v>
      </c>
      <c r="C2519" s="124">
        <v>224.81</v>
      </c>
      <c r="D2519" s="156">
        <f t="shared" si="79"/>
        <v>-1.2648776845711255E-2</v>
      </c>
      <c r="E2519" s="156">
        <v>-4.7058823529409088E-4</v>
      </c>
      <c r="F2519" s="124">
        <v>2513</v>
      </c>
      <c r="G2519" s="238">
        <f t="shared" ca="1" si="80"/>
        <v>2.5150464678037412E-2</v>
      </c>
      <c r="I2519" s="156"/>
    </row>
    <row r="2520" spans="2:9" x14ac:dyDescent="0.2">
      <c r="B2520" s="230">
        <v>42284</v>
      </c>
      <c r="C2520" s="124">
        <v>230.21</v>
      </c>
      <c r="D2520" s="156">
        <f t="shared" si="79"/>
        <v>2.4020283795204864E-2</v>
      </c>
      <c r="E2520" s="156">
        <v>-4.7605446063026901E-4</v>
      </c>
      <c r="F2520" s="124">
        <v>2514</v>
      </c>
      <c r="G2520" s="238">
        <f t="shared" ca="1" si="80"/>
        <v>2.2097968477881459E-2</v>
      </c>
      <c r="I2520" s="156"/>
    </row>
    <row r="2521" spans="2:9" x14ac:dyDescent="0.2">
      <c r="B2521" s="230">
        <v>42283</v>
      </c>
      <c r="C2521" s="124">
        <v>227.29</v>
      </c>
      <c r="D2521" s="156">
        <f t="shared" si="79"/>
        <v>-1.2684071065548915E-2</v>
      </c>
      <c r="E2521" s="156">
        <v>-4.7873613659939581E-4</v>
      </c>
      <c r="F2521" s="124">
        <v>2515</v>
      </c>
      <c r="G2521" s="238">
        <f t="shared" ca="1" si="80"/>
        <v>9.2531271023615531E-3</v>
      </c>
      <c r="I2521" s="156"/>
    </row>
    <row r="2522" spans="2:9" x14ac:dyDescent="0.2">
      <c r="B2522" s="230">
        <v>42282</v>
      </c>
      <c r="C2522" s="124">
        <v>218.44</v>
      </c>
      <c r="D2522" s="156">
        <f t="shared" si="79"/>
        <v>-3.8937040784900324E-2</v>
      </c>
      <c r="E2522" s="156">
        <v>-4.8661800486615237E-4</v>
      </c>
      <c r="F2522" s="124">
        <v>2516</v>
      </c>
      <c r="G2522" s="238">
        <f t="shared" ca="1" si="80"/>
        <v>1.2231435740589062E-3</v>
      </c>
      <c r="I2522" s="156"/>
    </row>
    <row r="2523" spans="2:9" x14ac:dyDescent="0.2">
      <c r="B2523" s="230">
        <v>42278</v>
      </c>
      <c r="C2523" s="124">
        <v>217.95</v>
      </c>
      <c r="D2523" s="156">
        <f t="shared" si="79"/>
        <v>-2.2431789049625027E-3</v>
      </c>
      <c r="E2523" s="156">
        <v>-4.8685491723463639E-4</v>
      </c>
      <c r="F2523" s="124">
        <v>2517</v>
      </c>
      <c r="G2523" s="238">
        <f t="shared" ca="1" si="80"/>
        <v>-9.3228408629211154E-3</v>
      </c>
      <c r="I2523" s="156"/>
    </row>
    <row r="2524" spans="2:9" x14ac:dyDescent="0.2">
      <c r="B2524" s="230">
        <v>42277</v>
      </c>
      <c r="C2524" s="124">
        <v>217.98</v>
      </c>
      <c r="D2524" s="156">
        <f t="shared" si="79"/>
        <v>1.3764624913971616E-4</v>
      </c>
      <c r="E2524" s="156">
        <v>-4.9073733284256806E-4</v>
      </c>
      <c r="F2524" s="124">
        <v>2518</v>
      </c>
      <c r="G2524" s="238">
        <f t="shared" ca="1" si="80"/>
        <v>-2.3083577476618638E-2</v>
      </c>
      <c r="I2524" s="156"/>
    </row>
    <row r="2525" spans="2:9" x14ac:dyDescent="0.2">
      <c r="B2525" s="230">
        <v>42276</v>
      </c>
      <c r="C2525" s="124">
        <v>212.41</v>
      </c>
      <c r="D2525" s="156">
        <f t="shared" si="79"/>
        <v>-2.5552803009450377E-2</v>
      </c>
      <c r="E2525" s="156">
        <v>-4.9991668055335476E-4</v>
      </c>
      <c r="F2525" s="124">
        <v>2519</v>
      </c>
      <c r="G2525" s="238">
        <f t="shared" ca="1" si="80"/>
        <v>-2.8340659598787055E-2</v>
      </c>
      <c r="I2525" s="156"/>
    </row>
    <row r="2526" spans="2:9" x14ac:dyDescent="0.2">
      <c r="B2526" s="230">
        <v>42275</v>
      </c>
      <c r="C2526" s="124">
        <v>211.65</v>
      </c>
      <c r="D2526" s="156">
        <f t="shared" si="79"/>
        <v>-3.5779859705286519E-3</v>
      </c>
      <c r="E2526" s="156">
        <v>-5.0030018010803641E-4</v>
      </c>
      <c r="F2526" s="124">
        <v>2520</v>
      </c>
      <c r="G2526" s="238">
        <f t="shared" ca="1" si="80"/>
        <v>5.7598669796930808E-3</v>
      </c>
      <c r="I2526" s="156"/>
    </row>
    <row r="2527" spans="2:9" x14ac:dyDescent="0.2">
      <c r="B2527" s="230">
        <v>42271</v>
      </c>
      <c r="C2527" s="124">
        <v>213.84</v>
      </c>
      <c r="D2527" s="156">
        <f t="shared" si="79"/>
        <v>1.0347271438695949E-2</v>
      </c>
      <c r="E2527" s="156">
        <v>-5.1142175247198812E-4</v>
      </c>
      <c r="F2527" s="124">
        <v>2521</v>
      </c>
      <c r="G2527" s="238">
        <f t="shared" ca="1" si="80"/>
        <v>2.2776546355273054E-4</v>
      </c>
      <c r="I2527" s="156"/>
    </row>
    <row r="2528" spans="2:9" x14ac:dyDescent="0.2">
      <c r="B2528" s="230">
        <v>42270</v>
      </c>
      <c r="C2528" s="124">
        <v>209.56</v>
      </c>
      <c r="D2528" s="156">
        <f t="shared" si="79"/>
        <v>-2.001496445940891E-2</v>
      </c>
      <c r="E2528" s="156">
        <v>-5.1493305870231848E-4</v>
      </c>
      <c r="F2528" s="124">
        <v>2522</v>
      </c>
      <c r="G2528" s="238">
        <f t="shared" ca="1" si="80"/>
        <v>1.2342354655471906E-2</v>
      </c>
      <c r="I2528" s="156"/>
    </row>
    <row r="2529" spans="2:9" x14ac:dyDescent="0.2">
      <c r="B2529" s="230">
        <v>42269</v>
      </c>
      <c r="C2529" s="124">
        <v>206.94</v>
      </c>
      <c r="D2529" s="156">
        <f t="shared" si="79"/>
        <v>-1.2502385951517486E-2</v>
      </c>
      <c r="E2529" s="156">
        <v>-5.3069166814072983E-4</v>
      </c>
      <c r="F2529" s="124">
        <v>2523</v>
      </c>
      <c r="G2529" s="238">
        <f t="shared" ca="1" si="80"/>
        <v>-2.1568713091297924E-2</v>
      </c>
      <c r="I2529" s="156"/>
    </row>
    <row r="2530" spans="2:9" x14ac:dyDescent="0.2">
      <c r="B2530" s="230">
        <v>42268</v>
      </c>
      <c r="C2530" s="124">
        <v>208.33</v>
      </c>
      <c r="D2530" s="156">
        <f t="shared" si="79"/>
        <v>6.7169227795496993E-3</v>
      </c>
      <c r="E2530" s="156">
        <v>-5.5015587749854126E-4</v>
      </c>
      <c r="F2530" s="124">
        <v>2524</v>
      </c>
      <c r="G2530" s="238">
        <f t="shared" ca="1" si="80"/>
        <v>6.2414505632191744E-3</v>
      </c>
      <c r="I2530" s="156"/>
    </row>
    <row r="2531" spans="2:9" x14ac:dyDescent="0.2">
      <c r="B2531" s="230">
        <v>42265</v>
      </c>
      <c r="C2531" s="124">
        <v>210.82</v>
      </c>
      <c r="D2531" s="156">
        <f t="shared" si="79"/>
        <v>1.1952191235059667E-2</v>
      </c>
      <c r="E2531" s="156">
        <v>-5.5498295409492728E-4</v>
      </c>
      <c r="F2531" s="124">
        <v>2525</v>
      </c>
      <c r="G2531" s="238">
        <f t="shared" ca="1" si="80"/>
        <v>3.3861047172509817E-2</v>
      </c>
      <c r="I2531" s="156"/>
    </row>
    <row r="2532" spans="2:9" x14ac:dyDescent="0.2">
      <c r="B2532" s="230">
        <v>42263</v>
      </c>
      <c r="C2532" s="124">
        <v>213.57</v>
      </c>
      <c r="D2532" s="156">
        <f t="shared" si="79"/>
        <v>1.3044303197040129E-2</v>
      </c>
      <c r="E2532" s="156">
        <v>-5.5517002081876534E-4</v>
      </c>
      <c r="F2532" s="124">
        <v>2526</v>
      </c>
      <c r="G2532" s="238">
        <f t="shared" ca="1" si="80"/>
        <v>1.669665446063165E-3</v>
      </c>
      <c r="I2532" s="156"/>
    </row>
    <row r="2533" spans="2:9" x14ac:dyDescent="0.2">
      <c r="B2533" s="230">
        <v>42262</v>
      </c>
      <c r="C2533" s="124">
        <v>210.42</v>
      </c>
      <c r="D2533" s="156">
        <f t="shared" si="79"/>
        <v>-1.4749262536873184E-2</v>
      </c>
      <c r="E2533" s="156">
        <v>-5.663254192987317E-4</v>
      </c>
      <c r="F2533" s="124">
        <v>2527</v>
      </c>
      <c r="G2533" s="238">
        <f t="shared" ca="1" si="80"/>
        <v>1.7186247526929849E-2</v>
      </c>
      <c r="I2533" s="156"/>
    </row>
    <row r="2534" spans="2:9" x14ac:dyDescent="0.2">
      <c r="B2534" s="230">
        <v>42261</v>
      </c>
      <c r="C2534" s="124">
        <v>207.94</v>
      </c>
      <c r="D2534" s="156">
        <f t="shared" si="79"/>
        <v>-1.1785951905712336E-2</v>
      </c>
      <c r="E2534" s="156">
        <v>-5.6764427625346169E-4</v>
      </c>
      <c r="F2534" s="124">
        <v>2528</v>
      </c>
      <c r="G2534" s="238">
        <f t="shared" ca="1" si="80"/>
        <v>-1.5163633974409634E-2</v>
      </c>
      <c r="I2534" s="156"/>
    </row>
    <row r="2535" spans="2:9" x14ac:dyDescent="0.2">
      <c r="B2535" s="230">
        <v>42258</v>
      </c>
      <c r="C2535" s="124">
        <v>208</v>
      </c>
      <c r="D2535" s="156">
        <f t="shared" si="79"/>
        <v>2.885447725305486E-4</v>
      </c>
      <c r="E2535" s="156">
        <v>-5.7665010645846103E-4</v>
      </c>
      <c r="F2535" s="124">
        <v>2529</v>
      </c>
      <c r="G2535" s="238">
        <f t="shared" ca="1" si="80"/>
        <v>-1.218347994829617E-2</v>
      </c>
      <c r="I2535" s="156"/>
    </row>
    <row r="2536" spans="2:9" x14ac:dyDescent="0.2">
      <c r="B2536" s="230">
        <v>42257</v>
      </c>
      <c r="C2536" s="124">
        <v>207.74</v>
      </c>
      <c r="D2536" s="156">
        <f t="shared" si="79"/>
        <v>-1.2499999999999562E-3</v>
      </c>
      <c r="E2536" s="156">
        <v>-5.7781201849011594E-4</v>
      </c>
      <c r="F2536" s="124">
        <v>2530</v>
      </c>
      <c r="G2536" s="238">
        <f t="shared" ca="1" si="80"/>
        <v>3.1254983122678652E-2</v>
      </c>
      <c r="I2536" s="156"/>
    </row>
    <row r="2537" spans="2:9" x14ac:dyDescent="0.2">
      <c r="B2537" s="230">
        <v>42256</v>
      </c>
      <c r="C2537" s="124">
        <v>208.43</v>
      </c>
      <c r="D2537" s="156">
        <f t="shared" si="79"/>
        <v>3.3214595167035607E-3</v>
      </c>
      <c r="E2537" s="156">
        <v>-5.7921939048295962E-4</v>
      </c>
      <c r="F2537" s="124">
        <v>2531</v>
      </c>
      <c r="G2537" s="238">
        <f t="shared" ca="1" si="80"/>
        <v>7.9793903195122876E-3</v>
      </c>
      <c r="I2537" s="156"/>
    </row>
    <row r="2538" spans="2:9" x14ac:dyDescent="0.2">
      <c r="B2538" s="230">
        <v>42255</v>
      </c>
      <c r="C2538" s="124">
        <v>207.44</v>
      </c>
      <c r="D2538" s="156">
        <f t="shared" si="79"/>
        <v>-4.7497960946121433E-3</v>
      </c>
      <c r="E2538" s="156">
        <v>-6.0012925860952564E-4</v>
      </c>
      <c r="F2538" s="124">
        <v>2532</v>
      </c>
      <c r="G2538" s="238">
        <f t="shared" ca="1" si="80"/>
        <v>-1.9465120957060653E-3</v>
      </c>
      <c r="I2538" s="156"/>
    </row>
    <row r="2539" spans="2:9" x14ac:dyDescent="0.2">
      <c r="B2539" s="230">
        <v>42254</v>
      </c>
      <c r="C2539" s="124">
        <v>207.8</v>
      </c>
      <c r="D2539" s="156">
        <f t="shared" si="79"/>
        <v>1.7354415734670925E-3</v>
      </c>
      <c r="E2539" s="156">
        <v>-6.0228869704880819E-4</v>
      </c>
      <c r="F2539" s="124">
        <v>2533</v>
      </c>
      <c r="G2539" s="238">
        <f t="shared" ca="1" si="80"/>
        <v>-1.0755294627882363E-2</v>
      </c>
      <c r="I2539" s="156"/>
    </row>
    <row r="2540" spans="2:9" x14ac:dyDescent="0.2">
      <c r="B2540" s="230">
        <v>42251</v>
      </c>
      <c r="C2540" s="124">
        <v>210.22</v>
      </c>
      <c r="D2540" s="156">
        <f t="shared" si="79"/>
        <v>1.1645813282001864E-2</v>
      </c>
      <c r="E2540" s="156">
        <v>-6.0277275467151171E-4</v>
      </c>
      <c r="F2540" s="124">
        <v>2534</v>
      </c>
      <c r="G2540" s="238">
        <f t="shared" ca="1" si="80"/>
        <v>9.4775788575997954E-3</v>
      </c>
      <c r="I2540" s="156"/>
    </row>
    <row r="2541" spans="2:9" x14ac:dyDescent="0.2">
      <c r="B2541" s="230">
        <v>42250</v>
      </c>
      <c r="C2541" s="124">
        <v>212.15</v>
      </c>
      <c r="D2541" s="156">
        <f t="shared" si="79"/>
        <v>9.1808581486062541E-3</v>
      </c>
      <c r="E2541" s="156">
        <v>-6.0454270662412457E-4</v>
      </c>
      <c r="F2541" s="124">
        <v>2535</v>
      </c>
      <c r="G2541" s="238">
        <f t="shared" ca="1" si="80"/>
        <v>-6.0998247941547214E-3</v>
      </c>
      <c r="I2541" s="156"/>
    </row>
    <row r="2542" spans="2:9" x14ac:dyDescent="0.2">
      <c r="B2542" s="230">
        <v>42249</v>
      </c>
      <c r="C2542" s="124">
        <v>212.21</v>
      </c>
      <c r="D2542" s="156">
        <f t="shared" si="79"/>
        <v>2.8281876031111133E-4</v>
      </c>
      <c r="E2542" s="156">
        <v>-6.0698027314108843E-4</v>
      </c>
      <c r="F2542" s="124">
        <v>2536</v>
      </c>
      <c r="G2542" s="238">
        <f t="shared" ca="1" si="80"/>
        <v>-7.061745099967022E-3</v>
      </c>
      <c r="I2542" s="156"/>
    </row>
    <row r="2543" spans="2:9" x14ac:dyDescent="0.2">
      <c r="B2543" s="230">
        <v>42248</v>
      </c>
      <c r="C2543" s="124">
        <v>209.13</v>
      </c>
      <c r="D2543" s="156">
        <f t="shared" si="79"/>
        <v>-1.4513924885726462E-2</v>
      </c>
      <c r="E2543" s="156">
        <v>-6.1159407627445878E-4</v>
      </c>
      <c r="F2543" s="124">
        <v>2537</v>
      </c>
      <c r="G2543" s="238">
        <f t="shared" ca="1" si="80"/>
        <v>3.4957567354446044E-2</v>
      </c>
      <c r="I2543" s="156"/>
    </row>
    <row r="2544" spans="2:9" x14ac:dyDescent="0.2">
      <c r="B2544" s="230">
        <v>42247</v>
      </c>
      <c r="C2544" s="124">
        <v>215.56</v>
      </c>
      <c r="D2544" s="156">
        <f t="shared" si="79"/>
        <v>3.0746425668244665E-2</v>
      </c>
      <c r="E2544" s="156">
        <v>-6.1348056866986252E-4</v>
      </c>
      <c r="F2544" s="124">
        <v>2538</v>
      </c>
      <c r="G2544" s="238">
        <f t="shared" ca="1" si="80"/>
        <v>7.3104587599408131E-3</v>
      </c>
      <c r="I2544" s="156"/>
    </row>
    <row r="2545" spans="2:9" x14ac:dyDescent="0.2">
      <c r="B2545" s="230">
        <v>42244</v>
      </c>
      <c r="C2545" s="124">
        <v>216.79</v>
      </c>
      <c r="D2545" s="156">
        <f t="shared" si="79"/>
        <v>5.706067916125393E-3</v>
      </c>
      <c r="E2545" s="156">
        <v>-6.1450225317495166E-4</v>
      </c>
      <c r="F2545" s="124">
        <v>2539</v>
      </c>
      <c r="G2545" s="238">
        <f t="shared" ca="1" si="80"/>
        <v>9.9485400075841474E-3</v>
      </c>
      <c r="I2545" s="156"/>
    </row>
    <row r="2546" spans="2:9" x14ac:dyDescent="0.2">
      <c r="B2546" s="230">
        <v>42243</v>
      </c>
      <c r="C2546" s="124">
        <v>215.92</v>
      </c>
      <c r="D2546" s="156">
        <f t="shared" si="79"/>
        <v>-4.0131002352507246E-3</v>
      </c>
      <c r="E2546" s="156">
        <v>-6.1625977719836672E-4</v>
      </c>
      <c r="F2546" s="124">
        <v>2540</v>
      </c>
      <c r="G2546" s="238">
        <f t="shared" ca="1" si="80"/>
        <v>2.2497700693074156E-2</v>
      </c>
      <c r="I2546" s="156"/>
    </row>
    <row r="2547" spans="2:9" x14ac:dyDescent="0.2">
      <c r="B2547" s="230">
        <v>42242</v>
      </c>
      <c r="C2547" s="124">
        <v>210.59</v>
      </c>
      <c r="D2547" s="156">
        <f t="shared" si="79"/>
        <v>-2.4685068543905078E-2</v>
      </c>
      <c r="E2547" s="156">
        <v>-6.2005151197174217E-4</v>
      </c>
      <c r="F2547" s="124">
        <v>2541</v>
      </c>
      <c r="G2547" s="238">
        <f t="shared" ca="1" si="80"/>
        <v>1.2099941407438053E-2</v>
      </c>
      <c r="I2547" s="156"/>
    </row>
    <row r="2548" spans="2:9" x14ac:dyDescent="0.2">
      <c r="B2548" s="230">
        <v>42241</v>
      </c>
      <c r="C2548" s="124">
        <v>212.08</v>
      </c>
      <c r="D2548" s="156">
        <f t="shared" si="79"/>
        <v>7.0753597036896767E-3</v>
      </c>
      <c r="E2548" s="156">
        <v>-6.210904573886978E-4</v>
      </c>
      <c r="F2548" s="124">
        <v>2542</v>
      </c>
      <c r="G2548" s="238">
        <f t="shared" ca="1" si="80"/>
        <v>1.0231823498084524E-2</v>
      </c>
      <c r="I2548" s="156"/>
    </row>
    <row r="2549" spans="2:9" x14ac:dyDescent="0.2">
      <c r="B2549" s="230">
        <v>42240</v>
      </c>
      <c r="C2549" s="124">
        <v>212.28</v>
      </c>
      <c r="D2549" s="156">
        <f t="shared" si="79"/>
        <v>9.4304036212744535E-4</v>
      </c>
      <c r="E2549" s="156">
        <v>-6.3036626453650787E-4</v>
      </c>
      <c r="F2549" s="124">
        <v>2543</v>
      </c>
      <c r="G2549" s="238">
        <f t="shared" ca="1" si="80"/>
        <v>6.1707896139387066E-3</v>
      </c>
      <c r="I2549" s="156"/>
    </row>
    <row r="2550" spans="2:9" x14ac:dyDescent="0.2">
      <c r="B2550" s="230">
        <v>42237</v>
      </c>
      <c r="C2550" s="124">
        <v>219.27</v>
      </c>
      <c r="D2550" s="156">
        <f t="shared" si="79"/>
        <v>3.2928208027134018E-2</v>
      </c>
      <c r="E2550" s="156">
        <v>-6.6418703506903774E-4</v>
      </c>
      <c r="F2550" s="124">
        <v>2544</v>
      </c>
      <c r="G2550" s="238">
        <f t="shared" ca="1" si="80"/>
        <v>-1.450695535315789E-2</v>
      </c>
      <c r="I2550" s="156"/>
    </row>
    <row r="2551" spans="2:9" x14ac:dyDescent="0.2">
      <c r="B2551" s="230">
        <v>42236</v>
      </c>
      <c r="C2551" s="124">
        <v>218.34</v>
      </c>
      <c r="D2551" s="156">
        <f t="shared" si="79"/>
        <v>-4.2413462854015904E-3</v>
      </c>
      <c r="E2551" s="156">
        <v>-6.6979236436703199E-4</v>
      </c>
      <c r="F2551" s="124">
        <v>2545</v>
      </c>
      <c r="G2551" s="238">
        <f t="shared" ca="1" si="80"/>
        <v>-1.353712452868242E-3</v>
      </c>
      <c r="I2551" s="156"/>
    </row>
    <row r="2552" spans="2:9" x14ac:dyDescent="0.2">
      <c r="B2552" s="230">
        <v>42235</v>
      </c>
      <c r="C2552" s="124">
        <v>210.09</v>
      </c>
      <c r="D2552" s="156">
        <f t="shared" si="79"/>
        <v>-3.7785105798296234E-2</v>
      </c>
      <c r="E2552" s="156">
        <v>-6.9808027923213807E-4</v>
      </c>
      <c r="F2552" s="124">
        <v>2546</v>
      </c>
      <c r="G2552" s="238">
        <f t="shared" ca="1" si="80"/>
        <v>-6.8704457107515013E-3</v>
      </c>
      <c r="I2552" s="156"/>
    </row>
    <row r="2553" spans="2:9" x14ac:dyDescent="0.2">
      <c r="B2553" s="230">
        <v>42234</v>
      </c>
      <c r="C2553" s="124">
        <v>208.73</v>
      </c>
      <c r="D2553" s="156">
        <f t="shared" si="79"/>
        <v>-6.4734161549812631E-3</v>
      </c>
      <c r="E2553" s="156">
        <v>-7.1710290426672157E-4</v>
      </c>
      <c r="F2553" s="124">
        <v>2547</v>
      </c>
      <c r="G2553" s="238">
        <f t="shared" ca="1" si="80"/>
        <v>7.8715862965406738E-3</v>
      </c>
      <c r="I2553" s="156"/>
    </row>
    <row r="2554" spans="2:9" x14ac:dyDescent="0.2">
      <c r="B2554" s="230">
        <v>42233</v>
      </c>
      <c r="C2554" s="124">
        <v>210.09</v>
      </c>
      <c r="D2554" s="156">
        <f t="shared" si="79"/>
        <v>6.5155943084368026E-3</v>
      </c>
      <c r="E2554" s="156">
        <v>-7.2005154053131359E-4</v>
      </c>
      <c r="F2554" s="124">
        <v>2548</v>
      </c>
      <c r="G2554" s="238">
        <f t="shared" ca="1" si="80"/>
        <v>-1.0966121187651911E-3</v>
      </c>
      <c r="I2554" s="156"/>
    </row>
    <row r="2555" spans="2:9" x14ac:dyDescent="0.2">
      <c r="B2555" s="230">
        <v>42230</v>
      </c>
      <c r="C2555" s="124">
        <v>210.92</v>
      </c>
      <c r="D2555" s="156">
        <f t="shared" si="79"/>
        <v>3.9506878004663907E-3</v>
      </c>
      <c r="E2555" s="156">
        <v>-7.2140886908557574E-4</v>
      </c>
      <c r="F2555" s="124">
        <v>2549</v>
      </c>
      <c r="G2555" s="238">
        <f t="shared" ca="1" si="80"/>
        <v>1.3911270056649513E-2</v>
      </c>
      <c r="I2555" s="156"/>
    </row>
    <row r="2556" spans="2:9" x14ac:dyDescent="0.2">
      <c r="B2556" s="230">
        <v>42229</v>
      </c>
      <c r="C2556" s="124">
        <v>209.73</v>
      </c>
      <c r="D2556" s="156">
        <f t="shared" si="79"/>
        <v>-5.6419495543333859E-3</v>
      </c>
      <c r="E2556" s="156">
        <v>-7.3041311306372176E-4</v>
      </c>
      <c r="F2556" s="124">
        <v>2550</v>
      </c>
      <c r="G2556" s="238">
        <f t="shared" ca="1" si="80"/>
        <v>-3.6705599959122738E-2</v>
      </c>
      <c r="I2556" s="156"/>
    </row>
    <row r="2557" spans="2:9" x14ac:dyDescent="0.2">
      <c r="B2557" s="230">
        <v>42228</v>
      </c>
      <c r="C2557" s="124">
        <v>209.99</v>
      </c>
      <c r="D2557" s="156">
        <f t="shared" si="79"/>
        <v>1.2396891241120457E-3</v>
      </c>
      <c r="E2557" s="156">
        <v>-7.3215375228800818E-4</v>
      </c>
      <c r="F2557" s="124">
        <v>2551</v>
      </c>
      <c r="G2557" s="238">
        <f t="shared" ca="1" si="80"/>
        <v>1.7600556827353449E-2</v>
      </c>
      <c r="I2557" s="156"/>
    </row>
    <row r="2558" spans="2:9" x14ac:dyDescent="0.2">
      <c r="B2558" s="230">
        <v>42227</v>
      </c>
      <c r="C2558" s="124">
        <v>212.21</v>
      </c>
      <c r="D2558" s="156">
        <f t="shared" ref="D2558:D2621" si="81">(C2558-C2557)/C2557</f>
        <v>1.0571931996761744E-2</v>
      </c>
      <c r="E2558" s="156">
        <v>-7.3224310471079173E-4</v>
      </c>
      <c r="F2558" s="124">
        <v>2552</v>
      </c>
      <c r="G2558" s="238">
        <f t="shared" ca="1" si="80"/>
        <v>6.8465294393086221E-3</v>
      </c>
      <c r="I2558" s="156"/>
    </row>
    <row r="2559" spans="2:9" x14ac:dyDescent="0.2">
      <c r="B2559" s="230">
        <v>42226</v>
      </c>
      <c r="C2559" s="124">
        <v>212.78</v>
      </c>
      <c r="D2559" s="156">
        <f t="shared" si="81"/>
        <v>2.6860185665142696E-3</v>
      </c>
      <c r="E2559" s="156">
        <v>-7.3841609747109271E-4</v>
      </c>
      <c r="F2559" s="124">
        <v>2553</v>
      </c>
      <c r="G2559" s="238">
        <f t="shared" ca="1" si="80"/>
        <v>-2.8225332417370845E-2</v>
      </c>
      <c r="I2559" s="156"/>
    </row>
    <row r="2560" spans="2:9" x14ac:dyDescent="0.2">
      <c r="B2560" s="230">
        <v>42223</v>
      </c>
      <c r="C2560" s="124">
        <v>215.1</v>
      </c>
      <c r="D2560" s="156">
        <f t="shared" si="81"/>
        <v>1.0903280383494657E-2</v>
      </c>
      <c r="E2560" s="156">
        <v>-7.3855243722300082E-4</v>
      </c>
      <c r="F2560" s="124">
        <v>2554</v>
      </c>
      <c r="G2560" s="238">
        <f t="shared" ca="1" si="80"/>
        <v>-2.4879292723632578E-2</v>
      </c>
      <c r="I2560" s="156"/>
    </row>
    <row r="2561" spans="2:9" x14ac:dyDescent="0.2">
      <c r="B2561" s="230">
        <v>42222</v>
      </c>
      <c r="C2561" s="124">
        <v>216.29</v>
      </c>
      <c r="D2561" s="156">
        <f t="shared" si="81"/>
        <v>5.5323105532310447E-3</v>
      </c>
      <c r="E2561" s="156">
        <v>-7.6103500761030677E-4</v>
      </c>
      <c r="F2561" s="124">
        <v>2555</v>
      </c>
      <c r="G2561" s="238">
        <f t="shared" ca="1" si="80"/>
        <v>1.603702993893915E-2</v>
      </c>
      <c r="I2561" s="156"/>
    </row>
    <row r="2562" spans="2:9" x14ac:dyDescent="0.2">
      <c r="B2562" s="230">
        <v>42221</v>
      </c>
      <c r="C2562" s="124">
        <v>219.97</v>
      </c>
      <c r="D2562" s="156">
        <f t="shared" si="81"/>
        <v>1.7014193906329498E-2</v>
      </c>
      <c r="E2562" s="156">
        <v>-7.6204991426934133E-4</v>
      </c>
      <c r="F2562" s="124">
        <v>2556</v>
      </c>
      <c r="G2562" s="238">
        <f t="shared" ca="1" si="80"/>
        <v>-4.2148007195694732E-2</v>
      </c>
      <c r="I2562" s="156"/>
    </row>
    <row r="2563" spans="2:9" x14ac:dyDescent="0.2">
      <c r="B2563" s="230">
        <v>42220</v>
      </c>
      <c r="C2563" s="124">
        <v>218.71</v>
      </c>
      <c r="D2563" s="156">
        <f t="shared" si="81"/>
        <v>-5.728053825521621E-3</v>
      </c>
      <c r="E2563" s="156">
        <v>-7.6967481239193945E-4</v>
      </c>
      <c r="F2563" s="124">
        <v>2557</v>
      </c>
      <c r="G2563" s="238">
        <f t="shared" ca="1" si="80"/>
        <v>8.6432439082778194E-3</v>
      </c>
      <c r="I2563" s="156"/>
    </row>
    <row r="2564" spans="2:9" x14ac:dyDescent="0.2">
      <c r="B2564" s="230">
        <v>42219</v>
      </c>
      <c r="C2564" s="124">
        <v>219.8</v>
      </c>
      <c r="D2564" s="156">
        <f t="shared" si="81"/>
        <v>4.98376846051851E-3</v>
      </c>
      <c r="E2564" s="156">
        <v>-7.7666551605099421E-4</v>
      </c>
      <c r="F2564" s="124">
        <v>2558</v>
      </c>
      <c r="G2564" s="238">
        <f t="shared" ca="1" si="80"/>
        <v>2.4590534598639231E-3</v>
      </c>
      <c r="I2564" s="156"/>
    </row>
    <row r="2565" spans="2:9" x14ac:dyDescent="0.2">
      <c r="B2565" s="230">
        <v>42216</v>
      </c>
      <c r="C2565" s="124">
        <v>216.12</v>
      </c>
      <c r="D2565" s="156">
        <f t="shared" si="81"/>
        <v>-1.6742493175614225E-2</v>
      </c>
      <c r="E2565" s="156">
        <v>-7.9581628012725307E-4</v>
      </c>
      <c r="F2565" s="124">
        <v>2559</v>
      </c>
      <c r="G2565" s="238">
        <f t="shared" ca="1" si="80"/>
        <v>-2.8832545718093638E-3</v>
      </c>
      <c r="I2565" s="156"/>
    </row>
    <row r="2566" spans="2:9" x14ac:dyDescent="0.2">
      <c r="B2566" s="230">
        <v>42215</v>
      </c>
      <c r="C2566" s="124">
        <v>209.46</v>
      </c>
      <c r="D2566" s="156">
        <f t="shared" si="81"/>
        <v>-3.0816213214880605E-2</v>
      </c>
      <c r="E2566" s="156">
        <v>-8.0295487393615319E-4</v>
      </c>
      <c r="F2566" s="124">
        <v>2560</v>
      </c>
      <c r="G2566" s="238">
        <f t="shared" ca="1" si="80"/>
        <v>-2.2653953383237616E-2</v>
      </c>
      <c r="I2566" s="156"/>
    </row>
    <row r="2567" spans="2:9" x14ac:dyDescent="0.2">
      <c r="B2567" s="230">
        <v>42214</v>
      </c>
      <c r="C2567" s="124">
        <v>201.54</v>
      </c>
      <c r="D2567" s="156">
        <f t="shared" si="81"/>
        <v>-3.7811515325121815E-2</v>
      </c>
      <c r="E2567" s="156">
        <v>-8.0919242595889308E-4</v>
      </c>
      <c r="F2567" s="124">
        <v>2561</v>
      </c>
      <c r="G2567" s="238">
        <f t="shared" ref="G2567:G2630" ca="1" si="82">_xlfn.NORM.INV(RAND(),$L$8,$L$9)</f>
        <v>6.1902597081939827E-3</v>
      </c>
      <c r="I2567" s="156"/>
    </row>
    <row r="2568" spans="2:9" x14ac:dyDescent="0.2">
      <c r="B2568" s="230">
        <v>42213</v>
      </c>
      <c r="C2568" s="124">
        <v>206.31</v>
      </c>
      <c r="D2568" s="156">
        <f t="shared" si="81"/>
        <v>2.3667758261387371E-2</v>
      </c>
      <c r="E2568" s="156">
        <v>-8.1261950286800905E-4</v>
      </c>
      <c r="F2568" s="124">
        <v>2562</v>
      </c>
      <c r="G2568" s="238">
        <f t="shared" ca="1" si="82"/>
        <v>2.5021892717676054E-2</v>
      </c>
      <c r="I2568" s="156"/>
    </row>
    <row r="2569" spans="2:9" x14ac:dyDescent="0.2">
      <c r="B2569" s="230">
        <v>42212</v>
      </c>
      <c r="C2569" s="124">
        <v>206.61</v>
      </c>
      <c r="D2569" s="156">
        <f t="shared" si="81"/>
        <v>1.4541224371092598E-3</v>
      </c>
      <c r="E2569" s="156">
        <v>-8.1287595512920111E-4</v>
      </c>
      <c r="F2569" s="124">
        <v>2563</v>
      </c>
      <c r="G2569" s="238">
        <f t="shared" ca="1" si="82"/>
        <v>1.0870221551499127E-3</v>
      </c>
      <c r="I2569" s="156"/>
    </row>
    <row r="2570" spans="2:9" x14ac:dyDescent="0.2">
      <c r="B2570" s="230">
        <v>42209</v>
      </c>
      <c r="C2570" s="124">
        <v>208.53</v>
      </c>
      <c r="D2570" s="156">
        <f t="shared" si="81"/>
        <v>9.2928706258166953E-3</v>
      </c>
      <c r="E2570" s="156">
        <v>-8.1503618266685787E-4</v>
      </c>
      <c r="F2570" s="124">
        <v>2564</v>
      </c>
      <c r="G2570" s="238">
        <f t="shared" ca="1" si="82"/>
        <v>2.2124299597585058E-2</v>
      </c>
      <c r="I2570" s="156"/>
    </row>
    <row r="2571" spans="2:9" x14ac:dyDescent="0.2">
      <c r="B2571" s="230">
        <v>42208</v>
      </c>
      <c r="C2571" s="124">
        <v>208.9</v>
      </c>
      <c r="D2571" s="156">
        <f t="shared" si="81"/>
        <v>1.7743250371649382E-3</v>
      </c>
      <c r="E2571" s="156">
        <v>-8.1833060556471787E-4</v>
      </c>
      <c r="F2571" s="124">
        <v>2565</v>
      </c>
      <c r="G2571" s="238">
        <f t="shared" ca="1" si="82"/>
        <v>1.1943006362433121E-3</v>
      </c>
      <c r="I2571" s="156"/>
    </row>
    <row r="2572" spans="2:9" x14ac:dyDescent="0.2">
      <c r="B2572" s="230">
        <v>42207</v>
      </c>
      <c r="C2572" s="124">
        <v>208.5</v>
      </c>
      <c r="D2572" s="156">
        <f t="shared" si="81"/>
        <v>-1.9147917663954316E-3</v>
      </c>
      <c r="E2572" s="156">
        <v>-8.3902968684458656E-4</v>
      </c>
      <c r="F2572" s="124">
        <v>2566</v>
      </c>
      <c r="G2572" s="238">
        <f t="shared" ca="1" si="82"/>
        <v>-1.1783477169222581E-2</v>
      </c>
      <c r="I2572" s="156"/>
    </row>
    <row r="2573" spans="2:9" x14ac:dyDescent="0.2">
      <c r="B2573" s="230">
        <v>42206</v>
      </c>
      <c r="C2573" s="124">
        <v>207.77</v>
      </c>
      <c r="D2573" s="156">
        <f t="shared" si="81"/>
        <v>-3.501199040767337E-3</v>
      </c>
      <c r="E2573" s="156">
        <v>-8.4932903006619943E-4</v>
      </c>
      <c r="F2573" s="124">
        <v>2567</v>
      </c>
      <c r="G2573" s="238">
        <f t="shared" ca="1" si="82"/>
        <v>-1.9400502424085121E-2</v>
      </c>
      <c r="I2573" s="156"/>
    </row>
    <row r="2574" spans="2:9" x14ac:dyDescent="0.2">
      <c r="B2574" s="230">
        <v>42205</v>
      </c>
      <c r="C2574" s="124">
        <v>212.48</v>
      </c>
      <c r="D2574" s="156">
        <f t="shared" si="81"/>
        <v>2.2669297781200266E-2</v>
      </c>
      <c r="E2574" s="156">
        <v>-8.4936297776675449E-4</v>
      </c>
      <c r="F2574" s="124">
        <v>2568</v>
      </c>
      <c r="G2574" s="238">
        <f t="shared" ca="1" si="82"/>
        <v>-3.9554361662827352E-2</v>
      </c>
      <c r="I2574" s="156"/>
    </row>
    <row r="2575" spans="2:9" x14ac:dyDescent="0.2">
      <c r="B2575" s="230">
        <v>42202</v>
      </c>
      <c r="C2575" s="124">
        <v>213.67</v>
      </c>
      <c r="D2575" s="156">
        <f t="shared" si="81"/>
        <v>5.6005271084337248E-3</v>
      </c>
      <c r="E2575" s="156">
        <v>-8.5149863760213148E-4</v>
      </c>
      <c r="F2575" s="124">
        <v>2569</v>
      </c>
      <c r="G2575" s="238">
        <f t="shared" ca="1" si="82"/>
        <v>1.1871740003744018E-2</v>
      </c>
      <c r="I2575" s="156"/>
    </row>
    <row r="2576" spans="2:9" x14ac:dyDescent="0.2">
      <c r="B2576" s="230">
        <v>42201</v>
      </c>
      <c r="C2576" s="124">
        <v>210.79</v>
      </c>
      <c r="D2576" s="156">
        <f t="shared" si="81"/>
        <v>-1.3478728880984675E-2</v>
      </c>
      <c r="E2576" s="156">
        <v>-8.5490962383968222E-4</v>
      </c>
      <c r="F2576" s="124">
        <v>2570</v>
      </c>
      <c r="G2576" s="238">
        <f t="shared" ca="1" si="82"/>
        <v>1.8825347059890873E-2</v>
      </c>
      <c r="I2576" s="156"/>
    </row>
    <row r="2577" spans="2:9" x14ac:dyDescent="0.2">
      <c r="B2577" s="230">
        <v>42200</v>
      </c>
      <c r="C2577" s="124">
        <v>208.17</v>
      </c>
      <c r="D2577" s="156">
        <f t="shared" si="81"/>
        <v>-1.242943213624937E-2</v>
      </c>
      <c r="E2577" s="156">
        <v>-8.5922308144529343E-4</v>
      </c>
      <c r="F2577" s="124">
        <v>2571</v>
      </c>
      <c r="G2577" s="238">
        <f t="shared" ca="1" si="82"/>
        <v>2.0232521251560057E-2</v>
      </c>
      <c r="I2577" s="156"/>
    </row>
    <row r="2578" spans="2:9" x14ac:dyDescent="0.2">
      <c r="B2578" s="230">
        <v>42199</v>
      </c>
      <c r="C2578" s="124">
        <v>207.04</v>
      </c>
      <c r="D2578" s="156">
        <f t="shared" si="81"/>
        <v>-5.4282557525099466E-3</v>
      </c>
      <c r="E2578" s="156">
        <v>-8.6040008603995976E-4</v>
      </c>
      <c r="F2578" s="124">
        <v>2572</v>
      </c>
      <c r="G2578" s="238">
        <f t="shared" ca="1" si="82"/>
        <v>-5.3147576413753337E-3</v>
      </c>
      <c r="I2578" s="156"/>
    </row>
    <row r="2579" spans="2:9" x14ac:dyDescent="0.2">
      <c r="B2579" s="230">
        <v>42198</v>
      </c>
      <c r="C2579" s="124">
        <v>208.57</v>
      </c>
      <c r="D2579" s="156">
        <f t="shared" si="81"/>
        <v>7.3898763523956778E-3</v>
      </c>
      <c r="E2579" s="156">
        <v>-8.6490226604401079E-4</v>
      </c>
      <c r="F2579" s="124">
        <v>2573</v>
      </c>
      <c r="G2579" s="238">
        <f t="shared" ca="1" si="82"/>
        <v>4.6615621244830066E-4</v>
      </c>
      <c r="I2579" s="156"/>
    </row>
    <row r="2580" spans="2:9" x14ac:dyDescent="0.2">
      <c r="B2580" s="230">
        <v>42195</v>
      </c>
      <c r="C2580" s="124">
        <v>205.45</v>
      </c>
      <c r="D2580" s="156">
        <f t="shared" si="81"/>
        <v>-1.4959006568538163E-2</v>
      </c>
      <c r="E2580" s="156">
        <v>-8.7503166232987646E-4</v>
      </c>
      <c r="F2580" s="124">
        <v>2574</v>
      </c>
      <c r="G2580" s="238">
        <f t="shared" ca="1" si="82"/>
        <v>-1.6733756360957635E-3</v>
      </c>
      <c r="I2580" s="156"/>
    </row>
    <row r="2581" spans="2:9" x14ac:dyDescent="0.2">
      <c r="B2581" s="230">
        <v>42194</v>
      </c>
      <c r="C2581" s="124">
        <v>205.91</v>
      </c>
      <c r="D2581" s="156">
        <f t="shared" si="81"/>
        <v>2.238987588221017E-3</v>
      </c>
      <c r="E2581" s="156">
        <v>-8.7782550083089178E-4</v>
      </c>
      <c r="F2581" s="124">
        <v>2575</v>
      </c>
      <c r="G2581" s="238">
        <f t="shared" ca="1" si="82"/>
        <v>9.4266847788161984E-3</v>
      </c>
      <c r="I2581" s="156"/>
    </row>
    <row r="2582" spans="2:9" x14ac:dyDescent="0.2">
      <c r="B2582" s="230">
        <v>42193</v>
      </c>
      <c r="C2582" s="124">
        <v>207.47</v>
      </c>
      <c r="D2582" s="156">
        <f t="shared" si="81"/>
        <v>7.5761254917196949E-3</v>
      </c>
      <c r="E2582" s="156">
        <v>-8.8573959255978745E-4</v>
      </c>
      <c r="F2582" s="124">
        <v>2576</v>
      </c>
      <c r="G2582" s="238">
        <f t="shared" ca="1" si="82"/>
        <v>1.9689929703923851E-3</v>
      </c>
      <c r="I2582" s="156"/>
    </row>
    <row r="2583" spans="2:9" x14ac:dyDescent="0.2">
      <c r="B2583" s="230">
        <v>42192</v>
      </c>
      <c r="C2583" s="124">
        <v>210.39</v>
      </c>
      <c r="D2583" s="156">
        <f t="shared" si="81"/>
        <v>1.4074323998650348E-2</v>
      </c>
      <c r="E2583" s="156">
        <v>-8.8857295183942175E-4</v>
      </c>
      <c r="F2583" s="124">
        <v>2577</v>
      </c>
      <c r="G2583" s="238">
        <f t="shared" ca="1" si="82"/>
        <v>-1.0462868500208604E-2</v>
      </c>
      <c r="I2583" s="156"/>
    </row>
    <row r="2584" spans="2:9" x14ac:dyDescent="0.2">
      <c r="B2584" s="230">
        <v>42191</v>
      </c>
      <c r="C2584" s="124">
        <v>211.09</v>
      </c>
      <c r="D2584" s="156">
        <f t="shared" si="81"/>
        <v>3.3271543324303299E-3</v>
      </c>
      <c r="E2584" s="156">
        <v>-9.1541559868180144E-4</v>
      </c>
      <c r="F2584" s="124">
        <v>2578</v>
      </c>
      <c r="G2584" s="238">
        <f t="shared" ca="1" si="82"/>
        <v>1.3331942488965416E-2</v>
      </c>
      <c r="I2584" s="156"/>
    </row>
    <row r="2585" spans="2:9" x14ac:dyDescent="0.2">
      <c r="B2585" s="230">
        <v>42188</v>
      </c>
      <c r="C2585" s="124">
        <v>209.23</v>
      </c>
      <c r="D2585" s="156">
        <f t="shared" si="81"/>
        <v>-8.8114074565351919E-3</v>
      </c>
      <c r="E2585" s="156">
        <v>-9.1748220640564969E-4</v>
      </c>
      <c r="F2585" s="124">
        <v>2579</v>
      </c>
      <c r="G2585" s="238">
        <f t="shared" ca="1" si="82"/>
        <v>-1.6615552245346945E-3</v>
      </c>
      <c r="I2585" s="156"/>
    </row>
    <row r="2586" spans="2:9" x14ac:dyDescent="0.2">
      <c r="B2586" s="230">
        <v>42187</v>
      </c>
      <c r="C2586" s="124">
        <v>208.86</v>
      </c>
      <c r="D2586" s="156">
        <f t="shared" si="81"/>
        <v>-1.7683888543706741E-3</v>
      </c>
      <c r="E2586" s="156">
        <v>-9.3025533060783728E-4</v>
      </c>
      <c r="F2586" s="124">
        <v>2580</v>
      </c>
      <c r="G2586" s="238">
        <f t="shared" ca="1" si="82"/>
        <v>-1.8980492028768853E-2</v>
      </c>
      <c r="I2586" s="156"/>
    </row>
    <row r="2587" spans="2:9" x14ac:dyDescent="0.2">
      <c r="B2587" s="230">
        <v>42186</v>
      </c>
      <c r="C2587" s="124">
        <v>207.9</v>
      </c>
      <c r="D2587" s="156">
        <f t="shared" si="81"/>
        <v>-4.5963803504740393E-3</v>
      </c>
      <c r="E2587" s="156">
        <v>-9.312721177127957E-4</v>
      </c>
      <c r="F2587" s="124">
        <v>2581</v>
      </c>
      <c r="G2587" s="238">
        <f t="shared" ca="1" si="82"/>
        <v>9.3432918723633848E-3</v>
      </c>
      <c r="I2587" s="156"/>
    </row>
    <row r="2588" spans="2:9" x14ac:dyDescent="0.2">
      <c r="B2588" s="230">
        <v>42185</v>
      </c>
      <c r="C2588" s="124">
        <v>208.93</v>
      </c>
      <c r="D2588" s="156">
        <f t="shared" si="81"/>
        <v>4.9543049543049594E-3</v>
      </c>
      <c r="E2588" s="156">
        <v>-9.3691442848234505E-4</v>
      </c>
      <c r="F2588" s="124">
        <v>2582</v>
      </c>
      <c r="G2588" s="238">
        <f t="shared" ca="1" si="82"/>
        <v>8.9153822690528541E-3</v>
      </c>
      <c r="I2588" s="156"/>
    </row>
    <row r="2589" spans="2:9" x14ac:dyDescent="0.2">
      <c r="B2589" s="230">
        <v>42184</v>
      </c>
      <c r="C2589" s="124">
        <v>205.48</v>
      </c>
      <c r="D2589" s="156">
        <f t="shared" si="81"/>
        <v>-1.6512707605418165E-2</v>
      </c>
      <c r="E2589" s="156">
        <v>-9.4246265491737926E-4</v>
      </c>
      <c r="F2589" s="124">
        <v>2583</v>
      </c>
      <c r="G2589" s="238">
        <f t="shared" ca="1" si="82"/>
        <v>-3.3312810338870943E-2</v>
      </c>
      <c r="I2589" s="156"/>
    </row>
    <row r="2590" spans="2:9" x14ac:dyDescent="0.2">
      <c r="B2590" s="230">
        <v>42181</v>
      </c>
      <c r="C2590" s="124">
        <v>204.16</v>
      </c>
      <c r="D2590" s="156">
        <f t="shared" si="81"/>
        <v>-6.423982869378982E-3</v>
      </c>
      <c r="E2590" s="156">
        <v>-9.5250753145491502E-4</v>
      </c>
      <c r="F2590" s="124">
        <v>2584</v>
      </c>
      <c r="G2590" s="238">
        <f t="shared" ca="1" si="82"/>
        <v>-1.4266953937147012E-2</v>
      </c>
      <c r="I2590" s="156"/>
    </row>
    <row r="2591" spans="2:9" x14ac:dyDescent="0.2">
      <c r="B2591" s="230">
        <v>42180</v>
      </c>
      <c r="C2591" s="124">
        <v>207.07</v>
      </c>
      <c r="D2591" s="156">
        <f t="shared" si="81"/>
        <v>1.4253526645768009E-2</v>
      </c>
      <c r="E2591" s="156">
        <v>-9.5937065285167471E-4</v>
      </c>
      <c r="F2591" s="124">
        <v>2585</v>
      </c>
      <c r="G2591" s="238">
        <f t="shared" ca="1" si="82"/>
        <v>-9.2560532075630832E-3</v>
      </c>
      <c r="I2591" s="156"/>
    </row>
    <row r="2592" spans="2:9" x14ac:dyDescent="0.2">
      <c r="B2592" s="230">
        <v>42179</v>
      </c>
      <c r="C2592" s="124">
        <v>207.94</v>
      </c>
      <c r="D2592" s="156">
        <f t="shared" si="81"/>
        <v>4.2014777611435964E-3</v>
      </c>
      <c r="E2592" s="156">
        <v>-9.5957778577434108E-4</v>
      </c>
      <c r="F2592" s="124">
        <v>2586</v>
      </c>
      <c r="G2592" s="238">
        <f t="shared" ca="1" si="82"/>
        <v>1.2889653139085059E-2</v>
      </c>
      <c r="I2592" s="156"/>
    </row>
    <row r="2593" spans="2:9" x14ac:dyDescent="0.2">
      <c r="B2593" s="230">
        <v>42178</v>
      </c>
      <c r="C2593" s="124">
        <v>208.53</v>
      </c>
      <c r="D2593" s="156">
        <f t="shared" si="81"/>
        <v>2.8373569298836368E-3</v>
      </c>
      <c r="E2593" s="156">
        <v>-9.6413420748162667E-4</v>
      </c>
      <c r="F2593" s="124">
        <v>2587</v>
      </c>
      <c r="G2593" s="238">
        <f t="shared" ca="1" si="82"/>
        <v>-6.8766259068372857E-3</v>
      </c>
      <c r="I2593" s="156"/>
    </row>
    <row r="2594" spans="2:9" x14ac:dyDescent="0.2">
      <c r="B2594" s="230">
        <v>42177</v>
      </c>
      <c r="C2594" s="124">
        <v>205.78</v>
      </c>
      <c r="D2594" s="156">
        <f t="shared" si="81"/>
        <v>-1.3187550951901404E-2</v>
      </c>
      <c r="E2594" s="156">
        <v>-9.6618357487917217E-4</v>
      </c>
      <c r="F2594" s="124">
        <v>2588</v>
      </c>
      <c r="G2594" s="238">
        <f t="shared" ca="1" si="82"/>
        <v>3.2400246390059687E-2</v>
      </c>
      <c r="I2594" s="156"/>
    </row>
    <row r="2595" spans="2:9" x14ac:dyDescent="0.2">
      <c r="B2595" s="230">
        <v>42174</v>
      </c>
      <c r="C2595" s="124">
        <v>202.2</v>
      </c>
      <c r="D2595" s="156">
        <f t="shared" si="81"/>
        <v>-1.7397220332393878E-2</v>
      </c>
      <c r="E2595" s="156">
        <v>-9.6711798839458415E-4</v>
      </c>
      <c r="F2595" s="124">
        <v>2589</v>
      </c>
      <c r="G2595" s="238">
        <f t="shared" ca="1" si="82"/>
        <v>2.7817813025350031E-2</v>
      </c>
      <c r="I2595" s="156"/>
    </row>
    <row r="2596" spans="2:9" x14ac:dyDescent="0.2">
      <c r="B2596" s="230">
        <v>42173</v>
      </c>
      <c r="C2596" s="124">
        <v>200.15</v>
      </c>
      <c r="D2596" s="156">
        <f t="shared" si="81"/>
        <v>-1.0138476755687355E-2</v>
      </c>
      <c r="E2596" s="156">
        <v>-9.6770291520511446E-4</v>
      </c>
      <c r="F2596" s="124">
        <v>2590</v>
      </c>
      <c r="G2596" s="238">
        <f t="shared" ca="1" si="82"/>
        <v>4.502162665785521E-3</v>
      </c>
      <c r="I2596" s="156"/>
    </row>
    <row r="2597" spans="2:9" x14ac:dyDescent="0.2">
      <c r="B2597" s="230">
        <v>42172</v>
      </c>
      <c r="C2597" s="124">
        <v>199.62</v>
      </c>
      <c r="D2597" s="156">
        <f t="shared" si="81"/>
        <v>-2.6480139895078748E-3</v>
      </c>
      <c r="E2597" s="156">
        <v>-9.6918007365776819E-4</v>
      </c>
      <c r="F2597" s="124">
        <v>2591</v>
      </c>
      <c r="G2597" s="238">
        <f t="shared" ca="1" si="82"/>
        <v>-7.2126035423204426E-3</v>
      </c>
      <c r="I2597" s="156"/>
    </row>
    <row r="2598" spans="2:9" x14ac:dyDescent="0.2">
      <c r="B2598" s="230">
        <v>42171</v>
      </c>
      <c r="C2598" s="124">
        <v>198.19</v>
      </c>
      <c r="D2598" s="156">
        <f t="shared" si="81"/>
        <v>-7.163610860635241E-3</v>
      </c>
      <c r="E2598" s="156">
        <v>-9.7122738861233813E-4</v>
      </c>
      <c r="F2598" s="124">
        <v>2592</v>
      </c>
      <c r="G2598" s="238">
        <f t="shared" ca="1" si="82"/>
        <v>-1.1097676629673318E-2</v>
      </c>
      <c r="I2598" s="156"/>
    </row>
    <row r="2599" spans="2:9" x14ac:dyDescent="0.2">
      <c r="B2599" s="230">
        <v>42170</v>
      </c>
      <c r="C2599" s="124">
        <v>197.89</v>
      </c>
      <c r="D2599" s="156">
        <f t="shared" si="81"/>
        <v>-1.5136989757304172E-3</v>
      </c>
      <c r="E2599" s="156">
        <v>-9.7299927025063025E-4</v>
      </c>
      <c r="F2599" s="124">
        <v>2593</v>
      </c>
      <c r="G2599" s="238">
        <f t="shared" ca="1" si="82"/>
        <v>2.2573249476277976E-5</v>
      </c>
      <c r="I2599" s="156"/>
    </row>
    <row r="2600" spans="2:9" x14ac:dyDescent="0.2">
      <c r="B2600" s="230">
        <v>42167</v>
      </c>
      <c r="C2600" s="124">
        <v>197.26</v>
      </c>
      <c r="D2600" s="156">
        <f t="shared" si="81"/>
        <v>-3.1835868411743671E-3</v>
      </c>
      <c r="E2600" s="156">
        <v>-9.7847358121339067E-4</v>
      </c>
      <c r="F2600" s="124">
        <v>2594</v>
      </c>
      <c r="G2600" s="238">
        <f t="shared" ca="1" si="82"/>
        <v>8.4417197474867464E-3</v>
      </c>
      <c r="I2600" s="156"/>
    </row>
    <row r="2601" spans="2:9" x14ac:dyDescent="0.2">
      <c r="B2601" s="230">
        <v>42166</v>
      </c>
      <c r="C2601" s="124">
        <v>196.93</v>
      </c>
      <c r="D2601" s="156">
        <f t="shared" si="81"/>
        <v>-1.6729189901651836E-3</v>
      </c>
      <c r="E2601" s="156">
        <v>-9.8039215686283681E-4</v>
      </c>
      <c r="F2601" s="124">
        <v>2595</v>
      </c>
      <c r="G2601" s="238">
        <f t="shared" ca="1" si="82"/>
        <v>-7.0915250156252801E-3</v>
      </c>
      <c r="I2601" s="156"/>
    </row>
    <row r="2602" spans="2:9" x14ac:dyDescent="0.2">
      <c r="B2602" s="230">
        <v>42165</v>
      </c>
      <c r="C2602" s="124">
        <v>199.62</v>
      </c>
      <c r="D2602" s="156">
        <f t="shared" si="81"/>
        <v>1.3659676027014664E-2</v>
      </c>
      <c r="E2602" s="156">
        <v>-9.8822599316718729E-4</v>
      </c>
      <c r="F2602" s="124">
        <v>2596</v>
      </c>
      <c r="G2602" s="238">
        <f t="shared" ca="1" si="82"/>
        <v>3.3791243144781352E-3</v>
      </c>
      <c r="I2602" s="156"/>
    </row>
    <row r="2603" spans="2:9" x14ac:dyDescent="0.2">
      <c r="B2603" s="230">
        <v>42164</v>
      </c>
      <c r="C2603" s="124">
        <v>199.28</v>
      </c>
      <c r="D2603" s="156">
        <f t="shared" si="81"/>
        <v>-1.7032361486825137E-3</v>
      </c>
      <c r="E2603" s="156">
        <v>-1.0044194455605517E-3</v>
      </c>
      <c r="F2603" s="124">
        <v>2597</v>
      </c>
      <c r="G2603" s="238">
        <f t="shared" ca="1" si="82"/>
        <v>-4.4270681587528938E-3</v>
      </c>
      <c r="I2603" s="156"/>
    </row>
    <row r="2604" spans="2:9" x14ac:dyDescent="0.2">
      <c r="B2604" s="230">
        <v>42163</v>
      </c>
      <c r="C2604" s="124">
        <v>201.77</v>
      </c>
      <c r="D2604" s="156">
        <f t="shared" si="81"/>
        <v>1.2494981934965923E-2</v>
      </c>
      <c r="E2604" s="156">
        <v>-1.0068371265336865E-3</v>
      </c>
      <c r="F2604" s="124">
        <v>2598</v>
      </c>
      <c r="G2604" s="238">
        <f t="shared" ca="1" si="82"/>
        <v>1.1142804716199951E-2</v>
      </c>
      <c r="I2604" s="156"/>
    </row>
    <row r="2605" spans="2:9" x14ac:dyDescent="0.2">
      <c r="B2605" s="230">
        <v>42160</v>
      </c>
      <c r="C2605" s="124">
        <v>201.74</v>
      </c>
      <c r="D2605" s="156">
        <f t="shared" si="81"/>
        <v>-1.4868414531397697E-4</v>
      </c>
      <c r="E2605" s="156">
        <v>-1.0080645161290483E-3</v>
      </c>
      <c r="F2605" s="124">
        <v>2599</v>
      </c>
      <c r="G2605" s="238">
        <f t="shared" ca="1" si="82"/>
        <v>-2.7839847642955927E-3</v>
      </c>
      <c r="I2605" s="156"/>
    </row>
    <row r="2606" spans="2:9" x14ac:dyDescent="0.2">
      <c r="B2606" s="230">
        <v>42159</v>
      </c>
      <c r="C2606" s="124">
        <v>199.95</v>
      </c>
      <c r="D2606" s="156">
        <f t="shared" si="81"/>
        <v>-8.8728065827303471E-3</v>
      </c>
      <c r="E2606" s="156">
        <v>-1.0116849613029928E-3</v>
      </c>
      <c r="F2606" s="124">
        <v>2600</v>
      </c>
      <c r="G2606" s="238">
        <f t="shared" ca="1" si="82"/>
        <v>-3.2490720886668489E-2</v>
      </c>
      <c r="I2606" s="156"/>
    </row>
    <row r="2607" spans="2:9" x14ac:dyDescent="0.2">
      <c r="B2607" s="230">
        <v>42158</v>
      </c>
      <c r="C2607" s="124">
        <v>201.8</v>
      </c>
      <c r="D2607" s="156">
        <f t="shared" si="81"/>
        <v>9.2523130782696823E-3</v>
      </c>
      <c r="E2607" s="156">
        <v>-1.011883751029549E-3</v>
      </c>
      <c r="F2607" s="124">
        <v>2601</v>
      </c>
      <c r="G2607" s="238">
        <f t="shared" ca="1" si="82"/>
        <v>1.2685293067451808E-2</v>
      </c>
      <c r="I2607" s="156"/>
    </row>
    <row r="2608" spans="2:9" x14ac:dyDescent="0.2">
      <c r="B2608" s="230">
        <v>42157</v>
      </c>
      <c r="C2608" s="124">
        <v>211.25</v>
      </c>
      <c r="D2608" s="156">
        <f t="shared" si="81"/>
        <v>4.6828543111992013E-2</v>
      </c>
      <c r="E2608" s="156">
        <v>-1.0292036536729485E-3</v>
      </c>
      <c r="F2608" s="124">
        <v>2602</v>
      </c>
      <c r="G2608" s="238">
        <f t="shared" ca="1" si="82"/>
        <v>3.5082851058875118E-2</v>
      </c>
      <c r="I2608" s="156"/>
    </row>
    <row r="2609" spans="2:9" x14ac:dyDescent="0.2">
      <c r="B2609" s="230">
        <v>42156</v>
      </c>
      <c r="C2609" s="124">
        <v>220.13</v>
      </c>
      <c r="D2609" s="156">
        <f t="shared" si="81"/>
        <v>4.2035502958579857E-2</v>
      </c>
      <c r="E2609" s="156">
        <v>-1.0306622004638858E-3</v>
      </c>
      <c r="F2609" s="124">
        <v>2603</v>
      </c>
      <c r="G2609" s="238">
        <f t="shared" ca="1" si="82"/>
        <v>1.7481805576088801E-2</v>
      </c>
      <c r="I2609" s="156"/>
    </row>
    <row r="2610" spans="2:9" x14ac:dyDescent="0.2">
      <c r="B2610" s="230">
        <v>42153</v>
      </c>
      <c r="C2610" s="124">
        <v>216.85</v>
      </c>
      <c r="D2610" s="156">
        <f t="shared" si="81"/>
        <v>-1.4900286194521425E-2</v>
      </c>
      <c r="E2610" s="156">
        <v>-1.0379425671778249E-3</v>
      </c>
      <c r="F2610" s="124">
        <v>2604</v>
      </c>
      <c r="G2610" s="238">
        <f t="shared" ca="1" si="82"/>
        <v>1.6753144247332189E-3</v>
      </c>
      <c r="I2610" s="156"/>
    </row>
    <row r="2611" spans="2:9" x14ac:dyDescent="0.2">
      <c r="B2611" s="230">
        <v>42152</v>
      </c>
      <c r="C2611" s="124">
        <v>213.11</v>
      </c>
      <c r="D2611" s="156">
        <f t="shared" si="81"/>
        <v>-1.7246944892782941E-2</v>
      </c>
      <c r="E2611" s="156">
        <v>-1.0473397570171764E-3</v>
      </c>
      <c r="F2611" s="124">
        <v>2605</v>
      </c>
      <c r="G2611" s="238">
        <f t="shared" ca="1" si="82"/>
        <v>-1.0202994742466722E-2</v>
      </c>
      <c r="I2611" s="156"/>
    </row>
    <row r="2612" spans="2:9" x14ac:dyDescent="0.2">
      <c r="B2612" s="230">
        <v>42151</v>
      </c>
      <c r="C2612" s="124">
        <v>210.62</v>
      </c>
      <c r="D2612" s="156">
        <f t="shared" si="81"/>
        <v>-1.1684106799305564E-2</v>
      </c>
      <c r="E2612" s="156">
        <v>-1.0497585555322277E-3</v>
      </c>
      <c r="F2612" s="124">
        <v>2606</v>
      </c>
      <c r="G2612" s="238">
        <f t="shared" ca="1" si="82"/>
        <v>9.6463759809431032E-3</v>
      </c>
      <c r="I2612" s="156"/>
    </row>
    <row r="2613" spans="2:9" x14ac:dyDescent="0.2">
      <c r="B2613" s="230">
        <v>42150</v>
      </c>
      <c r="C2613" s="124">
        <v>208.17</v>
      </c>
      <c r="D2613" s="156">
        <f t="shared" si="81"/>
        <v>-1.1632323615990965E-2</v>
      </c>
      <c r="E2613" s="156">
        <v>-1.0622477161674102E-3</v>
      </c>
      <c r="F2613" s="124">
        <v>2607</v>
      </c>
      <c r="G2613" s="238">
        <f t="shared" ca="1" si="82"/>
        <v>-4.1771612211895775E-3</v>
      </c>
      <c r="I2613" s="156"/>
    </row>
    <row r="2614" spans="2:9" x14ac:dyDescent="0.2">
      <c r="B2614" s="230">
        <v>42149</v>
      </c>
      <c r="C2614" s="124">
        <v>210.02</v>
      </c>
      <c r="D2614" s="156">
        <f t="shared" si="81"/>
        <v>8.8869673824279339E-3</v>
      </c>
      <c r="E2614" s="156">
        <v>-1.0626992561104836E-3</v>
      </c>
      <c r="F2614" s="124">
        <v>2608</v>
      </c>
      <c r="G2614" s="238">
        <f t="shared" ca="1" si="82"/>
        <v>8.8856952107477637E-3</v>
      </c>
      <c r="I2614" s="156"/>
    </row>
    <row r="2615" spans="2:9" x14ac:dyDescent="0.2">
      <c r="B2615" s="230">
        <v>42146</v>
      </c>
      <c r="C2615" s="124">
        <v>218.21</v>
      </c>
      <c r="D2615" s="156">
        <f t="shared" si="81"/>
        <v>3.8996286067993512E-2</v>
      </c>
      <c r="E2615" s="156">
        <v>-1.0636992185902685E-3</v>
      </c>
      <c r="F2615" s="124">
        <v>2609</v>
      </c>
      <c r="G2615" s="238">
        <f t="shared" ca="1" si="82"/>
        <v>3.2389018728967967E-3</v>
      </c>
      <c r="I2615" s="156"/>
    </row>
    <row r="2616" spans="2:9" x14ac:dyDescent="0.2">
      <c r="B2616" s="230">
        <v>42145</v>
      </c>
      <c r="C2616" s="124">
        <v>217.05</v>
      </c>
      <c r="D2616" s="156">
        <f t="shared" si="81"/>
        <v>-5.3159800192474982E-3</v>
      </c>
      <c r="E2616" s="156">
        <v>-1.0674055232557469E-3</v>
      </c>
      <c r="F2616" s="124">
        <v>2610</v>
      </c>
      <c r="G2616" s="238">
        <f t="shared" ca="1" si="82"/>
        <v>8.5881530591559486E-3</v>
      </c>
      <c r="I2616" s="156"/>
    </row>
    <row r="2617" spans="2:9" x14ac:dyDescent="0.2">
      <c r="B2617" s="230">
        <v>42144</v>
      </c>
      <c r="C2617" s="124">
        <v>220.07</v>
      </c>
      <c r="D2617" s="156">
        <f t="shared" si="81"/>
        <v>1.3913844736235807E-2</v>
      </c>
      <c r="E2617" s="156">
        <v>-1.0744985673352843E-3</v>
      </c>
      <c r="F2617" s="124">
        <v>2611</v>
      </c>
      <c r="G2617" s="238">
        <f t="shared" ca="1" si="82"/>
        <v>-1.9654043910233413E-3</v>
      </c>
      <c r="I2617" s="156"/>
    </row>
    <row r="2618" spans="2:9" x14ac:dyDescent="0.2">
      <c r="B2618" s="230">
        <v>42143</v>
      </c>
      <c r="C2618" s="124">
        <v>220.47</v>
      </c>
      <c r="D2618" s="156">
        <f t="shared" si="81"/>
        <v>1.8176034897987262E-3</v>
      </c>
      <c r="E2618" s="156">
        <v>-1.0781671159029419E-3</v>
      </c>
      <c r="F2618" s="124">
        <v>2612</v>
      </c>
      <c r="G2618" s="238">
        <f t="shared" ca="1" si="82"/>
        <v>1.6484257355250213E-2</v>
      </c>
      <c r="I2618" s="156"/>
    </row>
    <row r="2619" spans="2:9" x14ac:dyDescent="0.2">
      <c r="B2619" s="230">
        <v>42142</v>
      </c>
      <c r="C2619" s="124">
        <v>220.76</v>
      </c>
      <c r="D2619" s="156">
        <f t="shared" si="81"/>
        <v>1.3153717059009935E-3</v>
      </c>
      <c r="E2619" s="156">
        <v>-1.0826416456153423E-3</v>
      </c>
      <c r="F2619" s="124">
        <v>2613</v>
      </c>
      <c r="G2619" s="238">
        <f t="shared" ca="1" si="82"/>
        <v>-2.5119431198206532E-2</v>
      </c>
      <c r="I2619" s="156"/>
    </row>
    <row r="2620" spans="2:9" x14ac:dyDescent="0.2">
      <c r="B2620" s="230">
        <v>42139</v>
      </c>
      <c r="C2620" s="124">
        <v>216.39</v>
      </c>
      <c r="D2620" s="156">
        <f t="shared" si="81"/>
        <v>-1.9795252763181757E-2</v>
      </c>
      <c r="E2620" s="156">
        <v>-1.0860383733559682E-3</v>
      </c>
      <c r="F2620" s="124">
        <v>2614</v>
      </c>
      <c r="G2620" s="238">
        <f t="shared" ca="1" si="82"/>
        <v>2.322981234516348E-2</v>
      </c>
      <c r="I2620" s="156"/>
    </row>
    <row r="2621" spans="2:9" x14ac:dyDescent="0.2">
      <c r="B2621" s="230">
        <v>42138</v>
      </c>
      <c r="C2621" s="124">
        <v>215.26</v>
      </c>
      <c r="D2621" s="156">
        <f t="shared" si="81"/>
        <v>-5.2220527750820069E-3</v>
      </c>
      <c r="E2621" s="156">
        <v>-1.0893246187364935E-3</v>
      </c>
      <c r="F2621" s="124">
        <v>2615</v>
      </c>
      <c r="G2621" s="238">
        <f t="shared" ca="1" si="82"/>
        <v>1.3422495096279425E-2</v>
      </c>
      <c r="I2621" s="156"/>
    </row>
    <row r="2622" spans="2:9" x14ac:dyDescent="0.2">
      <c r="B2622" s="230">
        <v>42137</v>
      </c>
      <c r="C2622" s="124">
        <v>217.35</v>
      </c>
      <c r="D2622" s="156">
        <f t="shared" ref="D2622:D2685" si="83">(C2622-C2621)/C2621</f>
        <v>9.7091888878565614E-3</v>
      </c>
      <c r="E2622" s="156">
        <v>-1.092981497384545E-3</v>
      </c>
      <c r="F2622" s="124">
        <v>2616</v>
      </c>
      <c r="G2622" s="238">
        <f t="shared" ca="1" si="82"/>
        <v>7.2814581095220002E-3</v>
      </c>
      <c r="I2622" s="156"/>
    </row>
    <row r="2623" spans="2:9" x14ac:dyDescent="0.2">
      <c r="B2623" s="230">
        <v>42136</v>
      </c>
      <c r="C2623" s="124">
        <v>214.96</v>
      </c>
      <c r="D2623" s="156">
        <f t="shared" si="83"/>
        <v>-1.099608925695876E-2</v>
      </c>
      <c r="E2623" s="156">
        <v>-1.0952902519168215E-3</v>
      </c>
      <c r="F2623" s="124">
        <v>2617</v>
      </c>
      <c r="G2623" s="238">
        <f t="shared" ca="1" si="82"/>
        <v>-2.6477239878718577E-2</v>
      </c>
      <c r="I2623" s="156"/>
    </row>
    <row r="2624" spans="2:9" x14ac:dyDescent="0.2">
      <c r="B2624" s="230">
        <v>42135</v>
      </c>
      <c r="C2624" s="124">
        <v>216.42</v>
      </c>
      <c r="D2624" s="156">
        <f t="shared" si="83"/>
        <v>6.7919612951245793E-3</v>
      </c>
      <c r="E2624" s="156">
        <v>-1.097092704333428E-3</v>
      </c>
      <c r="F2624" s="124">
        <v>2618</v>
      </c>
      <c r="G2624" s="238">
        <f t="shared" ca="1" si="82"/>
        <v>-1.7480024468458252E-2</v>
      </c>
      <c r="I2624" s="156"/>
    </row>
    <row r="2625" spans="2:9" x14ac:dyDescent="0.2">
      <c r="B2625" s="230">
        <v>42132</v>
      </c>
      <c r="C2625" s="124">
        <v>217.45</v>
      </c>
      <c r="D2625" s="156">
        <f t="shared" si="83"/>
        <v>4.7592643933093114E-3</v>
      </c>
      <c r="E2625" s="156">
        <v>-1.1225144323284886E-3</v>
      </c>
      <c r="F2625" s="124">
        <v>2619</v>
      </c>
      <c r="G2625" s="238">
        <f t="shared" ca="1" si="82"/>
        <v>-1.1158179941685095E-3</v>
      </c>
      <c r="I2625" s="156"/>
    </row>
    <row r="2626" spans="2:9" x14ac:dyDescent="0.2">
      <c r="B2626" s="230">
        <v>42131</v>
      </c>
      <c r="C2626" s="124">
        <v>213.84</v>
      </c>
      <c r="D2626" s="156">
        <f t="shared" si="83"/>
        <v>-1.6601517590250567E-2</v>
      </c>
      <c r="E2626" s="156">
        <v>-1.1387360030366725E-3</v>
      </c>
      <c r="F2626" s="124">
        <v>2620</v>
      </c>
      <c r="G2626" s="238">
        <f t="shared" ca="1" si="82"/>
        <v>-2.9202460509750696E-2</v>
      </c>
      <c r="I2626" s="156"/>
    </row>
    <row r="2627" spans="2:9" x14ac:dyDescent="0.2">
      <c r="B2627" s="230">
        <v>42130</v>
      </c>
      <c r="C2627" s="124">
        <v>211.05</v>
      </c>
      <c r="D2627" s="156">
        <f t="shared" si="83"/>
        <v>-1.304713804713801E-2</v>
      </c>
      <c r="E2627" s="156">
        <v>-1.1395083835258535E-3</v>
      </c>
      <c r="F2627" s="124">
        <v>2621</v>
      </c>
      <c r="G2627" s="238">
        <f t="shared" ca="1" si="82"/>
        <v>1.4316424688593668E-2</v>
      </c>
      <c r="I2627" s="156"/>
    </row>
    <row r="2628" spans="2:9" x14ac:dyDescent="0.2">
      <c r="B2628" s="230">
        <v>42129</v>
      </c>
      <c r="C2628" s="124">
        <v>216.29</v>
      </c>
      <c r="D2628" s="156">
        <f t="shared" si="83"/>
        <v>2.4828239753612796E-2</v>
      </c>
      <c r="E2628" s="156">
        <v>-1.1430437622469022E-3</v>
      </c>
      <c r="F2628" s="124">
        <v>2622</v>
      </c>
      <c r="G2628" s="238">
        <f t="shared" ca="1" si="82"/>
        <v>-3.0072401292996518E-2</v>
      </c>
      <c r="I2628" s="156"/>
    </row>
    <row r="2629" spans="2:9" x14ac:dyDescent="0.2">
      <c r="B2629" s="230">
        <v>42128</v>
      </c>
      <c r="C2629" s="124">
        <v>218.91</v>
      </c>
      <c r="D2629" s="156">
        <f t="shared" si="83"/>
        <v>1.2113366313745455E-2</v>
      </c>
      <c r="E2629" s="156">
        <v>-1.1446558878236985E-3</v>
      </c>
      <c r="F2629" s="124">
        <v>2623</v>
      </c>
      <c r="G2629" s="238">
        <f t="shared" ca="1" si="82"/>
        <v>1.0393750224670328E-2</v>
      </c>
      <c r="I2629" s="156"/>
    </row>
    <row r="2630" spans="2:9" x14ac:dyDescent="0.2">
      <c r="B2630" s="230">
        <v>42124</v>
      </c>
      <c r="C2630" s="124">
        <v>213.7</v>
      </c>
      <c r="D2630" s="156">
        <f t="shared" si="83"/>
        <v>-2.3799735050934211E-2</v>
      </c>
      <c r="E2630" s="156">
        <v>-1.1514494716878048E-3</v>
      </c>
      <c r="F2630" s="124">
        <v>2624</v>
      </c>
      <c r="G2630" s="238">
        <f t="shared" ca="1" si="82"/>
        <v>1.5473009114800994E-2</v>
      </c>
      <c r="I2630" s="156"/>
    </row>
    <row r="2631" spans="2:9" x14ac:dyDescent="0.2">
      <c r="B2631" s="230">
        <v>42123</v>
      </c>
      <c r="C2631" s="124">
        <v>217.55</v>
      </c>
      <c r="D2631" s="156">
        <f t="shared" si="83"/>
        <v>1.8015910154422193E-2</v>
      </c>
      <c r="E2631" s="156">
        <v>-1.1609407920195288E-3</v>
      </c>
      <c r="F2631" s="124">
        <v>2625</v>
      </c>
      <c r="G2631" s="238">
        <f t="shared" ref="G2631:G2694" ca="1" si="84">_xlfn.NORM.INV(RAND(),$L$8,$L$9)</f>
        <v>2.2489111763506077E-2</v>
      </c>
      <c r="I2631" s="156"/>
    </row>
    <row r="2632" spans="2:9" x14ac:dyDescent="0.2">
      <c r="B2632" s="230">
        <v>42122</v>
      </c>
      <c r="C2632" s="124">
        <v>223.78</v>
      </c>
      <c r="D2632" s="156">
        <f t="shared" si="83"/>
        <v>2.8637094920707835E-2</v>
      </c>
      <c r="E2632" s="156">
        <v>-1.1660836248542444E-3</v>
      </c>
      <c r="F2632" s="124">
        <v>2626</v>
      </c>
      <c r="G2632" s="238">
        <f t="shared" ca="1" si="84"/>
        <v>2.1360301149402863E-2</v>
      </c>
      <c r="I2632" s="156"/>
    </row>
    <row r="2633" spans="2:9" x14ac:dyDescent="0.2">
      <c r="B2633" s="230">
        <v>42121</v>
      </c>
      <c r="C2633" s="124">
        <v>228.62</v>
      </c>
      <c r="D2633" s="156">
        <f t="shared" si="83"/>
        <v>2.1628385021002786E-2</v>
      </c>
      <c r="E2633" s="156">
        <v>-1.1678744684673484E-3</v>
      </c>
      <c r="F2633" s="124">
        <v>2627</v>
      </c>
      <c r="G2633" s="238">
        <f t="shared" ca="1" si="84"/>
        <v>-1.2884645593875567E-3</v>
      </c>
      <c r="I2633" s="156"/>
    </row>
    <row r="2634" spans="2:9" x14ac:dyDescent="0.2">
      <c r="B2634" s="230">
        <v>42118</v>
      </c>
      <c r="C2634" s="124">
        <v>230.68</v>
      </c>
      <c r="D2634" s="156">
        <f t="shared" si="83"/>
        <v>9.0105852506342492E-3</v>
      </c>
      <c r="E2634" s="156">
        <v>-1.1731793159461732E-3</v>
      </c>
      <c r="F2634" s="124">
        <v>2628</v>
      </c>
      <c r="G2634" s="238">
        <f t="shared" ca="1" si="84"/>
        <v>8.1017737874304711E-3</v>
      </c>
      <c r="I2634" s="156"/>
    </row>
    <row r="2635" spans="2:9" x14ac:dyDescent="0.2">
      <c r="B2635" s="230">
        <v>42117</v>
      </c>
      <c r="C2635" s="124">
        <v>226.8</v>
      </c>
      <c r="D2635" s="156">
        <f t="shared" si="83"/>
        <v>-1.6819837003641386E-2</v>
      </c>
      <c r="E2635" s="156">
        <v>-1.1830819284235181E-3</v>
      </c>
      <c r="F2635" s="124">
        <v>2629</v>
      </c>
      <c r="G2635" s="238">
        <f t="shared" ca="1" si="84"/>
        <v>1.9785033693224624E-2</v>
      </c>
      <c r="I2635" s="156"/>
    </row>
    <row r="2636" spans="2:9" x14ac:dyDescent="0.2">
      <c r="B2636" s="230">
        <v>42116</v>
      </c>
      <c r="C2636" s="124">
        <v>227.66</v>
      </c>
      <c r="D2636" s="156">
        <f t="shared" si="83"/>
        <v>3.7918871252203934E-3</v>
      </c>
      <c r="E2636" s="156">
        <v>-1.1858789187216418E-3</v>
      </c>
      <c r="F2636" s="124">
        <v>2630</v>
      </c>
      <c r="G2636" s="238">
        <f t="shared" ca="1" si="84"/>
        <v>3.0165362415076485E-2</v>
      </c>
      <c r="I2636" s="156"/>
    </row>
    <row r="2637" spans="2:9" x14ac:dyDescent="0.2">
      <c r="B2637" s="230">
        <v>42115</v>
      </c>
      <c r="C2637" s="124">
        <v>226.7</v>
      </c>
      <c r="D2637" s="156">
        <f t="shared" si="83"/>
        <v>-4.2168145480102259E-3</v>
      </c>
      <c r="E2637" s="156">
        <v>-1.1918951132300357E-3</v>
      </c>
      <c r="F2637" s="124">
        <v>2631</v>
      </c>
      <c r="G2637" s="238">
        <f t="shared" ca="1" si="84"/>
        <v>-1.883945018806835E-2</v>
      </c>
      <c r="I2637" s="156"/>
    </row>
    <row r="2638" spans="2:9" x14ac:dyDescent="0.2">
      <c r="B2638" s="230">
        <v>42114</v>
      </c>
      <c r="C2638" s="124">
        <v>226.66</v>
      </c>
      <c r="D2638" s="156">
        <f t="shared" si="83"/>
        <v>-1.764446404940099E-4</v>
      </c>
      <c r="E2638" s="156">
        <v>-1.1929615269908563E-3</v>
      </c>
      <c r="F2638" s="124">
        <v>2632</v>
      </c>
      <c r="G2638" s="238">
        <f t="shared" ca="1" si="84"/>
        <v>5.6455981981556923E-3</v>
      </c>
      <c r="I2638" s="156"/>
    </row>
    <row r="2639" spans="2:9" x14ac:dyDescent="0.2">
      <c r="B2639" s="230">
        <v>42111</v>
      </c>
      <c r="C2639" s="124">
        <v>233.26</v>
      </c>
      <c r="D2639" s="156">
        <f t="shared" si="83"/>
        <v>2.9118503485396605E-2</v>
      </c>
      <c r="E2639" s="156">
        <v>-1.1967448539971278E-3</v>
      </c>
      <c r="F2639" s="124">
        <v>2633</v>
      </c>
      <c r="G2639" s="238">
        <f t="shared" ca="1" si="84"/>
        <v>-1.5854386895161686E-2</v>
      </c>
      <c r="I2639" s="156"/>
    </row>
    <row r="2640" spans="2:9" x14ac:dyDescent="0.2">
      <c r="B2640" s="230">
        <v>42110</v>
      </c>
      <c r="C2640" s="124">
        <v>232.1</v>
      </c>
      <c r="D2640" s="156">
        <f t="shared" si="83"/>
        <v>-4.9729915116179229E-3</v>
      </c>
      <c r="E2640" s="156">
        <v>-1.2168410805548796E-3</v>
      </c>
      <c r="F2640" s="124">
        <v>2634</v>
      </c>
      <c r="G2640" s="238">
        <f t="shared" ca="1" si="84"/>
        <v>-1.1994612738486694E-2</v>
      </c>
      <c r="I2640" s="156"/>
    </row>
    <row r="2641" spans="2:9" x14ac:dyDescent="0.2">
      <c r="B2641" s="230">
        <v>42109</v>
      </c>
      <c r="C2641" s="124">
        <v>235.32</v>
      </c>
      <c r="D2641" s="156">
        <f t="shared" si="83"/>
        <v>1.3873330461008181E-2</v>
      </c>
      <c r="E2641" s="156">
        <v>-1.2198097096852891E-3</v>
      </c>
      <c r="F2641" s="124">
        <v>2635</v>
      </c>
      <c r="G2641" s="238">
        <f t="shared" ca="1" si="84"/>
        <v>4.7570180056192325E-3</v>
      </c>
      <c r="I2641" s="156"/>
    </row>
    <row r="2642" spans="2:9" x14ac:dyDescent="0.2">
      <c r="B2642" s="230">
        <v>42107</v>
      </c>
      <c r="C2642" s="124">
        <v>233.03</v>
      </c>
      <c r="D2642" s="156">
        <f t="shared" si="83"/>
        <v>-9.7314295427502646E-3</v>
      </c>
      <c r="E2642" s="156">
        <v>-1.2219506776272192E-3</v>
      </c>
      <c r="F2642" s="124">
        <v>2636</v>
      </c>
      <c r="G2642" s="238">
        <f t="shared" ca="1" si="84"/>
        <v>-1.7118856102143091E-2</v>
      </c>
      <c r="I2642" s="156"/>
    </row>
    <row r="2643" spans="2:9" x14ac:dyDescent="0.2">
      <c r="B2643" s="230">
        <v>42104</v>
      </c>
      <c r="C2643" s="124">
        <v>229.81</v>
      </c>
      <c r="D2643" s="156">
        <f t="shared" si="83"/>
        <v>-1.381796335235806E-2</v>
      </c>
      <c r="E2643" s="156">
        <v>-1.2310722639419984E-3</v>
      </c>
      <c r="F2643" s="124">
        <v>2637</v>
      </c>
      <c r="G2643" s="238">
        <f t="shared" ca="1" si="84"/>
        <v>2.5828070515573074E-7</v>
      </c>
      <c r="I2643" s="156"/>
    </row>
    <row r="2644" spans="2:9" x14ac:dyDescent="0.2">
      <c r="B2644" s="230">
        <v>42103</v>
      </c>
      <c r="C2644" s="124">
        <v>230.15</v>
      </c>
      <c r="D2644" s="156">
        <f t="shared" si="83"/>
        <v>1.479483051216237E-3</v>
      </c>
      <c r="E2644" s="156">
        <v>-1.2450392965527709E-3</v>
      </c>
      <c r="F2644" s="124">
        <v>2638</v>
      </c>
      <c r="G2644" s="238">
        <f t="shared" ca="1" si="84"/>
        <v>-1.8300186255406387E-2</v>
      </c>
      <c r="I2644" s="156"/>
    </row>
    <row r="2645" spans="2:9" x14ac:dyDescent="0.2">
      <c r="B2645" s="230">
        <v>42102</v>
      </c>
      <c r="C2645" s="124">
        <v>229.55</v>
      </c>
      <c r="D2645" s="156">
        <f t="shared" si="83"/>
        <v>-2.6069954377579592E-3</v>
      </c>
      <c r="E2645" s="156">
        <v>-1.248773526001254E-3</v>
      </c>
      <c r="F2645" s="124">
        <v>2639</v>
      </c>
      <c r="G2645" s="238">
        <f t="shared" ca="1" si="84"/>
        <v>-1.3567430062344845E-2</v>
      </c>
      <c r="I2645" s="156"/>
    </row>
    <row r="2646" spans="2:9" x14ac:dyDescent="0.2">
      <c r="B2646" s="230">
        <v>42101</v>
      </c>
      <c r="C2646" s="124">
        <v>225.8</v>
      </c>
      <c r="D2646" s="156">
        <f t="shared" si="83"/>
        <v>-1.6336310172075801E-2</v>
      </c>
      <c r="E2646" s="156">
        <v>-1.2499999999999562E-3</v>
      </c>
      <c r="F2646" s="124">
        <v>2640</v>
      </c>
      <c r="G2646" s="238">
        <f t="shared" ca="1" si="84"/>
        <v>3.1031963153876869E-2</v>
      </c>
      <c r="I2646" s="156"/>
    </row>
    <row r="2647" spans="2:9" x14ac:dyDescent="0.2">
      <c r="B2647" s="230">
        <v>42100</v>
      </c>
      <c r="C2647" s="124">
        <v>226.07</v>
      </c>
      <c r="D2647" s="156">
        <f t="shared" si="83"/>
        <v>1.1957484499556324E-3</v>
      </c>
      <c r="E2647" s="156">
        <v>-1.2540308133285611E-3</v>
      </c>
      <c r="F2647" s="124">
        <v>2641</v>
      </c>
      <c r="G2647" s="238">
        <f t="shared" ca="1" si="84"/>
        <v>-1.3299476336602278E-2</v>
      </c>
      <c r="I2647" s="156"/>
    </row>
    <row r="2648" spans="2:9" x14ac:dyDescent="0.2">
      <c r="B2648" s="230">
        <v>42095</v>
      </c>
      <c r="C2648" s="124">
        <v>220.4</v>
      </c>
      <c r="D2648" s="156">
        <f t="shared" si="83"/>
        <v>-2.5080727208386729E-2</v>
      </c>
      <c r="E2648" s="156">
        <v>-1.25523012552306E-3</v>
      </c>
      <c r="F2648" s="124">
        <v>2642</v>
      </c>
      <c r="G2648" s="238">
        <f t="shared" ca="1" si="84"/>
        <v>1.9338985374440853E-2</v>
      </c>
      <c r="I2648" s="156"/>
    </row>
    <row r="2649" spans="2:9" x14ac:dyDescent="0.2">
      <c r="B2649" s="230">
        <v>42094</v>
      </c>
      <c r="C2649" s="124">
        <v>216.02</v>
      </c>
      <c r="D2649" s="156">
        <f t="shared" si="83"/>
        <v>-1.9872958257713229E-2</v>
      </c>
      <c r="E2649" s="156">
        <v>-1.2586188026705602E-3</v>
      </c>
      <c r="F2649" s="124">
        <v>2643</v>
      </c>
      <c r="G2649" s="238">
        <f t="shared" ca="1" si="84"/>
        <v>-4.3615491590697775E-2</v>
      </c>
      <c r="I2649" s="156"/>
    </row>
    <row r="2650" spans="2:9" x14ac:dyDescent="0.2">
      <c r="B2650" s="230">
        <v>42093</v>
      </c>
      <c r="C2650" s="124">
        <v>217.15</v>
      </c>
      <c r="D2650" s="156">
        <f t="shared" si="83"/>
        <v>5.2309971298953586E-3</v>
      </c>
      <c r="E2650" s="156">
        <v>-1.2622278321236266E-3</v>
      </c>
      <c r="F2650" s="124">
        <v>2644</v>
      </c>
      <c r="G2650" s="238">
        <f t="shared" ca="1" si="84"/>
        <v>-1.1490209606394902E-3</v>
      </c>
      <c r="I2650" s="156"/>
    </row>
    <row r="2651" spans="2:9" x14ac:dyDescent="0.2">
      <c r="B2651" s="230">
        <v>42090</v>
      </c>
      <c r="C2651" s="124">
        <v>210.49</v>
      </c>
      <c r="D2651" s="156">
        <f t="shared" si="83"/>
        <v>-3.0670043748560884E-2</v>
      </c>
      <c r="E2651" s="156">
        <v>-1.2636234402149012E-3</v>
      </c>
      <c r="F2651" s="124">
        <v>2645</v>
      </c>
      <c r="G2651" s="238">
        <f t="shared" ca="1" si="84"/>
        <v>-2.0732595991721857E-2</v>
      </c>
      <c r="I2651" s="156"/>
    </row>
    <row r="2652" spans="2:9" x14ac:dyDescent="0.2">
      <c r="B2652" s="230">
        <v>42089</v>
      </c>
      <c r="C2652" s="124">
        <v>213.74</v>
      </c>
      <c r="D2652" s="156">
        <f t="shared" si="83"/>
        <v>1.5440163428191362E-2</v>
      </c>
      <c r="E2652" s="156">
        <v>-1.2688055102410781E-3</v>
      </c>
      <c r="F2652" s="124">
        <v>2646</v>
      </c>
      <c r="G2652" s="238">
        <f t="shared" ca="1" si="84"/>
        <v>1.2289593656400715E-2</v>
      </c>
      <c r="I2652" s="156"/>
    </row>
    <row r="2653" spans="2:9" x14ac:dyDescent="0.2">
      <c r="B2653" s="230">
        <v>42088</v>
      </c>
      <c r="C2653" s="124">
        <v>216.62</v>
      </c>
      <c r="D2653" s="156">
        <f t="shared" si="83"/>
        <v>1.3474314587816952E-2</v>
      </c>
      <c r="E2653" s="156">
        <v>-1.2742099898063201E-3</v>
      </c>
      <c r="F2653" s="124">
        <v>2647</v>
      </c>
      <c r="G2653" s="238">
        <f t="shared" ca="1" si="84"/>
        <v>-2.0949845392366429E-2</v>
      </c>
      <c r="I2653" s="156"/>
    </row>
    <row r="2654" spans="2:9" x14ac:dyDescent="0.2">
      <c r="B2654" s="230">
        <v>42087</v>
      </c>
      <c r="C2654" s="124">
        <v>216.49</v>
      </c>
      <c r="D2654" s="156">
        <f t="shared" si="83"/>
        <v>-6.0012925860952564E-4</v>
      </c>
      <c r="E2654" s="156">
        <v>-1.2750765045903237E-3</v>
      </c>
      <c r="F2654" s="124">
        <v>2648</v>
      </c>
      <c r="G2654" s="238">
        <f t="shared" ca="1" si="84"/>
        <v>-2.0627219850528771E-2</v>
      </c>
      <c r="I2654" s="156"/>
    </row>
    <row r="2655" spans="2:9" x14ac:dyDescent="0.2">
      <c r="B2655" s="230">
        <v>42086</v>
      </c>
      <c r="C2655" s="124">
        <v>217.05</v>
      </c>
      <c r="D2655" s="156">
        <f t="shared" si="83"/>
        <v>2.5867245600258775E-3</v>
      </c>
      <c r="E2655" s="156">
        <v>-1.2780719371919763E-3</v>
      </c>
      <c r="F2655" s="124">
        <v>2649</v>
      </c>
      <c r="G2655" s="238">
        <f t="shared" ca="1" si="84"/>
        <v>8.7657201504912573E-4</v>
      </c>
      <c r="I2655" s="156"/>
    </row>
    <row r="2656" spans="2:9" x14ac:dyDescent="0.2">
      <c r="B2656" s="230">
        <v>42083</v>
      </c>
      <c r="C2656" s="124">
        <v>217.09</v>
      </c>
      <c r="D2656" s="156">
        <f t="shared" si="83"/>
        <v>1.8428933425474332E-4</v>
      </c>
      <c r="E2656" s="156">
        <v>-1.2827988338192354E-3</v>
      </c>
      <c r="F2656" s="124">
        <v>2650</v>
      </c>
      <c r="G2656" s="238">
        <f t="shared" ca="1" si="84"/>
        <v>-1.5634170647651699E-2</v>
      </c>
      <c r="I2656" s="156"/>
    </row>
    <row r="2657" spans="2:9" x14ac:dyDescent="0.2">
      <c r="B2657" s="230">
        <v>42082</v>
      </c>
      <c r="C2657" s="124">
        <v>221</v>
      </c>
      <c r="D2657" s="156">
        <f t="shared" si="83"/>
        <v>1.8010963194988239E-2</v>
      </c>
      <c r="E2657" s="156">
        <v>-1.2834063113393924E-3</v>
      </c>
      <c r="F2657" s="124">
        <v>2651</v>
      </c>
      <c r="G2657" s="238">
        <f t="shared" ca="1" si="84"/>
        <v>-1.8183639983824426E-2</v>
      </c>
      <c r="I2657" s="156"/>
    </row>
    <row r="2658" spans="2:9" x14ac:dyDescent="0.2">
      <c r="B2658" s="230">
        <v>42081</v>
      </c>
      <c r="C2658" s="124">
        <v>223.18</v>
      </c>
      <c r="D2658" s="156">
        <f t="shared" si="83"/>
        <v>9.8642533936651889E-3</v>
      </c>
      <c r="E2658" s="156">
        <v>-1.2924392305015207E-3</v>
      </c>
      <c r="F2658" s="124">
        <v>2652</v>
      </c>
      <c r="G2658" s="238">
        <f t="shared" ca="1" si="84"/>
        <v>2.7520274462981841E-2</v>
      </c>
      <c r="I2658" s="156"/>
    </row>
    <row r="2659" spans="2:9" x14ac:dyDescent="0.2">
      <c r="B2659" s="230">
        <v>42080</v>
      </c>
      <c r="C2659" s="124">
        <v>225.41</v>
      </c>
      <c r="D2659" s="156">
        <f t="shared" si="83"/>
        <v>9.9919347611792716E-3</v>
      </c>
      <c r="E2659" s="156">
        <v>-1.2953367875647602E-3</v>
      </c>
      <c r="F2659" s="124">
        <v>2653</v>
      </c>
      <c r="G2659" s="238">
        <f t="shared" ca="1" si="84"/>
        <v>1.2371144848088624E-2</v>
      </c>
      <c r="I2659" s="156"/>
    </row>
    <row r="2660" spans="2:9" x14ac:dyDescent="0.2">
      <c r="B2660" s="230">
        <v>42079</v>
      </c>
      <c r="C2660" s="124">
        <v>222.36</v>
      </c>
      <c r="D2660" s="156">
        <f t="shared" si="83"/>
        <v>-1.3530899250255015E-2</v>
      </c>
      <c r="E2660" s="156">
        <v>-1.3040425318486856E-3</v>
      </c>
      <c r="F2660" s="124">
        <v>2654</v>
      </c>
      <c r="G2660" s="238">
        <f t="shared" ca="1" si="84"/>
        <v>1.5137801750115002E-5</v>
      </c>
      <c r="I2660" s="156"/>
    </row>
    <row r="2661" spans="2:9" x14ac:dyDescent="0.2">
      <c r="B2661" s="230">
        <v>42076</v>
      </c>
      <c r="C2661" s="124">
        <v>225.01</v>
      </c>
      <c r="D2661" s="156">
        <f t="shared" si="83"/>
        <v>1.1917611081129596E-2</v>
      </c>
      <c r="E2661" s="156">
        <v>-1.3048016701461378E-3</v>
      </c>
      <c r="F2661" s="124">
        <v>2655</v>
      </c>
      <c r="G2661" s="238">
        <f t="shared" ca="1" si="84"/>
        <v>-1.6399416541837054E-2</v>
      </c>
      <c r="I2661" s="156"/>
    </row>
    <row r="2662" spans="2:9" x14ac:dyDescent="0.2">
      <c r="B2662" s="230">
        <v>42075</v>
      </c>
      <c r="C2662" s="124">
        <v>229.81</v>
      </c>
      <c r="D2662" s="156">
        <f t="shared" si="83"/>
        <v>2.1332385227323281E-2</v>
      </c>
      <c r="E2662" s="156">
        <v>-1.3134132326384307E-3</v>
      </c>
      <c r="F2662" s="124">
        <v>2656</v>
      </c>
      <c r="G2662" s="238">
        <f t="shared" ca="1" si="84"/>
        <v>2.2506639457055135E-2</v>
      </c>
      <c r="I2662" s="156"/>
    </row>
    <row r="2663" spans="2:9" x14ac:dyDescent="0.2">
      <c r="B2663" s="230">
        <v>42074</v>
      </c>
      <c r="C2663" s="124">
        <v>224.21</v>
      </c>
      <c r="D2663" s="156">
        <f t="shared" si="83"/>
        <v>-2.4367956137678927E-2</v>
      </c>
      <c r="E2663" s="156">
        <v>-1.3157534058825641E-3</v>
      </c>
      <c r="F2663" s="124">
        <v>2657</v>
      </c>
      <c r="G2663" s="238">
        <f t="shared" ca="1" si="84"/>
        <v>-3.3299519539844717E-2</v>
      </c>
      <c r="I2663" s="156"/>
    </row>
    <row r="2664" spans="2:9" x14ac:dyDescent="0.2">
      <c r="B2664" s="230">
        <v>42073</v>
      </c>
      <c r="C2664" s="124">
        <v>224.44</v>
      </c>
      <c r="D2664" s="156">
        <f t="shared" si="83"/>
        <v>1.0258240042816545E-3</v>
      </c>
      <c r="E2664" s="156">
        <v>-1.3181743285549234E-3</v>
      </c>
      <c r="F2664" s="124">
        <v>2658</v>
      </c>
      <c r="G2664" s="238">
        <f t="shared" ca="1" si="84"/>
        <v>-2.4927011861441942E-3</v>
      </c>
      <c r="I2664" s="156"/>
    </row>
    <row r="2665" spans="2:9" x14ac:dyDescent="0.2">
      <c r="B2665" s="230">
        <v>42072</v>
      </c>
      <c r="C2665" s="124">
        <v>224.31</v>
      </c>
      <c r="D2665" s="156">
        <f t="shared" si="83"/>
        <v>-5.7921939048295962E-4</v>
      </c>
      <c r="E2665" s="156">
        <v>-1.3223764994805003E-3</v>
      </c>
      <c r="F2665" s="124">
        <v>2659</v>
      </c>
      <c r="G2665" s="238">
        <f t="shared" ca="1" si="84"/>
        <v>6.6656821734500027E-3</v>
      </c>
      <c r="I2665" s="156"/>
    </row>
    <row r="2666" spans="2:9" x14ac:dyDescent="0.2">
      <c r="B2666" s="230">
        <v>42068</v>
      </c>
      <c r="C2666" s="124">
        <v>229.55</v>
      </c>
      <c r="D2666" s="156">
        <f t="shared" si="83"/>
        <v>2.336052784093446E-2</v>
      </c>
      <c r="E2666" s="156">
        <v>-1.3227513227514085E-3</v>
      </c>
      <c r="F2666" s="124">
        <v>2660</v>
      </c>
      <c r="G2666" s="238">
        <f t="shared" ca="1" si="84"/>
        <v>5.3338297232699682E-3</v>
      </c>
      <c r="I2666" s="156"/>
    </row>
    <row r="2667" spans="2:9" x14ac:dyDescent="0.2">
      <c r="B2667" s="230">
        <v>42067</v>
      </c>
      <c r="C2667" s="124">
        <v>228.22</v>
      </c>
      <c r="D2667" s="156">
        <f t="shared" si="83"/>
        <v>-5.7939446743629384E-3</v>
      </c>
      <c r="E2667" s="156">
        <v>-1.3246536976762649E-3</v>
      </c>
      <c r="F2667" s="124">
        <v>2661</v>
      </c>
      <c r="G2667" s="238">
        <f t="shared" ca="1" si="84"/>
        <v>-1.3216537374041751E-2</v>
      </c>
      <c r="I2667" s="156"/>
    </row>
    <row r="2668" spans="2:9" x14ac:dyDescent="0.2">
      <c r="B2668" s="230">
        <v>42066</v>
      </c>
      <c r="C2668" s="124">
        <v>226.43</v>
      </c>
      <c r="D2668" s="156">
        <f t="shared" si="83"/>
        <v>-7.8433090877223378E-3</v>
      </c>
      <c r="E2668" s="156">
        <v>-1.3266118333774785E-3</v>
      </c>
      <c r="F2668" s="124">
        <v>2662</v>
      </c>
      <c r="G2668" s="238">
        <f t="shared" ca="1" si="84"/>
        <v>-1.7785695285099573E-2</v>
      </c>
      <c r="I2668" s="156"/>
    </row>
    <row r="2669" spans="2:9" x14ac:dyDescent="0.2">
      <c r="B2669" s="230">
        <v>42065</v>
      </c>
      <c r="C2669" s="124">
        <v>227.56</v>
      </c>
      <c r="D2669" s="156">
        <f t="shared" si="83"/>
        <v>4.990504791767855E-3</v>
      </c>
      <c r="E2669" s="156">
        <v>-1.3280212483400237E-3</v>
      </c>
      <c r="F2669" s="124">
        <v>2663</v>
      </c>
      <c r="G2669" s="238">
        <f t="shared" ca="1" si="84"/>
        <v>1.5867017836316208E-2</v>
      </c>
      <c r="I2669" s="156"/>
    </row>
    <row r="2670" spans="2:9" x14ac:dyDescent="0.2">
      <c r="B2670" s="230">
        <v>42063</v>
      </c>
      <c r="C2670" s="124">
        <v>239.56</v>
      </c>
      <c r="D2670" s="156">
        <f t="shared" si="83"/>
        <v>5.2733345051854452E-2</v>
      </c>
      <c r="E2670" s="156">
        <v>-1.3285253368760729E-3</v>
      </c>
      <c r="F2670" s="124">
        <v>2664</v>
      </c>
      <c r="G2670" s="238">
        <f t="shared" ca="1" si="84"/>
        <v>2.8281831729269711E-3</v>
      </c>
      <c r="I2670" s="156"/>
    </row>
    <row r="2671" spans="2:9" x14ac:dyDescent="0.2">
      <c r="B2671" s="230">
        <v>42062</v>
      </c>
      <c r="C2671" s="124">
        <v>261.01</v>
      </c>
      <c r="D2671" s="156">
        <f t="shared" si="83"/>
        <v>8.9539155117715763E-2</v>
      </c>
      <c r="E2671" s="156">
        <v>-1.3333333333333838E-3</v>
      </c>
      <c r="F2671" s="124">
        <v>2665</v>
      </c>
      <c r="G2671" s="238">
        <f t="shared" ca="1" si="84"/>
        <v>-9.6701792557861432E-3</v>
      </c>
      <c r="I2671" s="156"/>
    </row>
    <row r="2672" spans="2:9" x14ac:dyDescent="0.2">
      <c r="B2672" s="230">
        <v>42061</v>
      </c>
      <c r="C2672" s="124">
        <v>262.3</v>
      </c>
      <c r="D2672" s="156">
        <f t="shared" si="83"/>
        <v>4.9423393739704245E-3</v>
      </c>
      <c r="E2672" s="156">
        <v>-1.3406459475929589E-3</v>
      </c>
      <c r="F2672" s="124">
        <v>2666</v>
      </c>
      <c r="G2672" s="238">
        <f t="shared" ca="1" si="84"/>
        <v>-5.2593336259027929E-3</v>
      </c>
      <c r="I2672" s="156"/>
    </row>
    <row r="2673" spans="2:9" x14ac:dyDescent="0.2">
      <c r="B2673" s="230">
        <v>42060</v>
      </c>
      <c r="C2673" s="124">
        <v>264.98</v>
      </c>
      <c r="D2673" s="156">
        <f t="shared" si="83"/>
        <v>1.0217308425467048E-2</v>
      </c>
      <c r="E2673" s="156">
        <v>-1.3420922511831442E-3</v>
      </c>
      <c r="F2673" s="124">
        <v>2667</v>
      </c>
      <c r="G2673" s="238">
        <f t="shared" ca="1" si="84"/>
        <v>-3.7784892970436509E-2</v>
      </c>
      <c r="I2673" s="156"/>
    </row>
    <row r="2674" spans="2:9" x14ac:dyDescent="0.2">
      <c r="B2674" s="230">
        <v>42059</v>
      </c>
      <c r="C2674" s="124">
        <v>262.33</v>
      </c>
      <c r="D2674" s="156">
        <f t="shared" si="83"/>
        <v>-1.0000754773945332E-2</v>
      </c>
      <c r="E2674" s="156">
        <v>-1.3425071320691899E-3</v>
      </c>
      <c r="F2674" s="124">
        <v>2668</v>
      </c>
      <c r="G2674" s="238">
        <f t="shared" ca="1" si="84"/>
        <v>-2.6935131546022461E-2</v>
      </c>
      <c r="I2674" s="156"/>
    </row>
    <row r="2675" spans="2:9" x14ac:dyDescent="0.2">
      <c r="B2675" s="230">
        <v>42058</v>
      </c>
      <c r="C2675" s="124">
        <v>258.72000000000003</v>
      </c>
      <c r="D2675" s="156">
        <f t="shared" si="83"/>
        <v>-1.3761293027865502E-2</v>
      </c>
      <c r="E2675" s="156">
        <v>-1.3563919972871389E-3</v>
      </c>
      <c r="F2675" s="124">
        <v>2669</v>
      </c>
      <c r="G2675" s="238">
        <f t="shared" ca="1" si="84"/>
        <v>-4.5399570273777969E-3</v>
      </c>
      <c r="I2675" s="156"/>
    </row>
    <row r="2676" spans="2:9" x14ac:dyDescent="0.2">
      <c r="B2676" s="230">
        <v>42055</v>
      </c>
      <c r="C2676" s="124">
        <v>262.56</v>
      </c>
      <c r="D2676" s="156">
        <f t="shared" si="83"/>
        <v>1.4842300556586172E-2</v>
      </c>
      <c r="E2676" s="156">
        <v>-1.360235774200913E-3</v>
      </c>
      <c r="F2676" s="124">
        <v>2670</v>
      </c>
      <c r="G2676" s="238">
        <f t="shared" ca="1" si="84"/>
        <v>4.4608975994729063E-3</v>
      </c>
      <c r="I2676" s="156"/>
    </row>
    <row r="2677" spans="2:9" x14ac:dyDescent="0.2">
      <c r="B2677" s="230">
        <v>42054</v>
      </c>
      <c r="C2677" s="124">
        <v>258.06</v>
      </c>
      <c r="D2677" s="156">
        <f t="shared" si="83"/>
        <v>-1.7138939670932357E-2</v>
      </c>
      <c r="E2677" s="156">
        <v>-1.3717091014101967E-3</v>
      </c>
      <c r="F2677" s="124">
        <v>2671</v>
      </c>
      <c r="G2677" s="238">
        <f t="shared" ca="1" si="84"/>
        <v>-4.6142861146090241E-3</v>
      </c>
      <c r="I2677" s="156"/>
    </row>
    <row r="2678" spans="2:9" x14ac:dyDescent="0.2">
      <c r="B2678" s="230">
        <v>42053</v>
      </c>
      <c r="C2678" s="124">
        <v>260.70999999999998</v>
      </c>
      <c r="D2678" s="156">
        <f t="shared" si="83"/>
        <v>1.0268929706269771E-2</v>
      </c>
      <c r="E2678" s="156">
        <v>-1.3752793536188209E-3</v>
      </c>
      <c r="F2678" s="124">
        <v>2672</v>
      </c>
      <c r="G2678" s="238">
        <f t="shared" ca="1" si="84"/>
        <v>3.5638321362834271E-3</v>
      </c>
      <c r="I2678" s="156"/>
    </row>
    <row r="2679" spans="2:9" x14ac:dyDescent="0.2">
      <c r="B2679" s="230">
        <v>42051</v>
      </c>
      <c r="C2679" s="124">
        <v>258.29000000000002</v>
      </c>
      <c r="D2679" s="156">
        <f t="shared" si="83"/>
        <v>-9.2823443673045111E-3</v>
      </c>
      <c r="E2679" s="156">
        <v>-1.3790386130812559E-3</v>
      </c>
      <c r="F2679" s="124">
        <v>2673</v>
      </c>
      <c r="G2679" s="238">
        <f t="shared" ca="1" si="84"/>
        <v>-2.3804197150313927E-2</v>
      </c>
      <c r="I2679" s="156"/>
    </row>
    <row r="2680" spans="2:9" x14ac:dyDescent="0.2">
      <c r="B2680" s="230">
        <v>42048</v>
      </c>
      <c r="C2680" s="124">
        <v>250.63</v>
      </c>
      <c r="D2680" s="156">
        <f t="shared" si="83"/>
        <v>-2.9656587556622496E-2</v>
      </c>
      <c r="E2680" s="156">
        <v>-1.3802622498274378E-3</v>
      </c>
      <c r="F2680" s="124">
        <v>2674</v>
      </c>
      <c r="G2680" s="238">
        <f t="shared" ca="1" si="84"/>
        <v>-6.6652187957730643E-3</v>
      </c>
      <c r="I2680" s="156"/>
    </row>
    <row r="2681" spans="2:9" x14ac:dyDescent="0.2">
      <c r="B2681" s="230">
        <v>42047</v>
      </c>
      <c r="C2681" s="124">
        <v>245.56</v>
      </c>
      <c r="D2681" s="156">
        <f t="shared" si="83"/>
        <v>-2.0229022862386759E-2</v>
      </c>
      <c r="E2681" s="156">
        <v>-1.3966480446927147E-3</v>
      </c>
      <c r="F2681" s="124">
        <v>2675</v>
      </c>
      <c r="G2681" s="238">
        <f t="shared" ca="1" si="84"/>
        <v>-1.4961284962103898E-2</v>
      </c>
      <c r="I2681" s="156"/>
    </row>
    <row r="2682" spans="2:9" x14ac:dyDescent="0.2">
      <c r="B2682" s="230">
        <v>42046</v>
      </c>
      <c r="C2682" s="124">
        <v>246.06</v>
      </c>
      <c r="D2682" s="156">
        <f t="shared" si="83"/>
        <v>2.0361622414073952E-3</v>
      </c>
      <c r="E2682" s="156">
        <v>-1.3979496738116633E-3</v>
      </c>
      <c r="F2682" s="124">
        <v>2676</v>
      </c>
      <c r="G2682" s="238">
        <f t="shared" ca="1" si="84"/>
        <v>1.2262240358255145E-2</v>
      </c>
      <c r="I2682" s="156"/>
    </row>
    <row r="2683" spans="2:9" x14ac:dyDescent="0.2">
      <c r="B2683" s="230">
        <v>42045</v>
      </c>
      <c r="C2683" s="124">
        <v>245.23</v>
      </c>
      <c r="D2683" s="156">
        <f t="shared" si="83"/>
        <v>-3.3731610176380251E-3</v>
      </c>
      <c r="E2683" s="156">
        <v>-1.4106655566347847E-3</v>
      </c>
      <c r="F2683" s="124">
        <v>2677</v>
      </c>
      <c r="G2683" s="238">
        <f t="shared" ca="1" si="84"/>
        <v>-2.6051926099555809E-3</v>
      </c>
      <c r="I2683" s="156"/>
    </row>
    <row r="2684" spans="2:9" x14ac:dyDescent="0.2">
      <c r="B2684" s="230">
        <v>42044</v>
      </c>
      <c r="C2684" s="124">
        <v>243.9</v>
      </c>
      <c r="D2684" s="156">
        <f t="shared" si="83"/>
        <v>-5.4234799983688131E-3</v>
      </c>
      <c r="E2684" s="156">
        <v>-1.4343772412144936E-3</v>
      </c>
      <c r="F2684" s="124">
        <v>2678</v>
      </c>
      <c r="G2684" s="238">
        <f t="shared" ca="1" si="84"/>
        <v>1.2406302112165874E-3</v>
      </c>
      <c r="I2684" s="156"/>
    </row>
    <row r="2685" spans="2:9" x14ac:dyDescent="0.2">
      <c r="B2685" s="230">
        <v>42041</v>
      </c>
      <c r="C2685" s="124">
        <v>247.61</v>
      </c>
      <c r="D2685" s="156">
        <f t="shared" si="83"/>
        <v>1.5211152111521147E-2</v>
      </c>
      <c r="E2685" s="156">
        <v>-1.4464352370287528E-3</v>
      </c>
      <c r="F2685" s="124">
        <v>2679</v>
      </c>
      <c r="G2685" s="238">
        <f t="shared" ca="1" si="84"/>
        <v>1.5542192703637336E-2</v>
      </c>
      <c r="I2685" s="156"/>
    </row>
    <row r="2686" spans="2:9" x14ac:dyDescent="0.2">
      <c r="B2686" s="230">
        <v>42040</v>
      </c>
      <c r="C2686" s="124">
        <v>244.56</v>
      </c>
      <c r="D2686" s="156">
        <f t="shared" ref="D2686:D2749" si="85">(C2686-C2685)/C2685</f>
        <v>-1.2317757764226046E-2</v>
      </c>
      <c r="E2686" s="156">
        <v>-1.4528386231561204E-3</v>
      </c>
      <c r="F2686" s="124">
        <v>2680</v>
      </c>
      <c r="G2686" s="238">
        <f t="shared" ca="1" si="84"/>
        <v>2.2133395884486377E-2</v>
      </c>
      <c r="I2686" s="156"/>
    </row>
    <row r="2687" spans="2:9" x14ac:dyDescent="0.2">
      <c r="B2687" s="230">
        <v>42039</v>
      </c>
      <c r="C2687" s="124">
        <v>243.7</v>
      </c>
      <c r="D2687" s="156">
        <f t="shared" si="85"/>
        <v>-3.5165194635263888E-3</v>
      </c>
      <c r="E2687" s="156">
        <v>-1.4545454545453718E-3</v>
      </c>
      <c r="F2687" s="124">
        <v>2681</v>
      </c>
      <c r="G2687" s="238">
        <f t="shared" ca="1" si="84"/>
        <v>-1.6135779656484144E-2</v>
      </c>
      <c r="I2687" s="156"/>
    </row>
    <row r="2688" spans="2:9" x14ac:dyDescent="0.2">
      <c r="B2688" s="230">
        <v>42038</v>
      </c>
      <c r="C2688" s="124">
        <v>242.68</v>
      </c>
      <c r="D2688" s="156">
        <f t="shared" si="85"/>
        <v>-4.1854739433729252E-3</v>
      </c>
      <c r="E2688" s="156">
        <v>-1.4591639607052891E-3</v>
      </c>
      <c r="F2688" s="124">
        <v>2682</v>
      </c>
      <c r="G2688" s="238">
        <f t="shared" ca="1" si="84"/>
        <v>1.3943970412348182E-3</v>
      </c>
      <c r="I2688" s="156"/>
    </row>
    <row r="2689" spans="2:9" x14ac:dyDescent="0.2">
      <c r="B2689" s="230">
        <v>42037</v>
      </c>
      <c r="C2689" s="124">
        <v>239.1</v>
      </c>
      <c r="D2689" s="156">
        <f t="shared" si="85"/>
        <v>-1.4751936706774405E-2</v>
      </c>
      <c r="E2689" s="156">
        <v>-1.4621635226156275E-3</v>
      </c>
      <c r="F2689" s="124">
        <v>2683</v>
      </c>
      <c r="G2689" s="238">
        <f t="shared" ca="1" si="84"/>
        <v>1.0982515726176761E-2</v>
      </c>
      <c r="I2689" s="156"/>
    </row>
    <row r="2690" spans="2:9" x14ac:dyDescent="0.2">
      <c r="B2690" s="230">
        <v>42034</v>
      </c>
      <c r="C2690" s="124">
        <v>244.33</v>
      </c>
      <c r="D2690" s="156">
        <f t="shared" si="85"/>
        <v>2.1873693015474774E-2</v>
      </c>
      <c r="E2690" s="156">
        <v>-1.4699706005879645E-3</v>
      </c>
      <c r="F2690" s="124">
        <v>2684</v>
      </c>
      <c r="G2690" s="238">
        <f t="shared" ca="1" si="84"/>
        <v>3.0121761049067868E-2</v>
      </c>
      <c r="I2690" s="156"/>
    </row>
    <row r="2691" spans="2:9" x14ac:dyDescent="0.2">
      <c r="B2691" s="230">
        <v>42033</v>
      </c>
      <c r="C2691" s="124">
        <v>245.43</v>
      </c>
      <c r="D2691" s="156">
        <f t="shared" si="85"/>
        <v>4.5021078050177807E-3</v>
      </c>
      <c r="E2691" s="156">
        <v>-1.4710930221154875E-3</v>
      </c>
      <c r="F2691" s="124">
        <v>2685</v>
      </c>
      <c r="G2691" s="238">
        <f t="shared" ca="1" si="84"/>
        <v>3.1872890850279355E-3</v>
      </c>
      <c r="I2691" s="156"/>
    </row>
    <row r="2692" spans="2:9" x14ac:dyDescent="0.2">
      <c r="B2692" s="230">
        <v>42032</v>
      </c>
      <c r="C2692" s="124">
        <v>240.19</v>
      </c>
      <c r="D2692" s="156">
        <f t="shared" si="85"/>
        <v>-2.1350283176465833E-2</v>
      </c>
      <c r="E2692" s="156">
        <v>-1.477832512315327E-3</v>
      </c>
      <c r="F2692" s="124">
        <v>2686</v>
      </c>
      <c r="G2692" s="238">
        <f t="shared" ca="1" si="84"/>
        <v>2.0883867585201794E-2</v>
      </c>
      <c r="I2692" s="156"/>
    </row>
    <row r="2693" spans="2:9" x14ac:dyDescent="0.2">
      <c r="B2693" s="230">
        <v>42031</v>
      </c>
      <c r="C2693" s="124">
        <v>238.76</v>
      </c>
      <c r="D2693" s="156">
        <f t="shared" si="85"/>
        <v>-5.9536200507931507E-3</v>
      </c>
      <c r="E2693" s="156">
        <v>-1.4825796886583917E-3</v>
      </c>
      <c r="F2693" s="124">
        <v>2687</v>
      </c>
      <c r="G2693" s="238">
        <f t="shared" ca="1" si="84"/>
        <v>9.2397731949283636E-4</v>
      </c>
      <c r="I2693" s="156"/>
    </row>
    <row r="2694" spans="2:9" x14ac:dyDescent="0.2">
      <c r="B2694" s="230">
        <v>42027</v>
      </c>
      <c r="C2694" s="124">
        <v>231.67</v>
      </c>
      <c r="D2694" s="156">
        <f t="shared" si="85"/>
        <v>-2.9695091305076242E-2</v>
      </c>
      <c r="E2694" s="156">
        <v>-1.483928101290071E-3</v>
      </c>
      <c r="F2694" s="124">
        <v>2688</v>
      </c>
      <c r="G2694" s="238">
        <f t="shared" ca="1" si="84"/>
        <v>-1.4776622243946654E-2</v>
      </c>
      <c r="I2694" s="156"/>
    </row>
    <row r="2695" spans="2:9" x14ac:dyDescent="0.2">
      <c r="B2695" s="230">
        <v>42026</v>
      </c>
      <c r="C2695" s="124">
        <v>232.47</v>
      </c>
      <c r="D2695" s="156">
        <f t="shared" si="85"/>
        <v>3.4531877239176909E-3</v>
      </c>
      <c r="E2695" s="156">
        <v>-1.4852350165995762E-3</v>
      </c>
      <c r="F2695" s="124">
        <v>2689</v>
      </c>
      <c r="G2695" s="238">
        <f t="shared" ref="G2695:G2758" ca="1" si="86">_xlfn.NORM.INV(RAND(),$L$8,$L$9)</f>
        <v>1.4631951395548558E-2</v>
      </c>
      <c r="I2695" s="156"/>
    </row>
    <row r="2696" spans="2:9" x14ac:dyDescent="0.2">
      <c r="B2696" s="230">
        <v>42025</v>
      </c>
      <c r="C2696" s="124">
        <v>233.82</v>
      </c>
      <c r="D2696" s="156">
        <f t="shared" si="85"/>
        <v>5.8072009291521244E-3</v>
      </c>
      <c r="E2696" s="156">
        <v>-1.4883095683902361E-3</v>
      </c>
      <c r="F2696" s="124">
        <v>2690</v>
      </c>
      <c r="G2696" s="238">
        <f t="shared" ca="1" si="86"/>
        <v>-1.8362311380042677E-2</v>
      </c>
      <c r="I2696" s="156"/>
    </row>
    <row r="2697" spans="2:9" x14ac:dyDescent="0.2">
      <c r="B2697" s="230">
        <v>42024</v>
      </c>
      <c r="C2697" s="124">
        <v>246.02</v>
      </c>
      <c r="D2697" s="156">
        <f t="shared" si="85"/>
        <v>5.2176888204601903E-2</v>
      </c>
      <c r="E2697" s="156">
        <v>-1.4896529511232973E-3</v>
      </c>
      <c r="F2697" s="124">
        <v>2691</v>
      </c>
      <c r="G2697" s="238">
        <f t="shared" ca="1" si="86"/>
        <v>3.1575339494990431E-2</v>
      </c>
      <c r="I2697" s="156"/>
    </row>
    <row r="2698" spans="2:9" x14ac:dyDescent="0.2">
      <c r="B2698" s="230">
        <v>42023</v>
      </c>
      <c r="C2698" s="124">
        <v>237.87</v>
      </c>
      <c r="D2698" s="156">
        <f t="shared" si="85"/>
        <v>-3.3127388017234395E-2</v>
      </c>
      <c r="E2698" s="156">
        <v>-1.4986512139075401E-3</v>
      </c>
      <c r="F2698" s="124">
        <v>2692</v>
      </c>
      <c r="G2698" s="238">
        <f t="shared" ca="1" si="86"/>
        <v>-1.8932039911782932E-2</v>
      </c>
      <c r="I2698" s="156"/>
    </row>
    <row r="2699" spans="2:9" x14ac:dyDescent="0.2">
      <c r="B2699" s="230">
        <v>42020</v>
      </c>
      <c r="C2699" s="124">
        <v>238.73</v>
      </c>
      <c r="D2699" s="156">
        <f t="shared" si="85"/>
        <v>3.6154201874973105E-3</v>
      </c>
      <c r="E2699" s="156">
        <v>-1.507727101394776E-3</v>
      </c>
      <c r="F2699" s="124">
        <v>2693</v>
      </c>
      <c r="G2699" s="238">
        <f t="shared" ca="1" si="86"/>
        <v>7.4978611756513873E-3</v>
      </c>
      <c r="I2699" s="156"/>
    </row>
    <row r="2700" spans="2:9" x14ac:dyDescent="0.2">
      <c r="B2700" s="230">
        <v>42019</v>
      </c>
      <c r="C2700" s="124">
        <v>237.27</v>
      </c>
      <c r="D2700" s="156">
        <f t="shared" si="85"/>
        <v>-6.1156955556485549E-3</v>
      </c>
      <c r="E2700" s="156">
        <v>-1.5136989757304172E-3</v>
      </c>
      <c r="F2700" s="124">
        <v>2694</v>
      </c>
      <c r="G2700" s="238">
        <f t="shared" ca="1" si="86"/>
        <v>-1.4232751801659907E-2</v>
      </c>
      <c r="I2700" s="156"/>
    </row>
    <row r="2701" spans="2:9" x14ac:dyDescent="0.2">
      <c r="B2701" s="230">
        <v>42018</v>
      </c>
      <c r="C2701" s="124">
        <v>230.58</v>
      </c>
      <c r="D2701" s="156">
        <f t="shared" si="85"/>
        <v>-2.8195726387659617E-2</v>
      </c>
      <c r="E2701" s="156">
        <v>-1.5209694310078634E-3</v>
      </c>
      <c r="F2701" s="124">
        <v>2695</v>
      </c>
      <c r="G2701" s="238">
        <f t="shared" ca="1" si="86"/>
        <v>-1.9826913797766538E-2</v>
      </c>
      <c r="I2701" s="156"/>
    </row>
    <row r="2702" spans="2:9" x14ac:dyDescent="0.2">
      <c r="B2702" s="230">
        <v>42017</v>
      </c>
      <c r="C2702" s="124">
        <v>238.73</v>
      </c>
      <c r="D2702" s="156">
        <f t="shared" si="85"/>
        <v>3.5345650099748362E-2</v>
      </c>
      <c r="E2702" s="156">
        <v>-1.5228692958043398E-3</v>
      </c>
      <c r="F2702" s="124">
        <v>2696</v>
      </c>
      <c r="G2702" s="238">
        <f t="shared" ca="1" si="86"/>
        <v>-3.0234767321273864E-2</v>
      </c>
      <c r="I2702" s="156"/>
    </row>
    <row r="2703" spans="2:9" x14ac:dyDescent="0.2">
      <c r="B2703" s="230">
        <v>42016</v>
      </c>
      <c r="C2703" s="124">
        <v>237.24</v>
      </c>
      <c r="D2703" s="156">
        <f t="shared" si="85"/>
        <v>-6.2413605328194227E-3</v>
      </c>
      <c r="E2703" s="156">
        <v>-1.5293442936342347E-3</v>
      </c>
      <c r="F2703" s="124">
        <v>2697</v>
      </c>
      <c r="G2703" s="238">
        <f t="shared" ca="1" si="86"/>
        <v>2.1234148669958087E-2</v>
      </c>
      <c r="I2703" s="156"/>
    </row>
    <row r="2704" spans="2:9" x14ac:dyDescent="0.2">
      <c r="B2704" s="230">
        <v>42013</v>
      </c>
      <c r="C2704" s="124">
        <v>236.61</v>
      </c>
      <c r="D2704" s="156">
        <f t="shared" si="85"/>
        <v>-2.6555386949923933E-3</v>
      </c>
      <c r="E2704" s="156">
        <v>-1.5311093583260452E-3</v>
      </c>
      <c r="F2704" s="124">
        <v>2698</v>
      </c>
      <c r="G2704" s="238">
        <f t="shared" ca="1" si="86"/>
        <v>3.0830804732777967E-2</v>
      </c>
      <c r="I2704" s="156"/>
    </row>
    <row r="2705" spans="2:9" x14ac:dyDescent="0.2">
      <c r="B2705" s="230">
        <v>42012</v>
      </c>
      <c r="C2705" s="124">
        <v>240.26</v>
      </c>
      <c r="D2705" s="156">
        <f t="shared" si="85"/>
        <v>1.5426228815350057E-2</v>
      </c>
      <c r="E2705" s="156">
        <v>-1.5316867700554367E-3</v>
      </c>
      <c r="F2705" s="124">
        <v>2699</v>
      </c>
      <c r="G2705" s="238">
        <f t="shared" ca="1" si="86"/>
        <v>-1.022478301226404E-2</v>
      </c>
      <c r="I2705" s="156"/>
    </row>
    <row r="2706" spans="2:9" x14ac:dyDescent="0.2">
      <c r="B2706" s="230">
        <v>42011</v>
      </c>
      <c r="C2706" s="124">
        <v>234.39</v>
      </c>
      <c r="D2706" s="156">
        <f t="shared" si="85"/>
        <v>-2.4431865479064365E-2</v>
      </c>
      <c r="E2706" s="156">
        <v>-1.531807532888824E-3</v>
      </c>
      <c r="F2706" s="124">
        <v>2700</v>
      </c>
      <c r="G2706" s="238">
        <f t="shared" ca="1" si="86"/>
        <v>5.3975637896349574E-3</v>
      </c>
      <c r="I2706" s="156"/>
    </row>
    <row r="2707" spans="2:9" x14ac:dyDescent="0.2">
      <c r="B2707" s="230">
        <v>42010</v>
      </c>
      <c r="C2707" s="124">
        <v>238.83</v>
      </c>
      <c r="D2707" s="156">
        <f t="shared" si="85"/>
        <v>1.8942787661589772E-2</v>
      </c>
      <c r="E2707" s="156">
        <v>-1.5429122468658717E-3</v>
      </c>
      <c r="F2707" s="124">
        <v>2701</v>
      </c>
      <c r="G2707" s="238">
        <f t="shared" ca="1" si="86"/>
        <v>-1.1264617956275117E-2</v>
      </c>
      <c r="I2707" s="156"/>
    </row>
    <row r="2708" spans="2:9" x14ac:dyDescent="0.2">
      <c r="B2708" s="230">
        <v>42009</v>
      </c>
      <c r="C2708" s="124">
        <v>245.13</v>
      </c>
      <c r="D2708" s="156">
        <f t="shared" si="85"/>
        <v>2.6378595653812262E-2</v>
      </c>
      <c r="E2708" s="156">
        <v>-1.5538808173414422E-3</v>
      </c>
      <c r="F2708" s="124">
        <v>2702</v>
      </c>
      <c r="G2708" s="238">
        <f t="shared" ca="1" si="86"/>
        <v>4.4770308782953391E-3</v>
      </c>
      <c r="I2708" s="156"/>
    </row>
    <row r="2709" spans="2:9" x14ac:dyDescent="0.2">
      <c r="B2709" s="230">
        <v>42006</v>
      </c>
      <c r="C2709" s="124">
        <v>244.17</v>
      </c>
      <c r="D2709" s="156">
        <f t="shared" si="85"/>
        <v>-3.9162893158732424E-3</v>
      </c>
      <c r="E2709" s="156">
        <v>-1.5734265734266329E-3</v>
      </c>
      <c r="F2709" s="124">
        <v>2703</v>
      </c>
      <c r="G2709" s="238">
        <f t="shared" ca="1" si="86"/>
        <v>1.4888257395755824E-2</v>
      </c>
      <c r="I2709" s="156"/>
    </row>
    <row r="2710" spans="2:9" x14ac:dyDescent="0.2">
      <c r="B2710" s="230">
        <v>42005</v>
      </c>
      <c r="C2710" s="124">
        <v>243.4</v>
      </c>
      <c r="D2710" s="156">
        <f t="shared" si="85"/>
        <v>-3.1535405659990248E-3</v>
      </c>
      <c r="E2710" s="156">
        <v>-1.5861266786506448E-3</v>
      </c>
      <c r="F2710" s="124">
        <v>2704</v>
      </c>
      <c r="G2710" s="238">
        <f t="shared" ca="1" si="86"/>
        <v>-1.020207222353242E-2</v>
      </c>
      <c r="I2710" s="156"/>
    </row>
    <row r="2711" spans="2:9" x14ac:dyDescent="0.2">
      <c r="B2711" s="230">
        <v>42004</v>
      </c>
      <c r="C2711" s="124">
        <v>244.43</v>
      </c>
      <c r="D2711" s="156">
        <f t="shared" si="85"/>
        <v>4.2317173377156986E-3</v>
      </c>
      <c r="E2711" s="156">
        <v>-1.5917934205871547E-3</v>
      </c>
      <c r="F2711" s="124">
        <v>2705</v>
      </c>
      <c r="G2711" s="238">
        <f t="shared" ca="1" si="86"/>
        <v>-8.0654257263519935E-3</v>
      </c>
      <c r="I2711" s="156"/>
    </row>
    <row r="2712" spans="2:9" x14ac:dyDescent="0.2">
      <c r="B2712" s="230">
        <v>42003</v>
      </c>
      <c r="C2712" s="124">
        <v>244.17</v>
      </c>
      <c r="D2712" s="156">
        <f t="shared" si="85"/>
        <v>-1.0636992185902685E-3</v>
      </c>
      <c r="E2712" s="156">
        <v>-1.6021690904608756E-3</v>
      </c>
      <c r="F2712" s="124">
        <v>2706</v>
      </c>
      <c r="G2712" s="238">
        <f t="shared" ca="1" si="86"/>
        <v>3.6948211298126156E-3</v>
      </c>
      <c r="I2712" s="156"/>
    </row>
    <row r="2713" spans="2:9" x14ac:dyDescent="0.2">
      <c r="B2713" s="230">
        <v>42002</v>
      </c>
      <c r="C2713" s="124">
        <v>245.19</v>
      </c>
      <c r="D2713" s="156">
        <f t="shared" si="85"/>
        <v>4.177417373141706E-3</v>
      </c>
      <c r="E2713" s="156">
        <v>-1.6080042880113688E-3</v>
      </c>
      <c r="F2713" s="124">
        <v>2707</v>
      </c>
      <c r="G2713" s="238">
        <f t="shared" ca="1" si="86"/>
        <v>-1.6914431249996101E-2</v>
      </c>
      <c r="I2713" s="156"/>
    </row>
    <row r="2714" spans="2:9" x14ac:dyDescent="0.2">
      <c r="B2714" s="230">
        <v>41999</v>
      </c>
      <c r="C2714" s="124">
        <v>243.93</v>
      </c>
      <c r="D2714" s="156">
        <f t="shared" si="85"/>
        <v>-5.1388718952648594E-3</v>
      </c>
      <c r="E2714" s="156">
        <v>-1.6080042880115971E-3</v>
      </c>
      <c r="F2714" s="124">
        <v>2708</v>
      </c>
      <c r="G2714" s="238">
        <f t="shared" ca="1" si="86"/>
        <v>2.3783621980591235E-2</v>
      </c>
      <c r="I2714" s="156"/>
    </row>
    <row r="2715" spans="2:9" x14ac:dyDescent="0.2">
      <c r="B2715" s="230">
        <v>41997</v>
      </c>
      <c r="C2715" s="124">
        <v>246.22</v>
      </c>
      <c r="D2715" s="156">
        <f t="shared" si="85"/>
        <v>9.3879391628745625E-3</v>
      </c>
      <c r="E2715" s="156">
        <v>-1.6108343525341421E-3</v>
      </c>
      <c r="F2715" s="124">
        <v>2709</v>
      </c>
      <c r="G2715" s="238">
        <f t="shared" ca="1" si="86"/>
        <v>-2.4896515373592346E-2</v>
      </c>
      <c r="I2715" s="156"/>
    </row>
    <row r="2716" spans="2:9" x14ac:dyDescent="0.2">
      <c r="B2716" s="230">
        <v>41996</v>
      </c>
      <c r="C2716" s="124">
        <v>248.38</v>
      </c>
      <c r="D2716" s="156">
        <f t="shared" si="85"/>
        <v>8.7726423523677866E-3</v>
      </c>
      <c r="E2716" s="156">
        <v>-1.6123831022251114E-3</v>
      </c>
      <c r="F2716" s="124">
        <v>2710</v>
      </c>
      <c r="G2716" s="238">
        <f t="shared" ca="1" si="86"/>
        <v>-2.725440438087667E-2</v>
      </c>
      <c r="I2716" s="156"/>
    </row>
    <row r="2717" spans="2:9" x14ac:dyDescent="0.2">
      <c r="B2717" s="230">
        <v>41995</v>
      </c>
      <c r="C2717" s="124">
        <v>248.01</v>
      </c>
      <c r="D2717" s="156">
        <f t="shared" si="85"/>
        <v>-1.4896529511232973E-3</v>
      </c>
      <c r="E2717" s="156">
        <v>-1.6319129646418446E-3</v>
      </c>
      <c r="F2717" s="124">
        <v>2711</v>
      </c>
      <c r="G2717" s="238">
        <f t="shared" ca="1" si="86"/>
        <v>1.8484075371020665E-2</v>
      </c>
      <c r="I2717" s="156"/>
    </row>
    <row r="2718" spans="2:9" x14ac:dyDescent="0.2">
      <c r="B2718" s="230">
        <v>41992</v>
      </c>
      <c r="C2718" s="124">
        <v>244.5</v>
      </c>
      <c r="D2718" s="156">
        <f t="shared" si="85"/>
        <v>-1.4152655134873557E-2</v>
      </c>
      <c r="E2718" s="156">
        <v>-1.6420361247947715E-3</v>
      </c>
      <c r="F2718" s="124">
        <v>2712</v>
      </c>
      <c r="G2718" s="238">
        <f t="shared" ca="1" si="86"/>
        <v>-1.2344401308256902E-4</v>
      </c>
      <c r="I2718" s="156"/>
    </row>
    <row r="2719" spans="2:9" x14ac:dyDescent="0.2">
      <c r="B2719" s="230">
        <v>41991</v>
      </c>
      <c r="C2719" s="124">
        <v>248.51</v>
      </c>
      <c r="D2719" s="156">
        <f t="shared" si="85"/>
        <v>1.6400817995909985E-2</v>
      </c>
      <c r="E2719" s="156">
        <v>-1.6462841015992208E-3</v>
      </c>
      <c r="F2719" s="124">
        <v>2713</v>
      </c>
      <c r="G2719" s="238">
        <f t="shared" ca="1" si="86"/>
        <v>3.2094691514481875E-2</v>
      </c>
      <c r="I2719" s="156"/>
    </row>
    <row r="2720" spans="2:9" x14ac:dyDescent="0.2">
      <c r="B2720" s="230">
        <v>41990</v>
      </c>
      <c r="C2720" s="124">
        <v>246.49</v>
      </c>
      <c r="D2720" s="156">
        <f t="shared" si="85"/>
        <v>-8.1284455353908564E-3</v>
      </c>
      <c r="E2720" s="156">
        <v>-1.6675931072817429E-3</v>
      </c>
      <c r="F2720" s="124">
        <v>2714</v>
      </c>
      <c r="G2720" s="238">
        <f t="shared" ca="1" si="86"/>
        <v>1.3355139072298938E-2</v>
      </c>
      <c r="I2720" s="156"/>
    </row>
    <row r="2721" spans="2:9" x14ac:dyDescent="0.2">
      <c r="B2721" s="230">
        <v>41989</v>
      </c>
      <c r="C2721" s="124">
        <v>252.32</v>
      </c>
      <c r="D2721" s="156">
        <f t="shared" si="85"/>
        <v>2.3652075134893844E-2</v>
      </c>
      <c r="E2721" s="156">
        <v>-1.6729189901651836E-3</v>
      </c>
      <c r="F2721" s="124">
        <v>2715</v>
      </c>
      <c r="G2721" s="238">
        <f t="shared" ca="1" si="86"/>
        <v>3.6909917990305685E-2</v>
      </c>
      <c r="I2721" s="156"/>
    </row>
    <row r="2722" spans="2:9" x14ac:dyDescent="0.2">
      <c r="B2722" s="230">
        <v>41988</v>
      </c>
      <c r="C2722" s="124">
        <v>260.24</v>
      </c>
      <c r="D2722" s="156">
        <f t="shared" si="85"/>
        <v>3.1388712745719784E-2</v>
      </c>
      <c r="E2722" s="156">
        <v>-1.6758439071103391E-3</v>
      </c>
      <c r="F2722" s="124">
        <v>2716</v>
      </c>
      <c r="G2722" s="238">
        <f t="shared" ca="1" si="86"/>
        <v>-8.1662349554561999E-3</v>
      </c>
      <c r="I2722" s="156"/>
    </row>
    <row r="2723" spans="2:9" x14ac:dyDescent="0.2">
      <c r="B2723" s="230">
        <v>41985</v>
      </c>
      <c r="C2723" s="124">
        <v>262.33</v>
      </c>
      <c r="D2723" s="156">
        <f t="shared" si="85"/>
        <v>8.0310482631416186E-3</v>
      </c>
      <c r="E2723" s="156">
        <v>-1.6799664006720105E-3</v>
      </c>
      <c r="F2723" s="124">
        <v>2717</v>
      </c>
      <c r="G2723" s="238">
        <f t="shared" ca="1" si="86"/>
        <v>8.5383456675819196E-3</v>
      </c>
      <c r="I2723" s="156"/>
    </row>
    <row r="2724" spans="2:9" x14ac:dyDescent="0.2">
      <c r="B2724" s="230">
        <v>41984</v>
      </c>
      <c r="C2724" s="124">
        <v>262.93</v>
      </c>
      <c r="D2724" s="156">
        <f t="shared" si="85"/>
        <v>2.2871955170968732E-3</v>
      </c>
      <c r="E2724" s="156">
        <v>-1.6800930513073983E-3</v>
      </c>
      <c r="F2724" s="124">
        <v>2718</v>
      </c>
      <c r="G2724" s="238">
        <f t="shared" ca="1" si="86"/>
        <v>2.8337078910125016E-3</v>
      </c>
      <c r="I2724" s="156"/>
    </row>
    <row r="2725" spans="2:9" x14ac:dyDescent="0.2">
      <c r="B2725" s="230">
        <v>41983</v>
      </c>
      <c r="C2725" s="124">
        <v>261.87</v>
      </c>
      <c r="D2725" s="156">
        <f t="shared" si="85"/>
        <v>-4.0314912714410761E-3</v>
      </c>
      <c r="E2725" s="156">
        <v>-1.6893295300339441E-3</v>
      </c>
      <c r="F2725" s="124">
        <v>2719</v>
      </c>
      <c r="G2725" s="238">
        <f t="shared" ca="1" si="86"/>
        <v>-1.6837338477196338E-2</v>
      </c>
      <c r="I2725" s="156"/>
    </row>
    <row r="2726" spans="2:9" x14ac:dyDescent="0.2">
      <c r="B2726" s="230">
        <v>41982</v>
      </c>
      <c r="C2726" s="124">
        <v>261.44</v>
      </c>
      <c r="D2726" s="156">
        <f t="shared" si="85"/>
        <v>-1.6420361247947715E-3</v>
      </c>
      <c r="E2726" s="156">
        <v>-1.6922382671480786E-3</v>
      </c>
      <c r="F2726" s="124">
        <v>2720</v>
      </c>
      <c r="G2726" s="238">
        <f t="shared" ca="1" si="86"/>
        <v>1.3565451067784111E-2</v>
      </c>
      <c r="I2726" s="156"/>
    </row>
    <row r="2727" spans="2:9" x14ac:dyDescent="0.2">
      <c r="B2727" s="230">
        <v>41981</v>
      </c>
      <c r="C2727" s="124">
        <v>263.72000000000003</v>
      </c>
      <c r="D2727" s="156">
        <f t="shared" si="85"/>
        <v>8.7209302325582522E-3</v>
      </c>
      <c r="E2727" s="156">
        <v>-1.7027424473053455E-3</v>
      </c>
      <c r="F2727" s="124">
        <v>2721</v>
      </c>
      <c r="G2727" s="238">
        <f t="shared" ca="1" si="86"/>
        <v>2.4414856318398789E-2</v>
      </c>
      <c r="I2727" s="156"/>
    </row>
    <row r="2728" spans="2:9" x14ac:dyDescent="0.2">
      <c r="B2728" s="230">
        <v>41978</v>
      </c>
      <c r="C2728" s="124">
        <v>259.45</v>
      </c>
      <c r="D2728" s="156">
        <f t="shared" si="85"/>
        <v>-1.6191415137266942E-2</v>
      </c>
      <c r="E2728" s="156">
        <v>-1.7032361486825137E-3</v>
      </c>
      <c r="F2728" s="124">
        <v>2722</v>
      </c>
      <c r="G2728" s="238">
        <f t="shared" ca="1" si="86"/>
        <v>-1.8405695288086048E-2</v>
      </c>
      <c r="I2728" s="156"/>
    </row>
    <row r="2729" spans="2:9" x14ac:dyDescent="0.2">
      <c r="B2729" s="230">
        <v>41977</v>
      </c>
      <c r="C2729" s="124">
        <v>254.01</v>
      </c>
      <c r="D2729" s="156">
        <f t="shared" si="85"/>
        <v>-2.0967431104259002E-2</v>
      </c>
      <c r="E2729" s="156">
        <v>-1.7070448427548481E-3</v>
      </c>
      <c r="F2729" s="124">
        <v>2723</v>
      </c>
      <c r="G2729" s="238">
        <f t="shared" ca="1" si="86"/>
        <v>-3.5532787890425799E-2</v>
      </c>
      <c r="I2729" s="156"/>
    </row>
    <row r="2730" spans="2:9" x14ac:dyDescent="0.2">
      <c r="B2730" s="230">
        <v>41976</v>
      </c>
      <c r="C2730" s="124">
        <v>240.82</v>
      </c>
      <c r="D2730" s="156">
        <f t="shared" si="85"/>
        <v>-5.1927089484665949E-2</v>
      </c>
      <c r="E2730" s="156">
        <v>-1.7148736709729048E-3</v>
      </c>
      <c r="F2730" s="124">
        <v>2724</v>
      </c>
      <c r="G2730" s="238">
        <f t="shared" ca="1" si="86"/>
        <v>-1.6569891935411044E-2</v>
      </c>
      <c r="I2730" s="156"/>
    </row>
    <row r="2731" spans="2:9" x14ac:dyDescent="0.2">
      <c r="B2731" s="230">
        <v>41975</v>
      </c>
      <c r="C2731" s="124">
        <v>242.51</v>
      </c>
      <c r="D2731" s="156">
        <f t="shared" si="85"/>
        <v>7.017689560667709E-3</v>
      </c>
      <c r="E2731" s="156">
        <v>-1.7174432497012379E-3</v>
      </c>
      <c r="F2731" s="124">
        <v>2725</v>
      </c>
      <c r="G2731" s="238">
        <f t="shared" ca="1" si="86"/>
        <v>-9.6330029228284125E-3</v>
      </c>
      <c r="I2731" s="156"/>
    </row>
    <row r="2732" spans="2:9" x14ac:dyDescent="0.2">
      <c r="B2732" s="230">
        <v>41974</v>
      </c>
      <c r="C2732" s="124">
        <v>241.71</v>
      </c>
      <c r="D2732" s="156">
        <f t="shared" si="85"/>
        <v>-3.2988330378128034E-3</v>
      </c>
      <c r="E2732" s="156">
        <v>-1.7189903193702862E-3</v>
      </c>
      <c r="F2732" s="124">
        <v>2726</v>
      </c>
      <c r="G2732" s="238">
        <f t="shared" ca="1" si="86"/>
        <v>-7.1670729848444586E-3</v>
      </c>
      <c r="I2732" s="156"/>
    </row>
    <row r="2733" spans="2:9" x14ac:dyDescent="0.2">
      <c r="B2733" s="230">
        <v>41971</v>
      </c>
      <c r="C2733" s="124">
        <v>240.75</v>
      </c>
      <c r="D2733" s="156">
        <f t="shared" si="85"/>
        <v>-3.9717016259153857E-3</v>
      </c>
      <c r="E2733" s="156">
        <v>-1.7215295529239088E-3</v>
      </c>
      <c r="F2733" s="124">
        <v>2727</v>
      </c>
      <c r="G2733" s="238">
        <f t="shared" ca="1" si="86"/>
        <v>1.4953785898166738E-2</v>
      </c>
      <c r="I2733" s="156"/>
    </row>
    <row r="2734" spans="2:9" x14ac:dyDescent="0.2">
      <c r="B2734" s="230">
        <v>41970</v>
      </c>
      <c r="C2734" s="124">
        <v>239.06</v>
      </c>
      <c r="D2734" s="156">
        <f t="shared" si="85"/>
        <v>-7.0197300103842066E-3</v>
      </c>
      <c r="E2734" s="156">
        <v>-1.7243181105652842E-3</v>
      </c>
      <c r="F2734" s="124">
        <v>2728</v>
      </c>
      <c r="G2734" s="238">
        <f t="shared" ca="1" si="86"/>
        <v>-2.0951555666103086E-2</v>
      </c>
      <c r="I2734" s="156"/>
    </row>
    <row r="2735" spans="2:9" x14ac:dyDescent="0.2">
      <c r="B2735" s="230">
        <v>41969</v>
      </c>
      <c r="C2735" s="124">
        <v>240.92</v>
      </c>
      <c r="D2735" s="156">
        <f t="shared" si="85"/>
        <v>7.7804735212916639E-3</v>
      </c>
      <c r="E2735" s="156">
        <v>-1.7304780445598343E-3</v>
      </c>
      <c r="F2735" s="124">
        <v>2729</v>
      </c>
      <c r="G2735" s="238">
        <f t="shared" ca="1" si="86"/>
        <v>2.8687245018883165E-3</v>
      </c>
      <c r="I2735" s="156"/>
    </row>
    <row r="2736" spans="2:9" x14ac:dyDescent="0.2">
      <c r="B2736" s="230">
        <v>41968</v>
      </c>
      <c r="C2736" s="124">
        <v>235.61</v>
      </c>
      <c r="D2736" s="156">
        <f t="shared" si="85"/>
        <v>-2.2040511373069793E-2</v>
      </c>
      <c r="E2736" s="156">
        <v>-1.731075138018174E-3</v>
      </c>
      <c r="F2736" s="124">
        <v>2730</v>
      </c>
      <c r="G2736" s="238">
        <f t="shared" ca="1" si="86"/>
        <v>-9.4688429819682774E-3</v>
      </c>
      <c r="I2736" s="156"/>
    </row>
    <row r="2737" spans="2:9" x14ac:dyDescent="0.2">
      <c r="B2737" s="230">
        <v>41967</v>
      </c>
      <c r="C2737" s="124">
        <v>248.58</v>
      </c>
      <c r="D2737" s="156">
        <f t="shared" si="85"/>
        <v>5.5048597258180884E-2</v>
      </c>
      <c r="E2737" s="156">
        <v>-1.7313019390581964E-3</v>
      </c>
      <c r="F2737" s="124">
        <v>2731</v>
      </c>
      <c r="G2737" s="238">
        <f t="shared" ca="1" si="86"/>
        <v>3.7450688808029939E-4</v>
      </c>
      <c r="I2737" s="156"/>
    </row>
    <row r="2738" spans="2:9" x14ac:dyDescent="0.2">
      <c r="B2738" s="230">
        <v>41964</v>
      </c>
      <c r="C2738" s="124">
        <v>249.37</v>
      </c>
      <c r="D2738" s="156">
        <f t="shared" si="85"/>
        <v>3.1780513315632472E-3</v>
      </c>
      <c r="E2738" s="156">
        <v>-1.7338307150738847E-3</v>
      </c>
      <c r="F2738" s="124">
        <v>2732</v>
      </c>
      <c r="G2738" s="238">
        <f t="shared" ca="1" si="86"/>
        <v>-1.943794410720168E-2</v>
      </c>
      <c r="I2738" s="156"/>
    </row>
    <row r="2739" spans="2:9" x14ac:dyDescent="0.2">
      <c r="B2739" s="230">
        <v>41963</v>
      </c>
      <c r="C2739" s="124">
        <v>245.33</v>
      </c>
      <c r="D2739" s="156">
        <f t="shared" si="85"/>
        <v>-1.6200826081725916E-2</v>
      </c>
      <c r="E2739" s="156">
        <v>-1.7364460737025547E-3</v>
      </c>
      <c r="F2739" s="124">
        <v>2733</v>
      </c>
      <c r="G2739" s="238">
        <f t="shared" ca="1" si="86"/>
        <v>8.9403952698127297E-3</v>
      </c>
      <c r="I2739" s="156"/>
    </row>
    <row r="2740" spans="2:9" x14ac:dyDescent="0.2">
      <c r="B2740" s="230">
        <v>41962</v>
      </c>
      <c r="C2740" s="124">
        <v>243.87</v>
      </c>
      <c r="D2740" s="156">
        <f t="shared" si="85"/>
        <v>-5.9511678147801238E-3</v>
      </c>
      <c r="E2740" s="156">
        <v>-1.741755689735319E-3</v>
      </c>
      <c r="F2740" s="124">
        <v>2734</v>
      </c>
      <c r="G2740" s="238">
        <f t="shared" ca="1" si="86"/>
        <v>-1.112266167102201E-3</v>
      </c>
      <c r="I2740" s="156"/>
    </row>
    <row r="2741" spans="2:9" x14ac:dyDescent="0.2">
      <c r="B2741" s="230">
        <v>41961</v>
      </c>
      <c r="C2741" s="124">
        <v>245.46</v>
      </c>
      <c r="D2741" s="156">
        <f t="shared" si="85"/>
        <v>6.5198671423299433E-3</v>
      </c>
      <c r="E2741" s="156">
        <v>-1.747335313646689E-3</v>
      </c>
      <c r="F2741" s="124">
        <v>2735</v>
      </c>
      <c r="G2741" s="238">
        <f t="shared" ca="1" si="86"/>
        <v>-3.9674501381214405E-3</v>
      </c>
      <c r="I2741" s="156"/>
    </row>
    <row r="2742" spans="2:9" x14ac:dyDescent="0.2">
      <c r="B2742" s="230">
        <v>41960</v>
      </c>
      <c r="C2742" s="124">
        <v>245.43</v>
      </c>
      <c r="D2742" s="156">
        <f t="shared" si="85"/>
        <v>-1.2221950623319945E-4</v>
      </c>
      <c r="E2742" s="156">
        <v>-1.7492424055778155E-3</v>
      </c>
      <c r="F2742" s="124">
        <v>2736</v>
      </c>
      <c r="G2742" s="238">
        <f t="shared" ca="1" si="86"/>
        <v>3.0022351533842682E-3</v>
      </c>
      <c r="I2742" s="156"/>
    </row>
    <row r="2743" spans="2:9" x14ac:dyDescent="0.2">
      <c r="B2743" s="230">
        <v>41957</v>
      </c>
      <c r="C2743" s="124">
        <v>244.76</v>
      </c>
      <c r="D2743" s="156">
        <f t="shared" si="85"/>
        <v>-2.7299026198916838E-3</v>
      </c>
      <c r="E2743" s="156">
        <v>-1.7509727626458425E-3</v>
      </c>
      <c r="F2743" s="124">
        <v>2737</v>
      </c>
      <c r="G2743" s="238">
        <f t="shared" ca="1" si="86"/>
        <v>-1.7904206485771373E-2</v>
      </c>
      <c r="I2743" s="156"/>
    </row>
    <row r="2744" spans="2:9" x14ac:dyDescent="0.2">
      <c r="B2744" s="230">
        <v>41956</v>
      </c>
      <c r="C2744" s="124">
        <v>244.2</v>
      </c>
      <c r="D2744" s="156">
        <f t="shared" si="85"/>
        <v>-2.2879555482922141E-3</v>
      </c>
      <c r="E2744" s="156">
        <v>-1.7576623091287587E-3</v>
      </c>
      <c r="F2744" s="124">
        <v>2738</v>
      </c>
      <c r="G2744" s="238">
        <f t="shared" ca="1" si="86"/>
        <v>5.822621545365518E-4</v>
      </c>
      <c r="I2744" s="156"/>
    </row>
    <row r="2745" spans="2:9" x14ac:dyDescent="0.2">
      <c r="B2745" s="230">
        <v>41955</v>
      </c>
      <c r="C2745" s="124">
        <v>244.96</v>
      </c>
      <c r="D2745" s="156">
        <f t="shared" si="85"/>
        <v>3.1122031122031916E-3</v>
      </c>
      <c r="E2745" s="156">
        <v>-1.7602190494817799E-3</v>
      </c>
      <c r="F2745" s="124">
        <v>2739</v>
      </c>
      <c r="G2745" s="238">
        <f t="shared" ca="1" si="86"/>
        <v>4.1472399732868145E-3</v>
      </c>
      <c r="I2745" s="156"/>
    </row>
    <row r="2746" spans="2:9" x14ac:dyDescent="0.2">
      <c r="B2746" s="230">
        <v>41954</v>
      </c>
      <c r="C2746" s="124">
        <v>241.38</v>
      </c>
      <c r="D2746" s="156">
        <f t="shared" si="85"/>
        <v>-1.4614630960156812E-2</v>
      </c>
      <c r="E2746" s="156">
        <v>-1.7678500863127279E-3</v>
      </c>
      <c r="F2746" s="124">
        <v>2740</v>
      </c>
      <c r="G2746" s="238">
        <f t="shared" ca="1" si="86"/>
        <v>-1.6492300321642325E-2</v>
      </c>
      <c r="I2746" s="156"/>
    </row>
    <row r="2747" spans="2:9" x14ac:dyDescent="0.2">
      <c r="B2747" s="230">
        <v>41953</v>
      </c>
      <c r="C2747" s="124">
        <v>246.42</v>
      </c>
      <c r="D2747" s="156">
        <f t="shared" si="85"/>
        <v>2.0879940343027557E-2</v>
      </c>
      <c r="E2747" s="156">
        <v>-1.7683888543706741E-3</v>
      </c>
      <c r="F2747" s="124">
        <v>2741</v>
      </c>
      <c r="G2747" s="238">
        <f t="shared" ca="1" si="86"/>
        <v>5.0601212263339329E-2</v>
      </c>
      <c r="I2747" s="156"/>
    </row>
    <row r="2748" spans="2:9" x14ac:dyDescent="0.2">
      <c r="B2748" s="230">
        <v>41950</v>
      </c>
      <c r="C2748" s="124">
        <v>235.78</v>
      </c>
      <c r="D2748" s="156">
        <f t="shared" si="85"/>
        <v>-4.3178313448583666E-2</v>
      </c>
      <c r="E2748" s="156">
        <v>-1.7696267696268061E-3</v>
      </c>
      <c r="F2748" s="124">
        <v>2742</v>
      </c>
      <c r="G2748" s="238">
        <f t="shared" ca="1" si="86"/>
        <v>-1.7766864648228003E-2</v>
      </c>
      <c r="I2748" s="156"/>
    </row>
    <row r="2749" spans="2:9" x14ac:dyDescent="0.2">
      <c r="B2749" s="230">
        <v>41948</v>
      </c>
      <c r="C2749" s="124">
        <v>238.1</v>
      </c>
      <c r="D2749" s="156">
        <f t="shared" si="85"/>
        <v>9.8396810586139326E-3</v>
      </c>
      <c r="E2749" s="156">
        <v>-1.7818253811127183E-3</v>
      </c>
      <c r="F2749" s="124">
        <v>2743</v>
      </c>
      <c r="G2749" s="238">
        <f t="shared" ca="1" si="86"/>
        <v>9.6916686362925226E-3</v>
      </c>
      <c r="I2749" s="156"/>
    </row>
    <row r="2750" spans="2:9" x14ac:dyDescent="0.2">
      <c r="B2750" s="230">
        <v>41946</v>
      </c>
      <c r="C2750" s="124">
        <v>235.65</v>
      </c>
      <c r="D2750" s="156">
        <f t="shared" ref="D2750:D2813" si="87">(C2750-C2749)/C2749</f>
        <v>-1.028979420411587E-2</v>
      </c>
      <c r="E2750" s="156">
        <v>-1.8115942028985507E-3</v>
      </c>
      <c r="F2750" s="124">
        <v>2744</v>
      </c>
      <c r="G2750" s="238">
        <f t="shared" ca="1" si="86"/>
        <v>-1.5495172544314441E-2</v>
      </c>
      <c r="I2750" s="156"/>
    </row>
    <row r="2751" spans="2:9" x14ac:dyDescent="0.2">
      <c r="B2751" s="230">
        <v>41943</v>
      </c>
      <c r="C2751" s="124">
        <v>235.48</v>
      </c>
      <c r="D2751" s="156">
        <f t="shared" si="87"/>
        <v>-7.2140886908557574E-4</v>
      </c>
      <c r="E2751" s="156">
        <v>-1.8265952264978772E-3</v>
      </c>
      <c r="F2751" s="124">
        <v>2745</v>
      </c>
      <c r="G2751" s="238">
        <f t="shared" ca="1" si="86"/>
        <v>-1.130635118033374E-2</v>
      </c>
      <c r="I2751" s="156"/>
    </row>
    <row r="2752" spans="2:9" x14ac:dyDescent="0.2">
      <c r="B2752" s="230">
        <v>41942</v>
      </c>
      <c r="C2752" s="124">
        <v>235.28</v>
      </c>
      <c r="D2752" s="156">
        <f t="shared" si="87"/>
        <v>-8.4932903006619943E-4</v>
      </c>
      <c r="E2752" s="156">
        <v>-1.8296401707663698E-3</v>
      </c>
      <c r="F2752" s="124">
        <v>2746</v>
      </c>
      <c r="G2752" s="238">
        <f t="shared" ca="1" si="86"/>
        <v>6.6736444195482914E-3</v>
      </c>
      <c r="I2752" s="156"/>
    </row>
    <row r="2753" spans="2:9" x14ac:dyDescent="0.2">
      <c r="B2753" s="230">
        <v>41941</v>
      </c>
      <c r="C2753" s="124">
        <v>234.98</v>
      </c>
      <c r="D2753" s="156">
        <f t="shared" si="87"/>
        <v>-1.2750765045903237E-3</v>
      </c>
      <c r="E2753" s="156">
        <v>-1.837866737953657E-3</v>
      </c>
      <c r="F2753" s="124">
        <v>2747</v>
      </c>
      <c r="G2753" s="238">
        <f t="shared" ca="1" si="86"/>
        <v>2.3687613139734822E-3</v>
      </c>
      <c r="I2753" s="156"/>
    </row>
    <row r="2754" spans="2:9" x14ac:dyDescent="0.2">
      <c r="B2754" s="230">
        <v>41940</v>
      </c>
      <c r="C2754" s="124">
        <v>232.13</v>
      </c>
      <c r="D2754" s="156">
        <f t="shared" si="87"/>
        <v>-1.2128691803557726E-2</v>
      </c>
      <c r="E2754" s="156">
        <v>-1.838235294117647E-3</v>
      </c>
      <c r="F2754" s="124">
        <v>2748</v>
      </c>
      <c r="G2754" s="238">
        <f t="shared" ca="1" si="86"/>
        <v>-3.6474910211857968E-2</v>
      </c>
      <c r="I2754" s="156"/>
    </row>
    <row r="2755" spans="2:9" x14ac:dyDescent="0.2">
      <c r="B2755" s="230">
        <v>41939</v>
      </c>
      <c r="C2755" s="124">
        <v>231.74</v>
      </c>
      <c r="D2755" s="156">
        <f t="shared" si="87"/>
        <v>-1.6800930513073983E-3</v>
      </c>
      <c r="E2755" s="156">
        <v>-1.8522916171931358E-3</v>
      </c>
      <c r="F2755" s="124">
        <v>2749</v>
      </c>
      <c r="G2755" s="238">
        <f t="shared" ca="1" si="86"/>
        <v>-1.3236836434854829E-2</v>
      </c>
      <c r="I2755" s="156"/>
    </row>
    <row r="2756" spans="2:9" x14ac:dyDescent="0.2">
      <c r="B2756" s="230">
        <v>41935</v>
      </c>
      <c r="C2756" s="124">
        <v>232.3</v>
      </c>
      <c r="D2756" s="156">
        <f t="shared" si="87"/>
        <v>2.4165012514024433E-3</v>
      </c>
      <c r="E2756" s="156">
        <v>-1.8732692620948362E-3</v>
      </c>
      <c r="F2756" s="124">
        <v>2750</v>
      </c>
      <c r="G2756" s="238">
        <f t="shared" ca="1" si="86"/>
        <v>4.8668054958989238E-2</v>
      </c>
      <c r="I2756" s="156"/>
    </row>
    <row r="2757" spans="2:9" x14ac:dyDescent="0.2">
      <c r="B2757" s="230">
        <v>41934</v>
      </c>
      <c r="C2757" s="124">
        <v>231.37</v>
      </c>
      <c r="D2757" s="156">
        <f t="shared" si="87"/>
        <v>-4.0034438226431634E-3</v>
      </c>
      <c r="E2757" s="156">
        <v>-1.8895700129633593E-3</v>
      </c>
      <c r="F2757" s="124">
        <v>2751</v>
      </c>
      <c r="G2757" s="238">
        <f t="shared" ca="1" si="86"/>
        <v>-1.3013651020543028E-2</v>
      </c>
      <c r="I2757" s="156"/>
    </row>
    <row r="2758" spans="2:9" x14ac:dyDescent="0.2">
      <c r="B2758" s="230">
        <v>41933</v>
      </c>
      <c r="C2758" s="124">
        <v>232.93</v>
      </c>
      <c r="D2758" s="156">
        <f t="shared" si="87"/>
        <v>6.7424471625534953E-3</v>
      </c>
      <c r="E2758" s="156">
        <v>-1.8956928095931174E-3</v>
      </c>
      <c r="F2758" s="124">
        <v>2752</v>
      </c>
      <c r="G2758" s="238">
        <f t="shared" ca="1" si="86"/>
        <v>2.3198728247998953E-2</v>
      </c>
      <c r="I2758" s="156"/>
    </row>
    <row r="2759" spans="2:9" x14ac:dyDescent="0.2">
      <c r="B2759" s="230">
        <v>41932</v>
      </c>
      <c r="C2759" s="124">
        <v>233.36</v>
      </c>
      <c r="D2759" s="156">
        <f t="shared" si="87"/>
        <v>1.8460481689778338E-3</v>
      </c>
      <c r="E2759" s="156">
        <v>-1.8999932941413656E-3</v>
      </c>
      <c r="F2759" s="124">
        <v>2753</v>
      </c>
      <c r="G2759" s="238">
        <f t="shared" ref="G2759:G2822" ca="1" si="88">_xlfn.NORM.INV(RAND(),$L$8,$L$9)</f>
        <v>4.284749091311043E-2</v>
      </c>
      <c r="I2759" s="156"/>
    </row>
    <row r="2760" spans="2:9" x14ac:dyDescent="0.2">
      <c r="B2760" s="230">
        <v>41929</v>
      </c>
      <c r="C2760" s="124">
        <v>234.65</v>
      </c>
      <c r="D2760" s="156">
        <f t="shared" si="87"/>
        <v>5.5279396640383616E-3</v>
      </c>
      <c r="E2760" s="156">
        <v>-1.9054217910963263E-3</v>
      </c>
      <c r="F2760" s="124">
        <v>2754</v>
      </c>
      <c r="G2760" s="238">
        <f t="shared" ca="1" si="88"/>
        <v>-6.2203047001237232E-3</v>
      </c>
      <c r="I2760" s="156"/>
    </row>
    <row r="2761" spans="2:9" x14ac:dyDescent="0.2">
      <c r="B2761" s="230">
        <v>41928</v>
      </c>
      <c r="C2761" s="124">
        <v>233.66</v>
      </c>
      <c r="D2761" s="156">
        <f t="shared" si="87"/>
        <v>-4.2190496484125683E-3</v>
      </c>
      <c r="E2761" s="156">
        <v>-1.9108584531601091E-3</v>
      </c>
      <c r="F2761" s="124">
        <v>2755</v>
      </c>
      <c r="G2761" s="238">
        <f t="shared" ca="1" si="88"/>
        <v>3.3813598987959569E-2</v>
      </c>
      <c r="I2761" s="156"/>
    </row>
    <row r="2762" spans="2:9" x14ac:dyDescent="0.2">
      <c r="B2762" s="230">
        <v>41926</v>
      </c>
      <c r="C2762" s="124">
        <v>230.05</v>
      </c>
      <c r="D2762" s="156">
        <f t="shared" si="87"/>
        <v>-1.544979885303426E-2</v>
      </c>
      <c r="E2762" s="156">
        <v>-1.9147917663954316E-3</v>
      </c>
      <c r="F2762" s="124">
        <v>2756</v>
      </c>
      <c r="G2762" s="238">
        <f t="shared" ca="1" si="88"/>
        <v>1.0128957085943626E-2</v>
      </c>
      <c r="I2762" s="156"/>
    </row>
    <row r="2763" spans="2:9" x14ac:dyDescent="0.2">
      <c r="B2763" s="230">
        <v>41925</v>
      </c>
      <c r="C2763" s="124">
        <v>232.4</v>
      </c>
      <c r="D2763" s="156">
        <f t="shared" si="87"/>
        <v>1.0215170615083652E-2</v>
      </c>
      <c r="E2763" s="156">
        <v>-1.9370241902788719E-3</v>
      </c>
      <c r="F2763" s="124">
        <v>2757</v>
      </c>
      <c r="G2763" s="238">
        <f t="shared" ca="1" si="88"/>
        <v>1.2704229406246874E-2</v>
      </c>
      <c r="I2763" s="156"/>
    </row>
    <row r="2764" spans="2:9" x14ac:dyDescent="0.2">
      <c r="B2764" s="230">
        <v>41922</v>
      </c>
      <c r="C2764" s="124">
        <v>234.09</v>
      </c>
      <c r="D2764" s="156">
        <f t="shared" si="87"/>
        <v>7.2719449225473222E-3</v>
      </c>
      <c r="E2764" s="156">
        <v>-1.9419115163796352E-3</v>
      </c>
      <c r="F2764" s="124">
        <v>2758</v>
      </c>
      <c r="G2764" s="238">
        <f t="shared" ca="1" si="88"/>
        <v>3.4512248620467566E-3</v>
      </c>
      <c r="I2764" s="156"/>
    </row>
    <row r="2765" spans="2:9" x14ac:dyDescent="0.2">
      <c r="B2765" s="230">
        <v>41921</v>
      </c>
      <c r="C2765" s="124">
        <v>242.31</v>
      </c>
      <c r="D2765" s="156">
        <f t="shared" si="87"/>
        <v>3.5114699474561063E-2</v>
      </c>
      <c r="E2765" s="156">
        <v>-1.9441179130120572E-3</v>
      </c>
      <c r="F2765" s="124">
        <v>2759</v>
      </c>
      <c r="G2765" s="238">
        <f t="shared" ca="1" si="88"/>
        <v>-8.508495620266671E-3</v>
      </c>
      <c r="I2765" s="156"/>
    </row>
    <row r="2766" spans="2:9" x14ac:dyDescent="0.2">
      <c r="B2766" s="230">
        <v>41920</v>
      </c>
      <c r="C2766" s="124">
        <v>242.44</v>
      </c>
      <c r="D2766" s="156">
        <f t="shared" si="87"/>
        <v>5.3650282695718481E-4</v>
      </c>
      <c r="E2766" s="156">
        <v>-1.9556714471968295E-3</v>
      </c>
      <c r="F2766" s="124">
        <v>2760</v>
      </c>
      <c r="G2766" s="238">
        <f t="shared" ca="1" si="88"/>
        <v>1.3714970977688775E-2</v>
      </c>
      <c r="I2766" s="156"/>
    </row>
    <row r="2767" spans="2:9" x14ac:dyDescent="0.2">
      <c r="B2767" s="230">
        <v>41919</v>
      </c>
      <c r="C2767" s="124">
        <v>240.49</v>
      </c>
      <c r="D2767" s="156">
        <f t="shared" si="87"/>
        <v>-8.0432271902325884E-3</v>
      </c>
      <c r="E2767" s="156">
        <v>-1.9614092725623641E-3</v>
      </c>
      <c r="F2767" s="124">
        <v>2761</v>
      </c>
      <c r="G2767" s="238">
        <f t="shared" ca="1" si="88"/>
        <v>-9.8935306447382049E-3</v>
      </c>
      <c r="I2767" s="156"/>
    </row>
    <row r="2768" spans="2:9" x14ac:dyDescent="0.2">
      <c r="B2768" s="230">
        <v>41913</v>
      </c>
      <c r="C2768" s="124">
        <v>241.38</v>
      </c>
      <c r="D2768" s="156">
        <f t="shared" si="87"/>
        <v>3.7007775791092616E-3</v>
      </c>
      <c r="E2768" s="156">
        <v>-1.9690498641077698E-3</v>
      </c>
      <c r="F2768" s="124">
        <v>2762</v>
      </c>
      <c r="G2768" s="238">
        <f t="shared" ca="1" si="88"/>
        <v>-1.9195725567540005E-2</v>
      </c>
      <c r="I2768" s="156"/>
    </row>
    <row r="2769" spans="2:9" x14ac:dyDescent="0.2">
      <c r="B2769" s="230">
        <v>41912</v>
      </c>
      <c r="C2769" s="124">
        <v>245.43</v>
      </c>
      <c r="D2769" s="156">
        <f t="shared" si="87"/>
        <v>1.6778523489932935E-2</v>
      </c>
      <c r="E2769" s="156">
        <v>-1.9725521467242996E-3</v>
      </c>
      <c r="F2769" s="124">
        <v>2763</v>
      </c>
      <c r="G2769" s="238">
        <f t="shared" ca="1" si="88"/>
        <v>4.6426765008317022E-2</v>
      </c>
      <c r="I2769" s="156"/>
    </row>
    <row r="2770" spans="2:9" x14ac:dyDescent="0.2">
      <c r="B2770" s="230">
        <v>41911</v>
      </c>
      <c r="C2770" s="124">
        <v>242.71</v>
      </c>
      <c r="D2770" s="156">
        <f t="shared" si="87"/>
        <v>-1.1082589740455522E-2</v>
      </c>
      <c r="E2770" s="156">
        <v>-1.9743336623889718E-3</v>
      </c>
      <c r="F2770" s="124">
        <v>2764</v>
      </c>
      <c r="G2770" s="238">
        <f t="shared" ca="1" si="88"/>
        <v>-3.1051313960760125E-2</v>
      </c>
      <c r="I2770" s="156"/>
    </row>
    <row r="2771" spans="2:9" x14ac:dyDescent="0.2">
      <c r="B2771" s="230">
        <v>41908</v>
      </c>
      <c r="C2771" s="124">
        <v>246.42</v>
      </c>
      <c r="D2771" s="156">
        <f t="shared" si="87"/>
        <v>1.5285731943471548E-2</v>
      </c>
      <c r="E2771" s="156">
        <v>-1.9875561700657103E-3</v>
      </c>
      <c r="F2771" s="124">
        <v>2765</v>
      </c>
      <c r="G2771" s="238">
        <f t="shared" ca="1" si="88"/>
        <v>2.4392608118568748E-2</v>
      </c>
      <c r="I2771" s="156"/>
    </row>
    <row r="2772" spans="2:9" x14ac:dyDescent="0.2">
      <c r="B2772" s="230">
        <v>41907</v>
      </c>
      <c r="C2772" s="124">
        <v>249.7</v>
      </c>
      <c r="D2772" s="156">
        <f t="shared" si="87"/>
        <v>1.3310607905202505E-2</v>
      </c>
      <c r="E2772" s="156">
        <v>-2.0070011668611755E-3</v>
      </c>
      <c r="F2772" s="124">
        <v>2766</v>
      </c>
      <c r="G2772" s="238">
        <f t="shared" ca="1" si="88"/>
        <v>6.7018475486526393E-3</v>
      </c>
      <c r="I2772" s="156"/>
    </row>
    <row r="2773" spans="2:9" x14ac:dyDescent="0.2">
      <c r="B2773" s="230">
        <v>41906</v>
      </c>
      <c r="C2773" s="124">
        <v>250.07</v>
      </c>
      <c r="D2773" s="156">
        <f t="shared" si="87"/>
        <v>1.4817781337605309E-3</v>
      </c>
      <c r="E2773" s="156">
        <v>-2.0126723816623945E-3</v>
      </c>
      <c r="F2773" s="124">
        <v>2767</v>
      </c>
      <c r="G2773" s="238">
        <f t="shared" ca="1" si="88"/>
        <v>1.6089366705082812E-2</v>
      </c>
      <c r="I2773" s="156"/>
    </row>
    <row r="2774" spans="2:9" x14ac:dyDescent="0.2">
      <c r="B2774" s="230">
        <v>41905</v>
      </c>
      <c r="C2774" s="124">
        <v>245.82</v>
      </c>
      <c r="D2774" s="156">
        <f t="shared" si="87"/>
        <v>-1.6995241332426921E-2</v>
      </c>
      <c r="E2774" s="156">
        <v>-2.0220175241519524E-3</v>
      </c>
      <c r="F2774" s="124">
        <v>2768</v>
      </c>
      <c r="G2774" s="238">
        <f t="shared" ca="1" si="88"/>
        <v>-8.5731621721726794E-3</v>
      </c>
      <c r="I2774" s="156"/>
    </row>
    <row r="2775" spans="2:9" x14ac:dyDescent="0.2">
      <c r="B2775" s="230">
        <v>41904</v>
      </c>
      <c r="C2775" s="124">
        <v>245.79</v>
      </c>
      <c r="D2775" s="156">
        <f t="shared" si="87"/>
        <v>-1.2204051745179862E-4</v>
      </c>
      <c r="E2775" s="156">
        <v>-2.030456852791955E-3</v>
      </c>
      <c r="F2775" s="124">
        <v>2769</v>
      </c>
      <c r="G2775" s="238">
        <f t="shared" ca="1" si="88"/>
        <v>-1.3108680388095321E-2</v>
      </c>
      <c r="I2775" s="156"/>
    </row>
    <row r="2776" spans="2:9" x14ac:dyDescent="0.2">
      <c r="B2776" s="230">
        <v>41901</v>
      </c>
      <c r="C2776" s="124">
        <v>238.27</v>
      </c>
      <c r="D2776" s="156">
        <f t="shared" si="87"/>
        <v>-3.0595223564831693E-2</v>
      </c>
      <c r="E2776" s="156">
        <v>-2.0309326667708569E-3</v>
      </c>
      <c r="F2776" s="124">
        <v>2770</v>
      </c>
      <c r="G2776" s="238">
        <f t="shared" ca="1" si="88"/>
        <v>1.4064741237279223E-2</v>
      </c>
      <c r="I2776" s="156"/>
    </row>
    <row r="2777" spans="2:9" x14ac:dyDescent="0.2">
      <c r="B2777" s="230">
        <v>41900</v>
      </c>
      <c r="C2777" s="124">
        <v>237.8</v>
      </c>
      <c r="D2777" s="156">
        <f t="shared" si="87"/>
        <v>-1.9725521467242996E-3</v>
      </c>
      <c r="E2777" s="156">
        <v>-2.0393474088292291E-3</v>
      </c>
      <c r="F2777" s="124">
        <v>2771</v>
      </c>
      <c r="G2777" s="238">
        <f t="shared" ca="1" si="88"/>
        <v>-1.410334832552872E-2</v>
      </c>
      <c r="I2777" s="156"/>
    </row>
    <row r="2778" spans="2:9" x14ac:dyDescent="0.2">
      <c r="B2778" s="230">
        <v>41899</v>
      </c>
      <c r="C2778" s="124">
        <v>235.18</v>
      </c>
      <c r="D2778" s="156">
        <f t="shared" si="87"/>
        <v>-1.1017661900756957E-2</v>
      </c>
      <c r="E2778" s="156">
        <v>-2.0459553037457125E-3</v>
      </c>
      <c r="F2778" s="124">
        <v>2772</v>
      </c>
      <c r="G2778" s="238">
        <f t="shared" ca="1" si="88"/>
        <v>-6.1050591065746332E-3</v>
      </c>
      <c r="I2778" s="156"/>
    </row>
    <row r="2779" spans="2:9" x14ac:dyDescent="0.2">
      <c r="B2779" s="230">
        <v>41898</v>
      </c>
      <c r="C2779" s="124">
        <v>234.12</v>
      </c>
      <c r="D2779" s="156">
        <f t="shared" si="87"/>
        <v>-4.5071859852028329E-3</v>
      </c>
      <c r="E2779" s="156">
        <v>-2.0475665459127822E-3</v>
      </c>
      <c r="F2779" s="124">
        <v>2773</v>
      </c>
      <c r="G2779" s="238">
        <f t="shared" ca="1" si="88"/>
        <v>-9.0247167235020312E-3</v>
      </c>
      <c r="I2779" s="156"/>
    </row>
    <row r="2780" spans="2:9" x14ac:dyDescent="0.2">
      <c r="B2780" s="230">
        <v>41897</v>
      </c>
      <c r="C2780" s="124">
        <v>233.16</v>
      </c>
      <c r="D2780" s="156">
        <f t="shared" si="87"/>
        <v>-4.1004613018964971E-3</v>
      </c>
      <c r="E2780" s="156">
        <v>-2.0522225133176092E-3</v>
      </c>
      <c r="F2780" s="124">
        <v>2774</v>
      </c>
      <c r="G2780" s="238">
        <f t="shared" ca="1" si="88"/>
        <v>5.0333128511344718E-3</v>
      </c>
      <c r="I2780" s="156"/>
    </row>
    <row r="2781" spans="2:9" x14ac:dyDescent="0.2">
      <c r="B2781" s="230">
        <v>41894</v>
      </c>
      <c r="C2781" s="124">
        <v>235.78</v>
      </c>
      <c r="D2781" s="156">
        <f t="shared" si="87"/>
        <v>1.1236918854005852E-2</v>
      </c>
      <c r="E2781" s="156">
        <v>-2.0700037636432497E-3</v>
      </c>
      <c r="F2781" s="124">
        <v>2775</v>
      </c>
      <c r="G2781" s="238">
        <f t="shared" ca="1" si="88"/>
        <v>9.4905961274927807E-3</v>
      </c>
      <c r="I2781" s="156"/>
    </row>
    <row r="2782" spans="2:9" x14ac:dyDescent="0.2">
      <c r="B2782" s="230">
        <v>41893</v>
      </c>
      <c r="C2782" s="124">
        <v>232.83</v>
      </c>
      <c r="D2782" s="156">
        <f t="shared" si="87"/>
        <v>-1.2511663415047877E-2</v>
      </c>
      <c r="E2782" s="156">
        <v>-2.0858068863715859E-3</v>
      </c>
      <c r="F2782" s="124">
        <v>2776</v>
      </c>
      <c r="G2782" s="238">
        <f t="shared" ca="1" si="88"/>
        <v>-1.3694850683422416E-2</v>
      </c>
      <c r="I2782" s="156"/>
    </row>
    <row r="2783" spans="2:9" x14ac:dyDescent="0.2">
      <c r="B2783" s="230">
        <v>41892</v>
      </c>
      <c r="C2783" s="124">
        <v>232.73</v>
      </c>
      <c r="D2783" s="156">
        <f t="shared" si="87"/>
        <v>-4.294979169352005E-4</v>
      </c>
      <c r="E2783" s="156">
        <v>-2.0899978673490326E-3</v>
      </c>
      <c r="F2783" s="124">
        <v>2777</v>
      </c>
      <c r="G2783" s="238">
        <f t="shared" ca="1" si="88"/>
        <v>-2.3703062186385515E-2</v>
      </c>
      <c r="I2783" s="156"/>
    </row>
    <row r="2784" spans="2:9" x14ac:dyDescent="0.2">
      <c r="B2784" s="230">
        <v>41891</v>
      </c>
      <c r="C2784" s="124">
        <v>237.47</v>
      </c>
      <c r="D2784" s="156">
        <f t="shared" si="87"/>
        <v>2.0366948824818498E-2</v>
      </c>
      <c r="E2784" s="156">
        <v>-2.0950846091860671E-3</v>
      </c>
      <c r="F2784" s="124">
        <v>2778</v>
      </c>
      <c r="G2784" s="238">
        <f t="shared" ca="1" si="88"/>
        <v>5.030943253154555E-4</v>
      </c>
      <c r="I2784" s="156"/>
    </row>
    <row r="2785" spans="2:9" x14ac:dyDescent="0.2">
      <c r="B2785" s="230">
        <v>41890</v>
      </c>
      <c r="C2785" s="124">
        <v>234.65</v>
      </c>
      <c r="D2785" s="156">
        <f t="shared" si="87"/>
        <v>-1.1875184233797924E-2</v>
      </c>
      <c r="E2785" s="156">
        <v>-2.0963338533541674E-3</v>
      </c>
      <c r="F2785" s="124">
        <v>2779</v>
      </c>
      <c r="G2785" s="238">
        <f t="shared" ca="1" si="88"/>
        <v>-3.3955914951204022E-2</v>
      </c>
      <c r="I2785" s="156"/>
    </row>
    <row r="2786" spans="2:9" x14ac:dyDescent="0.2">
      <c r="B2786" s="230">
        <v>41887</v>
      </c>
      <c r="C2786" s="124">
        <v>232.57</v>
      </c>
      <c r="D2786" s="156">
        <f t="shared" si="87"/>
        <v>-8.8642659279778921E-3</v>
      </c>
      <c r="E2786" s="156">
        <v>-2.1028037383177037E-3</v>
      </c>
      <c r="F2786" s="124">
        <v>2780</v>
      </c>
      <c r="G2786" s="238">
        <f t="shared" ca="1" si="88"/>
        <v>4.1191571390661472E-2</v>
      </c>
      <c r="I2786" s="156"/>
    </row>
    <row r="2787" spans="2:9" x14ac:dyDescent="0.2">
      <c r="B2787" s="230">
        <v>41886</v>
      </c>
      <c r="C2787" s="124">
        <v>232.3</v>
      </c>
      <c r="D2787" s="156">
        <f t="shared" si="87"/>
        <v>-1.1609407920195288E-3</v>
      </c>
      <c r="E2787" s="156">
        <v>-2.1116648365571413E-3</v>
      </c>
      <c r="F2787" s="124">
        <v>2781</v>
      </c>
      <c r="G2787" s="238">
        <f t="shared" ca="1" si="88"/>
        <v>1.1031172223022101E-2</v>
      </c>
      <c r="I2787" s="156"/>
    </row>
    <row r="2788" spans="2:9" x14ac:dyDescent="0.2">
      <c r="B2788" s="230">
        <v>41885</v>
      </c>
      <c r="C2788" s="124">
        <v>231.31</v>
      </c>
      <c r="D2788" s="156">
        <f t="shared" si="87"/>
        <v>-4.2617305208782139E-3</v>
      </c>
      <c r="E2788" s="156">
        <v>-2.1121802393805071E-3</v>
      </c>
      <c r="F2788" s="124">
        <v>2782</v>
      </c>
      <c r="G2788" s="238">
        <f t="shared" ca="1" si="88"/>
        <v>1.9747029536313156E-2</v>
      </c>
      <c r="I2788" s="156"/>
    </row>
    <row r="2789" spans="2:9" x14ac:dyDescent="0.2">
      <c r="B2789" s="230">
        <v>41884</v>
      </c>
      <c r="C2789" s="124">
        <v>235.15</v>
      </c>
      <c r="D2789" s="156">
        <f t="shared" si="87"/>
        <v>1.6601098093467655E-2</v>
      </c>
      <c r="E2789" s="156">
        <v>-2.114164904862621E-3</v>
      </c>
      <c r="F2789" s="124">
        <v>2783</v>
      </c>
      <c r="G2789" s="238">
        <f t="shared" ca="1" si="88"/>
        <v>-6.5306234845250713E-4</v>
      </c>
      <c r="I2789" s="156"/>
    </row>
    <row r="2790" spans="2:9" x14ac:dyDescent="0.2">
      <c r="B2790" s="230">
        <v>41883</v>
      </c>
      <c r="C2790" s="124">
        <v>232.4</v>
      </c>
      <c r="D2790" s="156">
        <f t="shared" si="87"/>
        <v>-1.169466298107591E-2</v>
      </c>
      <c r="E2790" s="156">
        <v>-2.1160822249092761E-3</v>
      </c>
      <c r="F2790" s="124">
        <v>2784</v>
      </c>
      <c r="G2790" s="238">
        <f t="shared" ca="1" si="88"/>
        <v>-7.4674453932793367E-3</v>
      </c>
      <c r="I2790" s="156"/>
    </row>
    <row r="2791" spans="2:9" x14ac:dyDescent="0.2">
      <c r="B2791" s="230">
        <v>41879</v>
      </c>
      <c r="C2791" s="124">
        <v>235.55</v>
      </c>
      <c r="D2791" s="156">
        <f t="shared" si="87"/>
        <v>1.3554216867469904E-2</v>
      </c>
      <c r="E2791" s="156">
        <v>-2.1171489061396452E-3</v>
      </c>
      <c r="F2791" s="124">
        <v>2785</v>
      </c>
      <c r="G2791" s="238">
        <f t="shared" ca="1" si="88"/>
        <v>2.7681131965315844E-3</v>
      </c>
      <c r="I2791" s="156"/>
    </row>
    <row r="2792" spans="2:9" x14ac:dyDescent="0.2">
      <c r="B2792" s="230">
        <v>41878</v>
      </c>
      <c r="C2792" s="124">
        <v>233.59</v>
      </c>
      <c r="D2792" s="156">
        <f t="shared" si="87"/>
        <v>-8.3209509658246986E-3</v>
      </c>
      <c r="E2792" s="156">
        <v>-2.1201413427562642E-3</v>
      </c>
      <c r="F2792" s="124">
        <v>2786</v>
      </c>
      <c r="G2792" s="238">
        <f t="shared" ca="1" si="88"/>
        <v>-1.1899947127841811E-2</v>
      </c>
      <c r="I2792" s="156"/>
    </row>
    <row r="2793" spans="2:9" x14ac:dyDescent="0.2">
      <c r="B2793" s="230">
        <v>41877</v>
      </c>
      <c r="C2793" s="124">
        <v>233.66</v>
      </c>
      <c r="D2793" s="156">
        <f t="shared" si="87"/>
        <v>2.9967036260110955E-4</v>
      </c>
      <c r="E2793" s="156">
        <v>-2.1272900929061784E-3</v>
      </c>
      <c r="F2793" s="124">
        <v>2787</v>
      </c>
      <c r="G2793" s="238">
        <f t="shared" ca="1" si="88"/>
        <v>1.0282724063700522E-2</v>
      </c>
      <c r="I2793" s="156"/>
    </row>
    <row r="2794" spans="2:9" x14ac:dyDescent="0.2">
      <c r="B2794" s="230">
        <v>41876</v>
      </c>
      <c r="C2794" s="124">
        <v>231.57</v>
      </c>
      <c r="D2794" s="156">
        <f t="shared" si="87"/>
        <v>-8.944620388598834E-3</v>
      </c>
      <c r="E2794" s="156">
        <v>-2.1306818181818987E-3</v>
      </c>
      <c r="F2794" s="124">
        <v>2788</v>
      </c>
      <c r="G2794" s="238">
        <f t="shared" ca="1" si="88"/>
        <v>1.435542382872072E-2</v>
      </c>
      <c r="I2794" s="156"/>
    </row>
    <row r="2795" spans="2:9" x14ac:dyDescent="0.2">
      <c r="B2795" s="230">
        <v>41873</v>
      </c>
      <c r="C2795" s="124">
        <v>227.82</v>
      </c>
      <c r="D2795" s="156">
        <f t="shared" si="87"/>
        <v>-1.6193807488016583E-2</v>
      </c>
      <c r="E2795" s="156">
        <v>-2.1345223413337853E-3</v>
      </c>
      <c r="F2795" s="124">
        <v>2789</v>
      </c>
      <c r="G2795" s="238">
        <f t="shared" ca="1" si="88"/>
        <v>2.9531058572558812E-2</v>
      </c>
      <c r="I2795" s="156"/>
    </row>
    <row r="2796" spans="2:9" x14ac:dyDescent="0.2">
      <c r="B2796" s="230">
        <v>41872</v>
      </c>
      <c r="C2796" s="124">
        <v>229.48</v>
      </c>
      <c r="D2796" s="156">
        <f t="shared" si="87"/>
        <v>7.2864542182424575E-3</v>
      </c>
      <c r="E2796" s="156">
        <v>-2.1466905187836234E-3</v>
      </c>
      <c r="F2796" s="124">
        <v>2790</v>
      </c>
      <c r="G2796" s="238">
        <f t="shared" ca="1" si="88"/>
        <v>-4.0537604519880659E-3</v>
      </c>
      <c r="I2796" s="156"/>
    </row>
    <row r="2797" spans="2:9" x14ac:dyDescent="0.2">
      <c r="B2797" s="230">
        <v>41871</v>
      </c>
      <c r="C2797" s="124">
        <v>228.69</v>
      </c>
      <c r="D2797" s="156">
        <f t="shared" si="87"/>
        <v>-3.4425658009412238E-3</v>
      </c>
      <c r="E2797" s="156">
        <v>-2.1520803443328008E-3</v>
      </c>
      <c r="F2797" s="124">
        <v>2791</v>
      </c>
      <c r="G2797" s="238">
        <f t="shared" ca="1" si="88"/>
        <v>5.1171809785541525E-3</v>
      </c>
      <c r="I2797" s="156"/>
    </row>
    <row r="2798" spans="2:9" x14ac:dyDescent="0.2">
      <c r="B2798" s="230">
        <v>41870</v>
      </c>
      <c r="C2798" s="124">
        <v>231.11</v>
      </c>
      <c r="D2798" s="156">
        <f t="shared" si="87"/>
        <v>1.0582010582010653E-2</v>
      </c>
      <c r="E2798" s="156">
        <v>-2.1528525296018036E-3</v>
      </c>
      <c r="F2798" s="124">
        <v>2792</v>
      </c>
      <c r="G2798" s="238">
        <f t="shared" ca="1" si="88"/>
        <v>-2.479601542466742E-2</v>
      </c>
      <c r="I2798" s="156"/>
    </row>
    <row r="2799" spans="2:9" x14ac:dyDescent="0.2">
      <c r="B2799" s="230">
        <v>41869</v>
      </c>
      <c r="C2799" s="124">
        <v>232.47</v>
      </c>
      <c r="D2799" s="156">
        <f t="shared" si="87"/>
        <v>5.8846436761714558E-3</v>
      </c>
      <c r="E2799" s="156">
        <v>-2.1655065738592507E-3</v>
      </c>
      <c r="F2799" s="124">
        <v>2793</v>
      </c>
      <c r="G2799" s="238">
        <f t="shared" ca="1" si="88"/>
        <v>1.0786342569002762E-2</v>
      </c>
      <c r="I2799" s="156"/>
    </row>
    <row r="2800" spans="2:9" x14ac:dyDescent="0.2">
      <c r="B2800" s="230">
        <v>41865</v>
      </c>
      <c r="C2800" s="124">
        <v>236.58</v>
      </c>
      <c r="D2800" s="156">
        <f t="shared" si="87"/>
        <v>1.7679700606529933E-2</v>
      </c>
      <c r="E2800" s="156">
        <v>-2.170425592148759E-3</v>
      </c>
      <c r="F2800" s="124">
        <v>2794</v>
      </c>
      <c r="G2800" s="238">
        <f t="shared" ca="1" si="88"/>
        <v>-3.6321204459543267E-2</v>
      </c>
      <c r="I2800" s="156"/>
    </row>
    <row r="2801" spans="2:9" x14ac:dyDescent="0.2">
      <c r="B2801" s="230">
        <v>41864</v>
      </c>
      <c r="C2801" s="124">
        <v>236.87</v>
      </c>
      <c r="D2801" s="156">
        <f t="shared" si="87"/>
        <v>1.2258009975483642E-3</v>
      </c>
      <c r="E2801" s="156">
        <v>-2.1704814522493969E-3</v>
      </c>
      <c r="F2801" s="124">
        <v>2795</v>
      </c>
      <c r="G2801" s="238">
        <f t="shared" ca="1" si="88"/>
        <v>3.7276134953214642E-2</v>
      </c>
      <c r="I2801" s="156"/>
    </row>
    <row r="2802" spans="2:9" x14ac:dyDescent="0.2">
      <c r="B2802" s="230">
        <v>41863</v>
      </c>
      <c r="C2802" s="124">
        <v>230.08</v>
      </c>
      <c r="D2802" s="156">
        <f t="shared" si="87"/>
        <v>-2.866551272850083E-2</v>
      </c>
      <c r="E2802" s="156">
        <v>-2.1712907117007896E-3</v>
      </c>
      <c r="F2802" s="124">
        <v>2796</v>
      </c>
      <c r="G2802" s="238">
        <f t="shared" ca="1" si="88"/>
        <v>-2.6557478366415958E-3</v>
      </c>
      <c r="I2802" s="156"/>
    </row>
    <row r="2803" spans="2:9" x14ac:dyDescent="0.2">
      <c r="B2803" s="230">
        <v>41862</v>
      </c>
      <c r="C2803" s="124">
        <v>230.51</v>
      </c>
      <c r="D2803" s="156">
        <f t="shared" si="87"/>
        <v>1.8689151599442732E-3</v>
      </c>
      <c r="E2803" s="156">
        <v>-2.1717340461076271E-3</v>
      </c>
      <c r="F2803" s="124">
        <v>2797</v>
      </c>
      <c r="G2803" s="238">
        <f t="shared" ca="1" si="88"/>
        <v>1.0727981115427582E-2</v>
      </c>
      <c r="I2803" s="156"/>
    </row>
    <row r="2804" spans="2:9" x14ac:dyDescent="0.2">
      <c r="B2804" s="230">
        <v>41859</v>
      </c>
      <c r="C2804" s="124">
        <v>231.07</v>
      </c>
      <c r="D2804" s="156">
        <f t="shared" si="87"/>
        <v>2.4293956878226643E-3</v>
      </c>
      <c r="E2804" s="156">
        <v>-2.1789129645322213E-3</v>
      </c>
      <c r="F2804" s="124">
        <v>2798</v>
      </c>
      <c r="G2804" s="238">
        <f t="shared" ca="1" si="88"/>
        <v>-2.8865823524428319E-2</v>
      </c>
      <c r="I2804" s="156"/>
    </row>
    <row r="2805" spans="2:9" x14ac:dyDescent="0.2">
      <c r="B2805" s="230">
        <v>41858</v>
      </c>
      <c r="C2805" s="124">
        <v>229.55</v>
      </c>
      <c r="D2805" s="156">
        <f t="shared" si="87"/>
        <v>-6.578093218505136E-3</v>
      </c>
      <c r="E2805" s="156">
        <v>-2.1819402484054289E-3</v>
      </c>
      <c r="F2805" s="124">
        <v>2799</v>
      </c>
      <c r="G2805" s="238">
        <f t="shared" ca="1" si="88"/>
        <v>3.969100270518537E-3</v>
      </c>
      <c r="I2805" s="156"/>
    </row>
    <row r="2806" spans="2:9" x14ac:dyDescent="0.2">
      <c r="B2806" s="230">
        <v>41857</v>
      </c>
      <c r="C2806" s="124">
        <v>229.42</v>
      </c>
      <c r="D2806" s="156">
        <f t="shared" si="87"/>
        <v>-5.663254192987317E-4</v>
      </c>
      <c r="E2806" s="156">
        <v>-2.1837728876197304E-3</v>
      </c>
      <c r="F2806" s="124">
        <v>2800</v>
      </c>
      <c r="G2806" s="238">
        <f t="shared" ca="1" si="88"/>
        <v>-2.5780870074471021E-3</v>
      </c>
      <c r="I2806" s="156"/>
    </row>
    <row r="2807" spans="2:9" x14ac:dyDescent="0.2">
      <c r="B2807" s="230">
        <v>41856</v>
      </c>
      <c r="C2807" s="124">
        <v>236.01</v>
      </c>
      <c r="D2807" s="156">
        <f t="shared" si="87"/>
        <v>2.8724609885798988E-2</v>
      </c>
      <c r="E2807" s="156">
        <v>-2.2123893805310571E-3</v>
      </c>
      <c r="F2807" s="124">
        <v>2801</v>
      </c>
      <c r="G2807" s="238">
        <f t="shared" ca="1" si="88"/>
        <v>2.0261361606671836E-2</v>
      </c>
      <c r="I2807" s="156"/>
    </row>
    <row r="2808" spans="2:9" x14ac:dyDescent="0.2">
      <c r="B2808" s="230">
        <v>41855</v>
      </c>
      <c r="C2808" s="124">
        <v>235.02</v>
      </c>
      <c r="D2808" s="156">
        <f t="shared" si="87"/>
        <v>-4.1947375111223281E-3</v>
      </c>
      <c r="E2808" s="156">
        <v>-2.212661339889311E-3</v>
      </c>
      <c r="F2808" s="124">
        <v>2802</v>
      </c>
      <c r="G2808" s="238">
        <f t="shared" ca="1" si="88"/>
        <v>-1.2267329357270071E-3</v>
      </c>
      <c r="I2808" s="156"/>
    </row>
    <row r="2809" spans="2:9" x14ac:dyDescent="0.2">
      <c r="B2809" s="230">
        <v>41852</v>
      </c>
      <c r="C2809" s="124">
        <v>231.74</v>
      </c>
      <c r="D2809" s="156">
        <f t="shared" si="87"/>
        <v>-1.3956259041783683E-2</v>
      </c>
      <c r="E2809" s="156">
        <v>-2.2163805989380879E-3</v>
      </c>
      <c r="F2809" s="124">
        <v>2803</v>
      </c>
      <c r="G2809" s="238">
        <f t="shared" ca="1" si="88"/>
        <v>-8.0577361771343465E-3</v>
      </c>
      <c r="I2809" s="156"/>
    </row>
    <row r="2810" spans="2:9" x14ac:dyDescent="0.2">
      <c r="B2810" s="230">
        <v>41851</v>
      </c>
      <c r="C2810" s="124">
        <v>236.05</v>
      </c>
      <c r="D2810" s="156">
        <f t="shared" si="87"/>
        <v>1.8598429274186597E-2</v>
      </c>
      <c r="E2810" s="156">
        <v>-2.2192632046160988E-3</v>
      </c>
      <c r="F2810" s="124">
        <v>2804</v>
      </c>
      <c r="G2810" s="238">
        <f t="shared" ca="1" si="88"/>
        <v>3.7895346904715417E-3</v>
      </c>
      <c r="I2810" s="156"/>
    </row>
    <row r="2811" spans="2:9" x14ac:dyDescent="0.2">
      <c r="B2811" s="230">
        <v>41850</v>
      </c>
      <c r="C2811" s="124">
        <v>238.17</v>
      </c>
      <c r="D2811" s="156">
        <f t="shared" si="87"/>
        <v>8.9811480618512008E-3</v>
      </c>
      <c r="E2811" s="156">
        <v>-2.2279985146676008E-3</v>
      </c>
      <c r="F2811" s="124">
        <v>2805</v>
      </c>
      <c r="G2811" s="238">
        <f t="shared" ca="1" si="88"/>
        <v>-3.4772242229340236E-2</v>
      </c>
      <c r="I2811" s="156"/>
    </row>
    <row r="2812" spans="2:9" x14ac:dyDescent="0.2">
      <c r="B2812" s="230">
        <v>41848</v>
      </c>
      <c r="C2812" s="124">
        <v>236.81</v>
      </c>
      <c r="D2812" s="156">
        <f t="shared" si="87"/>
        <v>-5.7102069950035073E-3</v>
      </c>
      <c r="E2812" s="156">
        <v>-2.2280737289852022E-3</v>
      </c>
      <c r="F2812" s="124">
        <v>2806</v>
      </c>
      <c r="G2812" s="238">
        <f t="shared" ca="1" si="88"/>
        <v>3.0169166699973334E-2</v>
      </c>
      <c r="I2812" s="156"/>
    </row>
    <row r="2813" spans="2:9" x14ac:dyDescent="0.2">
      <c r="B2813" s="230">
        <v>41845</v>
      </c>
      <c r="C2813" s="124">
        <v>236.87</v>
      </c>
      <c r="D2813" s="156">
        <f t="shared" si="87"/>
        <v>2.5336767872979297E-4</v>
      </c>
      <c r="E2813" s="156">
        <v>-2.2315893875526575E-3</v>
      </c>
      <c r="F2813" s="124">
        <v>2807</v>
      </c>
      <c r="G2813" s="238">
        <f t="shared" ca="1" si="88"/>
        <v>9.5417381042592342E-3</v>
      </c>
      <c r="I2813" s="156"/>
    </row>
    <row r="2814" spans="2:9" x14ac:dyDescent="0.2">
      <c r="B2814" s="230">
        <v>41844</v>
      </c>
      <c r="C2814" s="124">
        <v>236.31</v>
      </c>
      <c r="D2814" s="156">
        <f t="shared" ref="D2814:D2877" si="89">(C2814-C2813)/C2813</f>
        <v>-2.3641659982268849E-3</v>
      </c>
      <c r="E2814" s="156">
        <v>-2.2431789049625027E-3</v>
      </c>
      <c r="F2814" s="124">
        <v>2808</v>
      </c>
      <c r="G2814" s="238">
        <f t="shared" ca="1" si="88"/>
        <v>-3.7862049638575424E-3</v>
      </c>
      <c r="I2814" s="156"/>
    </row>
    <row r="2815" spans="2:9" x14ac:dyDescent="0.2">
      <c r="B2815" s="230">
        <v>41843</v>
      </c>
      <c r="C2815" s="124">
        <v>234.45</v>
      </c>
      <c r="D2815" s="156">
        <f t="shared" si="89"/>
        <v>-7.8710168846007934E-3</v>
      </c>
      <c r="E2815" s="156">
        <v>-2.257902659307484E-3</v>
      </c>
      <c r="F2815" s="124">
        <v>2809</v>
      </c>
      <c r="G2815" s="238">
        <f t="shared" ca="1" si="88"/>
        <v>-4.9800787773748433E-2</v>
      </c>
      <c r="I2815" s="156"/>
    </row>
    <row r="2816" spans="2:9" x14ac:dyDescent="0.2">
      <c r="B2816" s="230">
        <v>41842</v>
      </c>
      <c r="C2816" s="124">
        <v>233.96</v>
      </c>
      <c r="D2816" s="156">
        <f t="shared" si="89"/>
        <v>-2.0899978673490326E-3</v>
      </c>
      <c r="E2816" s="156">
        <v>-2.2631261315631517E-3</v>
      </c>
      <c r="F2816" s="124">
        <v>2810</v>
      </c>
      <c r="G2816" s="238">
        <f t="shared" ca="1" si="88"/>
        <v>-2.2385382328004442E-2</v>
      </c>
      <c r="I2816" s="156"/>
    </row>
    <row r="2817" spans="2:9" x14ac:dyDescent="0.2">
      <c r="B2817" s="230">
        <v>41841</v>
      </c>
      <c r="C2817" s="124">
        <v>231.94</v>
      </c>
      <c r="D2817" s="156">
        <f t="shared" si="89"/>
        <v>-8.63395452214058E-3</v>
      </c>
      <c r="E2817" s="156">
        <v>-2.2650056625140632E-3</v>
      </c>
      <c r="F2817" s="124">
        <v>2811</v>
      </c>
      <c r="G2817" s="238">
        <f t="shared" ca="1" si="88"/>
        <v>1.918428054343683E-3</v>
      </c>
      <c r="I2817" s="156"/>
    </row>
    <row r="2818" spans="2:9" x14ac:dyDescent="0.2">
      <c r="B2818" s="230">
        <v>41838</v>
      </c>
      <c r="C2818" s="124">
        <v>228.12</v>
      </c>
      <c r="D2818" s="156">
        <f t="shared" si="89"/>
        <v>-1.6469776666379207E-2</v>
      </c>
      <c r="E2818" s="156">
        <v>-2.2742975587287553E-3</v>
      </c>
      <c r="F2818" s="124">
        <v>2812</v>
      </c>
      <c r="G2818" s="238">
        <f t="shared" ca="1" si="88"/>
        <v>-2.7227131653547081E-3</v>
      </c>
      <c r="I2818" s="156"/>
    </row>
    <row r="2819" spans="2:9" x14ac:dyDescent="0.2">
      <c r="B2819" s="230">
        <v>41837</v>
      </c>
      <c r="C2819" s="124">
        <v>228.22</v>
      </c>
      <c r="D2819" s="156">
        <f t="shared" si="89"/>
        <v>4.3836577240046604E-4</v>
      </c>
      <c r="E2819" s="156">
        <v>-2.2879555482922141E-3</v>
      </c>
      <c r="F2819" s="124">
        <v>2813</v>
      </c>
      <c r="G2819" s="238">
        <f t="shared" ca="1" si="88"/>
        <v>-3.2960117749206437E-2</v>
      </c>
      <c r="I2819" s="156"/>
    </row>
    <row r="2820" spans="2:9" x14ac:dyDescent="0.2">
      <c r="B2820" s="230">
        <v>41836</v>
      </c>
      <c r="C2820" s="124">
        <v>228.19</v>
      </c>
      <c r="D2820" s="156">
        <f t="shared" si="89"/>
        <v>-1.3145210761546374E-4</v>
      </c>
      <c r="E2820" s="156">
        <v>-2.2895385699190306E-3</v>
      </c>
      <c r="F2820" s="124">
        <v>2814</v>
      </c>
      <c r="G2820" s="238">
        <f t="shared" ca="1" si="88"/>
        <v>2.0191556373798793E-2</v>
      </c>
      <c r="I2820" s="156"/>
    </row>
    <row r="2821" spans="2:9" x14ac:dyDescent="0.2">
      <c r="B2821" s="230">
        <v>41835</v>
      </c>
      <c r="C2821" s="124">
        <v>226.96</v>
      </c>
      <c r="D2821" s="156">
        <f t="shared" si="89"/>
        <v>-5.3902449712958048E-3</v>
      </c>
      <c r="E2821" s="156">
        <v>-2.2896685068816681E-3</v>
      </c>
      <c r="F2821" s="124">
        <v>2815</v>
      </c>
      <c r="G2821" s="238">
        <f t="shared" ca="1" si="88"/>
        <v>1.1487073225329898E-2</v>
      </c>
      <c r="I2821" s="156"/>
    </row>
    <row r="2822" spans="2:9" x14ac:dyDescent="0.2">
      <c r="B2822" s="230">
        <v>41834</v>
      </c>
      <c r="C2822" s="124">
        <v>228.69</v>
      </c>
      <c r="D2822" s="156">
        <f t="shared" si="89"/>
        <v>7.6224885442368242E-3</v>
      </c>
      <c r="E2822" s="156">
        <v>-2.2910819634572753E-3</v>
      </c>
      <c r="F2822" s="124">
        <v>2816</v>
      </c>
      <c r="G2822" s="238">
        <f t="shared" ca="1" si="88"/>
        <v>7.2177790611306913E-3</v>
      </c>
      <c r="I2822" s="156"/>
    </row>
    <row r="2823" spans="2:9" x14ac:dyDescent="0.2">
      <c r="B2823" s="230">
        <v>41831</v>
      </c>
      <c r="C2823" s="124">
        <v>229.32</v>
      </c>
      <c r="D2823" s="156">
        <f t="shared" si="89"/>
        <v>2.7548209366390986E-3</v>
      </c>
      <c r="E2823" s="156">
        <v>-2.3051433511020974E-3</v>
      </c>
      <c r="F2823" s="124">
        <v>2817</v>
      </c>
      <c r="G2823" s="238">
        <f t="shared" ref="G2823:G2886" ca="1" si="90">_xlfn.NORM.INV(RAND(),$L$8,$L$9)</f>
        <v>9.661957026600422E-3</v>
      </c>
      <c r="I2823" s="156"/>
    </row>
    <row r="2824" spans="2:9" x14ac:dyDescent="0.2">
      <c r="B2824" s="230">
        <v>41830</v>
      </c>
      <c r="C2824" s="124">
        <v>226.83</v>
      </c>
      <c r="D2824" s="156">
        <f t="shared" si="89"/>
        <v>-1.0858189429617917E-2</v>
      </c>
      <c r="E2824" s="156">
        <v>-2.3057821922666806E-3</v>
      </c>
      <c r="F2824" s="124">
        <v>2818</v>
      </c>
      <c r="G2824" s="238">
        <f t="shared" ca="1" si="90"/>
        <v>9.4597192513916351E-3</v>
      </c>
      <c r="I2824" s="156"/>
    </row>
    <row r="2825" spans="2:9" x14ac:dyDescent="0.2">
      <c r="B2825" s="230">
        <v>41829</v>
      </c>
      <c r="C2825" s="124">
        <v>226.4</v>
      </c>
      <c r="D2825" s="156">
        <f t="shared" si="89"/>
        <v>-1.8956928095931174E-3</v>
      </c>
      <c r="E2825" s="156">
        <v>-2.3164647184605635E-3</v>
      </c>
      <c r="F2825" s="124">
        <v>2819</v>
      </c>
      <c r="G2825" s="238">
        <f t="shared" ca="1" si="90"/>
        <v>8.7610502918121398E-3</v>
      </c>
      <c r="I2825" s="156"/>
    </row>
    <row r="2826" spans="2:9" x14ac:dyDescent="0.2">
      <c r="B2826" s="230">
        <v>41828</v>
      </c>
      <c r="C2826" s="124">
        <v>222.62</v>
      </c>
      <c r="D2826" s="156">
        <f t="shared" si="89"/>
        <v>-1.6696113074204953E-2</v>
      </c>
      <c r="E2826" s="156">
        <v>-2.3234497900368233E-3</v>
      </c>
      <c r="F2826" s="124">
        <v>2820</v>
      </c>
      <c r="G2826" s="238">
        <f t="shared" ca="1" si="90"/>
        <v>-5.8350796393785527E-3</v>
      </c>
      <c r="I2826" s="156"/>
    </row>
    <row r="2827" spans="2:9" x14ac:dyDescent="0.2">
      <c r="B2827" s="230">
        <v>41827</v>
      </c>
      <c r="C2827" s="124">
        <v>221.96</v>
      </c>
      <c r="D2827" s="156">
        <f t="shared" si="89"/>
        <v>-2.9646931991734642E-3</v>
      </c>
      <c r="E2827" s="156">
        <v>-2.324271024087921E-3</v>
      </c>
      <c r="F2827" s="124">
        <v>2821</v>
      </c>
      <c r="G2827" s="238">
        <f t="shared" ca="1" si="90"/>
        <v>1.9236659408205882E-2</v>
      </c>
      <c r="I2827" s="156"/>
    </row>
    <row r="2828" spans="2:9" x14ac:dyDescent="0.2">
      <c r="B2828" s="230">
        <v>41824</v>
      </c>
      <c r="C2828" s="124">
        <v>221.03</v>
      </c>
      <c r="D2828" s="156">
        <f t="shared" si="89"/>
        <v>-4.1899441340782426E-3</v>
      </c>
      <c r="E2828" s="156">
        <v>-2.3294509151414403E-3</v>
      </c>
      <c r="F2828" s="124">
        <v>2822</v>
      </c>
      <c r="G2828" s="238">
        <f t="shared" ca="1" si="90"/>
        <v>-1.7368455282802586E-3</v>
      </c>
      <c r="I2828" s="156"/>
    </row>
    <row r="2829" spans="2:9" x14ac:dyDescent="0.2">
      <c r="B2829" s="230">
        <v>41823</v>
      </c>
      <c r="C2829" s="124">
        <v>219.67</v>
      </c>
      <c r="D2829" s="156">
        <f t="shared" si="89"/>
        <v>-6.1530109034973243E-3</v>
      </c>
      <c r="E2829" s="156">
        <v>-2.3305084745763194E-3</v>
      </c>
      <c r="F2829" s="124">
        <v>2823</v>
      </c>
      <c r="G2829" s="238">
        <f t="shared" ca="1" si="90"/>
        <v>-1.7301603094343514E-2</v>
      </c>
      <c r="I2829" s="156"/>
    </row>
    <row r="2830" spans="2:9" x14ac:dyDescent="0.2">
      <c r="B2830" s="230">
        <v>41822</v>
      </c>
      <c r="C2830" s="124">
        <v>218.34</v>
      </c>
      <c r="D2830" s="156">
        <f t="shared" si="89"/>
        <v>-6.0545363499794422E-3</v>
      </c>
      <c r="E2830" s="156">
        <v>-2.3320895522388058E-3</v>
      </c>
      <c r="F2830" s="124">
        <v>2824</v>
      </c>
      <c r="G2830" s="238">
        <f t="shared" ca="1" si="90"/>
        <v>-2.3204843903918797E-3</v>
      </c>
      <c r="I2830" s="156"/>
    </row>
    <row r="2831" spans="2:9" x14ac:dyDescent="0.2">
      <c r="B2831" s="230">
        <v>41821</v>
      </c>
      <c r="C2831" s="124">
        <v>215.59</v>
      </c>
      <c r="D2831" s="156">
        <f t="shared" si="89"/>
        <v>-1.2595035266098745E-2</v>
      </c>
      <c r="E2831" s="156">
        <v>-2.3399558498896299E-3</v>
      </c>
      <c r="F2831" s="124">
        <v>2825</v>
      </c>
      <c r="G2831" s="238">
        <f t="shared" ca="1" si="90"/>
        <v>8.3162546057982765E-3</v>
      </c>
      <c r="I2831" s="156"/>
    </row>
    <row r="2832" spans="2:9" x14ac:dyDescent="0.2">
      <c r="B2832" s="230">
        <v>41820</v>
      </c>
      <c r="C2832" s="124">
        <v>215.49</v>
      </c>
      <c r="D2832" s="156">
        <f t="shared" si="89"/>
        <v>-4.6384340646595071E-4</v>
      </c>
      <c r="E2832" s="156">
        <v>-2.3419203747073484E-3</v>
      </c>
      <c r="F2832" s="124">
        <v>2826</v>
      </c>
      <c r="G2832" s="238">
        <f t="shared" ca="1" si="90"/>
        <v>4.2813168792320389E-2</v>
      </c>
      <c r="I2832" s="156"/>
    </row>
    <row r="2833" spans="2:9" x14ac:dyDescent="0.2">
      <c r="B2833" s="230">
        <v>41817</v>
      </c>
      <c r="C2833" s="124">
        <v>211.98</v>
      </c>
      <c r="D2833" s="156">
        <f t="shared" si="89"/>
        <v>-1.6288458861200145E-2</v>
      </c>
      <c r="E2833" s="156">
        <v>-2.3445463812435249E-3</v>
      </c>
      <c r="F2833" s="124">
        <v>2827</v>
      </c>
      <c r="G2833" s="238">
        <f t="shared" ca="1" si="90"/>
        <v>8.5422729565355054E-3</v>
      </c>
      <c r="I2833" s="156"/>
    </row>
    <row r="2834" spans="2:9" x14ac:dyDescent="0.2">
      <c r="B2834" s="230">
        <v>41816</v>
      </c>
      <c r="C2834" s="124">
        <v>209.66</v>
      </c>
      <c r="D2834" s="156">
        <f t="shared" si="89"/>
        <v>-1.0944428719690506E-2</v>
      </c>
      <c r="E2834" s="156">
        <v>-2.3481527864747287E-3</v>
      </c>
      <c r="F2834" s="124">
        <v>2828</v>
      </c>
      <c r="G2834" s="238">
        <f t="shared" ca="1" si="90"/>
        <v>-4.3296714500426557E-4</v>
      </c>
      <c r="I2834" s="156"/>
    </row>
    <row r="2835" spans="2:9" x14ac:dyDescent="0.2">
      <c r="B2835" s="230">
        <v>41815</v>
      </c>
      <c r="C2835" s="124">
        <v>209.53</v>
      </c>
      <c r="D2835" s="156">
        <f t="shared" si="89"/>
        <v>-6.2005151197174217E-4</v>
      </c>
      <c r="E2835" s="156">
        <v>-2.3495391288631024E-3</v>
      </c>
      <c r="F2835" s="124">
        <v>2829</v>
      </c>
      <c r="G2835" s="238">
        <f t="shared" ca="1" si="90"/>
        <v>3.7392999432497187E-2</v>
      </c>
      <c r="I2835" s="156"/>
    </row>
    <row r="2836" spans="2:9" x14ac:dyDescent="0.2">
      <c r="B2836" s="230">
        <v>41814</v>
      </c>
      <c r="C2836" s="124">
        <v>212.48</v>
      </c>
      <c r="D2836" s="156">
        <f t="shared" si="89"/>
        <v>1.4079129480265301E-2</v>
      </c>
      <c r="E2836" s="156">
        <v>-2.3499001292445407E-3</v>
      </c>
      <c r="F2836" s="124">
        <v>2830</v>
      </c>
      <c r="G2836" s="238">
        <f t="shared" ca="1" si="90"/>
        <v>3.5459115758864571E-3</v>
      </c>
      <c r="I2836" s="156"/>
    </row>
    <row r="2837" spans="2:9" x14ac:dyDescent="0.2">
      <c r="B2837" s="230">
        <v>41813</v>
      </c>
      <c r="C2837" s="124">
        <v>208.8</v>
      </c>
      <c r="D2837" s="156">
        <f t="shared" si="89"/>
        <v>-1.7319277108433635E-2</v>
      </c>
      <c r="E2837" s="156">
        <v>-2.3597749137775014E-3</v>
      </c>
      <c r="F2837" s="124">
        <v>2831</v>
      </c>
      <c r="G2837" s="238">
        <f t="shared" ca="1" si="90"/>
        <v>2.4748014890705525E-2</v>
      </c>
      <c r="I2837" s="156"/>
    </row>
    <row r="2838" spans="2:9" x14ac:dyDescent="0.2">
      <c r="B2838" s="230">
        <v>41810</v>
      </c>
      <c r="C2838" s="124">
        <v>222.55</v>
      </c>
      <c r="D2838" s="156">
        <f t="shared" si="89"/>
        <v>6.5852490421455939E-2</v>
      </c>
      <c r="E2838" s="156">
        <v>-2.3641659982268849E-3</v>
      </c>
      <c r="F2838" s="124">
        <v>2832</v>
      </c>
      <c r="G2838" s="238">
        <f t="shared" ca="1" si="90"/>
        <v>-7.8908370890204103E-3</v>
      </c>
      <c r="I2838" s="156"/>
    </row>
    <row r="2839" spans="2:9" x14ac:dyDescent="0.2">
      <c r="B2839" s="230">
        <v>41809</v>
      </c>
      <c r="C2839" s="124">
        <v>222.92</v>
      </c>
      <c r="D2839" s="156">
        <f t="shared" si="89"/>
        <v>1.662547742080324E-3</v>
      </c>
      <c r="E2839" s="156">
        <v>-2.3889354568314885E-3</v>
      </c>
      <c r="F2839" s="124">
        <v>2833</v>
      </c>
      <c r="G2839" s="238">
        <f t="shared" ca="1" si="90"/>
        <v>1.1169139565201032E-2</v>
      </c>
      <c r="I2839" s="156"/>
    </row>
    <row r="2840" spans="2:9" x14ac:dyDescent="0.2">
      <c r="B2840" s="230">
        <v>41808</v>
      </c>
      <c r="C2840" s="124">
        <v>220.73</v>
      </c>
      <c r="D2840" s="156">
        <f t="shared" si="89"/>
        <v>-9.8241521622106486E-3</v>
      </c>
      <c r="E2840" s="156">
        <v>-2.3904382470120427E-3</v>
      </c>
      <c r="F2840" s="124">
        <v>2834</v>
      </c>
      <c r="G2840" s="238">
        <f t="shared" ca="1" si="90"/>
        <v>7.496040978924803E-3</v>
      </c>
      <c r="I2840" s="156"/>
    </row>
    <row r="2841" spans="2:9" x14ac:dyDescent="0.2">
      <c r="B2841" s="230">
        <v>41807</v>
      </c>
      <c r="C2841" s="124">
        <v>222.79</v>
      </c>
      <c r="D2841" s="156">
        <f t="shared" si="89"/>
        <v>9.3326688714719455E-3</v>
      </c>
      <c r="E2841" s="156">
        <v>-2.3928845546074364E-3</v>
      </c>
      <c r="F2841" s="124">
        <v>2835</v>
      </c>
      <c r="G2841" s="238">
        <f t="shared" ca="1" si="90"/>
        <v>3.3312287464053241E-3</v>
      </c>
      <c r="I2841" s="156"/>
    </row>
    <row r="2842" spans="2:9" x14ac:dyDescent="0.2">
      <c r="B2842" s="230">
        <v>41806</v>
      </c>
      <c r="C2842" s="124">
        <v>222.89</v>
      </c>
      <c r="D2842" s="156">
        <f t="shared" si="89"/>
        <v>4.4885318012475569E-4</v>
      </c>
      <c r="E2842" s="156">
        <v>-2.3980815347723079E-3</v>
      </c>
      <c r="F2842" s="124">
        <v>2836</v>
      </c>
      <c r="G2842" s="238">
        <f t="shared" ca="1" si="90"/>
        <v>-3.5842727000728679E-2</v>
      </c>
      <c r="I2842" s="156"/>
    </row>
    <row r="2843" spans="2:9" x14ac:dyDescent="0.2">
      <c r="B2843" s="230">
        <v>41803</v>
      </c>
      <c r="C2843" s="124">
        <v>220.5</v>
      </c>
      <c r="D2843" s="156">
        <f t="shared" si="89"/>
        <v>-1.0722778051953819E-2</v>
      </c>
      <c r="E2843" s="156">
        <v>-2.44377934594576E-3</v>
      </c>
      <c r="F2843" s="124">
        <v>2837</v>
      </c>
      <c r="G2843" s="238">
        <f t="shared" ca="1" si="90"/>
        <v>1.016863251912992E-2</v>
      </c>
      <c r="I2843" s="156"/>
    </row>
    <row r="2844" spans="2:9" x14ac:dyDescent="0.2">
      <c r="B2844" s="230">
        <v>41802</v>
      </c>
      <c r="C2844" s="124">
        <v>221.49</v>
      </c>
      <c r="D2844" s="156">
        <f t="shared" si="89"/>
        <v>4.4897959183673878E-3</v>
      </c>
      <c r="E2844" s="156">
        <v>-2.4660912453760933E-3</v>
      </c>
      <c r="F2844" s="124">
        <v>2838</v>
      </c>
      <c r="G2844" s="238">
        <f t="shared" ca="1" si="90"/>
        <v>-8.7259385846288878E-3</v>
      </c>
      <c r="I2844" s="156"/>
    </row>
    <row r="2845" spans="2:9" x14ac:dyDescent="0.2">
      <c r="B2845" s="230">
        <v>41801</v>
      </c>
      <c r="C2845" s="124">
        <v>220.96</v>
      </c>
      <c r="D2845" s="156">
        <f t="shared" si="89"/>
        <v>-2.3928845546074364E-3</v>
      </c>
      <c r="E2845" s="156">
        <v>-2.4726245143059091E-3</v>
      </c>
      <c r="F2845" s="124">
        <v>2839</v>
      </c>
      <c r="G2845" s="238">
        <f t="shared" ca="1" si="90"/>
        <v>5.540615811126178E-3</v>
      </c>
      <c r="I2845" s="156"/>
    </row>
    <row r="2846" spans="2:9" x14ac:dyDescent="0.2">
      <c r="B2846" s="230">
        <v>41800</v>
      </c>
      <c r="C2846" s="124">
        <v>223.65</v>
      </c>
      <c r="D2846" s="156">
        <f t="shared" si="89"/>
        <v>1.2174149167270084E-2</v>
      </c>
      <c r="E2846" s="156">
        <v>-2.4853541629681827E-3</v>
      </c>
      <c r="F2846" s="124">
        <v>2840</v>
      </c>
      <c r="G2846" s="238">
        <f t="shared" ca="1" si="90"/>
        <v>-4.0419322390305157E-2</v>
      </c>
      <c r="I2846" s="156"/>
    </row>
    <row r="2847" spans="2:9" x14ac:dyDescent="0.2">
      <c r="B2847" s="230">
        <v>41799</v>
      </c>
      <c r="C2847" s="124">
        <v>224.05</v>
      </c>
      <c r="D2847" s="156">
        <f t="shared" si="89"/>
        <v>1.7885088307623774E-3</v>
      </c>
      <c r="E2847" s="156">
        <v>-2.4881811395869621E-3</v>
      </c>
      <c r="F2847" s="124">
        <v>2841</v>
      </c>
      <c r="G2847" s="238">
        <f t="shared" ca="1" si="90"/>
        <v>-1.0396652705199492E-2</v>
      </c>
      <c r="I2847" s="156"/>
    </row>
    <row r="2848" spans="2:9" x14ac:dyDescent="0.2">
      <c r="B2848" s="230">
        <v>41796</v>
      </c>
      <c r="C2848" s="124">
        <v>223.22</v>
      </c>
      <c r="D2848" s="156">
        <f t="shared" si="89"/>
        <v>-3.704530238786041E-3</v>
      </c>
      <c r="E2848" s="156">
        <v>-2.5067144136078374E-3</v>
      </c>
      <c r="F2848" s="124">
        <v>2842</v>
      </c>
      <c r="G2848" s="238">
        <f t="shared" ca="1" si="90"/>
        <v>8.9146188576113318E-3</v>
      </c>
      <c r="I2848" s="156"/>
    </row>
    <row r="2849" spans="2:9" x14ac:dyDescent="0.2">
      <c r="B2849" s="230">
        <v>41795</v>
      </c>
      <c r="C2849" s="124">
        <v>221.26</v>
      </c>
      <c r="D2849" s="156">
        <f t="shared" si="89"/>
        <v>-8.7805752172744733E-3</v>
      </c>
      <c r="E2849" s="156">
        <v>-2.5162884745001226E-3</v>
      </c>
      <c r="F2849" s="124">
        <v>2843</v>
      </c>
      <c r="G2849" s="238">
        <f t="shared" ca="1" si="90"/>
        <v>1.6467320096340415E-2</v>
      </c>
      <c r="I2849" s="156"/>
    </row>
    <row r="2850" spans="2:9" x14ac:dyDescent="0.2">
      <c r="B2850" s="230">
        <v>41794</v>
      </c>
      <c r="C2850" s="124">
        <v>219.41</v>
      </c>
      <c r="D2850" s="156">
        <f t="shared" si="89"/>
        <v>-8.3612040133779018E-3</v>
      </c>
      <c r="E2850" s="156">
        <v>-2.51677852348996E-3</v>
      </c>
      <c r="F2850" s="124">
        <v>2844</v>
      </c>
      <c r="G2850" s="238">
        <f t="shared" ca="1" si="90"/>
        <v>2.5033393217784028E-3</v>
      </c>
      <c r="I2850" s="156"/>
    </row>
    <row r="2851" spans="2:9" x14ac:dyDescent="0.2">
      <c r="B2851" s="230">
        <v>41793</v>
      </c>
      <c r="C2851" s="124">
        <v>221.03</v>
      </c>
      <c r="D2851" s="156">
        <f t="shared" si="89"/>
        <v>7.3834374003008277E-3</v>
      </c>
      <c r="E2851" s="156">
        <v>-2.5293855081087264E-3</v>
      </c>
      <c r="F2851" s="124">
        <v>2845</v>
      </c>
      <c r="G2851" s="238">
        <f t="shared" ca="1" si="90"/>
        <v>2.4435063533930969E-2</v>
      </c>
      <c r="I2851" s="156"/>
    </row>
    <row r="2852" spans="2:9" x14ac:dyDescent="0.2">
      <c r="B2852" s="230">
        <v>41792</v>
      </c>
      <c r="C2852" s="124">
        <v>223.18</v>
      </c>
      <c r="D2852" s="156">
        <f t="shared" si="89"/>
        <v>9.727186354793492E-3</v>
      </c>
      <c r="E2852" s="156">
        <v>-2.547987090198719E-3</v>
      </c>
      <c r="F2852" s="124">
        <v>2846</v>
      </c>
      <c r="G2852" s="238">
        <f t="shared" ca="1" si="90"/>
        <v>2.4258548255286622E-3</v>
      </c>
      <c r="I2852" s="156"/>
    </row>
    <row r="2853" spans="2:9" x14ac:dyDescent="0.2">
      <c r="B2853" s="230">
        <v>41789</v>
      </c>
      <c r="C2853" s="124">
        <v>226.57</v>
      </c>
      <c r="D2853" s="156">
        <f t="shared" si="89"/>
        <v>1.5189533112285986E-2</v>
      </c>
      <c r="E2853" s="156">
        <v>-2.5533388150776968E-3</v>
      </c>
      <c r="F2853" s="124">
        <v>2847</v>
      </c>
      <c r="G2853" s="238">
        <f t="shared" ca="1" si="90"/>
        <v>-1.4666685808020063E-2</v>
      </c>
      <c r="I2853" s="156"/>
    </row>
    <row r="2854" spans="2:9" x14ac:dyDescent="0.2">
      <c r="B2854" s="230">
        <v>41788</v>
      </c>
      <c r="C2854" s="124">
        <v>227.06</v>
      </c>
      <c r="D2854" s="156">
        <f t="shared" si="89"/>
        <v>2.1626870282915175E-3</v>
      </c>
      <c r="E2854" s="156">
        <v>-2.5547445255474036E-3</v>
      </c>
      <c r="F2854" s="124">
        <v>2848</v>
      </c>
      <c r="G2854" s="238">
        <f t="shared" ca="1" si="90"/>
        <v>-5.7733918430148048E-3</v>
      </c>
      <c r="I2854" s="156"/>
    </row>
    <row r="2855" spans="2:9" x14ac:dyDescent="0.2">
      <c r="B2855" s="230">
        <v>41787</v>
      </c>
      <c r="C2855" s="124">
        <v>227.29</v>
      </c>
      <c r="D2855" s="156">
        <f t="shared" si="89"/>
        <v>1.0129481194397507E-3</v>
      </c>
      <c r="E2855" s="156">
        <v>-2.5678935491400211E-3</v>
      </c>
      <c r="F2855" s="124">
        <v>2849</v>
      </c>
      <c r="G2855" s="238">
        <f t="shared" ca="1" si="90"/>
        <v>1.8842335708246651E-2</v>
      </c>
      <c r="I2855" s="156"/>
    </row>
    <row r="2856" spans="2:9" x14ac:dyDescent="0.2">
      <c r="B2856" s="230">
        <v>41786</v>
      </c>
      <c r="C2856" s="124">
        <v>227.92</v>
      </c>
      <c r="D2856" s="156">
        <f t="shared" si="89"/>
        <v>2.7717893440098351E-3</v>
      </c>
      <c r="E2856" s="156">
        <v>-2.587829360100363E-3</v>
      </c>
      <c r="F2856" s="124">
        <v>2850</v>
      </c>
      <c r="G2856" s="238">
        <f t="shared" ca="1" si="90"/>
        <v>3.0066614889146092E-2</v>
      </c>
      <c r="I2856" s="156"/>
    </row>
    <row r="2857" spans="2:9" x14ac:dyDescent="0.2">
      <c r="B2857" s="230">
        <v>41785</v>
      </c>
      <c r="C2857" s="124">
        <v>228.49</v>
      </c>
      <c r="D2857" s="156">
        <f t="shared" si="89"/>
        <v>2.5008775008775958E-3</v>
      </c>
      <c r="E2857" s="156">
        <v>-2.5917926565874484E-3</v>
      </c>
      <c r="F2857" s="124">
        <v>2851</v>
      </c>
      <c r="G2857" s="238">
        <f t="shared" ca="1" si="90"/>
        <v>-1.3632422094100465E-2</v>
      </c>
      <c r="I2857" s="156"/>
    </row>
    <row r="2858" spans="2:9" x14ac:dyDescent="0.2">
      <c r="B2858" s="230">
        <v>41782</v>
      </c>
      <c r="C2858" s="124">
        <v>227.46</v>
      </c>
      <c r="D2858" s="156">
        <f t="shared" si="89"/>
        <v>-4.5078559236728134E-3</v>
      </c>
      <c r="E2858" s="156">
        <v>-2.5953616838897847E-3</v>
      </c>
      <c r="F2858" s="124">
        <v>2852</v>
      </c>
      <c r="G2858" s="238">
        <f t="shared" ca="1" si="90"/>
        <v>2.2340751150791868E-2</v>
      </c>
      <c r="I2858" s="156"/>
    </row>
    <row r="2859" spans="2:9" x14ac:dyDescent="0.2">
      <c r="B2859" s="230">
        <v>41781</v>
      </c>
      <c r="C2859" s="124">
        <v>229.25</v>
      </c>
      <c r="D2859" s="156">
        <f t="shared" si="89"/>
        <v>7.8695155192121339E-3</v>
      </c>
      <c r="E2859" s="156">
        <v>-2.5994656653911012E-3</v>
      </c>
      <c r="F2859" s="124">
        <v>2853</v>
      </c>
      <c r="G2859" s="238">
        <f t="shared" ca="1" si="90"/>
        <v>-1.1946041552240711E-2</v>
      </c>
      <c r="I2859" s="156"/>
    </row>
    <row r="2860" spans="2:9" x14ac:dyDescent="0.2">
      <c r="B2860" s="230">
        <v>41780</v>
      </c>
      <c r="C2860" s="124">
        <v>226.5</v>
      </c>
      <c r="D2860" s="156">
        <f t="shared" si="89"/>
        <v>-1.1995637949836423E-2</v>
      </c>
      <c r="E2860" s="156">
        <v>-2.6047833293867456E-3</v>
      </c>
      <c r="F2860" s="124">
        <v>2854</v>
      </c>
      <c r="G2860" s="238">
        <f t="shared" ca="1" si="90"/>
        <v>-4.8911563141403021E-3</v>
      </c>
      <c r="I2860" s="156"/>
    </row>
    <row r="2861" spans="2:9" x14ac:dyDescent="0.2">
      <c r="B2861" s="230">
        <v>41779</v>
      </c>
      <c r="C2861" s="124">
        <v>225.97</v>
      </c>
      <c r="D2861" s="156">
        <f t="shared" si="89"/>
        <v>-2.3399558498896299E-3</v>
      </c>
      <c r="E2861" s="156">
        <v>-2.6069954377579592E-3</v>
      </c>
      <c r="F2861" s="124">
        <v>2855</v>
      </c>
      <c r="G2861" s="238">
        <f t="shared" ca="1" si="90"/>
        <v>1.0471176660186291E-3</v>
      </c>
      <c r="I2861" s="156"/>
    </row>
    <row r="2862" spans="2:9" x14ac:dyDescent="0.2">
      <c r="B2862" s="230">
        <v>41778</v>
      </c>
      <c r="C2862" s="124">
        <v>224.15</v>
      </c>
      <c r="D2862" s="156">
        <f t="shared" si="89"/>
        <v>-8.0541664822763783E-3</v>
      </c>
      <c r="E2862" s="156">
        <v>-2.6292725679229029E-3</v>
      </c>
      <c r="F2862" s="124">
        <v>2856</v>
      </c>
      <c r="G2862" s="238">
        <f t="shared" ca="1" si="90"/>
        <v>3.3172848569436551E-2</v>
      </c>
      <c r="I2862" s="156"/>
    </row>
    <row r="2863" spans="2:9" x14ac:dyDescent="0.2">
      <c r="B2863" s="230">
        <v>41775</v>
      </c>
      <c r="C2863" s="124">
        <v>236.64</v>
      </c>
      <c r="D2863" s="156">
        <f t="shared" si="89"/>
        <v>5.572161498996199E-2</v>
      </c>
      <c r="E2863" s="156">
        <v>-2.6358475263584982E-3</v>
      </c>
      <c r="F2863" s="124">
        <v>2857</v>
      </c>
      <c r="G2863" s="238">
        <f t="shared" ca="1" si="90"/>
        <v>1.968468936221583E-3</v>
      </c>
      <c r="I2863" s="156"/>
    </row>
    <row r="2864" spans="2:9" x14ac:dyDescent="0.2">
      <c r="B2864" s="230">
        <v>41774</v>
      </c>
      <c r="C2864" s="124">
        <v>244.07</v>
      </c>
      <c r="D2864" s="156">
        <f t="shared" si="89"/>
        <v>3.1397903989181908E-2</v>
      </c>
      <c r="E2864" s="156">
        <v>-2.6369168356998201E-3</v>
      </c>
      <c r="F2864" s="124">
        <v>2858</v>
      </c>
      <c r="G2864" s="238">
        <f t="shared" ca="1" si="90"/>
        <v>-2.4684366442185111E-3</v>
      </c>
      <c r="I2864" s="156"/>
    </row>
    <row r="2865" spans="2:9" x14ac:dyDescent="0.2">
      <c r="B2865" s="230">
        <v>41773</v>
      </c>
      <c r="C2865" s="124">
        <v>242.41</v>
      </c>
      <c r="D2865" s="156">
        <f t="shared" si="89"/>
        <v>-6.8013274880157192E-3</v>
      </c>
      <c r="E2865" s="156">
        <v>-2.6392961876833842E-3</v>
      </c>
      <c r="F2865" s="124">
        <v>2859</v>
      </c>
      <c r="G2865" s="238">
        <f t="shared" ca="1" si="90"/>
        <v>2.5695928941157908E-2</v>
      </c>
      <c r="I2865" s="156"/>
    </row>
    <row r="2866" spans="2:9" x14ac:dyDescent="0.2">
      <c r="B2866" s="230">
        <v>41772</v>
      </c>
      <c r="C2866" s="124">
        <v>239.23</v>
      </c>
      <c r="D2866" s="156">
        <f t="shared" si="89"/>
        <v>-1.311827069840356E-2</v>
      </c>
      <c r="E2866" s="156">
        <v>-2.6480139895078748E-3</v>
      </c>
      <c r="F2866" s="124">
        <v>2860</v>
      </c>
      <c r="G2866" s="238">
        <f t="shared" ca="1" si="90"/>
        <v>-1.8868611840872317E-2</v>
      </c>
      <c r="I2866" s="156"/>
    </row>
    <row r="2867" spans="2:9" x14ac:dyDescent="0.2">
      <c r="B2867" s="230">
        <v>41771</v>
      </c>
      <c r="C2867" s="124">
        <v>238.1</v>
      </c>
      <c r="D2867" s="156">
        <f t="shared" si="89"/>
        <v>-4.7234878568741187E-3</v>
      </c>
      <c r="E2867" s="156">
        <v>-2.6555386949923933E-3</v>
      </c>
      <c r="F2867" s="124">
        <v>2861</v>
      </c>
      <c r="G2867" s="238">
        <f t="shared" ca="1" si="90"/>
        <v>8.1127446990932276E-3</v>
      </c>
      <c r="I2867" s="156"/>
    </row>
    <row r="2868" spans="2:9" x14ac:dyDescent="0.2">
      <c r="B2868" s="230">
        <v>41768</v>
      </c>
      <c r="C2868" s="124">
        <v>229.08</v>
      </c>
      <c r="D2868" s="156">
        <f t="shared" si="89"/>
        <v>-3.7883242335153222E-2</v>
      </c>
      <c r="E2868" s="156">
        <v>-2.6562776695590326E-3</v>
      </c>
      <c r="F2868" s="124">
        <v>2862</v>
      </c>
      <c r="G2868" s="238">
        <f t="shared" ca="1" si="90"/>
        <v>4.8380354083893413E-2</v>
      </c>
      <c r="I2868" s="156"/>
    </row>
    <row r="2869" spans="2:9" x14ac:dyDescent="0.2">
      <c r="B2869" s="230">
        <v>41767</v>
      </c>
      <c r="C2869" s="124">
        <v>226.83</v>
      </c>
      <c r="D2869" s="156">
        <f t="shared" si="89"/>
        <v>-9.8218962807752747E-3</v>
      </c>
      <c r="E2869" s="156">
        <v>-2.6574182506080685E-3</v>
      </c>
      <c r="F2869" s="124">
        <v>2863</v>
      </c>
      <c r="G2869" s="238">
        <f t="shared" ca="1" si="90"/>
        <v>-2.0804802322987891E-3</v>
      </c>
      <c r="I2869" s="156"/>
    </row>
    <row r="2870" spans="2:9" x14ac:dyDescent="0.2">
      <c r="B2870" s="230">
        <v>41766</v>
      </c>
      <c r="C2870" s="124">
        <v>229.81</v>
      </c>
      <c r="D2870" s="156">
        <f t="shared" si="89"/>
        <v>1.3137592029272978E-2</v>
      </c>
      <c r="E2870" s="156">
        <v>-2.6809651474532571E-3</v>
      </c>
      <c r="F2870" s="124">
        <v>2864</v>
      </c>
      <c r="G2870" s="238">
        <f t="shared" ca="1" si="90"/>
        <v>-1.7092829337436496E-3</v>
      </c>
      <c r="I2870" s="156"/>
    </row>
    <row r="2871" spans="2:9" x14ac:dyDescent="0.2">
      <c r="B2871" s="230">
        <v>41765</v>
      </c>
      <c r="C2871" s="124">
        <v>230.68</v>
      </c>
      <c r="D2871" s="156">
        <f t="shared" si="89"/>
        <v>3.7857360428179996E-3</v>
      </c>
      <c r="E2871" s="156">
        <v>-2.7031897639214018E-3</v>
      </c>
      <c r="F2871" s="124">
        <v>2865</v>
      </c>
      <c r="G2871" s="238">
        <f t="shared" ca="1" si="90"/>
        <v>-2.9303295538307267E-2</v>
      </c>
      <c r="I2871" s="156"/>
    </row>
    <row r="2872" spans="2:9" x14ac:dyDescent="0.2">
      <c r="B2872" s="230">
        <v>41764</v>
      </c>
      <c r="C2872" s="124">
        <v>228.52</v>
      </c>
      <c r="D2872" s="156">
        <f t="shared" si="89"/>
        <v>-9.3636205999653045E-3</v>
      </c>
      <c r="E2872" s="156">
        <v>-2.7121987301978534E-3</v>
      </c>
      <c r="F2872" s="124">
        <v>2866</v>
      </c>
      <c r="G2872" s="238">
        <f t="shared" ca="1" si="90"/>
        <v>5.2775238644551517E-3</v>
      </c>
      <c r="I2872" s="156"/>
    </row>
    <row r="2873" spans="2:9" x14ac:dyDescent="0.2">
      <c r="B2873" s="230">
        <v>41761</v>
      </c>
      <c r="C2873" s="124">
        <v>225.57</v>
      </c>
      <c r="D2873" s="156">
        <f t="shared" si="89"/>
        <v>-1.2909154559776023E-2</v>
      </c>
      <c r="E2873" s="156">
        <v>-2.7160493827161057E-3</v>
      </c>
      <c r="F2873" s="124">
        <v>2867</v>
      </c>
      <c r="G2873" s="238">
        <f t="shared" ca="1" si="90"/>
        <v>1.3515023459490677E-2</v>
      </c>
      <c r="I2873" s="156"/>
    </row>
    <row r="2874" spans="2:9" x14ac:dyDescent="0.2">
      <c r="B2874" s="230">
        <v>41759</v>
      </c>
      <c r="C2874" s="124">
        <v>225.9</v>
      </c>
      <c r="D2874" s="156">
        <f t="shared" si="89"/>
        <v>1.4629605000665536E-3</v>
      </c>
      <c r="E2874" s="156">
        <v>-2.7296463327795392E-3</v>
      </c>
      <c r="F2874" s="124">
        <v>2868</v>
      </c>
      <c r="G2874" s="238">
        <f t="shared" ca="1" si="90"/>
        <v>-1.9868707188637263E-3</v>
      </c>
      <c r="I2874" s="156"/>
    </row>
    <row r="2875" spans="2:9" x14ac:dyDescent="0.2">
      <c r="B2875" s="230">
        <v>41758</v>
      </c>
      <c r="C2875" s="124">
        <v>225.6</v>
      </c>
      <c r="D2875" s="156">
        <f t="shared" si="89"/>
        <v>-1.3280212483400237E-3</v>
      </c>
      <c r="E2875" s="156">
        <v>-2.7299026198916838E-3</v>
      </c>
      <c r="F2875" s="124">
        <v>2869</v>
      </c>
      <c r="G2875" s="238">
        <f t="shared" ca="1" si="90"/>
        <v>-1.5548616923148689E-2</v>
      </c>
      <c r="I2875" s="156"/>
    </row>
    <row r="2876" spans="2:9" x14ac:dyDescent="0.2">
      <c r="B2876" s="230">
        <v>41757</v>
      </c>
      <c r="C2876" s="124">
        <v>226.73</v>
      </c>
      <c r="D2876" s="156">
        <f t="shared" si="89"/>
        <v>5.0088652482269307E-3</v>
      </c>
      <c r="E2876" s="156">
        <v>-2.7326833561057105E-3</v>
      </c>
      <c r="F2876" s="124">
        <v>2870</v>
      </c>
      <c r="G2876" s="238">
        <f t="shared" ca="1" si="90"/>
        <v>1.1364162537031413E-2</v>
      </c>
      <c r="I2876" s="156"/>
    </row>
    <row r="2877" spans="2:9" x14ac:dyDescent="0.2">
      <c r="B2877" s="230">
        <v>41754</v>
      </c>
      <c r="C2877" s="124">
        <v>227.69</v>
      </c>
      <c r="D2877" s="156">
        <f t="shared" si="89"/>
        <v>4.2341110572046399E-3</v>
      </c>
      <c r="E2877" s="156">
        <v>-2.7376425855514344E-3</v>
      </c>
      <c r="F2877" s="124">
        <v>2871</v>
      </c>
      <c r="G2877" s="238">
        <f t="shared" ca="1" si="90"/>
        <v>6.1171400120281563E-3</v>
      </c>
      <c r="I2877" s="156"/>
    </row>
    <row r="2878" spans="2:9" x14ac:dyDescent="0.2">
      <c r="B2878" s="230">
        <v>41752</v>
      </c>
      <c r="C2878" s="124">
        <v>234.16</v>
      </c>
      <c r="D2878" s="156">
        <f t="shared" ref="D2878:D2941" si="91">(C2878-C2877)/C2877</f>
        <v>2.8415828538802753E-2</v>
      </c>
      <c r="E2878" s="156">
        <v>-2.7570995312930537E-3</v>
      </c>
      <c r="F2878" s="124">
        <v>2872</v>
      </c>
      <c r="G2878" s="238">
        <f t="shared" ca="1" si="90"/>
        <v>8.9693442236977797E-3</v>
      </c>
      <c r="I2878" s="156"/>
    </row>
    <row r="2879" spans="2:9" x14ac:dyDescent="0.2">
      <c r="B2879" s="230">
        <v>41751</v>
      </c>
      <c r="C2879" s="124">
        <v>232.53</v>
      </c>
      <c r="D2879" s="156">
        <f t="shared" si="91"/>
        <v>-6.9610522719507836E-3</v>
      </c>
      <c r="E2879" s="156">
        <v>-2.7572573093330617E-3</v>
      </c>
      <c r="F2879" s="124">
        <v>2873</v>
      </c>
      <c r="G2879" s="238">
        <f t="shared" ca="1" si="90"/>
        <v>7.4565611444384998E-3</v>
      </c>
      <c r="I2879" s="156"/>
    </row>
    <row r="2880" spans="2:9" x14ac:dyDescent="0.2">
      <c r="B2880" s="230">
        <v>41750</v>
      </c>
      <c r="C2880" s="124">
        <v>234.29</v>
      </c>
      <c r="D2880" s="156">
        <f t="shared" si="91"/>
        <v>7.568915838816458E-3</v>
      </c>
      <c r="E2880" s="156">
        <v>-2.7631248430043274E-3</v>
      </c>
      <c r="F2880" s="124">
        <v>2874</v>
      </c>
      <c r="G2880" s="238">
        <f t="shared" ca="1" si="90"/>
        <v>-2.9572218528176042E-2</v>
      </c>
      <c r="I2880" s="156"/>
    </row>
    <row r="2881" spans="2:9" x14ac:dyDescent="0.2">
      <c r="B2881" s="230">
        <v>41746</v>
      </c>
      <c r="C2881" s="124">
        <v>234.19</v>
      </c>
      <c r="D2881" s="156">
        <f t="shared" si="91"/>
        <v>-4.2682146058301387E-4</v>
      </c>
      <c r="E2881" s="156">
        <v>-2.7756451898659352E-3</v>
      </c>
      <c r="F2881" s="124">
        <v>2875</v>
      </c>
      <c r="G2881" s="238">
        <f t="shared" ca="1" si="90"/>
        <v>-1.7069488796366675E-2</v>
      </c>
      <c r="I2881" s="156"/>
    </row>
    <row r="2882" spans="2:9" x14ac:dyDescent="0.2">
      <c r="B2882" s="230">
        <v>41745</v>
      </c>
      <c r="C2882" s="124">
        <v>229.42</v>
      </c>
      <c r="D2882" s="156">
        <f t="shared" si="91"/>
        <v>-2.0368077202271705E-2</v>
      </c>
      <c r="E2882" s="156">
        <v>-2.784602784602859E-3</v>
      </c>
      <c r="F2882" s="124">
        <v>2876</v>
      </c>
      <c r="G2882" s="238">
        <f t="shared" ca="1" si="90"/>
        <v>1.2950827851143192E-2</v>
      </c>
      <c r="I2882" s="156"/>
    </row>
    <row r="2883" spans="2:9" x14ac:dyDescent="0.2">
      <c r="B2883" s="230">
        <v>41744</v>
      </c>
      <c r="C2883" s="124">
        <v>226.03</v>
      </c>
      <c r="D2883" s="156">
        <f t="shared" si="91"/>
        <v>-1.4776392642315346E-2</v>
      </c>
      <c r="E2883" s="156">
        <v>-2.7917364600781687E-3</v>
      </c>
      <c r="F2883" s="124">
        <v>2877</v>
      </c>
      <c r="G2883" s="238">
        <f t="shared" ca="1" si="90"/>
        <v>1.9640879476832945E-2</v>
      </c>
      <c r="I2883" s="156"/>
    </row>
    <row r="2884" spans="2:9" x14ac:dyDescent="0.2">
      <c r="B2884" s="230">
        <v>41740</v>
      </c>
      <c r="C2884" s="124">
        <v>227.73</v>
      </c>
      <c r="D2884" s="156">
        <f t="shared" si="91"/>
        <v>7.5211255143122092E-3</v>
      </c>
      <c r="E2884" s="156">
        <v>-2.7965509205314506E-3</v>
      </c>
      <c r="F2884" s="124">
        <v>2878</v>
      </c>
      <c r="G2884" s="238">
        <f t="shared" ca="1" si="90"/>
        <v>3.0341828843900177E-2</v>
      </c>
      <c r="I2884" s="156"/>
    </row>
    <row r="2885" spans="2:9" x14ac:dyDescent="0.2">
      <c r="B2885" s="230">
        <v>41739</v>
      </c>
      <c r="C2885" s="124">
        <v>227.96</v>
      </c>
      <c r="D2885" s="156">
        <f t="shared" si="91"/>
        <v>1.0099679444957547E-3</v>
      </c>
      <c r="E2885" s="156">
        <v>-2.8110486433635638E-3</v>
      </c>
      <c r="F2885" s="124">
        <v>2879</v>
      </c>
      <c r="G2885" s="238">
        <f t="shared" ca="1" si="90"/>
        <v>2.7821587932527342E-3</v>
      </c>
      <c r="I2885" s="156"/>
    </row>
    <row r="2886" spans="2:9" x14ac:dyDescent="0.2">
      <c r="B2886" s="230">
        <v>41738</v>
      </c>
      <c r="C2886" s="124">
        <v>230.68</v>
      </c>
      <c r="D2886" s="156">
        <f t="shared" si="91"/>
        <v>1.1931917880329877E-2</v>
      </c>
      <c r="E2886" s="156">
        <v>-2.8194590461626851E-3</v>
      </c>
      <c r="F2886" s="124">
        <v>2880</v>
      </c>
      <c r="G2886" s="238">
        <f t="shared" ca="1" si="90"/>
        <v>-9.1801181146250969E-3</v>
      </c>
      <c r="I2886" s="156"/>
    </row>
    <row r="2887" spans="2:9" x14ac:dyDescent="0.2">
      <c r="B2887" s="230">
        <v>41736</v>
      </c>
      <c r="C2887" s="124">
        <v>229.02</v>
      </c>
      <c r="D2887" s="156">
        <f t="shared" si="91"/>
        <v>-7.1961158314548142E-3</v>
      </c>
      <c r="E2887" s="156">
        <v>-2.8227085315572038E-3</v>
      </c>
      <c r="F2887" s="124">
        <v>2881</v>
      </c>
      <c r="G2887" s="238">
        <f t="shared" ref="G2887:G2950" ca="1" si="92">_xlfn.NORM.INV(RAND(),$L$8,$L$9)</f>
        <v>-1.416376330130612E-2</v>
      </c>
      <c r="I2887" s="156"/>
    </row>
    <row r="2888" spans="2:9" x14ac:dyDescent="0.2">
      <c r="B2888" s="230">
        <v>41733</v>
      </c>
      <c r="C2888" s="124">
        <v>228.55</v>
      </c>
      <c r="D2888" s="156">
        <f t="shared" si="91"/>
        <v>-2.0522225133176092E-3</v>
      </c>
      <c r="E2888" s="156">
        <v>-2.8297244094487631E-3</v>
      </c>
      <c r="F2888" s="124">
        <v>2882</v>
      </c>
      <c r="G2888" s="238">
        <f t="shared" ca="1" si="92"/>
        <v>1.4843270352489727E-2</v>
      </c>
      <c r="I2888" s="156"/>
    </row>
    <row r="2889" spans="2:9" x14ac:dyDescent="0.2">
      <c r="B2889" s="230">
        <v>41732</v>
      </c>
      <c r="C2889" s="124">
        <v>229.32</v>
      </c>
      <c r="D2889" s="156">
        <f t="shared" si="91"/>
        <v>3.3690658499233505E-3</v>
      </c>
      <c r="E2889" s="156">
        <v>-2.8379528899819995E-3</v>
      </c>
      <c r="F2889" s="124">
        <v>2883</v>
      </c>
      <c r="G2889" s="238">
        <f t="shared" ca="1" si="92"/>
        <v>-2.0491791805416857E-2</v>
      </c>
      <c r="I2889" s="156"/>
    </row>
    <row r="2890" spans="2:9" x14ac:dyDescent="0.2">
      <c r="B2890" s="230">
        <v>41731</v>
      </c>
      <c r="C2890" s="124">
        <v>228.29</v>
      </c>
      <c r="D2890" s="156">
        <f t="shared" si="91"/>
        <v>-4.4915402058259253E-3</v>
      </c>
      <c r="E2890" s="156">
        <v>-2.8386689796562011E-3</v>
      </c>
      <c r="F2890" s="124">
        <v>2884</v>
      </c>
      <c r="G2890" s="238">
        <f t="shared" ca="1" si="92"/>
        <v>1.3822050914053056E-2</v>
      </c>
      <c r="I2890" s="156"/>
    </row>
    <row r="2891" spans="2:9" x14ac:dyDescent="0.2">
      <c r="B2891" s="230">
        <v>41730</v>
      </c>
      <c r="C2891" s="124">
        <v>233.33</v>
      </c>
      <c r="D2891" s="156">
        <f t="shared" si="91"/>
        <v>2.2077182530991373E-2</v>
      </c>
      <c r="E2891" s="156">
        <v>-2.8499050031665567E-3</v>
      </c>
      <c r="F2891" s="124">
        <v>2885</v>
      </c>
      <c r="G2891" s="238">
        <f t="shared" ca="1" si="92"/>
        <v>1.7066542449173449E-2</v>
      </c>
      <c r="I2891" s="156"/>
    </row>
    <row r="2892" spans="2:9" x14ac:dyDescent="0.2">
      <c r="B2892" s="230">
        <v>41729</v>
      </c>
      <c r="C2892" s="124">
        <v>233.92</v>
      </c>
      <c r="D2892" s="156">
        <f t="shared" si="91"/>
        <v>2.5286075515363431E-3</v>
      </c>
      <c r="E2892" s="156">
        <v>-2.8502850285028161E-3</v>
      </c>
      <c r="F2892" s="124">
        <v>2886</v>
      </c>
      <c r="G2892" s="238">
        <f t="shared" ca="1" si="92"/>
        <v>9.9305888250943476E-3</v>
      </c>
      <c r="I2892" s="156"/>
    </row>
    <row r="2893" spans="2:9" x14ac:dyDescent="0.2">
      <c r="B2893" s="230">
        <v>41726</v>
      </c>
      <c r="C2893" s="124">
        <v>237.64</v>
      </c>
      <c r="D2893" s="156">
        <f t="shared" si="91"/>
        <v>1.5902872777017778E-2</v>
      </c>
      <c r="E2893" s="156">
        <v>-2.853613867711519E-3</v>
      </c>
      <c r="F2893" s="124">
        <v>2887</v>
      </c>
      <c r="G2893" s="238">
        <f t="shared" ca="1" si="92"/>
        <v>5.583253798597137E-3</v>
      </c>
      <c r="I2893" s="156"/>
    </row>
    <row r="2894" spans="2:9" x14ac:dyDescent="0.2">
      <c r="B2894" s="230">
        <v>41725</v>
      </c>
      <c r="C2894" s="124">
        <v>238.6</v>
      </c>
      <c r="D2894" s="156">
        <f t="shared" si="91"/>
        <v>4.0397239521966334E-3</v>
      </c>
      <c r="E2894" s="156">
        <v>-2.8571428571428979E-3</v>
      </c>
      <c r="F2894" s="124">
        <v>2888</v>
      </c>
      <c r="G2894" s="238">
        <f t="shared" ca="1" si="92"/>
        <v>1.8761404956662089E-2</v>
      </c>
      <c r="I2894" s="156"/>
    </row>
    <row r="2895" spans="2:9" x14ac:dyDescent="0.2">
      <c r="B2895" s="230">
        <v>41724</v>
      </c>
      <c r="C2895" s="124">
        <v>238.03</v>
      </c>
      <c r="D2895" s="156">
        <f t="shared" si="91"/>
        <v>-2.3889354568314885E-3</v>
      </c>
      <c r="E2895" s="156">
        <v>-2.8622540250447634E-3</v>
      </c>
      <c r="F2895" s="124">
        <v>2889</v>
      </c>
      <c r="G2895" s="238">
        <f t="shared" ca="1" si="92"/>
        <v>3.1186915891718913E-4</v>
      </c>
      <c r="I2895" s="156"/>
    </row>
    <row r="2896" spans="2:9" x14ac:dyDescent="0.2">
      <c r="B2896" s="230">
        <v>41723</v>
      </c>
      <c r="C2896" s="124">
        <v>240.52</v>
      </c>
      <c r="D2896" s="156">
        <f t="shared" si="91"/>
        <v>1.0460866277360035E-2</v>
      </c>
      <c r="E2896" s="156">
        <v>-2.8634361233480427E-3</v>
      </c>
      <c r="F2896" s="124">
        <v>2890</v>
      </c>
      <c r="G2896" s="238">
        <f t="shared" ca="1" si="92"/>
        <v>4.6621619105178163E-3</v>
      </c>
      <c r="I2896" s="156"/>
    </row>
    <row r="2897" spans="2:9" x14ac:dyDescent="0.2">
      <c r="B2897" s="230">
        <v>41722</v>
      </c>
      <c r="C2897" s="124">
        <v>239.1</v>
      </c>
      <c r="D2897" s="156">
        <f t="shared" si="91"/>
        <v>-5.9038749376351899E-3</v>
      </c>
      <c r="E2897" s="156">
        <v>-2.8739564800875019E-3</v>
      </c>
      <c r="F2897" s="124">
        <v>2891</v>
      </c>
      <c r="G2897" s="238">
        <f t="shared" ca="1" si="92"/>
        <v>-1.006052093495257E-2</v>
      </c>
      <c r="I2897" s="156"/>
    </row>
    <row r="2898" spans="2:9" x14ac:dyDescent="0.2">
      <c r="B2898" s="230">
        <v>41720</v>
      </c>
      <c r="C2898" s="124">
        <v>236.41</v>
      </c>
      <c r="D2898" s="156">
        <f t="shared" si="91"/>
        <v>-1.1250522793810112E-2</v>
      </c>
      <c r="E2898" s="156">
        <v>-2.8780743066457205E-3</v>
      </c>
      <c r="F2898" s="124">
        <v>2892</v>
      </c>
      <c r="G2898" s="238">
        <f t="shared" ca="1" si="92"/>
        <v>-1.3254032398993101E-2</v>
      </c>
      <c r="I2898" s="156"/>
    </row>
    <row r="2899" spans="2:9" x14ac:dyDescent="0.2">
      <c r="B2899" s="230">
        <v>41719</v>
      </c>
      <c r="C2899" s="124">
        <v>237.14</v>
      </c>
      <c r="D2899" s="156">
        <f t="shared" si="91"/>
        <v>3.0878558436613925E-3</v>
      </c>
      <c r="E2899" s="156">
        <v>-2.9093931837073511E-3</v>
      </c>
      <c r="F2899" s="124">
        <v>2893</v>
      </c>
      <c r="G2899" s="238">
        <f t="shared" ca="1" si="92"/>
        <v>1.0871009378610257E-2</v>
      </c>
      <c r="I2899" s="156"/>
    </row>
    <row r="2900" spans="2:9" x14ac:dyDescent="0.2">
      <c r="B2900" s="230">
        <v>41718</v>
      </c>
      <c r="C2900" s="124">
        <v>235.88</v>
      </c>
      <c r="D2900" s="156">
        <f t="shared" si="91"/>
        <v>-5.3133170279159609E-3</v>
      </c>
      <c r="E2900" s="156">
        <v>-2.918761148046047E-3</v>
      </c>
      <c r="F2900" s="124">
        <v>2894</v>
      </c>
      <c r="G2900" s="238">
        <f t="shared" ca="1" si="92"/>
        <v>-5.3814358931974166E-3</v>
      </c>
      <c r="I2900" s="156"/>
    </row>
    <row r="2901" spans="2:9" x14ac:dyDescent="0.2">
      <c r="B2901" s="230">
        <v>41717</v>
      </c>
      <c r="C2901" s="124">
        <v>238.47</v>
      </c>
      <c r="D2901" s="156">
        <f t="shared" si="91"/>
        <v>1.098015940308633E-2</v>
      </c>
      <c r="E2901" s="156">
        <v>-2.9224428624952145E-3</v>
      </c>
      <c r="F2901" s="124">
        <v>2895</v>
      </c>
      <c r="G2901" s="238">
        <f t="shared" ca="1" si="92"/>
        <v>-1.8359367862177723E-2</v>
      </c>
      <c r="I2901" s="156"/>
    </row>
    <row r="2902" spans="2:9" x14ac:dyDescent="0.2">
      <c r="B2902" s="230">
        <v>41716</v>
      </c>
      <c r="C2902" s="124">
        <v>235.95</v>
      </c>
      <c r="D2902" s="156">
        <f t="shared" si="91"/>
        <v>-1.056736696439808E-2</v>
      </c>
      <c r="E2902" s="156">
        <v>-2.924754054772727E-3</v>
      </c>
      <c r="F2902" s="124">
        <v>2896</v>
      </c>
      <c r="G2902" s="238">
        <f t="shared" ca="1" si="92"/>
        <v>-2.5261079511858945E-3</v>
      </c>
      <c r="I2902" s="156"/>
    </row>
    <row r="2903" spans="2:9" x14ac:dyDescent="0.2">
      <c r="B2903" s="230">
        <v>41712</v>
      </c>
      <c r="C2903" s="124">
        <v>230.18</v>
      </c>
      <c r="D2903" s="156">
        <f t="shared" si="91"/>
        <v>-2.4454333545242561E-2</v>
      </c>
      <c r="E2903" s="156">
        <v>-2.9308323563891868E-3</v>
      </c>
      <c r="F2903" s="124">
        <v>2897</v>
      </c>
      <c r="G2903" s="238">
        <f t="shared" ca="1" si="92"/>
        <v>-1.0147324666787567E-2</v>
      </c>
      <c r="I2903" s="156"/>
    </row>
    <row r="2904" spans="2:9" x14ac:dyDescent="0.2">
      <c r="B2904" s="230">
        <v>41711</v>
      </c>
      <c r="C2904" s="124">
        <v>227.66</v>
      </c>
      <c r="D2904" s="156">
        <f t="shared" si="91"/>
        <v>-1.0947953775306326E-2</v>
      </c>
      <c r="E2904" s="156">
        <v>-2.9460866149464515E-3</v>
      </c>
      <c r="F2904" s="124">
        <v>2898</v>
      </c>
      <c r="G2904" s="238">
        <f t="shared" ca="1" si="92"/>
        <v>2.4389897808397395E-2</v>
      </c>
      <c r="I2904" s="156"/>
    </row>
    <row r="2905" spans="2:9" x14ac:dyDescent="0.2">
      <c r="B2905" s="230">
        <v>41710</v>
      </c>
      <c r="C2905" s="124">
        <v>226.07</v>
      </c>
      <c r="D2905" s="156">
        <f t="shared" si="91"/>
        <v>-6.9840990951418932E-3</v>
      </c>
      <c r="E2905" s="156">
        <v>-2.9542097488921434E-3</v>
      </c>
      <c r="F2905" s="124">
        <v>2899</v>
      </c>
      <c r="G2905" s="238">
        <f t="shared" ca="1" si="92"/>
        <v>4.3007999033290488E-3</v>
      </c>
      <c r="I2905" s="156"/>
    </row>
    <row r="2906" spans="2:9" x14ac:dyDescent="0.2">
      <c r="B2906" s="230">
        <v>41709</v>
      </c>
      <c r="C2906" s="124">
        <v>221.43</v>
      </c>
      <c r="D2906" s="156">
        <f t="shared" si="91"/>
        <v>-2.0524616269297059E-2</v>
      </c>
      <c r="E2906" s="156">
        <v>-2.9646931991734642E-3</v>
      </c>
      <c r="F2906" s="124">
        <v>2900</v>
      </c>
      <c r="G2906" s="238">
        <f t="shared" ca="1" si="92"/>
        <v>-9.1640063016577688E-3</v>
      </c>
      <c r="I2906" s="156"/>
    </row>
    <row r="2907" spans="2:9" x14ac:dyDescent="0.2">
      <c r="B2907" s="230">
        <v>41708</v>
      </c>
      <c r="C2907" s="124">
        <v>222.49</v>
      </c>
      <c r="D2907" s="156">
        <f t="shared" si="91"/>
        <v>4.7870658898974943E-3</v>
      </c>
      <c r="E2907" s="156">
        <v>-2.9648454044895749E-3</v>
      </c>
      <c r="F2907" s="124">
        <v>2901</v>
      </c>
      <c r="G2907" s="238">
        <f t="shared" ca="1" si="92"/>
        <v>-1.9293532000512613E-3</v>
      </c>
      <c r="I2907" s="156"/>
    </row>
    <row r="2908" spans="2:9" x14ac:dyDescent="0.2">
      <c r="B2908" s="230">
        <v>41705</v>
      </c>
      <c r="C2908" s="124">
        <v>224.18</v>
      </c>
      <c r="D2908" s="156">
        <f t="shared" si="91"/>
        <v>7.5958470043597359E-3</v>
      </c>
      <c r="E2908" s="156">
        <v>-2.9700029700030122E-3</v>
      </c>
      <c r="F2908" s="124">
        <v>2902</v>
      </c>
      <c r="G2908" s="238">
        <f t="shared" ca="1" si="92"/>
        <v>-1.9376912126873903E-2</v>
      </c>
      <c r="I2908" s="156"/>
    </row>
    <row r="2909" spans="2:9" x14ac:dyDescent="0.2">
      <c r="B2909" s="230">
        <v>41704</v>
      </c>
      <c r="C2909" s="124">
        <v>221.79</v>
      </c>
      <c r="D2909" s="156">
        <f t="shared" si="91"/>
        <v>-1.0661075921134869E-2</v>
      </c>
      <c r="E2909" s="156">
        <v>-2.9730303673816214E-3</v>
      </c>
      <c r="F2909" s="124">
        <v>2903</v>
      </c>
      <c r="G2909" s="238">
        <f t="shared" ca="1" si="92"/>
        <v>-5.4138390951600536E-3</v>
      </c>
      <c r="I2909" s="156"/>
    </row>
    <row r="2910" spans="2:9" x14ac:dyDescent="0.2">
      <c r="B2910" s="230">
        <v>41703</v>
      </c>
      <c r="C2910" s="124">
        <v>220.96</v>
      </c>
      <c r="D2910" s="156">
        <f t="shared" si="91"/>
        <v>-3.7422787321339289E-3</v>
      </c>
      <c r="E2910" s="156">
        <v>-2.976899261728983E-3</v>
      </c>
      <c r="F2910" s="124">
        <v>2904</v>
      </c>
      <c r="G2910" s="238">
        <f t="shared" ca="1" si="92"/>
        <v>-1.6777349164763377E-2</v>
      </c>
      <c r="I2910" s="156"/>
    </row>
    <row r="2911" spans="2:9" x14ac:dyDescent="0.2">
      <c r="B2911" s="230">
        <v>41702</v>
      </c>
      <c r="C2911" s="124">
        <v>219.87</v>
      </c>
      <c r="D2911" s="156">
        <f t="shared" si="91"/>
        <v>-4.9330195510499794E-3</v>
      </c>
      <c r="E2911" s="156">
        <v>-2.9811590746482231E-3</v>
      </c>
      <c r="F2911" s="124">
        <v>2905</v>
      </c>
      <c r="G2911" s="238">
        <f t="shared" ca="1" si="92"/>
        <v>1.9935867426458153E-2</v>
      </c>
      <c r="I2911" s="156"/>
    </row>
    <row r="2912" spans="2:9" x14ac:dyDescent="0.2">
      <c r="B2912" s="230">
        <v>41701</v>
      </c>
      <c r="C2912" s="124">
        <v>218.25</v>
      </c>
      <c r="D2912" s="156">
        <f t="shared" si="91"/>
        <v>-7.3679901760131195E-3</v>
      </c>
      <c r="E2912" s="156">
        <v>-2.999400119976005E-3</v>
      </c>
      <c r="F2912" s="124">
        <v>2906</v>
      </c>
      <c r="G2912" s="238">
        <f t="shared" ca="1" si="92"/>
        <v>-1.1018984086200447E-2</v>
      </c>
      <c r="I2912" s="156"/>
    </row>
    <row r="2913" spans="2:9" x14ac:dyDescent="0.2">
      <c r="B2913" s="230">
        <v>41698</v>
      </c>
      <c r="C2913" s="124">
        <v>217.22</v>
      </c>
      <c r="D2913" s="156">
        <f t="shared" si="91"/>
        <v>-4.7193585337915291E-3</v>
      </c>
      <c r="E2913" s="156">
        <v>-3.0097531240476242E-3</v>
      </c>
      <c r="F2913" s="124">
        <v>2907</v>
      </c>
      <c r="G2913" s="238">
        <f t="shared" ca="1" si="92"/>
        <v>7.1367129078465799E-3</v>
      </c>
      <c r="I2913" s="156"/>
    </row>
    <row r="2914" spans="2:9" x14ac:dyDescent="0.2">
      <c r="B2914" s="230">
        <v>41696</v>
      </c>
      <c r="C2914" s="124">
        <v>217.95</v>
      </c>
      <c r="D2914" s="156">
        <f t="shared" si="91"/>
        <v>3.360648190774283E-3</v>
      </c>
      <c r="E2914" s="156">
        <v>-3.0131372785344099E-3</v>
      </c>
      <c r="F2914" s="124">
        <v>2908</v>
      </c>
      <c r="G2914" s="238">
        <f t="shared" ca="1" si="92"/>
        <v>-5.8139290144764112E-3</v>
      </c>
      <c r="I2914" s="156"/>
    </row>
    <row r="2915" spans="2:9" x14ac:dyDescent="0.2">
      <c r="B2915" s="230">
        <v>41695</v>
      </c>
      <c r="C2915" s="124">
        <v>213.44</v>
      </c>
      <c r="D2915" s="156">
        <f t="shared" si="91"/>
        <v>-2.069281945400317E-2</v>
      </c>
      <c r="E2915" s="156">
        <v>-3.0162879549567381E-3</v>
      </c>
      <c r="F2915" s="124">
        <v>2909</v>
      </c>
      <c r="G2915" s="238">
        <f t="shared" ca="1" si="92"/>
        <v>-1.2513371419050213E-5</v>
      </c>
      <c r="I2915" s="156"/>
    </row>
    <row r="2916" spans="2:9" x14ac:dyDescent="0.2">
      <c r="B2916" s="230">
        <v>41694</v>
      </c>
      <c r="C2916" s="124">
        <v>212.18</v>
      </c>
      <c r="D2916" s="156">
        <f t="shared" si="91"/>
        <v>-5.9032983508245452E-3</v>
      </c>
      <c r="E2916" s="156">
        <v>-3.0194376297415036E-3</v>
      </c>
      <c r="F2916" s="124">
        <v>2910</v>
      </c>
      <c r="G2916" s="238">
        <f t="shared" ca="1" si="92"/>
        <v>-1.0466142718349072E-2</v>
      </c>
      <c r="I2916" s="156"/>
    </row>
    <row r="2917" spans="2:9" x14ac:dyDescent="0.2">
      <c r="B2917" s="230">
        <v>41691</v>
      </c>
      <c r="C2917" s="124">
        <v>210.55</v>
      </c>
      <c r="D2917" s="156">
        <f t="shared" si="91"/>
        <v>-7.6821566594400762E-3</v>
      </c>
      <c r="E2917" s="156">
        <v>-3.0224525043177405E-3</v>
      </c>
      <c r="F2917" s="124">
        <v>2911</v>
      </c>
      <c r="G2917" s="238">
        <f t="shared" ca="1" si="92"/>
        <v>-3.3061045377945374E-2</v>
      </c>
      <c r="I2917" s="156"/>
    </row>
    <row r="2918" spans="2:9" x14ac:dyDescent="0.2">
      <c r="B2918" s="230">
        <v>41690</v>
      </c>
      <c r="C2918" s="124">
        <v>206.74</v>
      </c>
      <c r="D2918" s="156">
        <f t="shared" si="91"/>
        <v>-1.8095464260270731E-2</v>
      </c>
      <c r="E2918" s="156">
        <v>-3.0295379954556885E-3</v>
      </c>
      <c r="F2918" s="124">
        <v>2912</v>
      </c>
      <c r="G2918" s="238">
        <f t="shared" ca="1" si="92"/>
        <v>7.7039741412247105E-3</v>
      </c>
      <c r="I2918" s="156"/>
    </row>
    <row r="2919" spans="2:9" x14ac:dyDescent="0.2">
      <c r="B2919" s="230">
        <v>41689</v>
      </c>
      <c r="C2919" s="124">
        <v>209.93</v>
      </c>
      <c r="D2919" s="156">
        <f t="shared" si="91"/>
        <v>1.5430008706587972E-2</v>
      </c>
      <c r="E2919" s="156">
        <v>-3.0322556191487377E-3</v>
      </c>
      <c r="F2919" s="124">
        <v>2913</v>
      </c>
      <c r="G2919" s="238">
        <f t="shared" ca="1" si="92"/>
        <v>-3.4882692320872689E-2</v>
      </c>
      <c r="I2919" s="156"/>
    </row>
    <row r="2920" spans="2:9" x14ac:dyDescent="0.2">
      <c r="B2920" s="230">
        <v>41688</v>
      </c>
      <c r="C2920" s="124">
        <v>210.09</v>
      </c>
      <c r="D2920" s="156">
        <f t="shared" si="91"/>
        <v>7.6215881484302669E-4</v>
      </c>
      <c r="E2920" s="156">
        <v>-3.0435841246652059E-3</v>
      </c>
      <c r="F2920" s="124">
        <v>2914</v>
      </c>
      <c r="G2920" s="238">
        <f t="shared" ca="1" si="92"/>
        <v>5.1133163330790241E-3</v>
      </c>
      <c r="I2920" s="156"/>
    </row>
    <row r="2921" spans="2:9" x14ac:dyDescent="0.2">
      <c r="B2921" s="230">
        <v>41687</v>
      </c>
      <c r="C2921" s="124">
        <v>212.21</v>
      </c>
      <c r="D2921" s="156">
        <f t="shared" si="91"/>
        <v>1.0090913418058949E-2</v>
      </c>
      <c r="E2921" s="156">
        <v>-3.0500780252516557E-3</v>
      </c>
      <c r="F2921" s="124">
        <v>2915</v>
      </c>
      <c r="G2921" s="238">
        <f t="shared" ca="1" si="92"/>
        <v>-5.9010537933272041E-3</v>
      </c>
      <c r="I2921" s="156"/>
    </row>
    <row r="2922" spans="2:9" x14ac:dyDescent="0.2">
      <c r="B2922" s="230">
        <v>41684</v>
      </c>
      <c r="C2922" s="124">
        <v>212.01</v>
      </c>
      <c r="D2922" s="156">
        <f t="shared" si="91"/>
        <v>-9.4246265491737926E-4</v>
      </c>
      <c r="E2922" s="156">
        <v>-3.0509270124384549E-3</v>
      </c>
      <c r="F2922" s="124">
        <v>2916</v>
      </c>
      <c r="G2922" s="238">
        <f t="shared" ca="1" si="92"/>
        <v>9.8486947289323193E-4</v>
      </c>
      <c r="I2922" s="156"/>
    </row>
    <row r="2923" spans="2:9" x14ac:dyDescent="0.2">
      <c r="B2923" s="230">
        <v>41683</v>
      </c>
      <c r="C2923" s="124">
        <v>210.09</v>
      </c>
      <c r="D2923" s="156">
        <f t="shared" si="91"/>
        <v>-9.056176595443553E-3</v>
      </c>
      <c r="E2923" s="156">
        <v>-3.0549655123034668E-3</v>
      </c>
      <c r="F2923" s="124">
        <v>2917</v>
      </c>
      <c r="G2923" s="238">
        <f t="shared" ca="1" si="92"/>
        <v>3.8917449990586847E-3</v>
      </c>
      <c r="I2923" s="156"/>
    </row>
    <row r="2924" spans="2:9" x14ac:dyDescent="0.2">
      <c r="B2924" s="230">
        <v>41682</v>
      </c>
      <c r="C2924" s="124">
        <v>212.51</v>
      </c>
      <c r="D2924" s="156">
        <f t="shared" si="91"/>
        <v>1.1518872864010602E-2</v>
      </c>
      <c r="E2924" s="156">
        <v>-3.061466485565744E-3</v>
      </c>
      <c r="F2924" s="124">
        <v>2918</v>
      </c>
      <c r="G2924" s="238">
        <f t="shared" ca="1" si="92"/>
        <v>1.6779202314427623E-2</v>
      </c>
      <c r="I2924" s="156"/>
    </row>
    <row r="2925" spans="2:9" x14ac:dyDescent="0.2">
      <c r="B2925" s="230">
        <v>41681</v>
      </c>
      <c r="C2925" s="124">
        <v>215.53</v>
      </c>
      <c r="D2925" s="156">
        <f t="shared" si="91"/>
        <v>1.4211095948426004E-2</v>
      </c>
      <c r="E2925" s="156">
        <v>-3.0677787364587037E-3</v>
      </c>
      <c r="F2925" s="124">
        <v>2919</v>
      </c>
      <c r="G2925" s="238">
        <f t="shared" ca="1" si="92"/>
        <v>9.2527874893631335E-3</v>
      </c>
      <c r="I2925" s="156"/>
    </row>
    <row r="2926" spans="2:9" x14ac:dyDescent="0.2">
      <c r="B2926" s="230">
        <v>41680</v>
      </c>
      <c r="C2926" s="124">
        <v>215.46</v>
      </c>
      <c r="D2926" s="156">
        <f t="shared" si="91"/>
        <v>-3.2478077297820802E-4</v>
      </c>
      <c r="E2926" s="156">
        <v>-3.0744004919040788E-3</v>
      </c>
      <c r="F2926" s="124">
        <v>2920</v>
      </c>
      <c r="G2926" s="238">
        <f t="shared" ca="1" si="92"/>
        <v>2.3042683252383098E-2</v>
      </c>
      <c r="I2926" s="156"/>
    </row>
    <row r="2927" spans="2:9" x14ac:dyDescent="0.2">
      <c r="B2927" s="230">
        <v>41677</v>
      </c>
      <c r="C2927" s="124">
        <v>214.43</v>
      </c>
      <c r="D2927" s="156">
        <f t="shared" si="91"/>
        <v>-4.7804696927503994E-3</v>
      </c>
      <c r="E2927" s="156">
        <v>-3.075871496924083E-3</v>
      </c>
      <c r="F2927" s="124">
        <v>2921</v>
      </c>
      <c r="G2927" s="238">
        <f t="shared" ca="1" si="92"/>
        <v>1.7548594207797308E-2</v>
      </c>
      <c r="I2927" s="156"/>
    </row>
    <row r="2928" spans="2:9" x14ac:dyDescent="0.2">
      <c r="B2928" s="230">
        <v>41676</v>
      </c>
      <c r="C2928" s="124">
        <v>215.16</v>
      </c>
      <c r="D2928" s="156">
        <f t="shared" si="91"/>
        <v>3.4043743879120913E-3</v>
      </c>
      <c r="E2928" s="156">
        <v>-3.0899961375046529E-3</v>
      </c>
      <c r="F2928" s="124">
        <v>2922</v>
      </c>
      <c r="G2928" s="238">
        <f t="shared" ca="1" si="92"/>
        <v>-5.4212273642013767E-2</v>
      </c>
      <c r="I2928" s="156"/>
    </row>
    <row r="2929" spans="2:9" x14ac:dyDescent="0.2">
      <c r="B2929" s="230">
        <v>41675</v>
      </c>
      <c r="C2929" s="124">
        <v>211.45</v>
      </c>
      <c r="D2929" s="156">
        <f t="shared" si="91"/>
        <v>-1.7242981966908384E-2</v>
      </c>
      <c r="E2929" s="156">
        <v>-3.0913607507590517E-3</v>
      </c>
      <c r="F2929" s="124">
        <v>2923</v>
      </c>
      <c r="G2929" s="238">
        <f t="shared" ca="1" si="92"/>
        <v>-1.528974013525034E-2</v>
      </c>
      <c r="I2929" s="156"/>
    </row>
    <row r="2930" spans="2:9" x14ac:dyDescent="0.2">
      <c r="B2930" s="230">
        <v>41674</v>
      </c>
      <c r="C2930" s="124">
        <v>215.39</v>
      </c>
      <c r="D2930" s="156">
        <f t="shared" si="91"/>
        <v>1.8633246630409071E-2</v>
      </c>
      <c r="E2930" s="156">
        <v>-3.0931785831599568E-3</v>
      </c>
      <c r="F2930" s="124">
        <v>2924</v>
      </c>
      <c r="G2930" s="238">
        <f t="shared" ca="1" si="92"/>
        <v>-1.551722083838619E-2</v>
      </c>
      <c r="I2930" s="156"/>
    </row>
    <row r="2931" spans="2:9" x14ac:dyDescent="0.2">
      <c r="B2931" s="230">
        <v>41673</v>
      </c>
      <c r="C2931" s="124">
        <v>212.34</v>
      </c>
      <c r="D2931" s="156">
        <f t="shared" si="91"/>
        <v>-1.4160360276707289E-2</v>
      </c>
      <c r="E2931" s="156">
        <v>-3.0956557630791165E-3</v>
      </c>
      <c r="F2931" s="124">
        <v>2925</v>
      </c>
      <c r="G2931" s="238">
        <f t="shared" ca="1" si="92"/>
        <v>1.5881066636629564E-2</v>
      </c>
      <c r="I2931" s="156"/>
    </row>
    <row r="2932" spans="2:9" x14ac:dyDescent="0.2">
      <c r="B2932" s="230">
        <v>41670</v>
      </c>
      <c r="C2932" s="124">
        <v>215.53</v>
      </c>
      <c r="D2932" s="156">
        <f t="shared" si="91"/>
        <v>1.5023076198549486E-2</v>
      </c>
      <c r="E2932" s="156">
        <v>-3.1039834454216196E-3</v>
      </c>
      <c r="F2932" s="124">
        <v>2926</v>
      </c>
      <c r="G2932" s="238">
        <f t="shared" ca="1" si="92"/>
        <v>1.732778117747721E-2</v>
      </c>
      <c r="I2932" s="156"/>
    </row>
    <row r="2933" spans="2:9" x14ac:dyDescent="0.2">
      <c r="B2933" s="230">
        <v>41669</v>
      </c>
      <c r="C2933" s="124">
        <v>215.2</v>
      </c>
      <c r="D2933" s="156">
        <f t="shared" si="91"/>
        <v>-1.5311093583260452E-3</v>
      </c>
      <c r="E2933" s="156">
        <v>-3.1382394476697903E-3</v>
      </c>
      <c r="F2933" s="124">
        <v>2927</v>
      </c>
      <c r="G2933" s="238">
        <f t="shared" ca="1" si="92"/>
        <v>3.4226016014782187E-3</v>
      </c>
      <c r="I2933" s="156"/>
    </row>
    <row r="2934" spans="2:9" x14ac:dyDescent="0.2">
      <c r="B2934" s="230">
        <v>41668</v>
      </c>
      <c r="C2934" s="124">
        <v>215.46</v>
      </c>
      <c r="D2934" s="156">
        <f t="shared" si="91"/>
        <v>1.2081784386617999E-3</v>
      </c>
      <c r="E2934" s="156">
        <v>-3.1492248062015777E-3</v>
      </c>
      <c r="F2934" s="124">
        <v>2928</v>
      </c>
      <c r="G2934" s="238">
        <f t="shared" ca="1" si="92"/>
        <v>-3.1369595680156251E-2</v>
      </c>
      <c r="I2934" s="156"/>
    </row>
    <row r="2935" spans="2:9" x14ac:dyDescent="0.2">
      <c r="B2935" s="230">
        <v>41667</v>
      </c>
      <c r="C2935" s="124">
        <v>216.55</v>
      </c>
      <c r="D2935" s="156">
        <f t="shared" si="91"/>
        <v>5.0589436554348988E-3</v>
      </c>
      <c r="E2935" s="156">
        <v>-3.1535405659990248E-3</v>
      </c>
      <c r="F2935" s="124">
        <v>2929</v>
      </c>
      <c r="G2935" s="238">
        <f t="shared" ca="1" si="92"/>
        <v>1.6274111701669151E-2</v>
      </c>
      <c r="I2935" s="156"/>
    </row>
    <row r="2936" spans="2:9" x14ac:dyDescent="0.2">
      <c r="B2936" s="230">
        <v>41666</v>
      </c>
      <c r="C2936" s="124">
        <v>214.93</v>
      </c>
      <c r="D2936" s="156">
        <f t="shared" si="91"/>
        <v>-7.4809512814592678E-3</v>
      </c>
      <c r="E2936" s="156">
        <v>-3.1691857630424462E-3</v>
      </c>
      <c r="F2936" s="124">
        <v>2930</v>
      </c>
      <c r="G2936" s="238">
        <f t="shared" ca="1" si="92"/>
        <v>5.6415212629048681E-3</v>
      </c>
      <c r="I2936" s="156"/>
    </row>
    <row r="2937" spans="2:9" x14ac:dyDescent="0.2">
      <c r="B2937" s="230">
        <v>41663</v>
      </c>
      <c r="C2937" s="124">
        <v>214.96</v>
      </c>
      <c r="D2937" s="156">
        <f t="shared" si="91"/>
        <v>1.3958032847904498E-4</v>
      </c>
      <c r="E2937" s="156">
        <v>-3.1702898550725407E-3</v>
      </c>
      <c r="F2937" s="124">
        <v>2931</v>
      </c>
      <c r="G2937" s="238">
        <f t="shared" ca="1" si="92"/>
        <v>1.7216152507727817E-2</v>
      </c>
      <c r="I2937" s="156"/>
    </row>
    <row r="2938" spans="2:9" x14ac:dyDescent="0.2">
      <c r="B2938" s="230">
        <v>41662</v>
      </c>
      <c r="C2938" s="124">
        <v>218.08</v>
      </c>
      <c r="D2938" s="156">
        <f t="shared" si="91"/>
        <v>1.4514328247115764E-2</v>
      </c>
      <c r="E2938" s="156">
        <v>-3.1718061674008763E-3</v>
      </c>
      <c r="F2938" s="124">
        <v>2932</v>
      </c>
      <c r="G2938" s="238">
        <f t="shared" ca="1" si="92"/>
        <v>2.363437232833062E-2</v>
      </c>
      <c r="I2938" s="156"/>
    </row>
    <row r="2939" spans="2:9" x14ac:dyDescent="0.2">
      <c r="B2939" s="230">
        <v>41661</v>
      </c>
      <c r="C2939" s="124">
        <v>217.02</v>
      </c>
      <c r="D2939" s="156">
        <f t="shared" si="91"/>
        <v>-4.8606016140865837E-3</v>
      </c>
      <c r="E2939" s="156">
        <v>-3.1730921783278253E-3</v>
      </c>
      <c r="F2939" s="124">
        <v>2933</v>
      </c>
      <c r="G2939" s="238">
        <f t="shared" ca="1" si="92"/>
        <v>-2.091581707636312E-2</v>
      </c>
      <c r="I2939" s="156"/>
    </row>
    <row r="2940" spans="2:9" x14ac:dyDescent="0.2">
      <c r="B2940" s="230">
        <v>41660</v>
      </c>
      <c r="C2940" s="124">
        <v>218.15</v>
      </c>
      <c r="D2940" s="156">
        <f t="shared" si="91"/>
        <v>5.2068933738825705E-3</v>
      </c>
      <c r="E2940" s="156">
        <v>-3.173417957812293E-3</v>
      </c>
      <c r="F2940" s="124">
        <v>2934</v>
      </c>
      <c r="G2940" s="238">
        <f t="shared" ca="1" si="92"/>
        <v>-7.3671475393849864E-3</v>
      </c>
      <c r="I2940" s="156"/>
    </row>
    <row r="2941" spans="2:9" x14ac:dyDescent="0.2">
      <c r="B2941" s="230">
        <v>41659</v>
      </c>
      <c r="C2941" s="124">
        <v>218.91</v>
      </c>
      <c r="D2941" s="156">
        <f t="shared" si="91"/>
        <v>3.4838413935365155E-3</v>
      </c>
      <c r="E2941" s="156">
        <v>-3.1828362607567609E-3</v>
      </c>
      <c r="F2941" s="124">
        <v>2935</v>
      </c>
      <c r="G2941" s="238">
        <f t="shared" ca="1" si="92"/>
        <v>1.2662038959709019E-2</v>
      </c>
      <c r="I2941" s="156"/>
    </row>
    <row r="2942" spans="2:9" x14ac:dyDescent="0.2">
      <c r="B2942" s="230">
        <v>41656</v>
      </c>
      <c r="C2942" s="124">
        <v>215.36</v>
      </c>
      <c r="D2942" s="156">
        <f t="shared" ref="D2942:D3005" si="93">(C2942-C2941)/C2941</f>
        <v>-1.6216710063496335E-2</v>
      </c>
      <c r="E2942" s="156">
        <v>-3.1835868411743671E-3</v>
      </c>
      <c r="F2942" s="124">
        <v>2936</v>
      </c>
      <c r="G2942" s="238">
        <f t="shared" ca="1" si="92"/>
        <v>-3.8601134560625169E-4</v>
      </c>
      <c r="I2942" s="156"/>
    </row>
    <row r="2943" spans="2:9" x14ac:dyDescent="0.2">
      <c r="B2943" s="230">
        <v>41655</v>
      </c>
      <c r="C2943" s="124">
        <v>215.79</v>
      </c>
      <c r="D2943" s="156">
        <f t="shared" si="93"/>
        <v>1.9966567607725594E-3</v>
      </c>
      <c r="E2943" s="156">
        <v>-3.1948881789138589E-3</v>
      </c>
      <c r="F2943" s="124">
        <v>2937</v>
      </c>
      <c r="G2943" s="238">
        <f t="shared" ca="1" si="92"/>
        <v>-1.5597780230872792E-2</v>
      </c>
      <c r="I2943" s="156"/>
    </row>
    <row r="2944" spans="2:9" x14ac:dyDescent="0.2">
      <c r="B2944" s="230">
        <v>41654</v>
      </c>
      <c r="C2944" s="124">
        <v>218.01</v>
      </c>
      <c r="D2944" s="156">
        <f t="shared" si="93"/>
        <v>1.0287779785902956E-2</v>
      </c>
      <c r="E2944" s="156">
        <v>-3.19528081602559E-3</v>
      </c>
      <c r="F2944" s="124">
        <v>2938</v>
      </c>
      <c r="G2944" s="238">
        <f t="shared" ca="1" si="92"/>
        <v>-1.7776584068522019E-2</v>
      </c>
      <c r="I2944" s="156"/>
    </row>
    <row r="2945" spans="2:9" x14ac:dyDescent="0.2">
      <c r="B2945" s="230">
        <v>41653</v>
      </c>
      <c r="C2945" s="124">
        <v>215.1</v>
      </c>
      <c r="D2945" s="156">
        <f t="shared" si="93"/>
        <v>-1.3348011559102778E-2</v>
      </c>
      <c r="E2945" s="156">
        <v>-3.1960227272727223E-3</v>
      </c>
      <c r="F2945" s="124">
        <v>2939</v>
      </c>
      <c r="G2945" s="238">
        <f t="shared" ca="1" si="92"/>
        <v>-7.8943582586372841E-3</v>
      </c>
      <c r="I2945" s="156"/>
    </row>
    <row r="2946" spans="2:9" x14ac:dyDescent="0.2">
      <c r="B2946" s="230">
        <v>41652</v>
      </c>
      <c r="C2946" s="124">
        <v>215.76</v>
      </c>
      <c r="D2946" s="156">
        <f t="shared" si="93"/>
        <v>3.0683403068340149E-3</v>
      </c>
      <c r="E2946" s="156">
        <v>-3.2110091743118743E-3</v>
      </c>
      <c r="F2946" s="124">
        <v>2940</v>
      </c>
      <c r="G2946" s="238">
        <f t="shared" ca="1" si="92"/>
        <v>-4.332114509807943E-3</v>
      </c>
      <c r="I2946" s="156"/>
    </row>
    <row r="2947" spans="2:9" x14ac:dyDescent="0.2">
      <c r="B2947" s="230">
        <v>41649</v>
      </c>
      <c r="C2947" s="124">
        <v>213.87</v>
      </c>
      <c r="D2947" s="156">
        <f t="shared" si="93"/>
        <v>-8.7597330367073893E-3</v>
      </c>
      <c r="E2947" s="156">
        <v>-3.2227970485963486E-3</v>
      </c>
      <c r="F2947" s="124">
        <v>2941</v>
      </c>
      <c r="G2947" s="238">
        <f t="shared" ca="1" si="92"/>
        <v>-1.8740810266206668E-2</v>
      </c>
      <c r="I2947" s="156"/>
    </row>
    <row r="2948" spans="2:9" x14ac:dyDescent="0.2">
      <c r="B2948" s="230">
        <v>41648</v>
      </c>
      <c r="C2948" s="124">
        <v>209.23</v>
      </c>
      <c r="D2948" s="156">
        <f t="shared" si="93"/>
        <v>-2.1695422452892011E-2</v>
      </c>
      <c r="E2948" s="156">
        <v>-3.2362459546925963E-3</v>
      </c>
      <c r="F2948" s="124">
        <v>2942</v>
      </c>
      <c r="G2948" s="238">
        <f t="shared" ca="1" si="92"/>
        <v>1.6660523310371097E-2</v>
      </c>
      <c r="I2948" s="156"/>
    </row>
    <row r="2949" spans="2:9" x14ac:dyDescent="0.2">
      <c r="B2949" s="230">
        <v>41647</v>
      </c>
      <c r="C2949" s="124">
        <v>210.06</v>
      </c>
      <c r="D2949" s="156">
        <f t="shared" si="93"/>
        <v>3.9669263489939899E-3</v>
      </c>
      <c r="E2949" s="156">
        <v>-3.2399804713505384E-3</v>
      </c>
      <c r="F2949" s="124">
        <v>2943</v>
      </c>
      <c r="G2949" s="238">
        <f t="shared" ca="1" si="92"/>
        <v>1.3447670034605222E-2</v>
      </c>
      <c r="I2949" s="156"/>
    </row>
    <row r="2950" spans="2:9" x14ac:dyDescent="0.2">
      <c r="B2950" s="230">
        <v>41646</v>
      </c>
      <c r="C2950" s="124">
        <v>209.96</v>
      </c>
      <c r="D2950" s="156">
        <f t="shared" si="93"/>
        <v>-4.7605446063026901E-4</v>
      </c>
      <c r="E2950" s="156">
        <v>-3.2428742106161072E-3</v>
      </c>
      <c r="F2950" s="124">
        <v>2944</v>
      </c>
      <c r="G2950" s="238">
        <f t="shared" ca="1" si="92"/>
        <v>-1.4637014905169497E-2</v>
      </c>
      <c r="I2950" s="156"/>
    </row>
    <row r="2951" spans="2:9" x14ac:dyDescent="0.2">
      <c r="B2951" s="230">
        <v>41645</v>
      </c>
      <c r="C2951" s="124">
        <v>209.26</v>
      </c>
      <c r="D2951" s="156">
        <f t="shared" si="93"/>
        <v>-3.333968374928639E-3</v>
      </c>
      <c r="E2951" s="156">
        <v>-3.2458750338111931E-3</v>
      </c>
      <c r="F2951" s="124">
        <v>2945</v>
      </c>
      <c r="G2951" s="238">
        <f t="shared" ref="G2951:G3014" ca="1" si="94">_xlfn.NORM.INV(RAND(),$L$8,$L$9)</f>
        <v>-7.2093508139861482E-3</v>
      </c>
      <c r="I2951" s="156"/>
    </row>
    <row r="2952" spans="2:9" x14ac:dyDescent="0.2">
      <c r="B2952" s="230">
        <v>41642</v>
      </c>
      <c r="C2952" s="124">
        <v>208.67</v>
      </c>
      <c r="D2952" s="156">
        <f t="shared" si="93"/>
        <v>-2.8194590461626851E-3</v>
      </c>
      <c r="E2952" s="156">
        <v>-3.2561505065122529E-3</v>
      </c>
      <c r="F2952" s="124">
        <v>2946</v>
      </c>
      <c r="G2952" s="238">
        <f t="shared" ca="1" si="94"/>
        <v>1.2329733252017396E-2</v>
      </c>
      <c r="I2952" s="156"/>
    </row>
    <row r="2953" spans="2:9" x14ac:dyDescent="0.2">
      <c r="B2953" s="230">
        <v>41641</v>
      </c>
      <c r="C2953" s="124">
        <v>208.8</v>
      </c>
      <c r="D2953" s="156">
        <f t="shared" si="93"/>
        <v>6.2299324291955661E-4</v>
      </c>
      <c r="E2953" s="156">
        <v>-3.264208909370069E-3</v>
      </c>
      <c r="F2953" s="124">
        <v>2947</v>
      </c>
      <c r="G2953" s="238">
        <f t="shared" ca="1" si="94"/>
        <v>-2.6294378755373101E-2</v>
      </c>
      <c r="I2953" s="156"/>
    </row>
    <row r="2954" spans="2:9" x14ac:dyDescent="0.2">
      <c r="B2954" s="230">
        <v>41640</v>
      </c>
      <c r="C2954" s="124">
        <v>213.74</v>
      </c>
      <c r="D2954" s="156">
        <f t="shared" si="93"/>
        <v>2.3659003831417613E-2</v>
      </c>
      <c r="E2954" s="156">
        <v>-3.26843825493824E-3</v>
      </c>
      <c r="F2954" s="124">
        <v>2948</v>
      </c>
      <c r="G2954" s="238">
        <f t="shared" ca="1" si="94"/>
        <v>1.7219094866997228E-2</v>
      </c>
      <c r="I2954" s="156"/>
    </row>
    <row r="2955" spans="2:9" x14ac:dyDescent="0.2">
      <c r="B2955" s="230">
        <v>41639</v>
      </c>
      <c r="C2955" s="124">
        <v>213.37</v>
      </c>
      <c r="D2955" s="156">
        <f t="shared" si="93"/>
        <v>-1.731075138018174E-3</v>
      </c>
      <c r="E2955" s="156">
        <v>-3.281279938685583E-3</v>
      </c>
      <c r="F2955" s="124">
        <v>2949</v>
      </c>
      <c r="G2955" s="238">
        <f t="shared" ca="1" si="94"/>
        <v>2.0474585958502555E-2</v>
      </c>
      <c r="I2955" s="156"/>
    </row>
    <row r="2956" spans="2:9" x14ac:dyDescent="0.2">
      <c r="B2956" s="230">
        <v>41638</v>
      </c>
      <c r="C2956" s="124">
        <v>213.74</v>
      </c>
      <c r="D2956" s="156">
        <f t="shared" si="93"/>
        <v>1.7340769555232907E-3</v>
      </c>
      <c r="E2956" s="156">
        <v>-3.2900749405959935E-3</v>
      </c>
      <c r="F2956" s="124">
        <v>2950</v>
      </c>
      <c r="G2956" s="238">
        <f t="shared" ca="1" si="94"/>
        <v>-1.6672435428132983E-2</v>
      </c>
      <c r="I2956" s="156"/>
    </row>
    <row r="2957" spans="2:9" x14ac:dyDescent="0.2">
      <c r="B2957" s="230">
        <v>41635</v>
      </c>
      <c r="C2957" s="124">
        <v>213.77</v>
      </c>
      <c r="D2957" s="156">
        <f t="shared" si="93"/>
        <v>1.4035744362309878E-4</v>
      </c>
      <c r="E2957" s="156">
        <v>-3.2943501894251827E-3</v>
      </c>
      <c r="F2957" s="124">
        <v>2951</v>
      </c>
      <c r="G2957" s="238">
        <f t="shared" ca="1" si="94"/>
        <v>-7.9122596842573396E-3</v>
      </c>
      <c r="I2957" s="156"/>
    </row>
    <row r="2958" spans="2:9" x14ac:dyDescent="0.2">
      <c r="B2958" s="230">
        <v>41634</v>
      </c>
      <c r="C2958" s="124">
        <v>212.31</v>
      </c>
      <c r="D2958" s="156">
        <f t="shared" si="93"/>
        <v>-6.8297703138887958E-3</v>
      </c>
      <c r="E2958" s="156">
        <v>-3.2988330378128034E-3</v>
      </c>
      <c r="F2958" s="124">
        <v>2952</v>
      </c>
      <c r="G2958" s="238">
        <f t="shared" ca="1" si="94"/>
        <v>1.0927824420002153E-3</v>
      </c>
      <c r="I2958" s="156"/>
    </row>
    <row r="2959" spans="2:9" x14ac:dyDescent="0.2">
      <c r="B2959" s="230">
        <v>41632</v>
      </c>
      <c r="C2959" s="124">
        <v>211.52</v>
      </c>
      <c r="D2959" s="156">
        <f t="shared" si="93"/>
        <v>-3.7209740473835053E-3</v>
      </c>
      <c r="E2959" s="156">
        <v>-3.3102618116159924E-3</v>
      </c>
      <c r="F2959" s="124">
        <v>2953</v>
      </c>
      <c r="G2959" s="238">
        <f t="shared" ca="1" si="94"/>
        <v>-1.3129428580419942E-2</v>
      </c>
      <c r="I2959" s="156"/>
    </row>
    <row r="2960" spans="2:9" x14ac:dyDescent="0.2">
      <c r="B2960" s="230">
        <v>41631</v>
      </c>
      <c r="C2960" s="124">
        <v>211.62</v>
      </c>
      <c r="D2960" s="156">
        <f t="shared" si="93"/>
        <v>4.7276853252644816E-4</v>
      </c>
      <c r="E2960" s="156">
        <v>-3.3142512805060171E-3</v>
      </c>
      <c r="F2960" s="124">
        <v>2954</v>
      </c>
      <c r="G2960" s="238">
        <f t="shared" ca="1" si="94"/>
        <v>8.497369193255016E-4</v>
      </c>
      <c r="I2960" s="156"/>
    </row>
    <row r="2961" spans="2:9" x14ac:dyDescent="0.2">
      <c r="B2961" s="230">
        <v>41628</v>
      </c>
      <c r="C2961" s="124">
        <v>208.96</v>
      </c>
      <c r="D2961" s="156">
        <f t="shared" si="93"/>
        <v>-1.2569700406388794E-2</v>
      </c>
      <c r="E2961" s="156">
        <v>-3.3204205866076315E-3</v>
      </c>
      <c r="F2961" s="124">
        <v>2955</v>
      </c>
      <c r="G2961" s="238">
        <f t="shared" ca="1" si="94"/>
        <v>1.2347659749643589E-2</v>
      </c>
      <c r="I2961" s="156"/>
    </row>
    <row r="2962" spans="2:9" x14ac:dyDescent="0.2">
      <c r="B2962" s="230">
        <v>41627</v>
      </c>
      <c r="C2962" s="124">
        <v>207.94</v>
      </c>
      <c r="D2962" s="156">
        <f t="shared" si="93"/>
        <v>-4.8813169984686551E-3</v>
      </c>
      <c r="E2962" s="156">
        <v>-3.3253524873636604E-3</v>
      </c>
      <c r="F2962" s="124">
        <v>2956</v>
      </c>
      <c r="G2962" s="238">
        <f t="shared" ca="1" si="94"/>
        <v>-3.4311510337354106E-3</v>
      </c>
      <c r="I2962" s="156"/>
    </row>
    <row r="2963" spans="2:9" x14ac:dyDescent="0.2">
      <c r="B2963" s="230">
        <v>41626</v>
      </c>
      <c r="C2963" s="124">
        <v>209.2</v>
      </c>
      <c r="D2963" s="156">
        <f t="shared" si="93"/>
        <v>6.0594402231412469E-3</v>
      </c>
      <c r="E2963" s="156">
        <v>-3.3312513012700869E-3</v>
      </c>
      <c r="F2963" s="124">
        <v>2957</v>
      </c>
      <c r="G2963" s="238">
        <f t="shared" ca="1" si="94"/>
        <v>-2.4009983371379873E-2</v>
      </c>
      <c r="I2963" s="156"/>
    </row>
    <row r="2964" spans="2:9" x14ac:dyDescent="0.2">
      <c r="B2964" s="230">
        <v>41625</v>
      </c>
      <c r="C2964" s="124">
        <v>209.03</v>
      </c>
      <c r="D2964" s="156">
        <f t="shared" si="93"/>
        <v>-8.1261950286800905E-4</v>
      </c>
      <c r="E2964" s="156">
        <v>-3.3316598968555437E-3</v>
      </c>
      <c r="F2964" s="124">
        <v>2958</v>
      </c>
      <c r="G2964" s="238">
        <f t="shared" ca="1" si="94"/>
        <v>3.3926662992549157E-2</v>
      </c>
      <c r="I2964" s="156"/>
    </row>
    <row r="2965" spans="2:9" x14ac:dyDescent="0.2">
      <c r="B2965" s="230">
        <v>41624</v>
      </c>
      <c r="C2965" s="124">
        <v>207.37</v>
      </c>
      <c r="D2965" s="156">
        <f t="shared" si="93"/>
        <v>-7.941443811893014E-3</v>
      </c>
      <c r="E2965" s="156">
        <v>-3.333968374928639E-3</v>
      </c>
      <c r="F2965" s="124">
        <v>2959</v>
      </c>
      <c r="G2965" s="238">
        <f t="shared" ca="1" si="94"/>
        <v>-1.9925319217889981E-2</v>
      </c>
      <c r="I2965" s="156"/>
    </row>
    <row r="2966" spans="2:9" x14ac:dyDescent="0.2">
      <c r="B2966" s="230">
        <v>41621</v>
      </c>
      <c r="C2966" s="124">
        <v>209.03</v>
      </c>
      <c r="D2966" s="156">
        <f t="shared" si="93"/>
        <v>8.0050151902396512E-3</v>
      </c>
      <c r="E2966" s="156">
        <v>-3.3446287902125201E-3</v>
      </c>
      <c r="F2966" s="124">
        <v>2960</v>
      </c>
      <c r="G2966" s="238">
        <f t="shared" ca="1" si="94"/>
        <v>-1.5748348102251331E-2</v>
      </c>
      <c r="I2966" s="156"/>
    </row>
    <row r="2967" spans="2:9" x14ac:dyDescent="0.2">
      <c r="B2967" s="230">
        <v>41620</v>
      </c>
      <c r="C2967" s="124">
        <v>210.02</v>
      </c>
      <c r="D2967" s="156">
        <f t="shared" si="93"/>
        <v>4.7361622733579347E-3</v>
      </c>
      <c r="E2967" s="156">
        <v>-3.3564683126635761E-3</v>
      </c>
      <c r="F2967" s="124">
        <v>2961</v>
      </c>
      <c r="G2967" s="238">
        <f t="shared" ca="1" si="94"/>
        <v>-5.2259087648718443E-3</v>
      </c>
      <c r="I2967" s="156"/>
    </row>
    <row r="2968" spans="2:9" x14ac:dyDescent="0.2">
      <c r="B2968" s="230">
        <v>41619</v>
      </c>
      <c r="C2968" s="124">
        <v>212.71</v>
      </c>
      <c r="D2968" s="156">
        <f t="shared" si="93"/>
        <v>1.2808303971050365E-2</v>
      </c>
      <c r="E2968" s="156">
        <v>-3.3731610176380251E-3</v>
      </c>
      <c r="F2968" s="124">
        <v>2962</v>
      </c>
      <c r="G2968" s="238">
        <f t="shared" ca="1" si="94"/>
        <v>2.5177233480212339E-2</v>
      </c>
      <c r="I2968" s="156"/>
    </row>
    <row r="2969" spans="2:9" x14ac:dyDescent="0.2">
      <c r="B2969" s="230">
        <v>41618</v>
      </c>
      <c r="C2969" s="124">
        <v>210.75</v>
      </c>
      <c r="D2969" s="156">
        <f t="shared" si="93"/>
        <v>-9.2144233933524888E-3</v>
      </c>
      <c r="E2969" s="156">
        <v>-3.3745781777276989E-3</v>
      </c>
      <c r="F2969" s="124">
        <v>2963</v>
      </c>
      <c r="G2969" s="238">
        <f t="shared" ca="1" si="94"/>
        <v>6.836027464958155E-3</v>
      </c>
      <c r="I2969" s="156"/>
    </row>
    <row r="2970" spans="2:9" x14ac:dyDescent="0.2">
      <c r="B2970" s="230">
        <v>41617</v>
      </c>
      <c r="C2970" s="124">
        <v>207.54</v>
      </c>
      <c r="D2970" s="156">
        <f t="shared" si="93"/>
        <v>-1.5231316725978685E-2</v>
      </c>
      <c r="E2970" s="156">
        <v>-3.3759590792838698E-3</v>
      </c>
      <c r="F2970" s="124">
        <v>2964</v>
      </c>
      <c r="G2970" s="238">
        <f t="shared" ca="1" si="94"/>
        <v>2.2890151591968479E-2</v>
      </c>
      <c r="I2970" s="156"/>
    </row>
    <row r="2971" spans="2:9" x14ac:dyDescent="0.2">
      <c r="B2971" s="230">
        <v>41614</v>
      </c>
      <c r="C2971" s="124">
        <v>206.21</v>
      </c>
      <c r="D2971" s="156">
        <f t="shared" si="93"/>
        <v>-6.4084031993831749E-3</v>
      </c>
      <c r="E2971" s="156">
        <v>-3.3795201081446118E-3</v>
      </c>
      <c r="F2971" s="124">
        <v>2965</v>
      </c>
      <c r="G2971" s="238">
        <f t="shared" ca="1" si="94"/>
        <v>-1.7474798570022061E-2</v>
      </c>
      <c r="I2971" s="156"/>
    </row>
    <row r="2972" spans="2:9" x14ac:dyDescent="0.2">
      <c r="B2972" s="230">
        <v>41613</v>
      </c>
      <c r="C2972" s="124">
        <v>204.69</v>
      </c>
      <c r="D2972" s="156">
        <f t="shared" si="93"/>
        <v>-7.371126521507251E-3</v>
      </c>
      <c r="E2972" s="156">
        <v>-3.3799008562415502E-3</v>
      </c>
      <c r="F2972" s="124">
        <v>2966</v>
      </c>
      <c r="G2972" s="238">
        <f t="shared" ca="1" si="94"/>
        <v>-1.052925850040266E-2</v>
      </c>
      <c r="I2972" s="156"/>
    </row>
    <row r="2973" spans="2:9" x14ac:dyDescent="0.2">
      <c r="B2973" s="230">
        <v>41612</v>
      </c>
      <c r="C2973" s="124">
        <v>207.41</v>
      </c>
      <c r="D2973" s="156">
        <f t="shared" si="93"/>
        <v>1.3288387317406804E-2</v>
      </c>
      <c r="E2973" s="156">
        <v>-3.3815517565281882E-3</v>
      </c>
      <c r="F2973" s="124">
        <v>2967</v>
      </c>
      <c r="G2973" s="238">
        <f t="shared" ca="1" si="94"/>
        <v>-5.0792024040992893E-3</v>
      </c>
      <c r="I2973" s="156"/>
    </row>
    <row r="2974" spans="2:9" x14ac:dyDescent="0.2">
      <c r="B2974" s="230">
        <v>41611</v>
      </c>
      <c r="C2974" s="124">
        <v>211.62</v>
      </c>
      <c r="D2974" s="156">
        <f t="shared" si="93"/>
        <v>2.029796056120731E-2</v>
      </c>
      <c r="E2974" s="156">
        <v>-3.3818240377905175E-3</v>
      </c>
      <c r="F2974" s="124">
        <v>2968</v>
      </c>
      <c r="G2974" s="238">
        <f t="shared" ca="1" si="94"/>
        <v>1.3788244865269181E-2</v>
      </c>
      <c r="I2974" s="156"/>
    </row>
    <row r="2975" spans="2:9" x14ac:dyDescent="0.2">
      <c r="B2975" s="230">
        <v>41610</v>
      </c>
      <c r="C2975" s="124">
        <v>213.14</v>
      </c>
      <c r="D2975" s="156">
        <f t="shared" si="93"/>
        <v>7.1826859465078056E-3</v>
      </c>
      <c r="E2975" s="156">
        <v>-3.3906177426847105E-3</v>
      </c>
      <c r="F2975" s="124">
        <v>2969</v>
      </c>
      <c r="G2975" s="238">
        <f t="shared" ca="1" si="94"/>
        <v>2.3014844258131172E-2</v>
      </c>
      <c r="I2975" s="156"/>
    </row>
    <row r="2976" spans="2:9" x14ac:dyDescent="0.2">
      <c r="B2976" s="230">
        <v>41607</v>
      </c>
      <c r="C2976" s="124">
        <v>212.41</v>
      </c>
      <c r="D2976" s="156">
        <f t="shared" si="93"/>
        <v>-3.4249788871164016E-3</v>
      </c>
      <c r="E2976" s="156">
        <v>-3.3959806475624215E-3</v>
      </c>
      <c r="F2976" s="124">
        <v>2970</v>
      </c>
      <c r="G2976" s="238">
        <f t="shared" ca="1" si="94"/>
        <v>-8.3146463084253618E-3</v>
      </c>
      <c r="I2976" s="156"/>
    </row>
    <row r="2977" spans="2:9" x14ac:dyDescent="0.2">
      <c r="B2977" s="230">
        <v>41606</v>
      </c>
      <c r="C2977" s="124">
        <v>207.84</v>
      </c>
      <c r="D2977" s="156">
        <f t="shared" si="93"/>
        <v>-2.1514994585942249E-2</v>
      </c>
      <c r="E2977" s="156">
        <v>-3.4013605442177065E-3</v>
      </c>
      <c r="F2977" s="124">
        <v>2971</v>
      </c>
      <c r="G2977" s="238">
        <f t="shared" ca="1" si="94"/>
        <v>3.5564811726308244E-3</v>
      </c>
      <c r="I2977" s="156"/>
    </row>
    <row r="2978" spans="2:9" x14ac:dyDescent="0.2">
      <c r="B2978" s="230">
        <v>41605</v>
      </c>
      <c r="C2978" s="124">
        <v>208.27</v>
      </c>
      <c r="D2978" s="156">
        <f t="shared" si="93"/>
        <v>2.0688991531947979E-3</v>
      </c>
      <c r="E2978" s="156">
        <v>-3.4215739240050017E-3</v>
      </c>
      <c r="F2978" s="124">
        <v>2972</v>
      </c>
      <c r="G2978" s="238">
        <f t="shared" ca="1" si="94"/>
        <v>6.3237720852276835E-3</v>
      </c>
      <c r="I2978" s="156"/>
    </row>
    <row r="2979" spans="2:9" x14ac:dyDescent="0.2">
      <c r="B2979" s="230">
        <v>41604</v>
      </c>
      <c r="C2979" s="124">
        <v>206.01</v>
      </c>
      <c r="D2979" s="156">
        <f t="shared" si="93"/>
        <v>-1.0851298794833722E-2</v>
      </c>
      <c r="E2979" s="156">
        <v>-3.4237670104880838E-3</v>
      </c>
      <c r="F2979" s="124">
        <v>2973</v>
      </c>
      <c r="G2979" s="238">
        <f t="shared" ca="1" si="94"/>
        <v>-1.6084526289464166E-2</v>
      </c>
      <c r="I2979" s="156"/>
    </row>
    <row r="2980" spans="2:9" x14ac:dyDescent="0.2">
      <c r="B2980" s="230">
        <v>41603</v>
      </c>
      <c r="C2980" s="124">
        <v>209.63</v>
      </c>
      <c r="D2980" s="156">
        <f t="shared" si="93"/>
        <v>1.757196252609099E-2</v>
      </c>
      <c r="E2980" s="156">
        <v>-3.4249788871164016E-3</v>
      </c>
      <c r="F2980" s="124">
        <v>2974</v>
      </c>
      <c r="G2980" s="238">
        <f t="shared" ca="1" si="94"/>
        <v>3.0761322600795369E-2</v>
      </c>
      <c r="I2980" s="156"/>
    </row>
    <row r="2981" spans="2:9" x14ac:dyDescent="0.2">
      <c r="B2981" s="230">
        <v>41600</v>
      </c>
      <c r="C2981" s="124">
        <v>204.65</v>
      </c>
      <c r="D2981" s="156">
        <f t="shared" si="93"/>
        <v>-2.375614177360106E-2</v>
      </c>
      <c r="E2981" s="156">
        <v>-3.4400083394142862E-3</v>
      </c>
      <c r="F2981" s="124">
        <v>2975</v>
      </c>
      <c r="G2981" s="238">
        <f t="shared" ca="1" si="94"/>
        <v>-2.7463571817880329E-2</v>
      </c>
      <c r="I2981" s="156"/>
    </row>
    <row r="2982" spans="2:9" x14ac:dyDescent="0.2">
      <c r="B2982" s="230">
        <v>41599</v>
      </c>
      <c r="C2982" s="124">
        <v>207.47</v>
      </c>
      <c r="D2982" s="156">
        <f t="shared" si="93"/>
        <v>1.3779623747862169E-2</v>
      </c>
      <c r="E2982" s="156">
        <v>-3.4414055424741483E-3</v>
      </c>
      <c r="F2982" s="124">
        <v>2976</v>
      </c>
      <c r="G2982" s="238">
        <f t="shared" ca="1" si="94"/>
        <v>4.366695034914562E-3</v>
      </c>
      <c r="I2982" s="156"/>
    </row>
    <row r="2983" spans="2:9" x14ac:dyDescent="0.2">
      <c r="B2983" s="230">
        <v>41598</v>
      </c>
      <c r="C2983" s="124">
        <v>212.64</v>
      </c>
      <c r="D2983" s="156">
        <f t="shared" si="93"/>
        <v>2.4919265435966585E-2</v>
      </c>
      <c r="E2983" s="156">
        <v>-3.4425658009412238E-3</v>
      </c>
      <c r="F2983" s="124">
        <v>2977</v>
      </c>
      <c r="G2983" s="238">
        <f t="shared" ca="1" si="94"/>
        <v>-2.0262656948058528E-2</v>
      </c>
      <c r="I2983" s="156"/>
    </row>
    <row r="2984" spans="2:9" x14ac:dyDescent="0.2">
      <c r="B2984" s="230">
        <v>41597</v>
      </c>
      <c r="C2984" s="124">
        <v>214.47</v>
      </c>
      <c r="D2984" s="156">
        <f t="shared" si="93"/>
        <v>8.6060948081264702E-3</v>
      </c>
      <c r="E2984" s="156">
        <v>-3.445534057778961E-3</v>
      </c>
      <c r="F2984" s="124">
        <v>2978</v>
      </c>
      <c r="G2984" s="238">
        <f t="shared" ca="1" si="94"/>
        <v>1.6961613336316943E-2</v>
      </c>
      <c r="I2984" s="156"/>
    </row>
    <row r="2985" spans="2:9" x14ac:dyDescent="0.2">
      <c r="B2985" s="230">
        <v>41596</v>
      </c>
      <c r="C2985" s="124">
        <v>216.19</v>
      </c>
      <c r="D2985" s="156">
        <f t="shared" si="93"/>
        <v>8.0197696647549728E-3</v>
      </c>
      <c r="E2985" s="156">
        <v>-3.4811286185415491E-3</v>
      </c>
      <c r="F2985" s="124">
        <v>2979</v>
      </c>
      <c r="G2985" s="238">
        <f t="shared" ca="1" si="94"/>
        <v>-1.3198186799186044E-2</v>
      </c>
      <c r="I2985" s="156"/>
    </row>
    <row r="2986" spans="2:9" x14ac:dyDescent="0.2">
      <c r="B2986" s="230">
        <v>41592</v>
      </c>
      <c r="C2986" s="124">
        <v>208.47</v>
      </c>
      <c r="D2986" s="156">
        <f t="shared" si="93"/>
        <v>-3.5709329756232935E-2</v>
      </c>
      <c r="E2986" s="156">
        <v>-3.4864030281900023E-3</v>
      </c>
      <c r="F2986" s="124">
        <v>2980</v>
      </c>
      <c r="G2986" s="238">
        <f t="shared" ca="1" si="94"/>
        <v>1.2508813036516332E-2</v>
      </c>
      <c r="I2986" s="156"/>
    </row>
    <row r="2987" spans="2:9" x14ac:dyDescent="0.2">
      <c r="B2987" s="230">
        <v>41591</v>
      </c>
      <c r="C2987" s="124">
        <v>208.27</v>
      </c>
      <c r="D2987" s="156">
        <f t="shared" si="93"/>
        <v>-9.5937065285167471E-4</v>
      </c>
      <c r="E2987" s="156">
        <v>-3.4881403229022178E-3</v>
      </c>
      <c r="F2987" s="124">
        <v>2981</v>
      </c>
      <c r="G2987" s="238">
        <f t="shared" ca="1" si="94"/>
        <v>2.0789391342092931E-2</v>
      </c>
      <c r="I2987" s="156"/>
    </row>
    <row r="2988" spans="2:9" x14ac:dyDescent="0.2">
      <c r="B2988" s="230">
        <v>41590</v>
      </c>
      <c r="C2988" s="124">
        <v>212.08</v>
      </c>
      <c r="D2988" s="156">
        <f t="shared" si="93"/>
        <v>1.8293561242617766E-2</v>
      </c>
      <c r="E2988" s="156">
        <v>-3.4895893916482164E-3</v>
      </c>
      <c r="F2988" s="124">
        <v>2982</v>
      </c>
      <c r="G2988" s="238">
        <f t="shared" ca="1" si="94"/>
        <v>1.3818135113238357E-2</v>
      </c>
      <c r="I2988" s="156"/>
    </row>
    <row r="2989" spans="2:9" x14ac:dyDescent="0.2">
      <c r="B2989" s="230">
        <v>41589</v>
      </c>
      <c r="C2989" s="124">
        <v>209.93</v>
      </c>
      <c r="D2989" s="156">
        <f t="shared" si="93"/>
        <v>-1.0137683892870642E-2</v>
      </c>
      <c r="E2989" s="156">
        <v>-3.4936531966928072E-3</v>
      </c>
      <c r="F2989" s="124">
        <v>2983</v>
      </c>
      <c r="G2989" s="238">
        <f t="shared" ca="1" si="94"/>
        <v>-1.2260948194854753E-2</v>
      </c>
      <c r="I2989" s="156"/>
    </row>
    <row r="2990" spans="2:9" x14ac:dyDescent="0.2">
      <c r="B2990" s="230">
        <v>41586</v>
      </c>
      <c r="C2990" s="124">
        <v>211.85</v>
      </c>
      <c r="D2990" s="156">
        <f t="shared" si="93"/>
        <v>9.145905778116456E-3</v>
      </c>
      <c r="E2990" s="156">
        <v>-3.501199040767337E-3</v>
      </c>
      <c r="F2990" s="124">
        <v>2984</v>
      </c>
      <c r="G2990" s="238">
        <f t="shared" ca="1" si="94"/>
        <v>1.2199259865274825E-3</v>
      </c>
      <c r="I2990" s="156"/>
    </row>
    <row r="2991" spans="2:9" x14ac:dyDescent="0.2">
      <c r="B2991" s="230">
        <v>41585</v>
      </c>
      <c r="C2991" s="124">
        <v>212.44</v>
      </c>
      <c r="D2991" s="156">
        <f t="shared" si="93"/>
        <v>2.7849893792778069E-3</v>
      </c>
      <c r="E2991" s="156">
        <v>-3.5165194635263888E-3</v>
      </c>
      <c r="F2991" s="124">
        <v>2985</v>
      </c>
      <c r="G2991" s="238">
        <f t="shared" ca="1" si="94"/>
        <v>2.4635048215272564E-3</v>
      </c>
      <c r="I2991" s="156"/>
    </row>
    <row r="2992" spans="2:9" x14ac:dyDescent="0.2">
      <c r="B2992" s="230">
        <v>41584</v>
      </c>
      <c r="C2992" s="124">
        <v>211.28</v>
      </c>
      <c r="D2992" s="156">
        <f t="shared" si="93"/>
        <v>-5.4603652796083443E-3</v>
      </c>
      <c r="E2992" s="156">
        <v>-3.5229874933944481E-3</v>
      </c>
      <c r="F2992" s="124">
        <v>2986</v>
      </c>
      <c r="G2992" s="238">
        <f t="shared" ca="1" si="94"/>
        <v>-2.5316154586327216E-2</v>
      </c>
      <c r="I2992" s="156"/>
    </row>
    <row r="2993" spans="2:9" x14ac:dyDescent="0.2">
      <c r="B2993" s="230">
        <v>41583</v>
      </c>
      <c r="C2993" s="124">
        <v>211.48</v>
      </c>
      <c r="D2993" s="156">
        <f t="shared" si="93"/>
        <v>9.4661113214686027E-4</v>
      </c>
      <c r="E2993" s="156">
        <v>-3.5270094672361068E-3</v>
      </c>
      <c r="F2993" s="124">
        <v>2987</v>
      </c>
      <c r="G2993" s="238">
        <f t="shared" ca="1" si="94"/>
        <v>-1.1083833618275984E-2</v>
      </c>
      <c r="I2993" s="156"/>
    </row>
    <row r="2994" spans="2:9" x14ac:dyDescent="0.2">
      <c r="B2994" s="230">
        <v>41581</v>
      </c>
      <c r="C2994" s="124">
        <v>219.17</v>
      </c>
      <c r="D2994" s="156">
        <f t="shared" si="93"/>
        <v>3.6362776621902772E-2</v>
      </c>
      <c r="E2994" s="156">
        <v>-3.5404496371039124E-3</v>
      </c>
      <c r="F2994" s="124">
        <v>2988</v>
      </c>
      <c r="G2994" s="238">
        <f t="shared" ca="1" si="94"/>
        <v>-6.6917858259828312E-3</v>
      </c>
      <c r="I2994" s="156"/>
    </row>
    <row r="2995" spans="2:9" x14ac:dyDescent="0.2">
      <c r="B2995" s="230">
        <v>41579</v>
      </c>
      <c r="C2995" s="124">
        <v>217.48</v>
      </c>
      <c r="D2995" s="156">
        <f t="shared" si="93"/>
        <v>-7.7109093397818946E-3</v>
      </c>
      <c r="E2995" s="156">
        <v>-3.5424522911667498E-3</v>
      </c>
      <c r="F2995" s="124">
        <v>2989</v>
      </c>
      <c r="G2995" s="238">
        <f t="shared" ca="1" si="94"/>
        <v>4.3084231346293992E-3</v>
      </c>
      <c r="I2995" s="156"/>
    </row>
    <row r="2996" spans="2:9" x14ac:dyDescent="0.2">
      <c r="B2996" s="230">
        <v>41578</v>
      </c>
      <c r="C2996" s="124">
        <v>222.09</v>
      </c>
      <c r="D2996" s="156">
        <f t="shared" si="93"/>
        <v>2.1197351480595979E-2</v>
      </c>
      <c r="E2996" s="156">
        <v>-3.5457654774231871E-3</v>
      </c>
      <c r="F2996" s="124">
        <v>2990</v>
      </c>
      <c r="G2996" s="238">
        <f t="shared" ca="1" si="94"/>
        <v>-2.1637122322613008E-3</v>
      </c>
      <c r="I2996" s="156"/>
    </row>
    <row r="2997" spans="2:9" x14ac:dyDescent="0.2">
      <c r="B2997" s="230">
        <v>41577</v>
      </c>
      <c r="C2997" s="124">
        <v>220.83</v>
      </c>
      <c r="D2997" s="156">
        <f t="shared" si="93"/>
        <v>-5.6733756585167763E-3</v>
      </c>
      <c r="E2997" s="156">
        <v>-3.5705177250702218E-3</v>
      </c>
      <c r="F2997" s="124">
        <v>2991</v>
      </c>
      <c r="G2997" s="238">
        <f t="shared" ca="1" si="94"/>
        <v>-2.1868577481870276E-2</v>
      </c>
      <c r="I2997" s="156"/>
    </row>
    <row r="2998" spans="2:9" x14ac:dyDescent="0.2">
      <c r="B2998" s="230">
        <v>41576</v>
      </c>
      <c r="C2998" s="124">
        <v>217.38</v>
      </c>
      <c r="D2998" s="156">
        <f t="shared" si="93"/>
        <v>-1.5622877326450287E-2</v>
      </c>
      <c r="E2998" s="156">
        <v>-3.5779859705286519E-3</v>
      </c>
      <c r="F2998" s="124">
        <v>2992</v>
      </c>
      <c r="G2998" s="238">
        <f t="shared" ca="1" si="94"/>
        <v>-1.8714468991600782E-2</v>
      </c>
      <c r="I2998" s="156"/>
    </row>
    <row r="2999" spans="2:9" x14ac:dyDescent="0.2">
      <c r="B2999" s="230">
        <v>41575</v>
      </c>
      <c r="C2999" s="124">
        <v>217.42</v>
      </c>
      <c r="D2999" s="156">
        <f t="shared" si="93"/>
        <v>1.8400956849752527E-4</v>
      </c>
      <c r="E2999" s="156">
        <v>-3.591470258136976E-3</v>
      </c>
      <c r="F2999" s="124">
        <v>2993</v>
      </c>
      <c r="G2999" s="238">
        <f t="shared" ca="1" si="94"/>
        <v>-3.4651119741343599E-2</v>
      </c>
      <c r="I2999" s="156"/>
    </row>
    <row r="3000" spans="2:9" x14ac:dyDescent="0.2">
      <c r="B3000" s="230">
        <v>41572</v>
      </c>
      <c r="C3000" s="124">
        <v>225.44</v>
      </c>
      <c r="D3000" s="156">
        <f t="shared" si="93"/>
        <v>3.6887130898721421E-2</v>
      </c>
      <c r="E3000" s="156">
        <v>-3.5966792304091334E-3</v>
      </c>
      <c r="F3000" s="124">
        <v>2994</v>
      </c>
      <c r="G3000" s="238">
        <f t="shared" ca="1" si="94"/>
        <v>-5.521252284686029E-3</v>
      </c>
      <c r="I3000" s="156"/>
    </row>
    <row r="3001" spans="2:9" x14ac:dyDescent="0.2">
      <c r="B3001" s="230">
        <v>41571</v>
      </c>
      <c r="C3001" s="124">
        <v>227.23</v>
      </c>
      <c r="D3001" s="156">
        <f t="shared" si="93"/>
        <v>7.940028388928282E-3</v>
      </c>
      <c r="E3001" s="156">
        <v>-3.601786486097104E-3</v>
      </c>
      <c r="F3001" s="124">
        <v>2995</v>
      </c>
      <c r="G3001" s="238">
        <f t="shared" ca="1" si="94"/>
        <v>7.8458941965185401E-3</v>
      </c>
      <c r="I3001" s="156"/>
    </row>
    <row r="3002" spans="2:9" x14ac:dyDescent="0.2">
      <c r="B3002" s="230">
        <v>41570</v>
      </c>
      <c r="C3002" s="124">
        <v>226.47</v>
      </c>
      <c r="D3002" s="156">
        <f t="shared" si="93"/>
        <v>-3.3446287902125201E-3</v>
      </c>
      <c r="E3002" s="156">
        <v>-3.6057692307692453E-3</v>
      </c>
      <c r="F3002" s="124">
        <v>2996</v>
      </c>
      <c r="G3002" s="238">
        <f t="shared" ca="1" si="94"/>
        <v>6.0766070772853087E-3</v>
      </c>
      <c r="I3002" s="156"/>
    </row>
    <row r="3003" spans="2:9" x14ac:dyDescent="0.2">
      <c r="B3003" s="230">
        <v>41569</v>
      </c>
      <c r="C3003" s="124">
        <v>226.43</v>
      </c>
      <c r="D3003" s="156">
        <f t="shared" si="93"/>
        <v>-1.7662383538655029E-4</v>
      </c>
      <c r="E3003" s="156">
        <v>-3.6153289949385397E-3</v>
      </c>
      <c r="F3003" s="124">
        <v>2997</v>
      </c>
      <c r="G3003" s="238">
        <f t="shared" ca="1" si="94"/>
        <v>-5.102294501385201E-3</v>
      </c>
      <c r="I3003" s="156"/>
    </row>
    <row r="3004" spans="2:9" x14ac:dyDescent="0.2">
      <c r="B3004" s="230">
        <v>41568</v>
      </c>
      <c r="C3004" s="124">
        <v>228.52</v>
      </c>
      <c r="D3004" s="156">
        <f t="shared" si="93"/>
        <v>9.2302256768096256E-3</v>
      </c>
      <c r="E3004" s="156">
        <v>-3.6185219257896559E-3</v>
      </c>
      <c r="F3004" s="124">
        <v>2998</v>
      </c>
      <c r="G3004" s="238">
        <f t="shared" ca="1" si="94"/>
        <v>8.7408893275125795E-3</v>
      </c>
      <c r="I3004" s="156"/>
    </row>
    <row r="3005" spans="2:9" x14ac:dyDescent="0.2">
      <c r="B3005" s="230">
        <v>41565</v>
      </c>
      <c r="C3005" s="124">
        <v>235.05</v>
      </c>
      <c r="D3005" s="156">
        <f t="shared" si="93"/>
        <v>2.8575179415368461E-2</v>
      </c>
      <c r="E3005" s="156">
        <v>-3.6368788966560091E-3</v>
      </c>
      <c r="F3005" s="124">
        <v>2999</v>
      </c>
      <c r="G3005" s="238">
        <f t="shared" ca="1" si="94"/>
        <v>1.0983565407077305E-2</v>
      </c>
      <c r="I3005" s="156"/>
    </row>
    <row r="3006" spans="2:9" x14ac:dyDescent="0.2">
      <c r="B3006" s="230">
        <v>41564</v>
      </c>
      <c r="C3006" s="124">
        <v>229.05</v>
      </c>
      <c r="D3006" s="156">
        <f t="shared" ref="D3006:D3069" si="95">(C3006-C3005)/C3005</f>
        <v>-2.5526483726866622E-2</v>
      </c>
      <c r="E3006" s="156">
        <v>-3.6398467432949754E-3</v>
      </c>
      <c r="F3006" s="124">
        <v>3000</v>
      </c>
      <c r="G3006" s="238">
        <f t="shared" ca="1" si="94"/>
        <v>6.3077422562508E-3</v>
      </c>
      <c r="I3006" s="156"/>
    </row>
    <row r="3007" spans="2:9" x14ac:dyDescent="0.2">
      <c r="B3007" s="230">
        <v>41562</v>
      </c>
      <c r="C3007" s="124">
        <v>225.41</v>
      </c>
      <c r="D3007" s="156">
        <f t="shared" si="95"/>
        <v>-1.5891726697227743E-2</v>
      </c>
      <c r="E3007" s="156">
        <v>-3.6489691662105455E-3</v>
      </c>
      <c r="F3007" s="124">
        <v>3001</v>
      </c>
      <c r="G3007" s="238">
        <f t="shared" ca="1" si="94"/>
        <v>-2.0836305065948918E-3</v>
      </c>
      <c r="I3007" s="156"/>
    </row>
    <row r="3008" spans="2:9" x14ac:dyDescent="0.2">
      <c r="B3008" s="230">
        <v>41561</v>
      </c>
      <c r="C3008" s="124">
        <v>225.27</v>
      </c>
      <c r="D3008" s="156">
        <f t="shared" si="95"/>
        <v>-6.210904573886978E-4</v>
      </c>
      <c r="E3008" s="156">
        <v>-3.6507301460292968E-3</v>
      </c>
      <c r="F3008" s="124">
        <v>3002</v>
      </c>
      <c r="G3008" s="238">
        <f t="shared" ca="1" si="94"/>
        <v>3.0351186056060552E-3</v>
      </c>
      <c r="I3008" s="156"/>
    </row>
    <row r="3009" spans="2:9" x14ac:dyDescent="0.2">
      <c r="B3009" s="230">
        <v>41558</v>
      </c>
      <c r="C3009" s="124">
        <v>226.86</v>
      </c>
      <c r="D3009" s="156">
        <f t="shared" si="95"/>
        <v>7.0581968304701172E-3</v>
      </c>
      <c r="E3009" s="156">
        <v>-3.6559888579387584E-3</v>
      </c>
      <c r="F3009" s="124">
        <v>3003</v>
      </c>
      <c r="G3009" s="238">
        <f t="shared" ca="1" si="94"/>
        <v>2.694603373648817E-3</v>
      </c>
      <c r="I3009" s="156"/>
    </row>
    <row r="3010" spans="2:9" x14ac:dyDescent="0.2">
      <c r="B3010" s="230">
        <v>41557</v>
      </c>
      <c r="C3010" s="124">
        <v>230.15</v>
      </c>
      <c r="D3010" s="156">
        <f t="shared" si="95"/>
        <v>1.4502336242616556E-2</v>
      </c>
      <c r="E3010" s="156">
        <v>-3.6764705882354029E-3</v>
      </c>
      <c r="F3010" s="124">
        <v>3004</v>
      </c>
      <c r="G3010" s="238">
        <f t="shared" ca="1" si="94"/>
        <v>-1.4253324046879288E-2</v>
      </c>
      <c r="I3010" s="156"/>
    </row>
    <row r="3011" spans="2:9" x14ac:dyDescent="0.2">
      <c r="B3011" s="230">
        <v>41556</v>
      </c>
      <c r="C3011" s="124">
        <v>231.07</v>
      </c>
      <c r="D3011" s="156">
        <f t="shared" si="95"/>
        <v>3.9973930045621876E-3</v>
      </c>
      <c r="E3011" s="156">
        <v>-3.6771465342893914E-3</v>
      </c>
      <c r="F3011" s="124">
        <v>3005</v>
      </c>
      <c r="G3011" s="238">
        <f t="shared" ca="1" si="94"/>
        <v>7.7273889281572082E-3</v>
      </c>
      <c r="I3011" s="156"/>
    </row>
    <row r="3012" spans="2:9" x14ac:dyDescent="0.2">
      <c r="B3012" s="230">
        <v>41555</v>
      </c>
      <c r="C3012" s="124">
        <v>230.48</v>
      </c>
      <c r="D3012" s="156">
        <f t="shared" si="95"/>
        <v>-2.5533388150776968E-3</v>
      </c>
      <c r="E3012" s="156">
        <v>-3.6947791164658132E-3</v>
      </c>
      <c r="F3012" s="124">
        <v>3006</v>
      </c>
      <c r="G3012" s="238">
        <f t="shared" ca="1" si="94"/>
        <v>-1.5609375572926774E-2</v>
      </c>
      <c r="I3012" s="156"/>
    </row>
    <row r="3013" spans="2:9" x14ac:dyDescent="0.2">
      <c r="B3013" s="230">
        <v>41554</v>
      </c>
      <c r="C3013" s="124">
        <v>225.44</v>
      </c>
      <c r="D3013" s="156">
        <f t="shared" si="95"/>
        <v>-2.1867407150295004E-2</v>
      </c>
      <c r="E3013" s="156">
        <v>-3.6960036960036174E-3</v>
      </c>
      <c r="F3013" s="124">
        <v>3007</v>
      </c>
      <c r="G3013" s="238">
        <f t="shared" ca="1" si="94"/>
        <v>7.216935097353985E-3</v>
      </c>
      <c r="I3013" s="156"/>
    </row>
    <row r="3014" spans="2:9" x14ac:dyDescent="0.2">
      <c r="B3014" s="230">
        <v>41551</v>
      </c>
      <c r="C3014" s="124">
        <v>225.31</v>
      </c>
      <c r="D3014" s="156">
        <f t="shared" si="95"/>
        <v>-5.7665010645846103E-4</v>
      </c>
      <c r="E3014" s="156">
        <v>-3.6986808038466279E-3</v>
      </c>
      <c r="F3014" s="124">
        <v>3008</v>
      </c>
      <c r="G3014" s="238">
        <f t="shared" ca="1" si="94"/>
        <v>-1.4592318322680365E-2</v>
      </c>
      <c r="I3014" s="156"/>
    </row>
    <row r="3015" spans="2:9" x14ac:dyDescent="0.2">
      <c r="B3015" s="230">
        <v>41550</v>
      </c>
      <c r="C3015" s="124">
        <v>224.58</v>
      </c>
      <c r="D3015" s="156">
        <f t="shared" si="95"/>
        <v>-3.2399804713505384E-3</v>
      </c>
      <c r="E3015" s="156">
        <v>-3.6990398237053269E-3</v>
      </c>
      <c r="F3015" s="124">
        <v>3009</v>
      </c>
      <c r="G3015" s="238">
        <f t="shared" ref="G3015:G3078" ca="1" si="96">_xlfn.NORM.INV(RAND(),$L$8,$L$9)</f>
        <v>-7.1352812028935113E-3</v>
      </c>
      <c r="I3015" s="156"/>
    </row>
    <row r="3016" spans="2:9" x14ac:dyDescent="0.2">
      <c r="B3016" s="230">
        <v>41548</v>
      </c>
      <c r="C3016" s="124">
        <v>227.39</v>
      </c>
      <c r="D3016" s="156">
        <f t="shared" si="95"/>
        <v>1.2512245079704221E-2</v>
      </c>
      <c r="E3016" s="156">
        <v>-3.7002775208140612E-3</v>
      </c>
      <c r="F3016" s="124">
        <v>3010</v>
      </c>
      <c r="G3016" s="238">
        <f t="shared" ca="1" si="96"/>
        <v>-8.5858686999940487E-5</v>
      </c>
      <c r="I3016" s="156"/>
    </row>
    <row r="3017" spans="2:9" x14ac:dyDescent="0.2">
      <c r="B3017" s="230">
        <v>41547</v>
      </c>
      <c r="C3017" s="124">
        <v>225.67</v>
      </c>
      <c r="D3017" s="156">
        <f t="shared" si="95"/>
        <v>-7.5640969259861864E-3</v>
      </c>
      <c r="E3017" s="156">
        <v>-3.704530238786041E-3</v>
      </c>
      <c r="F3017" s="124">
        <v>3011</v>
      </c>
      <c r="G3017" s="238">
        <f t="shared" ca="1" si="96"/>
        <v>-4.0416887020781452E-2</v>
      </c>
      <c r="I3017" s="156"/>
    </row>
    <row r="3018" spans="2:9" x14ac:dyDescent="0.2">
      <c r="B3018" s="230">
        <v>41544</v>
      </c>
      <c r="C3018" s="124">
        <v>230.64</v>
      </c>
      <c r="D3018" s="156">
        <f t="shared" si="95"/>
        <v>2.2023308370629678E-2</v>
      </c>
      <c r="E3018" s="156">
        <v>-3.7116536982381384E-3</v>
      </c>
      <c r="F3018" s="124">
        <v>3012</v>
      </c>
      <c r="G3018" s="238">
        <f t="shared" ca="1" si="96"/>
        <v>-2.282731585438813E-2</v>
      </c>
      <c r="I3018" s="156"/>
    </row>
    <row r="3019" spans="2:9" x14ac:dyDescent="0.2">
      <c r="B3019" s="230">
        <v>41543</v>
      </c>
      <c r="C3019" s="124">
        <v>231.57</v>
      </c>
      <c r="D3019" s="156">
        <f t="shared" si="95"/>
        <v>4.0322580645161593E-3</v>
      </c>
      <c r="E3019" s="156">
        <v>-3.7141846480368283E-3</v>
      </c>
      <c r="F3019" s="124">
        <v>3013</v>
      </c>
      <c r="G3019" s="238">
        <f t="shared" ca="1" si="96"/>
        <v>1.6115203923806238E-2</v>
      </c>
      <c r="I3019" s="156"/>
    </row>
    <row r="3020" spans="2:9" x14ac:dyDescent="0.2">
      <c r="B3020" s="230">
        <v>41542</v>
      </c>
      <c r="C3020" s="124">
        <v>228.55</v>
      </c>
      <c r="D3020" s="156">
        <f t="shared" si="95"/>
        <v>-1.304141296368261E-2</v>
      </c>
      <c r="E3020" s="156">
        <v>-3.7156304186276939E-3</v>
      </c>
      <c r="F3020" s="124">
        <v>3014</v>
      </c>
      <c r="G3020" s="238">
        <f t="shared" ca="1" si="96"/>
        <v>9.874284861356308E-3</v>
      </c>
      <c r="I3020" s="156"/>
    </row>
    <row r="3021" spans="2:9" x14ac:dyDescent="0.2">
      <c r="B3021" s="230">
        <v>41541</v>
      </c>
      <c r="C3021" s="124">
        <v>231.34</v>
      </c>
      <c r="D3021" s="156">
        <f t="shared" si="95"/>
        <v>1.2207394443229018E-2</v>
      </c>
      <c r="E3021" s="156">
        <v>-3.7209740473835053E-3</v>
      </c>
      <c r="F3021" s="124">
        <v>3015</v>
      </c>
      <c r="G3021" s="238">
        <f t="shared" ca="1" si="96"/>
        <v>-7.0679660274636496E-3</v>
      </c>
      <c r="I3021" s="156"/>
    </row>
    <row r="3022" spans="2:9" x14ac:dyDescent="0.2">
      <c r="B3022" s="230">
        <v>41540</v>
      </c>
      <c r="C3022" s="124">
        <v>231.94</v>
      </c>
      <c r="D3022" s="156">
        <f t="shared" si="95"/>
        <v>2.5935851992737713E-3</v>
      </c>
      <c r="E3022" s="156">
        <v>-3.7285607755406414E-3</v>
      </c>
      <c r="F3022" s="124">
        <v>3016</v>
      </c>
      <c r="G3022" s="238">
        <f t="shared" ca="1" si="96"/>
        <v>9.36606583786187E-3</v>
      </c>
      <c r="I3022" s="156"/>
    </row>
    <row r="3023" spans="2:9" x14ac:dyDescent="0.2">
      <c r="B3023" s="230">
        <v>41537</v>
      </c>
      <c r="C3023" s="124">
        <v>235.55</v>
      </c>
      <c r="D3023" s="156">
        <f t="shared" si="95"/>
        <v>1.5564370095714469E-2</v>
      </c>
      <c r="E3023" s="156">
        <v>-3.740939911152763E-3</v>
      </c>
      <c r="F3023" s="124">
        <v>3017</v>
      </c>
      <c r="G3023" s="238">
        <f t="shared" ca="1" si="96"/>
        <v>2.0786346125408011E-2</v>
      </c>
      <c r="I3023" s="156"/>
    </row>
    <row r="3024" spans="2:9" x14ac:dyDescent="0.2">
      <c r="B3024" s="230">
        <v>41536</v>
      </c>
      <c r="C3024" s="124">
        <v>235.65</v>
      </c>
      <c r="D3024" s="156">
        <f t="shared" si="95"/>
        <v>4.2453831458286694E-4</v>
      </c>
      <c r="E3024" s="156">
        <v>-3.7422787321339289E-3</v>
      </c>
      <c r="F3024" s="124">
        <v>3018</v>
      </c>
      <c r="G3024" s="238">
        <f t="shared" ca="1" si="96"/>
        <v>2.3650545192157773E-3</v>
      </c>
      <c r="I3024" s="156"/>
    </row>
    <row r="3025" spans="2:9" x14ac:dyDescent="0.2">
      <c r="B3025" s="230">
        <v>41535</v>
      </c>
      <c r="C3025" s="124">
        <v>227.76</v>
      </c>
      <c r="D3025" s="156">
        <f t="shared" si="95"/>
        <v>-3.3481858688733351E-2</v>
      </c>
      <c r="E3025" s="156">
        <v>-3.7442766057597674E-3</v>
      </c>
      <c r="F3025" s="124">
        <v>3019</v>
      </c>
      <c r="G3025" s="238">
        <f t="shared" ca="1" si="96"/>
        <v>-4.7975680354044471E-3</v>
      </c>
      <c r="I3025" s="156"/>
    </row>
    <row r="3026" spans="2:9" x14ac:dyDescent="0.2">
      <c r="B3026" s="230">
        <v>41534</v>
      </c>
      <c r="C3026" s="124">
        <v>224.54</v>
      </c>
      <c r="D3026" s="156">
        <f t="shared" si="95"/>
        <v>-1.4137688795223037E-2</v>
      </c>
      <c r="E3026" s="156">
        <v>-3.7530612893992136E-3</v>
      </c>
      <c r="F3026" s="124">
        <v>3020</v>
      </c>
      <c r="G3026" s="238">
        <f t="shared" ca="1" si="96"/>
        <v>2.20609017502334E-3</v>
      </c>
      <c r="I3026" s="156"/>
    </row>
    <row r="3027" spans="2:9" x14ac:dyDescent="0.2">
      <c r="B3027" s="230">
        <v>41533</v>
      </c>
      <c r="C3027" s="124">
        <v>221.39</v>
      </c>
      <c r="D3027" s="156">
        <f t="shared" si="95"/>
        <v>-1.4028680858644366E-2</v>
      </c>
      <c r="E3027" s="156">
        <v>-3.7587841150514049E-3</v>
      </c>
      <c r="F3027" s="124">
        <v>3021</v>
      </c>
      <c r="G3027" s="238">
        <f t="shared" ca="1" si="96"/>
        <v>3.0722263954818141E-2</v>
      </c>
      <c r="I3027" s="156"/>
    </row>
    <row r="3028" spans="2:9" x14ac:dyDescent="0.2">
      <c r="B3028" s="230">
        <v>41530</v>
      </c>
      <c r="C3028" s="124">
        <v>219.67</v>
      </c>
      <c r="D3028" s="156">
        <f t="shared" si="95"/>
        <v>-7.7690952617552687E-3</v>
      </c>
      <c r="E3028" s="156">
        <v>-3.7726358148893004E-3</v>
      </c>
      <c r="F3028" s="124">
        <v>3022</v>
      </c>
      <c r="G3028" s="238">
        <f t="shared" ca="1" si="96"/>
        <v>-2.592002188955914E-2</v>
      </c>
      <c r="I3028" s="156"/>
    </row>
    <row r="3029" spans="2:9" x14ac:dyDescent="0.2">
      <c r="B3029" s="230">
        <v>41529</v>
      </c>
      <c r="C3029" s="124">
        <v>223.08</v>
      </c>
      <c r="D3029" s="156">
        <f t="shared" si="95"/>
        <v>1.5523284927391202E-2</v>
      </c>
      <c r="E3029" s="156">
        <v>-3.774247344860939E-3</v>
      </c>
      <c r="F3029" s="124">
        <v>3023</v>
      </c>
      <c r="G3029" s="238">
        <f t="shared" ca="1" si="96"/>
        <v>-6.7886165732204589E-3</v>
      </c>
      <c r="I3029" s="156"/>
    </row>
    <row r="3030" spans="2:9" x14ac:dyDescent="0.2">
      <c r="B3030" s="230">
        <v>41528</v>
      </c>
      <c r="C3030" s="124">
        <v>218.74</v>
      </c>
      <c r="D3030" s="156">
        <f t="shared" si="95"/>
        <v>-1.9454904070288701E-2</v>
      </c>
      <c r="E3030" s="156">
        <v>-3.7766943624252076E-3</v>
      </c>
      <c r="F3030" s="124">
        <v>3024</v>
      </c>
      <c r="G3030" s="238">
        <f t="shared" ca="1" si="96"/>
        <v>8.1029580982689611E-3</v>
      </c>
      <c r="I3030" s="156"/>
    </row>
    <row r="3031" spans="2:9" x14ac:dyDescent="0.2">
      <c r="B3031" s="230">
        <v>41527</v>
      </c>
      <c r="C3031" s="124">
        <v>222.69</v>
      </c>
      <c r="D3031" s="156">
        <f t="shared" si="95"/>
        <v>1.805796836426803E-2</v>
      </c>
      <c r="E3031" s="156">
        <v>-3.7783375314859829E-3</v>
      </c>
      <c r="F3031" s="124">
        <v>3025</v>
      </c>
      <c r="G3031" s="238">
        <f t="shared" ca="1" si="96"/>
        <v>-1.2946394836738147E-2</v>
      </c>
      <c r="I3031" s="156"/>
    </row>
    <row r="3032" spans="2:9" x14ac:dyDescent="0.2">
      <c r="B3032" s="230">
        <v>41523</v>
      </c>
      <c r="C3032" s="124">
        <v>209.76</v>
      </c>
      <c r="D3032" s="156">
        <f t="shared" si="95"/>
        <v>-5.8062777852620269E-2</v>
      </c>
      <c r="E3032" s="156">
        <v>-3.7814707931136974E-3</v>
      </c>
      <c r="F3032" s="124">
        <v>3026</v>
      </c>
      <c r="G3032" s="238">
        <f t="shared" ca="1" si="96"/>
        <v>-4.8913347101682617E-2</v>
      </c>
      <c r="I3032" s="156"/>
    </row>
    <row r="3033" spans="2:9" x14ac:dyDescent="0.2">
      <c r="B3033" s="230">
        <v>41522</v>
      </c>
      <c r="C3033" s="124">
        <v>206.94</v>
      </c>
      <c r="D3033" s="156">
        <f t="shared" si="95"/>
        <v>-1.3443935926773424E-2</v>
      </c>
      <c r="E3033" s="156">
        <v>-3.7965441713312298E-3</v>
      </c>
      <c r="F3033" s="124">
        <v>3027</v>
      </c>
      <c r="G3033" s="238">
        <f t="shared" ca="1" si="96"/>
        <v>3.8178154837075658E-2</v>
      </c>
      <c r="I3033" s="156"/>
    </row>
    <row r="3034" spans="2:9" x14ac:dyDescent="0.2">
      <c r="B3034" s="230">
        <v>41521</v>
      </c>
      <c r="C3034" s="124">
        <v>198.79</v>
      </c>
      <c r="D3034" s="156">
        <f t="shared" si="95"/>
        <v>-3.9383396153474463E-2</v>
      </c>
      <c r="E3034" s="156">
        <v>-3.8063518496491556E-3</v>
      </c>
      <c r="F3034" s="124">
        <v>3028</v>
      </c>
      <c r="G3034" s="238">
        <f t="shared" ca="1" si="96"/>
        <v>-7.5878158843093388E-3</v>
      </c>
      <c r="I3034" s="156"/>
    </row>
    <row r="3035" spans="2:9" x14ac:dyDescent="0.2">
      <c r="B3035" s="230">
        <v>41520</v>
      </c>
      <c r="C3035" s="124">
        <v>199.35</v>
      </c>
      <c r="D3035" s="156">
        <f t="shared" si="95"/>
        <v>2.8170431108204752E-3</v>
      </c>
      <c r="E3035" s="156">
        <v>-3.8178936752629386E-3</v>
      </c>
      <c r="F3035" s="124">
        <v>3029</v>
      </c>
      <c r="G3035" s="238">
        <f t="shared" ca="1" si="96"/>
        <v>4.4327099022238884E-3</v>
      </c>
      <c r="I3035" s="156"/>
    </row>
    <row r="3036" spans="2:9" x14ac:dyDescent="0.2">
      <c r="B3036" s="230">
        <v>41519</v>
      </c>
      <c r="C3036" s="124">
        <v>212.41</v>
      </c>
      <c r="D3036" s="156">
        <f t="shared" si="95"/>
        <v>6.5512916980185618E-2</v>
      </c>
      <c r="E3036" s="156">
        <v>-3.8192527148904112E-3</v>
      </c>
      <c r="F3036" s="124">
        <v>3030</v>
      </c>
      <c r="G3036" s="238">
        <f t="shared" ca="1" si="96"/>
        <v>-1.7465120996026772E-2</v>
      </c>
      <c r="I3036" s="156"/>
    </row>
    <row r="3037" spans="2:9" x14ac:dyDescent="0.2">
      <c r="B3037" s="230">
        <v>41516</v>
      </c>
      <c r="C3037" s="124">
        <v>204.65</v>
      </c>
      <c r="D3037" s="156">
        <f t="shared" si="95"/>
        <v>-3.6533119909608731E-2</v>
      </c>
      <c r="E3037" s="156">
        <v>-3.8208772734219776E-3</v>
      </c>
      <c r="F3037" s="124">
        <v>3031</v>
      </c>
      <c r="G3037" s="238">
        <f t="shared" ca="1" si="96"/>
        <v>-2.3308653476293767E-2</v>
      </c>
      <c r="I3037" s="156"/>
    </row>
    <row r="3038" spans="2:9" x14ac:dyDescent="0.2">
      <c r="B3038" s="230">
        <v>41515</v>
      </c>
      <c r="C3038" s="124">
        <v>202.57</v>
      </c>
      <c r="D3038" s="156">
        <f t="shared" si="95"/>
        <v>-1.0163694111898424E-2</v>
      </c>
      <c r="E3038" s="156">
        <v>-3.8257798705120991E-3</v>
      </c>
      <c r="F3038" s="124">
        <v>3032</v>
      </c>
      <c r="G3038" s="238">
        <f t="shared" ca="1" si="96"/>
        <v>3.0811810235044997E-3</v>
      </c>
      <c r="I3038" s="156"/>
    </row>
    <row r="3039" spans="2:9" x14ac:dyDescent="0.2">
      <c r="B3039" s="230">
        <v>41514</v>
      </c>
      <c r="C3039" s="124">
        <v>197.69</v>
      </c>
      <c r="D3039" s="156">
        <f t="shared" si="95"/>
        <v>-2.4090437873327718E-2</v>
      </c>
      <c r="E3039" s="156">
        <v>-3.8338045718118705E-3</v>
      </c>
      <c r="F3039" s="124">
        <v>3033</v>
      </c>
      <c r="G3039" s="238">
        <f t="shared" ca="1" si="96"/>
        <v>7.7139170159476736E-3</v>
      </c>
      <c r="I3039" s="156"/>
    </row>
    <row r="3040" spans="2:9" x14ac:dyDescent="0.2">
      <c r="B3040" s="230">
        <v>41513</v>
      </c>
      <c r="C3040" s="124">
        <v>197.49</v>
      </c>
      <c r="D3040" s="156">
        <f t="shared" si="95"/>
        <v>-1.0116849613029928E-3</v>
      </c>
      <c r="E3040" s="156">
        <v>-3.8430744595676176E-3</v>
      </c>
      <c r="F3040" s="124">
        <v>3034</v>
      </c>
      <c r="G3040" s="238">
        <f t="shared" ca="1" si="96"/>
        <v>-1.6249910835376927E-2</v>
      </c>
      <c r="I3040" s="156"/>
    </row>
    <row r="3041" spans="2:9" x14ac:dyDescent="0.2">
      <c r="B3041" s="230">
        <v>41512</v>
      </c>
      <c r="C3041" s="124">
        <v>203.86</v>
      </c>
      <c r="D3041" s="156">
        <f t="shared" si="95"/>
        <v>3.2254797711276539E-2</v>
      </c>
      <c r="E3041" s="156">
        <v>-3.8489295164781476E-3</v>
      </c>
      <c r="F3041" s="124">
        <v>3035</v>
      </c>
      <c r="G3041" s="238">
        <f t="shared" ca="1" si="96"/>
        <v>2.4892261101713336E-3</v>
      </c>
      <c r="I3041" s="156"/>
    </row>
    <row r="3042" spans="2:9" x14ac:dyDescent="0.2">
      <c r="B3042" s="230">
        <v>41509</v>
      </c>
      <c r="C3042" s="124">
        <v>204.52</v>
      </c>
      <c r="D3042" s="156">
        <f t="shared" si="95"/>
        <v>3.2375159423133353E-3</v>
      </c>
      <c r="E3042" s="156">
        <v>-3.8580246913580245E-3</v>
      </c>
      <c r="F3042" s="124">
        <v>3036</v>
      </c>
      <c r="G3042" s="238">
        <f t="shared" ca="1" si="96"/>
        <v>-2.8745345727971541E-3</v>
      </c>
      <c r="I3042" s="156"/>
    </row>
    <row r="3043" spans="2:9" x14ac:dyDescent="0.2">
      <c r="B3043" s="230">
        <v>41508</v>
      </c>
      <c r="C3043" s="124">
        <v>204.16</v>
      </c>
      <c r="D3043" s="156">
        <f t="shared" si="95"/>
        <v>-1.7602190494817799E-3</v>
      </c>
      <c r="E3043" s="156">
        <v>-3.8684719535783912E-3</v>
      </c>
      <c r="F3043" s="124">
        <v>3037</v>
      </c>
      <c r="G3043" s="238">
        <f t="shared" ca="1" si="96"/>
        <v>-6.7772564273098903E-3</v>
      </c>
      <c r="I3043" s="156"/>
    </row>
    <row r="3044" spans="2:9" x14ac:dyDescent="0.2">
      <c r="B3044" s="230">
        <v>41507</v>
      </c>
      <c r="C3044" s="124">
        <v>199.45</v>
      </c>
      <c r="D3044" s="156">
        <f t="shared" si="95"/>
        <v>-2.307014106583076E-2</v>
      </c>
      <c r="E3044" s="156">
        <v>-3.874621230937366E-3</v>
      </c>
      <c r="F3044" s="124">
        <v>3038</v>
      </c>
      <c r="G3044" s="238">
        <f t="shared" ca="1" si="96"/>
        <v>2.1723858878699331E-2</v>
      </c>
      <c r="I3044" s="156"/>
    </row>
    <row r="3045" spans="2:9" x14ac:dyDescent="0.2">
      <c r="B3045" s="230">
        <v>41506</v>
      </c>
      <c r="C3045" s="124">
        <v>209.03</v>
      </c>
      <c r="D3045" s="156">
        <f t="shared" si="95"/>
        <v>4.8032088242667401E-2</v>
      </c>
      <c r="E3045" s="156">
        <v>-3.8791614634534621E-3</v>
      </c>
      <c r="F3045" s="124">
        <v>3039</v>
      </c>
      <c r="G3045" s="238">
        <f t="shared" ca="1" si="96"/>
        <v>-5.9932877413640161E-3</v>
      </c>
      <c r="I3045" s="156"/>
    </row>
    <row r="3046" spans="2:9" x14ac:dyDescent="0.2">
      <c r="B3046" s="230">
        <v>41505</v>
      </c>
      <c r="C3046" s="124">
        <v>208.1</v>
      </c>
      <c r="D3046" s="156">
        <f t="shared" si="95"/>
        <v>-4.4491221355786575E-3</v>
      </c>
      <c r="E3046" s="156">
        <v>-3.8801800403538726E-3</v>
      </c>
      <c r="F3046" s="124">
        <v>3040</v>
      </c>
      <c r="G3046" s="238">
        <f t="shared" ca="1" si="96"/>
        <v>-4.444397253583126E-3</v>
      </c>
      <c r="I3046" s="156"/>
    </row>
    <row r="3047" spans="2:9" x14ac:dyDescent="0.2">
      <c r="B3047" s="230">
        <v>41502</v>
      </c>
      <c r="C3047" s="124">
        <v>212.41</v>
      </c>
      <c r="D3047" s="156">
        <f t="shared" si="95"/>
        <v>2.0711196540124953E-2</v>
      </c>
      <c r="E3047" s="156">
        <v>-3.8921807830834643E-3</v>
      </c>
      <c r="F3047" s="124">
        <v>3041</v>
      </c>
      <c r="G3047" s="238">
        <f t="shared" ca="1" si="96"/>
        <v>2.0439284774323416E-2</v>
      </c>
      <c r="I3047" s="156"/>
    </row>
    <row r="3048" spans="2:9" x14ac:dyDescent="0.2">
      <c r="B3048" s="230">
        <v>41500</v>
      </c>
      <c r="C3048" s="124">
        <v>221.99</v>
      </c>
      <c r="D3048" s="156">
        <f t="shared" si="95"/>
        <v>4.5101454733769655E-2</v>
      </c>
      <c r="E3048" s="156">
        <v>-3.8941540771323269E-3</v>
      </c>
      <c r="F3048" s="124">
        <v>3042</v>
      </c>
      <c r="G3048" s="238">
        <f t="shared" ca="1" si="96"/>
        <v>-3.2392052399429432E-2</v>
      </c>
      <c r="I3048" s="156"/>
    </row>
    <row r="3049" spans="2:9" x14ac:dyDescent="0.2">
      <c r="B3049" s="230">
        <v>41499</v>
      </c>
      <c r="C3049" s="124">
        <v>221.56</v>
      </c>
      <c r="D3049" s="156">
        <f t="shared" si="95"/>
        <v>-1.9370241902788719E-3</v>
      </c>
      <c r="E3049" s="156">
        <v>-3.8965087281795513E-3</v>
      </c>
      <c r="F3049" s="124">
        <v>3043</v>
      </c>
      <c r="G3049" s="238">
        <f t="shared" ca="1" si="96"/>
        <v>-2.0556199952436603E-2</v>
      </c>
      <c r="I3049" s="156"/>
    </row>
    <row r="3050" spans="2:9" x14ac:dyDescent="0.2">
      <c r="B3050" s="230">
        <v>41498</v>
      </c>
      <c r="C3050" s="124">
        <v>222.52</v>
      </c>
      <c r="D3050" s="156">
        <f t="shared" si="95"/>
        <v>4.3329120779924532E-3</v>
      </c>
      <c r="E3050" s="156">
        <v>-3.8983863236937864E-3</v>
      </c>
      <c r="F3050" s="124">
        <v>3044</v>
      </c>
      <c r="G3050" s="238">
        <f t="shared" ca="1" si="96"/>
        <v>-6.0058623162683273E-3</v>
      </c>
      <c r="I3050" s="156"/>
    </row>
    <row r="3051" spans="2:9" x14ac:dyDescent="0.2">
      <c r="B3051" s="230">
        <v>41494</v>
      </c>
      <c r="C3051" s="124">
        <v>215.69</v>
      </c>
      <c r="D3051" s="156">
        <f t="shared" si="95"/>
        <v>-3.0693870213913409E-2</v>
      </c>
      <c r="E3051" s="156">
        <v>-3.9007875174799523E-3</v>
      </c>
      <c r="F3051" s="124">
        <v>3045</v>
      </c>
      <c r="G3051" s="238">
        <f t="shared" ca="1" si="96"/>
        <v>3.0286409933141249E-2</v>
      </c>
      <c r="I3051" s="156"/>
    </row>
    <row r="3052" spans="2:9" x14ac:dyDescent="0.2">
      <c r="B3052" s="230">
        <v>41493</v>
      </c>
      <c r="C3052" s="124">
        <v>213.54</v>
      </c>
      <c r="D3052" s="156">
        <f t="shared" si="95"/>
        <v>-9.9680096434698207E-3</v>
      </c>
      <c r="E3052" s="156">
        <v>-3.9062499999999254E-3</v>
      </c>
      <c r="F3052" s="124">
        <v>3046</v>
      </c>
      <c r="G3052" s="238">
        <f t="shared" ca="1" si="96"/>
        <v>3.4535752378207045E-2</v>
      </c>
      <c r="I3052" s="156"/>
    </row>
    <row r="3053" spans="2:9" x14ac:dyDescent="0.2">
      <c r="B3053" s="230">
        <v>41492</v>
      </c>
      <c r="C3053" s="124">
        <v>218.94</v>
      </c>
      <c r="D3053" s="156">
        <f t="shared" si="95"/>
        <v>2.528800224782245E-2</v>
      </c>
      <c r="E3053" s="156">
        <v>-3.9162893158732424E-3</v>
      </c>
      <c r="F3053" s="124">
        <v>3047</v>
      </c>
      <c r="G3053" s="238">
        <f t="shared" ca="1" si="96"/>
        <v>3.2391213014454829E-3</v>
      </c>
      <c r="I3053" s="156"/>
    </row>
    <row r="3054" spans="2:9" x14ac:dyDescent="0.2">
      <c r="B3054" s="230">
        <v>41491</v>
      </c>
      <c r="C3054" s="124">
        <v>222.36</v>
      </c>
      <c r="D3054" s="156">
        <f t="shared" si="95"/>
        <v>1.5620718004932931E-2</v>
      </c>
      <c r="E3054" s="156">
        <v>-3.9198284150580662E-3</v>
      </c>
      <c r="F3054" s="124">
        <v>3048</v>
      </c>
      <c r="G3054" s="238">
        <f t="shared" ca="1" si="96"/>
        <v>-1.483649814611746E-2</v>
      </c>
      <c r="I3054" s="156"/>
    </row>
    <row r="3055" spans="2:9" x14ac:dyDescent="0.2">
      <c r="B3055" s="230">
        <v>41488</v>
      </c>
      <c r="C3055" s="124">
        <v>220.73</v>
      </c>
      <c r="D3055" s="156">
        <f t="shared" si="95"/>
        <v>-7.3304551178270541E-3</v>
      </c>
      <c r="E3055" s="156">
        <v>-3.9200313602508821E-3</v>
      </c>
      <c r="F3055" s="124">
        <v>3049</v>
      </c>
      <c r="G3055" s="238">
        <f t="shared" ca="1" si="96"/>
        <v>-1.8918393301822239E-2</v>
      </c>
      <c r="I3055" s="156"/>
    </row>
    <row r="3056" spans="2:9" x14ac:dyDescent="0.2">
      <c r="B3056" s="230">
        <v>41487</v>
      </c>
      <c r="C3056" s="124">
        <v>225.01</v>
      </c>
      <c r="D3056" s="156">
        <f t="shared" si="95"/>
        <v>1.9390205228106742E-2</v>
      </c>
      <c r="E3056" s="156">
        <v>-3.9207593891870283E-3</v>
      </c>
      <c r="F3056" s="124">
        <v>3050</v>
      </c>
      <c r="G3056" s="238">
        <f t="shared" ca="1" si="96"/>
        <v>4.272413779685528E-3</v>
      </c>
      <c r="I3056" s="156"/>
    </row>
    <row r="3057" spans="2:9" x14ac:dyDescent="0.2">
      <c r="B3057" s="230">
        <v>41486</v>
      </c>
      <c r="C3057" s="124">
        <v>226.53</v>
      </c>
      <c r="D3057" s="156">
        <f t="shared" si="95"/>
        <v>6.7552553219857349E-3</v>
      </c>
      <c r="E3057" s="156">
        <v>-3.9227519613758439E-3</v>
      </c>
      <c r="F3057" s="124">
        <v>3051</v>
      </c>
      <c r="G3057" s="238">
        <f t="shared" ca="1" si="96"/>
        <v>4.8094251995040634E-3</v>
      </c>
      <c r="I3057" s="156"/>
    </row>
    <row r="3058" spans="2:9" x14ac:dyDescent="0.2">
      <c r="B3058" s="230">
        <v>41485</v>
      </c>
      <c r="C3058" s="124">
        <v>232.43</v>
      </c>
      <c r="D3058" s="156">
        <f t="shared" si="95"/>
        <v>2.6045115437248953E-2</v>
      </c>
      <c r="E3058" s="156">
        <v>-3.9432176656150576E-3</v>
      </c>
      <c r="F3058" s="124">
        <v>3052</v>
      </c>
      <c r="G3058" s="238">
        <f t="shared" ca="1" si="96"/>
        <v>2.482071685767136E-3</v>
      </c>
      <c r="I3058" s="156"/>
    </row>
    <row r="3059" spans="2:9" x14ac:dyDescent="0.2">
      <c r="B3059" s="230">
        <v>41484</v>
      </c>
      <c r="C3059" s="124">
        <v>237.31</v>
      </c>
      <c r="D3059" s="156">
        <f t="shared" si="95"/>
        <v>2.0995568558275588E-2</v>
      </c>
      <c r="E3059" s="156">
        <v>-3.9443869415615989E-3</v>
      </c>
      <c r="F3059" s="124">
        <v>3053</v>
      </c>
      <c r="G3059" s="238">
        <f t="shared" ca="1" si="96"/>
        <v>-1.3230025553636744E-2</v>
      </c>
      <c r="I3059" s="156"/>
    </row>
    <row r="3060" spans="2:9" x14ac:dyDescent="0.2">
      <c r="B3060" s="230">
        <v>41481</v>
      </c>
      <c r="C3060" s="124">
        <v>244.07</v>
      </c>
      <c r="D3060" s="156">
        <f t="shared" si="95"/>
        <v>2.848594665205845E-2</v>
      </c>
      <c r="E3060" s="156">
        <v>-3.9452595241031259E-3</v>
      </c>
      <c r="F3060" s="124">
        <v>3054</v>
      </c>
      <c r="G3060" s="238">
        <f t="shared" ca="1" si="96"/>
        <v>2.2495423741269348E-2</v>
      </c>
      <c r="I3060" s="156"/>
    </row>
    <row r="3061" spans="2:9" x14ac:dyDescent="0.2">
      <c r="B3061" s="230">
        <v>41480</v>
      </c>
      <c r="C3061" s="124">
        <v>237.94</v>
      </c>
      <c r="D3061" s="156">
        <f t="shared" si="95"/>
        <v>-2.5115745482853263E-2</v>
      </c>
      <c r="E3061" s="156">
        <v>-3.9473684210526473E-3</v>
      </c>
      <c r="F3061" s="124">
        <v>3055</v>
      </c>
      <c r="G3061" s="238">
        <f t="shared" ca="1" si="96"/>
        <v>-9.8053564520430049E-3</v>
      </c>
      <c r="I3061" s="156"/>
    </row>
    <row r="3062" spans="2:9" x14ac:dyDescent="0.2">
      <c r="B3062" s="230">
        <v>41479</v>
      </c>
      <c r="C3062" s="124">
        <v>249.14</v>
      </c>
      <c r="D3062" s="156">
        <f t="shared" si="95"/>
        <v>4.707069008993859E-2</v>
      </c>
      <c r="E3062" s="156">
        <v>-3.9599833263860651E-3</v>
      </c>
      <c r="F3062" s="124">
        <v>3056</v>
      </c>
      <c r="G3062" s="238">
        <f t="shared" ca="1" si="96"/>
        <v>-2.6089606624270286E-2</v>
      </c>
      <c r="I3062" s="156"/>
    </row>
    <row r="3063" spans="2:9" x14ac:dyDescent="0.2">
      <c r="B3063" s="230">
        <v>41478</v>
      </c>
      <c r="C3063" s="124">
        <v>249.11</v>
      </c>
      <c r="D3063" s="156">
        <f t="shared" si="95"/>
        <v>-1.2041422493366267E-4</v>
      </c>
      <c r="E3063" s="156">
        <v>-3.9714058776806989E-3</v>
      </c>
      <c r="F3063" s="124">
        <v>3057</v>
      </c>
      <c r="G3063" s="238">
        <f t="shared" ca="1" si="96"/>
        <v>8.4298009245669589E-3</v>
      </c>
      <c r="I3063" s="156"/>
    </row>
    <row r="3064" spans="2:9" x14ac:dyDescent="0.2">
      <c r="B3064" s="230">
        <v>41477</v>
      </c>
      <c r="C3064" s="124">
        <v>244.5</v>
      </c>
      <c r="D3064" s="156">
        <f t="shared" si="95"/>
        <v>-1.8505880936132688E-2</v>
      </c>
      <c r="E3064" s="156">
        <v>-3.9717016259153857E-3</v>
      </c>
      <c r="F3064" s="124">
        <v>3058</v>
      </c>
      <c r="G3064" s="238">
        <f t="shared" ca="1" si="96"/>
        <v>-3.3150934523945109E-2</v>
      </c>
      <c r="I3064" s="156"/>
    </row>
    <row r="3065" spans="2:9" x14ac:dyDescent="0.2">
      <c r="B3065" s="230">
        <v>41474</v>
      </c>
      <c r="C3065" s="124">
        <v>244.66</v>
      </c>
      <c r="D3065" s="156">
        <f t="shared" si="95"/>
        <v>6.5439672801634601E-4</v>
      </c>
      <c r="E3065" s="156">
        <v>-3.9735099337748778E-3</v>
      </c>
      <c r="F3065" s="124">
        <v>3059</v>
      </c>
      <c r="G3065" s="238">
        <f t="shared" ca="1" si="96"/>
        <v>1.3632677342776E-2</v>
      </c>
      <c r="I3065" s="156"/>
    </row>
    <row r="3066" spans="2:9" x14ac:dyDescent="0.2">
      <c r="B3066" s="230">
        <v>41473</v>
      </c>
      <c r="C3066" s="124">
        <v>244.4</v>
      </c>
      <c r="D3066" s="156">
        <f t="shared" si="95"/>
        <v>-1.0626992561104836E-3</v>
      </c>
      <c r="E3066" s="156">
        <v>-3.975014196479101E-3</v>
      </c>
      <c r="F3066" s="124">
        <v>3060</v>
      </c>
      <c r="G3066" s="238">
        <f t="shared" ca="1" si="96"/>
        <v>-4.8697137294574068E-2</v>
      </c>
      <c r="I3066" s="156"/>
    </row>
    <row r="3067" spans="2:9" x14ac:dyDescent="0.2">
      <c r="B3067" s="230">
        <v>41472</v>
      </c>
      <c r="C3067" s="124">
        <v>244.2</v>
      </c>
      <c r="D3067" s="156">
        <f t="shared" si="95"/>
        <v>-8.1833060556471787E-4</v>
      </c>
      <c r="E3067" s="156">
        <v>-3.9823936281702665E-3</v>
      </c>
      <c r="F3067" s="124">
        <v>3061</v>
      </c>
      <c r="G3067" s="238">
        <f t="shared" ca="1" si="96"/>
        <v>1.6682927528058625E-2</v>
      </c>
      <c r="I3067" s="156"/>
    </row>
    <row r="3068" spans="2:9" x14ac:dyDescent="0.2">
      <c r="B3068" s="230">
        <v>41471</v>
      </c>
      <c r="C3068" s="124">
        <v>238.7</v>
      </c>
      <c r="D3068" s="156">
        <f t="shared" si="95"/>
        <v>-2.2522522522522525E-2</v>
      </c>
      <c r="E3068" s="156">
        <v>-3.9851222104144149E-3</v>
      </c>
      <c r="F3068" s="124">
        <v>3062</v>
      </c>
      <c r="G3068" s="238">
        <f t="shared" ca="1" si="96"/>
        <v>-1.9504203307975358E-2</v>
      </c>
      <c r="I3068" s="156"/>
    </row>
    <row r="3069" spans="2:9" x14ac:dyDescent="0.2">
      <c r="B3069" s="230">
        <v>41470</v>
      </c>
      <c r="C3069" s="124">
        <v>233.76</v>
      </c>
      <c r="D3069" s="156">
        <f t="shared" si="95"/>
        <v>-2.0695433598659396E-2</v>
      </c>
      <c r="E3069" s="156">
        <v>-4.0007274049826003E-3</v>
      </c>
      <c r="F3069" s="124">
        <v>3063</v>
      </c>
      <c r="G3069" s="238">
        <f t="shared" ca="1" si="96"/>
        <v>-5.1189149615605868E-3</v>
      </c>
      <c r="I3069" s="156"/>
    </row>
    <row r="3070" spans="2:9" x14ac:dyDescent="0.2">
      <c r="B3070" s="230">
        <v>41467</v>
      </c>
      <c r="C3070" s="124">
        <v>232.43</v>
      </c>
      <c r="D3070" s="156">
        <f t="shared" ref="D3070:D3133" si="97">(C3070-C3069)/C3069</f>
        <v>-5.6895961670088303E-3</v>
      </c>
      <c r="E3070" s="156">
        <v>-4.0034438226431634E-3</v>
      </c>
      <c r="F3070" s="124">
        <v>3064</v>
      </c>
      <c r="G3070" s="238">
        <f t="shared" ca="1" si="96"/>
        <v>-3.8231473739982348E-2</v>
      </c>
      <c r="I3070" s="156"/>
    </row>
    <row r="3071" spans="2:9" x14ac:dyDescent="0.2">
      <c r="B3071" s="230">
        <v>41466</v>
      </c>
      <c r="C3071" s="124">
        <v>234.29</v>
      </c>
      <c r="D3071" s="156">
        <f t="shared" si="97"/>
        <v>8.0024093275394108E-3</v>
      </c>
      <c r="E3071" s="156">
        <v>-4.0131002352507246E-3</v>
      </c>
      <c r="F3071" s="124">
        <v>3065</v>
      </c>
      <c r="G3071" s="238">
        <f t="shared" ca="1" si="96"/>
        <v>-2.6292772201506002E-2</v>
      </c>
      <c r="I3071" s="156"/>
    </row>
    <row r="3072" spans="2:9" x14ac:dyDescent="0.2">
      <c r="B3072" s="230">
        <v>41465</v>
      </c>
      <c r="C3072" s="124">
        <v>229.08</v>
      </c>
      <c r="D3072" s="156">
        <f t="shared" si="97"/>
        <v>-2.2237398096376201E-2</v>
      </c>
      <c r="E3072" s="156">
        <v>-4.0186580552565646E-3</v>
      </c>
      <c r="F3072" s="124">
        <v>3066</v>
      </c>
      <c r="G3072" s="238">
        <f t="shared" ca="1" si="96"/>
        <v>1.3975350248871378E-2</v>
      </c>
      <c r="I3072" s="156"/>
    </row>
    <row r="3073" spans="2:9" x14ac:dyDescent="0.2">
      <c r="B3073" s="230">
        <v>41464</v>
      </c>
      <c r="C3073" s="124">
        <v>230.34</v>
      </c>
      <c r="D3073" s="156">
        <f t="shared" si="97"/>
        <v>5.5002619172341144E-3</v>
      </c>
      <c r="E3073" s="156">
        <v>-4.0314912714410761E-3</v>
      </c>
      <c r="F3073" s="124">
        <v>3067</v>
      </c>
      <c r="G3073" s="238">
        <f t="shared" ca="1" si="96"/>
        <v>-3.8627254704155498E-3</v>
      </c>
      <c r="I3073" s="156"/>
    </row>
    <row r="3074" spans="2:9" x14ac:dyDescent="0.2">
      <c r="B3074" s="230">
        <v>41463</v>
      </c>
      <c r="C3074" s="124">
        <v>229.85</v>
      </c>
      <c r="D3074" s="156">
        <f t="shared" si="97"/>
        <v>-2.1272900929061784E-3</v>
      </c>
      <c r="E3074" s="156">
        <v>-4.0360873694206762E-3</v>
      </c>
      <c r="F3074" s="124">
        <v>3068</v>
      </c>
      <c r="G3074" s="238">
        <f t="shared" ca="1" si="96"/>
        <v>-2.5604940384539105E-2</v>
      </c>
      <c r="I3074" s="156"/>
    </row>
    <row r="3075" spans="2:9" x14ac:dyDescent="0.2">
      <c r="B3075" s="230">
        <v>41460</v>
      </c>
      <c r="C3075" s="124">
        <v>227.13</v>
      </c>
      <c r="D3075" s="156">
        <f t="shared" si="97"/>
        <v>-1.1833804655209916E-2</v>
      </c>
      <c r="E3075" s="156">
        <v>-4.0379213483147268E-3</v>
      </c>
      <c r="F3075" s="124">
        <v>3069</v>
      </c>
      <c r="G3075" s="238">
        <f t="shared" ca="1" si="96"/>
        <v>2.020912331584054E-2</v>
      </c>
      <c r="I3075" s="156"/>
    </row>
    <row r="3076" spans="2:9" x14ac:dyDescent="0.2">
      <c r="B3076" s="230">
        <v>41459</v>
      </c>
      <c r="C3076" s="124">
        <v>224.64</v>
      </c>
      <c r="D3076" s="156">
        <f t="shared" si="97"/>
        <v>-1.0962884691586357E-2</v>
      </c>
      <c r="E3076" s="156">
        <v>-4.0413533834587102E-3</v>
      </c>
      <c r="F3076" s="124">
        <v>3070</v>
      </c>
      <c r="G3076" s="238">
        <f t="shared" ca="1" si="96"/>
        <v>-1.6613935124918575E-2</v>
      </c>
      <c r="I3076" s="156"/>
    </row>
    <row r="3077" spans="2:9" x14ac:dyDescent="0.2">
      <c r="B3077" s="230">
        <v>41458</v>
      </c>
      <c r="C3077" s="124">
        <v>216.36</v>
      </c>
      <c r="D3077" s="156">
        <f t="shared" si="97"/>
        <v>-3.6858974358974242E-2</v>
      </c>
      <c r="E3077" s="156">
        <v>-4.043905257076659E-3</v>
      </c>
      <c r="F3077" s="124">
        <v>3071</v>
      </c>
      <c r="G3077" s="238">
        <f t="shared" ca="1" si="96"/>
        <v>-3.440157611679389E-2</v>
      </c>
      <c r="I3077" s="156"/>
    </row>
    <row r="3078" spans="2:9" x14ac:dyDescent="0.2">
      <c r="B3078" s="230">
        <v>41457</v>
      </c>
      <c r="C3078" s="124">
        <v>215.36</v>
      </c>
      <c r="D3078" s="156">
        <f t="shared" si="97"/>
        <v>-4.6219264189314106E-3</v>
      </c>
      <c r="E3078" s="156">
        <v>-4.0472721385785976E-3</v>
      </c>
      <c r="F3078" s="124">
        <v>3072</v>
      </c>
      <c r="G3078" s="238">
        <f t="shared" ca="1" si="96"/>
        <v>1.5246154310441211E-2</v>
      </c>
      <c r="I3078" s="156"/>
    </row>
    <row r="3079" spans="2:9" x14ac:dyDescent="0.2">
      <c r="B3079" s="230">
        <v>41456</v>
      </c>
      <c r="C3079" s="124">
        <v>216.09</v>
      </c>
      <c r="D3079" s="156">
        <f t="shared" si="97"/>
        <v>3.3896731054977236E-3</v>
      </c>
      <c r="E3079" s="156">
        <v>-4.0689788800620198E-3</v>
      </c>
      <c r="F3079" s="124">
        <v>3073</v>
      </c>
      <c r="G3079" s="238">
        <f t="shared" ref="G3079:G3142" ca="1" si="98">_xlfn.NORM.INV(RAND(),$L$8,$L$9)</f>
        <v>-3.0928306813875397E-2</v>
      </c>
      <c r="I3079" s="156"/>
    </row>
    <row r="3080" spans="2:9" x14ac:dyDescent="0.2">
      <c r="B3080" s="230">
        <v>41453</v>
      </c>
      <c r="C3080" s="124">
        <v>215.03</v>
      </c>
      <c r="D3080" s="156">
        <f t="shared" si="97"/>
        <v>-4.9053635059466069E-3</v>
      </c>
      <c r="E3080" s="156">
        <v>-4.0689788800620475E-3</v>
      </c>
      <c r="F3080" s="124">
        <v>3074</v>
      </c>
      <c r="G3080" s="238">
        <f t="shared" ca="1" si="98"/>
        <v>-2.0163000864580699E-2</v>
      </c>
      <c r="I3080" s="156"/>
    </row>
    <row r="3081" spans="2:9" x14ac:dyDescent="0.2">
      <c r="B3081" s="230">
        <v>41452</v>
      </c>
      <c r="C3081" s="124">
        <v>213.27</v>
      </c>
      <c r="D3081" s="156">
        <f t="shared" si="97"/>
        <v>-8.1849044319396869E-3</v>
      </c>
      <c r="E3081" s="156">
        <v>-4.0747842761265311E-3</v>
      </c>
      <c r="F3081" s="124">
        <v>3075</v>
      </c>
      <c r="G3081" s="238">
        <f t="shared" ca="1" si="98"/>
        <v>-6.8651727667746031E-3</v>
      </c>
      <c r="I3081" s="156"/>
    </row>
    <row r="3082" spans="2:9" x14ac:dyDescent="0.2">
      <c r="B3082" s="230">
        <v>41451</v>
      </c>
      <c r="C3082" s="124">
        <v>214.1</v>
      </c>
      <c r="D3082" s="156">
        <f t="shared" si="97"/>
        <v>3.8917803722979512E-3</v>
      </c>
      <c r="E3082" s="156">
        <v>-4.0793621361023338E-3</v>
      </c>
      <c r="F3082" s="124">
        <v>3076</v>
      </c>
      <c r="G3082" s="238">
        <f t="shared" ca="1" si="98"/>
        <v>-2.6060131927475916E-2</v>
      </c>
      <c r="I3082" s="156"/>
    </row>
    <row r="3083" spans="2:9" x14ac:dyDescent="0.2">
      <c r="B3083" s="230">
        <v>41450</v>
      </c>
      <c r="C3083" s="124">
        <v>211.95</v>
      </c>
      <c r="D3083" s="156">
        <f t="shared" si="97"/>
        <v>-1.0042036431574058E-2</v>
      </c>
      <c r="E3083" s="156">
        <v>-4.0941658137154556E-3</v>
      </c>
      <c r="F3083" s="124">
        <v>3077</v>
      </c>
      <c r="G3083" s="238">
        <f t="shared" ca="1" si="98"/>
        <v>6.4173413798014117E-3</v>
      </c>
      <c r="I3083" s="156"/>
    </row>
    <row r="3084" spans="2:9" x14ac:dyDescent="0.2">
      <c r="B3084" s="230">
        <v>41449</v>
      </c>
      <c r="C3084" s="124">
        <v>208.43</v>
      </c>
      <c r="D3084" s="156">
        <f t="shared" si="97"/>
        <v>-1.6607690493040728E-2</v>
      </c>
      <c r="E3084" s="156">
        <v>-4.1004613018964971E-3</v>
      </c>
      <c r="F3084" s="124">
        <v>3078</v>
      </c>
      <c r="G3084" s="238">
        <f t="shared" ca="1" si="98"/>
        <v>5.8208396721324998E-4</v>
      </c>
      <c r="I3084" s="156"/>
    </row>
    <row r="3085" spans="2:9" x14ac:dyDescent="0.2">
      <c r="B3085" s="230">
        <v>41446</v>
      </c>
      <c r="C3085" s="124">
        <v>213.7</v>
      </c>
      <c r="D3085" s="156">
        <f t="shared" si="97"/>
        <v>2.5284268099601697E-2</v>
      </c>
      <c r="E3085" s="156">
        <v>-4.1014168530945786E-3</v>
      </c>
      <c r="F3085" s="124">
        <v>3079</v>
      </c>
      <c r="G3085" s="238">
        <f t="shared" ca="1" si="98"/>
        <v>-7.1676184194313444E-3</v>
      </c>
      <c r="I3085" s="156"/>
    </row>
    <row r="3086" spans="2:9" x14ac:dyDescent="0.2">
      <c r="B3086" s="230">
        <v>41445</v>
      </c>
      <c r="C3086" s="124">
        <v>213.94</v>
      </c>
      <c r="D3086" s="156">
        <f t="shared" si="97"/>
        <v>1.1230697239120687E-3</v>
      </c>
      <c r="E3086" s="156">
        <v>-4.1056765440915174E-3</v>
      </c>
      <c r="F3086" s="124">
        <v>3080</v>
      </c>
      <c r="G3086" s="238">
        <f t="shared" ca="1" si="98"/>
        <v>2.6668535834226556E-2</v>
      </c>
      <c r="I3086" s="156"/>
    </row>
    <row r="3087" spans="2:9" x14ac:dyDescent="0.2">
      <c r="B3087" s="230">
        <v>41444</v>
      </c>
      <c r="C3087" s="124">
        <v>218.71</v>
      </c>
      <c r="D3087" s="156">
        <f t="shared" si="97"/>
        <v>2.2295970832943865E-2</v>
      </c>
      <c r="E3087" s="156">
        <v>-4.1159627773800188E-3</v>
      </c>
      <c r="F3087" s="124">
        <v>3081</v>
      </c>
      <c r="G3087" s="238">
        <f t="shared" ca="1" si="98"/>
        <v>3.8087268772140359E-2</v>
      </c>
      <c r="I3087" s="156"/>
    </row>
    <row r="3088" spans="2:9" x14ac:dyDescent="0.2">
      <c r="B3088" s="230">
        <v>41443</v>
      </c>
      <c r="C3088" s="124">
        <v>218.88</v>
      </c>
      <c r="D3088" s="156">
        <f t="shared" si="97"/>
        <v>7.772849892551209E-4</v>
      </c>
      <c r="E3088" s="156">
        <v>-4.120525366984349E-3</v>
      </c>
      <c r="F3088" s="124">
        <v>3082</v>
      </c>
      <c r="G3088" s="238">
        <f t="shared" ca="1" si="98"/>
        <v>-3.3277010493405416E-2</v>
      </c>
      <c r="I3088" s="156"/>
    </row>
    <row r="3089" spans="2:9" x14ac:dyDescent="0.2">
      <c r="B3089" s="230">
        <v>41442</v>
      </c>
      <c r="C3089" s="124">
        <v>220</v>
      </c>
      <c r="D3089" s="156">
        <f t="shared" si="97"/>
        <v>5.1169590643275059E-3</v>
      </c>
      <c r="E3089" s="156">
        <v>-4.1220115416323163E-3</v>
      </c>
      <c r="F3089" s="124">
        <v>3083</v>
      </c>
      <c r="G3089" s="238">
        <f t="shared" ca="1" si="98"/>
        <v>1.1365815561630183E-2</v>
      </c>
      <c r="I3089" s="156"/>
    </row>
    <row r="3090" spans="2:9" x14ac:dyDescent="0.2">
      <c r="B3090" s="230">
        <v>41439</v>
      </c>
      <c r="C3090" s="124">
        <v>219.94</v>
      </c>
      <c r="D3090" s="156">
        <f t="shared" si="97"/>
        <v>-2.7272727272728304E-4</v>
      </c>
      <c r="E3090" s="156">
        <v>-4.1327822956939379E-3</v>
      </c>
      <c r="F3090" s="124">
        <v>3084</v>
      </c>
      <c r="G3090" s="238">
        <f t="shared" ca="1" si="98"/>
        <v>1.0052207522545377E-2</v>
      </c>
      <c r="I3090" s="156"/>
    </row>
    <row r="3091" spans="2:9" x14ac:dyDescent="0.2">
      <c r="B3091" s="230">
        <v>41438</v>
      </c>
      <c r="C3091" s="124">
        <v>216.79</v>
      </c>
      <c r="D3091" s="156">
        <f t="shared" si="97"/>
        <v>-1.4322087842138792E-2</v>
      </c>
      <c r="E3091" s="156">
        <v>-4.1562759767248547E-3</v>
      </c>
      <c r="F3091" s="124">
        <v>3085</v>
      </c>
      <c r="G3091" s="238">
        <f t="shared" ca="1" si="98"/>
        <v>-1.3915979284458837E-2</v>
      </c>
      <c r="I3091" s="156"/>
    </row>
    <row r="3092" spans="2:9" x14ac:dyDescent="0.2">
      <c r="B3092" s="230">
        <v>41437</v>
      </c>
      <c r="C3092" s="124">
        <v>219.44</v>
      </c>
      <c r="D3092" s="156">
        <f t="shared" si="97"/>
        <v>1.2223811061395848E-2</v>
      </c>
      <c r="E3092" s="156">
        <v>-4.1598842466991654E-3</v>
      </c>
      <c r="F3092" s="124">
        <v>3086</v>
      </c>
      <c r="G3092" s="238">
        <f t="shared" ca="1" si="98"/>
        <v>2.0434642770113313E-2</v>
      </c>
      <c r="I3092" s="156"/>
    </row>
    <row r="3093" spans="2:9" x14ac:dyDescent="0.2">
      <c r="B3093" s="230">
        <v>41436</v>
      </c>
      <c r="C3093" s="124">
        <v>221.66</v>
      </c>
      <c r="D3093" s="156">
        <f t="shared" si="97"/>
        <v>1.0116660590594235E-2</v>
      </c>
      <c r="E3093" s="156">
        <v>-4.1703902293713947E-3</v>
      </c>
      <c r="F3093" s="124">
        <v>3087</v>
      </c>
      <c r="G3093" s="238">
        <f t="shared" ca="1" si="98"/>
        <v>-1.6648706127045384E-2</v>
      </c>
      <c r="I3093" s="156"/>
    </row>
    <row r="3094" spans="2:9" x14ac:dyDescent="0.2">
      <c r="B3094" s="230">
        <v>41435</v>
      </c>
      <c r="C3094" s="124">
        <v>223.42</v>
      </c>
      <c r="D3094" s="156">
        <f t="shared" si="97"/>
        <v>7.9400884237119506E-3</v>
      </c>
      <c r="E3094" s="156">
        <v>-4.1728222274057406E-3</v>
      </c>
      <c r="F3094" s="124">
        <v>3088</v>
      </c>
      <c r="G3094" s="238">
        <f t="shared" ca="1" si="98"/>
        <v>-1.5142299317742456E-3</v>
      </c>
      <c r="I3094" s="156"/>
    </row>
    <row r="3095" spans="2:9" x14ac:dyDescent="0.2">
      <c r="B3095" s="230">
        <v>41432</v>
      </c>
      <c r="C3095" s="124">
        <v>221.33</v>
      </c>
      <c r="D3095" s="156">
        <f t="shared" si="97"/>
        <v>-9.3545788201592293E-3</v>
      </c>
      <c r="E3095" s="156">
        <v>-4.183427192276718E-3</v>
      </c>
      <c r="F3095" s="124">
        <v>3089</v>
      </c>
      <c r="G3095" s="238">
        <f t="shared" ca="1" si="98"/>
        <v>-1.0847439273475283E-2</v>
      </c>
      <c r="I3095" s="156"/>
    </row>
    <row r="3096" spans="2:9" x14ac:dyDescent="0.2">
      <c r="B3096" s="230">
        <v>41431</v>
      </c>
      <c r="C3096" s="124">
        <v>222.02</v>
      </c>
      <c r="D3096" s="156">
        <f t="shared" si="97"/>
        <v>3.1175168300727318E-3</v>
      </c>
      <c r="E3096" s="156">
        <v>-4.1854739433729252E-3</v>
      </c>
      <c r="F3096" s="124">
        <v>3090</v>
      </c>
      <c r="G3096" s="238">
        <f t="shared" ca="1" si="98"/>
        <v>6.6839160143545859E-3</v>
      </c>
      <c r="I3096" s="156"/>
    </row>
    <row r="3097" spans="2:9" x14ac:dyDescent="0.2">
      <c r="B3097" s="230">
        <v>41430</v>
      </c>
      <c r="C3097" s="124">
        <v>221.43</v>
      </c>
      <c r="D3097" s="156">
        <f t="shared" si="97"/>
        <v>-2.6574182506080685E-3</v>
      </c>
      <c r="E3097" s="156">
        <v>-4.1886723729740814E-3</v>
      </c>
      <c r="F3097" s="124">
        <v>3091</v>
      </c>
      <c r="G3097" s="238">
        <f t="shared" ca="1" si="98"/>
        <v>2.5818364259154489E-3</v>
      </c>
      <c r="I3097" s="156"/>
    </row>
    <row r="3098" spans="2:9" x14ac:dyDescent="0.2">
      <c r="B3098" s="230">
        <v>41429</v>
      </c>
      <c r="C3098" s="124">
        <v>223.62</v>
      </c>
      <c r="D3098" s="156">
        <f t="shared" si="97"/>
        <v>9.8902587725240385E-3</v>
      </c>
      <c r="E3098" s="156">
        <v>-4.1899441340782426E-3</v>
      </c>
      <c r="F3098" s="124">
        <v>3092</v>
      </c>
      <c r="G3098" s="238">
        <f t="shared" ca="1" si="98"/>
        <v>-2.2391957118814888E-4</v>
      </c>
      <c r="I3098" s="156"/>
    </row>
    <row r="3099" spans="2:9" x14ac:dyDescent="0.2">
      <c r="B3099" s="230">
        <v>41428</v>
      </c>
      <c r="C3099" s="124">
        <v>222.79</v>
      </c>
      <c r="D3099" s="156">
        <f t="shared" si="97"/>
        <v>-3.7116536982381384E-3</v>
      </c>
      <c r="E3099" s="156">
        <v>-4.1947375111223281E-3</v>
      </c>
      <c r="F3099" s="124">
        <v>3093</v>
      </c>
      <c r="G3099" s="238">
        <f t="shared" ca="1" si="98"/>
        <v>-6.6391257926628339E-3</v>
      </c>
      <c r="I3099" s="156"/>
    </row>
    <row r="3100" spans="2:9" x14ac:dyDescent="0.2">
      <c r="B3100" s="230">
        <v>41425</v>
      </c>
      <c r="C3100" s="124">
        <v>225.34</v>
      </c>
      <c r="D3100" s="156">
        <f t="shared" si="97"/>
        <v>1.1445756093181972E-2</v>
      </c>
      <c r="E3100" s="156">
        <v>-4.2168145480102259E-3</v>
      </c>
      <c r="F3100" s="124">
        <v>3094</v>
      </c>
      <c r="G3100" s="238">
        <f t="shared" ca="1" si="98"/>
        <v>3.8110942461707979E-2</v>
      </c>
      <c r="I3100" s="156"/>
    </row>
    <row r="3101" spans="2:9" x14ac:dyDescent="0.2">
      <c r="B3101" s="230">
        <v>41424</v>
      </c>
      <c r="C3101" s="124">
        <v>234.89</v>
      </c>
      <c r="D3101" s="156">
        <f t="shared" si="97"/>
        <v>4.2380402946658305E-2</v>
      </c>
      <c r="E3101" s="156">
        <v>-4.2190496484125683E-3</v>
      </c>
      <c r="F3101" s="124">
        <v>3095</v>
      </c>
      <c r="G3101" s="238">
        <f t="shared" ca="1" si="98"/>
        <v>-3.2579950055078681E-3</v>
      </c>
      <c r="I3101" s="156"/>
    </row>
    <row r="3102" spans="2:9" x14ac:dyDescent="0.2">
      <c r="B3102" s="230">
        <v>41423</v>
      </c>
      <c r="C3102" s="124">
        <v>227.16</v>
      </c>
      <c r="D3102" s="156">
        <f t="shared" si="97"/>
        <v>-3.2909021243986508E-2</v>
      </c>
      <c r="E3102" s="156">
        <v>-4.2287659223350692E-3</v>
      </c>
      <c r="F3102" s="124">
        <v>3096</v>
      </c>
      <c r="G3102" s="238">
        <f t="shared" ca="1" si="98"/>
        <v>1.4957015705321492E-3</v>
      </c>
      <c r="I3102" s="156"/>
    </row>
    <row r="3103" spans="2:9" x14ac:dyDescent="0.2">
      <c r="B3103" s="230">
        <v>41422</v>
      </c>
      <c r="C3103" s="124">
        <v>225.41</v>
      </c>
      <c r="D3103" s="156">
        <f t="shared" si="97"/>
        <v>-7.7038210952632509E-3</v>
      </c>
      <c r="E3103" s="156">
        <v>-4.2413462854015904E-3</v>
      </c>
      <c r="F3103" s="124">
        <v>3097</v>
      </c>
      <c r="G3103" s="238">
        <f t="shared" ca="1" si="98"/>
        <v>3.0634008329079376E-2</v>
      </c>
      <c r="I3103" s="156"/>
    </row>
    <row r="3104" spans="2:9" x14ac:dyDescent="0.2">
      <c r="B3104" s="230">
        <v>41421</v>
      </c>
      <c r="C3104" s="124">
        <v>221.36</v>
      </c>
      <c r="D3104" s="156">
        <f t="shared" si="97"/>
        <v>-1.7967259660174716E-2</v>
      </c>
      <c r="E3104" s="156">
        <v>-4.251773352704916E-3</v>
      </c>
      <c r="F3104" s="124">
        <v>3098</v>
      </c>
      <c r="G3104" s="238">
        <f t="shared" ca="1" si="98"/>
        <v>-2.7055278543023465E-2</v>
      </c>
      <c r="I3104" s="156"/>
    </row>
    <row r="3105" spans="2:9" x14ac:dyDescent="0.2">
      <c r="B3105" s="230">
        <v>41418</v>
      </c>
      <c r="C3105" s="124">
        <v>218.71</v>
      </c>
      <c r="D3105" s="156">
        <f t="shared" si="97"/>
        <v>-1.1971449222985207E-2</v>
      </c>
      <c r="E3105" s="156">
        <v>-4.2617305208782139E-3</v>
      </c>
      <c r="F3105" s="124">
        <v>3099</v>
      </c>
      <c r="G3105" s="238">
        <f t="shared" ca="1" si="98"/>
        <v>-3.0761074495140057E-3</v>
      </c>
      <c r="I3105" s="156"/>
    </row>
    <row r="3106" spans="2:9" x14ac:dyDescent="0.2">
      <c r="B3106" s="230">
        <v>41417</v>
      </c>
      <c r="C3106" s="124">
        <v>220.43</v>
      </c>
      <c r="D3106" s="156">
        <f t="shared" si="97"/>
        <v>7.8642951854053251E-3</v>
      </c>
      <c r="E3106" s="156">
        <v>-4.268774703557362E-3</v>
      </c>
      <c r="F3106" s="124">
        <v>3100</v>
      </c>
      <c r="G3106" s="238">
        <f t="shared" ca="1" si="98"/>
        <v>3.2210678190857851E-3</v>
      </c>
      <c r="I3106" s="156"/>
    </row>
    <row r="3107" spans="2:9" x14ac:dyDescent="0.2">
      <c r="B3107" s="230">
        <v>41416</v>
      </c>
      <c r="C3107" s="124">
        <v>222.45</v>
      </c>
      <c r="D3107" s="156">
        <f t="shared" si="97"/>
        <v>9.1639069092227989E-3</v>
      </c>
      <c r="E3107" s="156">
        <v>-4.2742349119507606E-3</v>
      </c>
      <c r="F3107" s="124">
        <v>3101</v>
      </c>
      <c r="G3107" s="238">
        <f t="shared" ca="1" si="98"/>
        <v>-1.6472911357798818E-2</v>
      </c>
      <c r="I3107" s="156"/>
    </row>
    <row r="3108" spans="2:9" x14ac:dyDescent="0.2">
      <c r="B3108" s="230">
        <v>41415</v>
      </c>
      <c r="C3108" s="124">
        <v>219.44</v>
      </c>
      <c r="D3108" s="156">
        <f t="shared" si="97"/>
        <v>-1.3531130591144037E-2</v>
      </c>
      <c r="E3108" s="156">
        <v>-4.2766827817031514E-3</v>
      </c>
      <c r="F3108" s="124">
        <v>3102</v>
      </c>
      <c r="G3108" s="238">
        <f t="shared" ca="1" si="98"/>
        <v>2.8015826749459814E-2</v>
      </c>
      <c r="I3108" s="156"/>
    </row>
    <row r="3109" spans="2:9" x14ac:dyDescent="0.2">
      <c r="B3109" s="230">
        <v>41414</v>
      </c>
      <c r="C3109" s="124">
        <v>221.86</v>
      </c>
      <c r="D3109" s="156">
        <f t="shared" si="97"/>
        <v>1.1028071454611812E-2</v>
      </c>
      <c r="E3109" s="156">
        <v>-4.2767679853368129E-3</v>
      </c>
      <c r="F3109" s="124">
        <v>3103</v>
      </c>
      <c r="G3109" s="238">
        <f t="shared" ca="1" si="98"/>
        <v>1.6158778553634793E-2</v>
      </c>
      <c r="I3109" s="156"/>
    </row>
    <row r="3110" spans="2:9" x14ac:dyDescent="0.2">
      <c r="B3110" s="230">
        <v>41411</v>
      </c>
      <c r="C3110" s="124">
        <v>222.02</v>
      </c>
      <c r="D3110" s="156">
        <f t="shared" si="97"/>
        <v>7.2117551609121328E-4</v>
      </c>
      <c r="E3110" s="156">
        <v>-4.2821158690176039E-3</v>
      </c>
      <c r="F3110" s="124">
        <v>3104</v>
      </c>
      <c r="G3110" s="238">
        <f t="shared" ca="1" si="98"/>
        <v>-1.0917511353901753E-2</v>
      </c>
      <c r="I3110" s="156"/>
    </row>
    <row r="3111" spans="2:9" x14ac:dyDescent="0.2">
      <c r="B3111" s="230">
        <v>41410</v>
      </c>
      <c r="C3111" s="124">
        <v>223.42</v>
      </c>
      <c r="D3111" s="156">
        <f t="shared" si="97"/>
        <v>6.3057382217817188E-3</v>
      </c>
      <c r="E3111" s="156">
        <v>-4.2826552462526769E-3</v>
      </c>
      <c r="F3111" s="124">
        <v>3105</v>
      </c>
      <c r="G3111" s="238">
        <f t="shared" ca="1" si="98"/>
        <v>1.8697069762731357E-2</v>
      </c>
      <c r="I3111" s="156"/>
    </row>
    <row r="3112" spans="2:9" x14ac:dyDescent="0.2">
      <c r="B3112" s="230">
        <v>41409</v>
      </c>
      <c r="C3112" s="124">
        <v>227.03</v>
      </c>
      <c r="D3112" s="156">
        <f t="shared" si="97"/>
        <v>1.615790887118438E-2</v>
      </c>
      <c r="E3112" s="156">
        <v>-4.292962143879254E-3</v>
      </c>
      <c r="F3112" s="124">
        <v>3106</v>
      </c>
      <c r="G3112" s="238">
        <f t="shared" ca="1" si="98"/>
        <v>-3.5302454404419776E-3</v>
      </c>
      <c r="I3112" s="156"/>
    </row>
    <row r="3113" spans="2:9" x14ac:dyDescent="0.2">
      <c r="B3113" s="230">
        <v>41408</v>
      </c>
      <c r="C3113" s="124">
        <v>222.65</v>
      </c>
      <c r="D3113" s="156">
        <f t="shared" si="97"/>
        <v>-1.9292604501607698E-2</v>
      </c>
      <c r="E3113" s="156">
        <v>-4.2959427207637504E-3</v>
      </c>
      <c r="F3113" s="124">
        <v>3107</v>
      </c>
      <c r="G3113" s="238">
        <f t="shared" ca="1" si="98"/>
        <v>-2.1002732116062586E-2</v>
      </c>
      <c r="I3113" s="156"/>
    </row>
    <row r="3114" spans="2:9" x14ac:dyDescent="0.2">
      <c r="B3114" s="230">
        <v>41407</v>
      </c>
      <c r="C3114" s="124">
        <v>222.62</v>
      </c>
      <c r="D3114" s="156">
        <f t="shared" si="97"/>
        <v>-1.34740624298231E-4</v>
      </c>
      <c r="E3114" s="156">
        <v>-4.2979942693409335E-3</v>
      </c>
      <c r="F3114" s="124">
        <v>3108</v>
      </c>
      <c r="G3114" s="238">
        <f t="shared" ca="1" si="98"/>
        <v>-1.8757864734108103E-2</v>
      </c>
      <c r="I3114" s="156"/>
    </row>
    <row r="3115" spans="2:9" x14ac:dyDescent="0.2">
      <c r="B3115" s="230">
        <v>41405</v>
      </c>
      <c r="C3115" s="124">
        <v>234.79</v>
      </c>
      <c r="D3115" s="156">
        <f t="shared" si="97"/>
        <v>5.4667145809001831E-2</v>
      </c>
      <c r="E3115" s="156">
        <v>-4.3176271822790305E-3</v>
      </c>
      <c r="F3115" s="124">
        <v>3109</v>
      </c>
      <c r="G3115" s="238">
        <f t="shared" ca="1" si="98"/>
        <v>-1.5332058732773382E-3</v>
      </c>
      <c r="I3115" s="156"/>
    </row>
    <row r="3116" spans="2:9" x14ac:dyDescent="0.2">
      <c r="B3116" s="230">
        <v>41404</v>
      </c>
      <c r="C3116" s="124">
        <v>234.12</v>
      </c>
      <c r="D3116" s="156">
        <f t="shared" si="97"/>
        <v>-2.853613867711519E-3</v>
      </c>
      <c r="E3116" s="156">
        <v>-4.3220745958060594E-3</v>
      </c>
      <c r="F3116" s="124">
        <v>3110</v>
      </c>
      <c r="G3116" s="238">
        <f t="shared" ca="1" si="98"/>
        <v>-1.8026309028917557E-3</v>
      </c>
      <c r="I3116" s="156"/>
    </row>
    <row r="3117" spans="2:9" x14ac:dyDescent="0.2">
      <c r="B3117" s="230">
        <v>41403</v>
      </c>
      <c r="C3117" s="124">
        <v>228.39</v>
      </c>
      <c r="D3117" s="156">
        <f t="shared" si="97"/>
        <v>-2.4474628395694593E-2</v>
      </c>
      <c r="E3117" s="156">
        <v>-4.3238407633814238E-3</v>
      </c>
      <c r="F3117" s="124">
        <v>3111</v>
      </c>
      <c r="G3117" s="238">
        <f t="shared" ca="1" si="98"/>
        <v>-1.6049979086006184E-2</v>
      </c>
      <c r="I3117" s="156"/>
    </row>
    <row r="3118" spans="2:9" x14ac:dyDescent="0.2">
      <c r="B3118" s="230">
        <v>41402</v>
      </c>
      <c r="C3118" s="124">
        <v>227.26</v>
      </c>
      <c r="D3118" s="156">
        <f t="shared" si="97"/>
        <v>-4.9476772187923967E-3</v>
      </c>
      <c r="E3118" s="156">
        <v>-4.3357613596947623E-3</v>
      </c>
      <c r="F3118" s="124">
        <v>3112</v>
      </c>
      <c r="G3118" s="238">
        <f t="shared" ca="1" si="98"/>
        <v>2.3462425003744087E-2</v>
      </c>
      <c r="I3118" s="156"/>
    </row>
    <row r="3119" spans="2:9" x14ac:dyDescent="0.2">
      <c r="B3119" s="230">
        <v>41401</v>
      </c>
      <c r="C3119" s="124">
        <v>222.29</v>
      </c>
      <c r="D3119" s="156">
        <f t="shared" si="97"/>
        <v>-2.1869224676581884E-2</v>
      </c>
      <c r="E3119" s="156">
        <v>-4.3372714031395861E-3</v>
      </c>
      <c r="F3119" s="124">
        <v>3113</v>
      </c>
      <c r="G3119" s="238">
        <f t="shared" ca="1" si="98"/>
        <v>-1.2595196082950942E-2</v>
      </c>
      <c r="I3119" s="156"/>
    </row>
    <row r="3120" spans="2:9" x14ac:dyDescent="0.2">
      <c r="B3120" s="230">
        <v>41400</v>
      </c>
      <c r="C3120" s="124">
        <v>216.26</v>
      </c>
      <c r="D3120" s="156">
        <f t="shared" si="97"/>
        <v>-2.7126726348463723E-2</v>
      </c>
      <c r="E3120" s="156">
        <v>-4.3396564065855351E-3</v>
      </c>
      <c r="F3120" s="124">
        <v>3114</v>
      </c>
      <c r="G3120" s="238">
        <f t="shared" ca="1" si="98"/>
        <v>-1.807950062009429E-2</v>
      </c>
      <c r="I3120" s="156"/>
    </row>
    <row r="3121" spans="2:9" x14ac:dyDescent="0.2">
      <c r="B3121" s="230">
        <v>41397</v>
      </c>
      <c r="C3121" s="124">
        <v>219.24</v>
      </c>
      <c r="D3121" s="156">
        <f t="shared" si="97"/>
        <v>1.3779709608804301E-2</v>
      </c>
      <c r="E3121" s="156">
        <v>-4.3408035534020471E-3</v>
      </c>
      <c r="F3121" s="124">
        <v>3115</v>
      </c>
      <c r="G3121" s="238">
        <f t="shared" ca="1" si="98"/>
        <v>1.1937265172527281E-2</v>
      </c>
      <c r="I3121" s="156"/>
    </row>
    <row r="3122" spans="2:9" x14ac:dyDescent="0.2">
      <c r="B3122" s="230">
        <v>41396</v>
      </c>
      <c r="C3122" s="124">
        <v>221.13</v>
      </c>
      <c r="D3122" s="156">
        <f t="shared" si="97"/>
        <v>8.6206896551723512E-3</v>
      </c>
      <c r="E3122" s="156">
        <v>-4.3494019572308399E-3</v>
      </c>
      <c r="F3122" s="124">
        <v>3116</v>
      </c>
      <c r="G3122" s="238">
        <f t="shared" ca="1" si="98"/>
        <v>-5.1153875599970963E-3</v>
      </c>
      <c r="I3122" s="156"/>
    </row>
    <row r="3123" spans="2:9" x14ac:dyDescent="0.2">
      <c r="B3123" s="230">
        <v>41394</v>
      </c>
      <c r="C3123" s="124">
        <v>218.01</v>
      </c>
      <c r="D3123" s="156">
        <f t="shared" si="97"/>
        <v>-1.4109347442680796E-2</v>
      </c>
      <c r="E3123" s="156">
        <v>-4.3631353337415281E-3</v>
      </c>
      <c r="F3123" s="124">
        <v>3117</v>
      </c>
      <c r="G3123" s="238">
        <f t="shared" ca="1" si="98"/>
        <v>-2.6438940739136628E-2</v>
      </c>
      <c r="I3123" s="156"/>
    </row>
    <row r="3124" spans="2:9" x14ac:dyDescent="0.2">
      <c r="B3124" s="230">
        <v>41393</v>
      </c>
      <c r="C3124" s="124">
        <v>215.23</v>
      </c>
      <c r="D3124" s="156">
        <f t="shared" si="97"/>
        <v>-1.2751708637218482E-2</v>
      </c>
      <c r="E3124" s="156">
        <v>-4.3668122270742894E-3</v>
      </c>
      <c r="F3124" s="124">
        <v>3118</v>
      </c>
      <c r="G3124" s="238">
        <f t="shared" ca="1" si="98"/>
        <v>-1.5159640843328914E-2</v>
      </c>
      <c r="I3124" s="156"/>
    </row>
    <row r="3125" spans="2:9" x14ac:dyDescent="0.2">
      <c r="B3125" s="230">
        <v>41390</v>
      </c>
      <c r="C3125" s="124">
        <v>211.42</v>
      </c>
      <c r="D3125" s="156">
        <f t="shared" si="97"/>
        <v>-1.7701993216559041E-2</v>
      </c>
      <c r="E3125" s="156">
        <v>-4.3805965341749565E-3</v>
      </c>
      <c r="F3125" s="124">
        <v>3119</v>
      </c>
      <c r="G3125" s="238">
        <f t="shared" ca="1" si="98"/>
        <v>2.1696297640468811E-3</v>
      </c>
      <c r="I3125" s="156"/>
    </row>
    <row r="3126" spans="2:9" x14ac:dyDescent="0.2">
      <c r="B3126" s="230">
        <v>41389</v>
      </c>
      <c r="C3126" s="124">
        <v>212.05</v>
      </c>
      <c r="D3126" s="156">
        <f t="shared" si="97"/>
        <v>2.9798505344812405E-3</v>
      </c>
      <c r="E3126" s="156">
        <v>-4.3859649122807015E-3</v>
      </c>
      <c r="F3126" s="124">
        <v>3120</v>
      </c>
      <c r="G3126" s="238">
        <f t="shared" ca="1" si="98"/>
        <v>1.1810528471226715E-2</v>
      </c>
      <c r="I3126" s="156"/>
    </row>
    <row r="3127" spans="2:9" x14ac:dyDescent="0.2">
      <c r="B3127" s="230">
        <v>41387</v>
      </c>
      <c r="C3127" s="124">
        <v>210.55</v>
      </c>
      <c r="D3127" s="156">
        <f t="shared" si="97"/>
        <v>-7.0738033482669179E-3</v>
      </c>
      <c r="E3127" s="156">
        <v>-4.3886739702871259E-3</v>
      </c>
      <c r="F3127" s="124">
        <v>3121</v>
      </c>
      <c r="G3127" s="238">
        <f t="shared" ca="1" si="98"/>
        <v>2.5859680791107988E-3</v>
      </c>
      <c r="I3127" s="156"/>
    </row>
    <row r="3128" spans="2:9" x14ac:dyDescent="0.2">
      <c r="B3128" s="230">
        <v>41386</v>
      </c>
      <c r="C3128" s="124">
        <v>210.16</v>
      </c>
      <c r="D3128" s="156">
        <f t="shared" si="97"/>
        <v>-1.8522916171931358E-3</v>
      </c>
      <c r="E3128" s="156">
        <v>-4.4044710933451685E-3</v>
      </c>
      <c r="F3128" s="124">
        <v>3122</v>
      </c>
      <c r="G3128" s="238">
        <f t="shared" ca="1" si="98"/>
        <v>2.0641150532881979E-2</v>
      </c>
      <c r="I3128" s="156"/>
    </row>
    <row r="3129" spans="2:9" x14ac:dyDescent="0.2">
      <c r="B3129" s="230">
        <v>41382</v>
      </c>
      <c r="C3129" s="124">
        <v>209.03</v>
      </c>
      <c r="D3129" s="156">
        <f t="shared" si="97"/>
        <v>-5.3768557289683837E-3</v>
      </c>
      <c r="E3129" s="156">
        <v>-4.4182621502210804E-3</v>
      </c>
      <c r="F3129" s="124">
        <v>3123</v>
      </c>
      <c r="G3129" s="238">
        <f t="shared" ca="1" si="98"/>
        <v>2.0479664579697059E-2</v>
      </c>
      <c r="I3129" s="156"/>
    </row>
    <row r="3130" spans="2:9" x14ac:dyDescent="0.2">
      <c r="B3130" s="230">
        <v>41381</v>
      </c>
      <c r="C3130" s="124">
        <v>207.57</v>
      </c>
      <c r="D3130" s="156">
        <f t="shared" si="97"/>
        <v>-6.9846433526288476E-3</v>
      </c>
      <c r="E3130" s="156">
        <v>-4.4263191923210148E-3</v>
      </c>
      <c r="F3130" s="124">
        <v>3124</v>
      </c>
      <c r="G3130" s="238">
        <f t="shared" ca="1" si="98"/>
        <v>-3.1442347847964176E-3</v>
      </c>
      <c r="I3130" s="156"/>
    </row>
    <row r="3131" spans="2:9" x14ac:dyDescent="0.2">
      <c r="B3131" s="230">
        <v>41380</v>
      </c>
      <c r="C3131" s="124">
        <v>204.16</v>
      </c>
      <c r="D3131" s="156">
        <f t="shared" si="97"/>
        <v>-1.6428192898781117E-2</v>
      </c>
      <c r="E3131" s="156">
        <v>-4.4397087551056652E-3</v>
      </c>
      <c r="F3131" s="124">
        <v>3125</v>
      </c>
      <c r="G3131" s="238">
        <f t="shared" ca="1" si="98"/>
        <v>-1.571384506823208E-2</v>
      </c>
      <c r="I3131" s="156"/>
    </row>
    <row r="3132" spans="2:9" x14ac:dyDescent="0.2">
      <c r="B3132" s="230">
        <v>41379</v>
      </c>
      <c r="C3132" s="124">
        <v>198.85</v>
      </c>
      <c r="D3132" s="156">
        <f t="shared" si="97"/>
        <v>-2.6009012539184966E-2</v>
      </c>
      <c r="E3132" s="156">
        <v>-4.4491221355786575E-3</v>
      </c>
      <c r="F3132" s="124">
        <v>3126</v>
      </c>
      <c r="G3132" s="238">
        <f t="shared" ca="1" si="98"/>
        <v>-1.7541280766326852E-2</v>
      </c>
      <c r="I3132" s="156"/>
    </row>
    <row r="3133" spans="2:9" x14ac:dyDescent="0.2">
      <c r="B3133" s="230">
        <v>41376</v>
      </c>
      <c r="C3133" s="124">
        <v>194.18</v>
      </c>
      <c r="D3133" s="156">
        <f t="shared" si="97"/>
        <v>-2.3485038974101018E-2</v>
      </c>
      <c r="E3133" s="156">
        <v>-4.4504450445043827E-3</v>
      </c>
      <c r="F3133" s="124">
        <v>3127</v>
      </c>
      <c r="G3133" s="238">
        <f t="shared" ca="1" si="98"/>
        <v>1.3096533159649457E-2</v>
      </c>
      <c r="I3133" s="156"/>
    </row>
    <row r="3134" spans="2:9" x14ac:dyDescent="0.2">
      <c r="B3134" s="230">
        <v>41375</v>
      </c>
      <c r="C3134" s="124">
        <v>189.14</v>
      </c>
      <c r="D3134" s="156">
        <f t="shared" ref="D3134:D3197" si="99">(C3134-C3133)/C3133</f>
        <v>-2.5955299206921519E-2</v>
      </c>
      <c r="E3134" s="156">
        <v>-4.4525234370213166E-3</v>
      </c>
      <c r="F3134" s="124">
        <v>3128</v>
      </c>
      <c r="G3134" s="238">
        <f t="shared" ca="1" si="98"/>
        <v>-3.5489604888518655E-2</v>
      </c>
      <c r="I3134" s="156"/>
    </row>
    <row r="3135" spans="2:9" x14ac:dyDescent="0.2">
      <c r="B3135" s="230">
        <v>41374</v>
      </c>
      <c r="C3135" s="124">
        <v>188.84</v>
      </c>
      <c r="D3135" s="156">
        <f t="shared" si="99"/>
        <v>-1.5861266786506448E-3</v>
      </c>
      <c r="E3135" s="156">
        <v>-4.4543429844097768E-3</v>
      </c>
      <c r="F3135" s="124">
        <v>3129</v>
      </c>
      <c r="G3135" s="238">
        <f t="shared" ca="1" si="98"/>
        <v>-1.0891543592477144E-2</v>
      </c>
      <c r="I3135" s="156"/>
    </row>
    <row r="3136" spans="2:9" x14ac:dyDescent="0.2">
      <c r="B3136" s="230">
        <v>41373</v>
      </c>
      <c r="C3136" s="124">
        <v>190.4</v>
      </c>
      <c r="D3136" s="156">
        <f t="shared" si="99"/>
        <v>8.2609616606651257E-3</v>
      </c>
      <c r="E3136" s="156">
        <v>-4.4577511643380963E-3</v>
      </c>
      <c r="F3136" s="124">
        <v>3130</v>
      </c>
      <c r="G3136" s="238">
        <f t="shared" ca="1" si="98"/>
        <v>-1.3027908920718591E-2</v>
      </c>
      <c r="I3136" s="156"/>
    </row>
    <row r="3137" spans="2:9" x14ac:dyDescent="0.2">
      <c r="B3137" s="230">
        <v>41372</v>
      </c>
      <c r="C3137" s="124">
        <v>194.15</v>
      </c>
      <c r="D3137" s="156">
        <f t="shared" si="99"/>
        <v>1.9695378151260504E-2</v>
      </c>
      <c r="E3137" s="156">
        <v>-4.4599217986315866E-3</v>
      </c>
      <c r="F3137" s="124">
        <v>3131</v>
      </c>
      <c r="G3137" s="238">
        <f t="shared" ca="1" si="98"/>
        <v>1.9676479513670561E-2</v>
      </c>
      <c r="I3137" s="156"/>
    </row>
    <row r="3138" spans="2:9" x14ac:dyDescent="0.2">
      <c r="B3138" s="230">
        <v>41369</v>
      </c>
      <c r="C3138" s="124">
        <v>193.12</v>
      </c>
      <c r="D3138" s="156">
        <f t="shared" si="99"/>
        <v>-5.3051764099922797E-3</v>
      </c>
      <c r="E3138" s="156">
        <v>-4.4670661254643902E-3</v>
      </c>
      <c r="F3138" s="124">
        <v>3132</v>
      </c>
      <c r="G3138" s="238">
        <f t="shared" ca="1" si="98"/>
        <v>-1.3719690875711137E-2</v>
      </c>
      <c r="I3138" s="156"/>
    </row>
    <row r="3139" spans="2:9" x14ac:dyDescent="0.2">
      <c r="B3139" s="230">
        <v>41368</v>
      </c>
      <c r="C3139" s="124">
        <v>198.59</v>
      </c>
      <c r="D3139" s="156">
        <f t="shared" si="99"/>
        <v>2.8324357912178948E-2</v>
      </c>
      <c r="E3139" s="156">
        <v>-4.4729206963250064E-3</v>
      </c>
      <c r="F3139" s="124">
        <v>3133</v>
      </c>
      <c r="G3139" s="238">
        <f t="shared" ca="1" si="98"/>
        <v>-8.1693473528072005E-3</v>
      </c>
      <c r="I3139" s="156"/>
    </row>
    <row r="3140" spans="2:9" x14ac:dyDescent="0.2">
      <c r="B3140" s="230">
        <v>41367</v>
      </c>
      <c r="C3140" s="124">
        <v>203.93</v>
      </c>
      <c r="D3140" s="156">
        <f t="shared" si="99"/>
        <v>2.6889571478926448E-2</v>
      </c>
      <c r="E3140" s="156">
        <v>-4.480035840286627E-3</v>
      </c>
      <c r="F3140" s="124">
        <v>3134</v>
      </c>
      <c r="G3140" s="238">
        <f t="shared" ca="1" si="98"/>
        <v>7.6335911128524838E-3</v>
      </c>
      <c r="I3140" s="156"/>
    </row>
    <row r="3141" spans="2:9" x14ac:dyDescent="0.2">
      <c r="B3141" s="230">
        <v>41366</v>
      </c>
      <c r="C3141" s="124">
        <v>203.63</v>
      </c>
      <c r="D3141" s="156">
        <f t="shared" si="99"/>
        <v>-1.4710930221154875E-3</v>
      </c>
      <c r="E3141" s="156">
        <v>-4.4915402058259253E-3</v>
      </c>
      <c r="F3141" s="124">
        <v>3135</v>
      </c>
      <c r="G3141" s="238">
        <f t="shared" ca="1" si="98"/>
        <v>1.741097825974116E-2</v>
      </c>
      <c r="I3141" s="156"/>
    </row>
    <row r="3142" spans="2:9" x14ac:dyDescent="0.2">
      <c r="B3142" s="230">
        <v>41365</v>
      </c>
      <c r="C3142" s="124">
        <v>203.66</v>
      </c>
      <c r="D3142" s="156">
        <f t="shared" si="99"/>
        <v>1.4732603250995009E-4</v>
      </c>
      <c r="E3142" s="156">
        <v>-4.4921875000000222E-3</v>
      </c>
      <c r="F3142" s="124">
        <v>3136</v>
      </c>
      <c r="G3142" s="238">
        <f t="shared" ca="1" si="98"/>
        <v>-6.9244505376395789E-4</v>
      </c>
      <c r="I3142" s="156"/>
    </row>
    <row r="3143" spans="2:9" x14ac:dyDescent="0.2">
      <c r="B3143" s="230">
        <v>41361</v>
      </c>
      <c r="C3143" s="124">
        <v>205.15</v>
      </c>
      <c r="D3143" s="156">
        <f t="shared" si="99"/>
        <v>7.3161150937838017E-3</v>
      </c>
      <c r="E3143" s="156">
        <v>-4.4947860481841066E-3</v>
      </c>
      <c r="F3143" s="124">
        <v>3137</v>
      </c>
      <c r="G3143" s="238">
        <f t="shared" ref="G3143:G3206" ca="1" si="100">_xlfn.NORM.INV(RAND(),$L$8,$L$9)</f>
        <v>1.2475383780026555E-3</v>
      </c>
      <c r="I3143" s="156"/>
    </row>
    <row r="3144" spans="2:9" x14ac:dyDescent="0.2">
      <c r="B3144" s="230">
        <v>41359</v>
      </c>
      <c r="C3144" s="124">
        <v>203.1</v>
      </c>
      <c r="D3144" s="156">
        <f t="shared" si="99"/>
        <v>-9.9926882768706371E-3</v>
      </c>
      <c r="E3144" s="156">
        <v>-4.4954270655713259E-3</v>
      </c>
      <c r="F3144" s="124">
        <v>3138</v>
      </c>
      <c r="G3144" s="238">
        <f t="shared" ca="1" si="100"/>
        <v>-3.152256648207187E-2</v>
      </c>
      <c r="I3144" s="156"/>
    </row>
    <row r="3145" spans="2:9" x14ac:dyDescent="0.2">
      <c r="B3145" s="230">
        <v>41358</v>
      </c>
      <c r="C3145" s="124">
        <v>200.48</v>
      </c>
      <c r="D3145" s="156">
        <f t="shared" si="99"/>
        <v>-1.2900049236829171E-2</v>
      </c>
      <c r="E3145" s="156">
        <v>-4.5071859852028329E-3</v>
      </c>
      <c r="F3145" s="124">
        <v>3139</v>
      </c>
      <c r="G3145" s="238">
        <f t="shared" ca="1" si="100"/>
        <v>-1.0028813532916209E-2</v>
      </c>
      <c r="I3145" s="156"/>
    </row>
    <row r="3146" spans="2:9" x14ac:dyDescent="0.2">
      <c r="B3146" s="230">
        <v>41355</v>
      </c>
      <c r="C3146" s="124">
        <v>202.6</v>
      </c>
      <c r="D3146" s="156">
        <f t="shared" si="99"/>
        <v>1.0574620909816463E-2</v>
      </c>
      <c r="E3146" s="156">
        <v>-4.5078559236728134E-3</v>
      </c>
      <c r="F3146" s="124">
        <v>3140</v>
      </c>
      <c r="G3146" s="238">
        <f t="shared" ca="1" si="100"/>
        <v>1.8076220716724024E-2</v>
      </c>
      <c r="I3146" s="156"/>
    </row>
    <row r="3147" spans="2:9" x14ac:dyDescent="0.2">
      <c r="B3147" s="230">
        <v>41354</v>
      </c>
      <c r="C3147" s="124">
        <v>202.2</v>
      </c>
      <c r="D3147" s="156">
        <f t="shared" si="99"/>
        <v>-1.9743336623889718E-3</v>
      </c>
      <c r="E3147" s="156">
        <v>-4.5118051601033826E-3</v>
      </c>
      <c r="F3147" s="124">
        <v>3141</v>
      </c>
      <c r="G3147" s="238">
        <f t="shared" ca="1" si="100"/>
        <v>-1.041618404888163E-2</v>
      </c>
      <c r="I3147" s="156"/>
    </row>
    <row r="3148" spans="2:9" x14ac:dyDescent="0.2">
      <c r="B3148" s="230">
        <v>41353</v>
      </c>
      <c r="C3148" s="124">
        <v>203.66</v>
      </c>
      <c r="D3148" s="156">
        <f t="shared" si="99"/>
        <v>7.2205736894164589E-3</v>
      </c>
      <c r="E3148" s="156">
        <v>-4.5133437990581629E-3</v>
      </c>
      <c r="F3148" s="124">
        <v>3142</v>
      </c>
      <c r="G3148" s="238">
        <f t="shared" ca="1" si="100"/>
        <v>6.7480315383188225E-3</v>
      </c>
      <c r="I3148" s="156"/>
    </row>
    <row r="3149" spans="2:9" x14ac:dyDescent="0.2">
      <c r="B3149" s="230">
        <v>41352</v>
      </c>
      <c r="C3149" s="124">
        <v>203.06</v>
      </c>
      <c r="D3149" s="156">
        <f t="shared" si="99"/>
        <v>-2.9460866149464515E-3</v>
      </c>
      <c r="E3149" s="156">
        <v>-4.5226799095464468E-3</v>
      </c>
      <c r="F3149" s="124">
        <v>3143</v>
      </c>
      <c r="G3149" s="238">
        <f t="shared" ca="1" si="100"/>
        <v>1.8845151357069906E-3</v>
      </c>
      <c r="I3149" s="156"/>
    </row>
    <row r="3150" spans="2:9" x14ac:dyDescent="0.2">
      <c r="B3150" s="230">
        <v>41351</v>
      </c>
      <c r="C3150" s="124">
        <v>201.7</v>
      </c>
      <c r="D3150" s="156">
        <f t="shared" si="99"/>
        <v>-6.6975278242884552E-3</v>
      </c>
      <c r="E3150" s="156">
        <v>-4.5344619105200275E-3</v>
      </c>
      <c r="F3150" s="124">
        <v>3144</v>
      </c>
      <c r="G3150" s="238">
        <f t="shared" ca="1" si="100"/>
        <v>-3.2792573291456767E-3</v>
      </c>
      <c r="I3150" s="156"/>
    </row>
    <row r="3151" spans="2:9" x14ac:dyDescent="0.2">
      <c r="B3151" s="230">
        <v>41348</v>
      </c>
      <c r="C3151" s="124">
        <v>200.15</v>
      </c>
      <c r="D3151" s="156">
        <f t="shared" si="99"/>
        <v>-7.684680218145677E-3</v>
      </c>
      <c r="E3151" s="156">
        <v>-4.5405405405405897E-3</v>
      </c>
      <c r="F3151" s="124">
        <v>3145</v>
      </c>
      <c r="G3151" s="238">
        <f t="shared" ca="1" si="100"/>
        <v>-1.7771999187418955E-2</v>
      </c>
      <c r="I3151" s="156"/>
    </row>
    <row r="3152" spans="2:9" x14ac:dyDescent="0.2">
      <c r="B3152" s="230">
        <v>41347</v>
      </c>
      <c r="C3152" s="124">
        <v>200.15</v>
      </c>
      <c r="D3152" s="156">
        <f t="shared" si="99"/>
        <v>0</v>
      </c>
      <c r="E3152" s="156">
        <v>-4.5468964787986959E-3</v>
      </c>
      <c r="F3152" s="124">
        <v>3146</v>
      </c>
      <c r="G3152" s="238">
        <f t="shared" ca="1" si="100"/>
        <v>-1.4745979886561913E-2</v>
      </c>
      <c r="I3152" s="156"/>
    </row>
    <row r="3153" spans="2:9" x14ac:dyDescent="0.2">
      <c r="B3153" s="230">
        <v>41346</v>
      </c>
      <c r="C3153" s="124">
        <v>199.98</v>
      </c>
      <c r="D3153" s="156">
        <f t="shared" si="99"/>
        <v>-8.4936297776675449E-4</v>
      </c>
      <c r="E3153" s="156">
        <v>-4.5687134502923974E-3</v>
      </c>
      <c r="F3153" s="124">
        <v>3147</v>
      </c>
      <c r="G3153" s="238">
        <f t="shared" ca="1" si="100"/>
        <v>8.3963405840635635E-3</v>
      </c>
      <c r="I3153" s="156"/>
    </row>
    <row r="3154" spans="2:9" x14ac:dyDescent="0.2">
      <c r="B3154" s="230">
        <v>41345</v>
      </c>
      <c r="C3154" s="124">
        <v>198.12</v>
      </c>
      <c r="D3154" s="156">
        <f t="shared" si="99"/>
        <v>-9.3009300930092277E-3</v>
      </c>
      <c r="E3154" s="156">
        <v>-4.5735808447672551E-3</v>
      </c>
      <c r="F3154" s="124">
        <v>3148</v>
      </c>
      <c r="G3154" s="238">
        <f t="shared" ca="1" si="100"/>
        <v>-1.2169864778494742E-3</v>
      </c>
      <c r="I3154" s="156"/>
    </row>
    <row r="3155" spans="2:9" x14ac:dyDescent="0.2">
      <c r="B3155" s="230">
        <v>41344</v>
      </c>
      <c r="C3155" s="124">
        <v>197.26</v>
      </c>
      <c r="D3155" s="156">
        <f t="shared" si="99"/>
        <v>-4.3408035534020471E-3</v>
      </c>
      <c r="E3155" s="156">
        <v>-4.5796532548250104E-3</v>
      </c>
      <c r="F3155" s="124">
        <v>3149</v>
      </c>
      <c r="G3155" s="238">
        <f t="shared" ca="1" si="100"/>
        <v>3.2895566545032033E-3</v>
      </c>
      <c r="I3155" s="156"/>
    </row>
    <row r="3156" spans="2:9" x14ac:dyDescent="0.2">
      <c r="B3156" s="230">
        <v>41341</v>
      </c>
      <c r="C3156" s="124">
        <v>197.36</v>
      </c>
      <c r="D3156" s="156">
        <f t="shared" si="99"/>
        <v>5.0694514853504382E-4</v>
      </c>
      <c r="E3156" s="156">
        <v>-4.58311299136256E-3</v>
      </c>
      <c r="F3156" s="124">
        <v>3150</v>
      </c>
      <c r="G3156" s="238">
        <f t="shared" ca="1" si="100"/>
        <v>-3.2730562546840307E-3</v>
      </c>
      <c r="I3156" s="156"/>
    </row>
    <row r="3157" spans="2:9" x14ac:dyDescent="0.2">
      <c r="B3157" s="230">
        <v>41340</v>
      </c>
      <c r="C3157" s="124">
        <v>193.82</v>
      </c>
      <c r="D3157" s="156">
        <f t="shared" si="99"/>
        <v>-1.7936765301986322E-2</v>
      </c>
      <c r="E3157" s="156">
        <v>-4.5851154833189906E-3</v>
      </c>
      <c r="F3157" s="124">
        <v>3151</v>
      </c>
      <c r="G3157" s="238">
        <f t="shared" ca="1" si="100"/>
        <v>-2.5679507893255109E-2</v>
      </c>
      <c r="I3157" s="156"/>
    </row>
    <row r="3158" spans="2:9" x14ac:dyDescent="0.2">
      <c r="B3158" s="230">
        <v>41339</v>
      </c>
      <c r="C3158" s="124">
        <v>190.3</v>
      </c>
      <c r="D3158" s="156">
        <f t="shared" si="99"/>
        <v>-1.8161180476730893E-2</v>
      </c>
      <c r="E3158" s="156">
        <v>-4.5952633439376271E-3</v>
      </c>
      <c r="F3158" s="124">
        <v>3152</v>
      </c>
      <c r="G3158" s="238">
        <f t="shared" ca="1" si="100"/>
        <v>1.195136952817216E-2</v>
      </c>
      <c r="I3158" s="156"/>
    </row>
    <row r="3159" spans="2:9" x14ac:dyDescent="0.2">
      <c r="B3159" s="230">
        <v>41338</v>
      </c>
      <c r="C3159" s="124">
        <v>193.98</v>
      </c>
      <c r="D3159" s="156">
        <f t="shared" si="99"/>
        <v>1.9337887545979916E-2</v>
      </c>
      <c r="E3159" s="156">
        <v>-4.5963803504740393E-3</v>
      </c>
      <c r="F3159" s="124">
        <v>3153</v>
      </c>
      <c r="G3159" s="238">
        <f t="shared" ca="1" si="100"/>
        <v>-1.4725628156370559E-3</v>
      </c>
      <c r="I3159" s="156"/>
    </row>
    <row r="3160" spans="2:9" x14ac:dyDescent="0.2">
      <c r="B3160" s="230">
        <v>41337</v>
      </c>
      <c r="C3160" s="124">
        <v>193.91</v>
      </c>
      <c r="D3160" s="156">
        <f t="shared" si="99"/>
        <v>-3.6086194453032881E-4</v>
      </c>
      <c r="E3160" s="156">
        <v>-4.6003450258771143E-3</v>
      </c>
      <c r="F3160" s="124">
        <v>3154</v>
      </c>
      <c r="G3160" s="238">
        <f t="shared" ca="1" si="100"/>
        <v>-8.4321300311758374E-3</v>
      </c>
      <c r="I3160" s="156"/>
    </row>
    <row r="3161" spans="2:9" x14ac:dyDescent="0.2">
      <c r="B3161" s="230">
        <v>41334</v>
      </c>
      <c r="C3161" s="124">
        <v>193.09</v>
      </c>
      <c r="D3161" s="156">
        <f t="shared" si="99"/>
        <v>-4.2287659223350692E-3</v>
      </c>
      <c r="E3161" s="156">
        <v>-4.6219264189314106E-3</v>
      </c>
      <c r="F3161" s="124">
        <v>3155</v>
      </c>
      <c r="G3161" s="238">
        <f t="shared" ca="1" si="100"/>
        <v>2.6208525487008277E-2</v>
      </c>
      <c r="I3161" s="156"/>
    </row>
    <row r="3162" spans="2:9" x14ac:dyDescent="0.2">
      <c r="B3162" s="230">
        <v>41333</v>
      </c>
      <c r="C3162" s="124">
        <v>195.44</v>
      </c>
      <c r="D3162" s="156">
        <f t="shared" si="99"/>
        <v>1.2170490444870239E-2</v>
      </c>
      <c r="E3162" s="156">
        <v>-4.6265328874025222E-3</v>
      </c>
      <c r="F3162" s="124">
        <v>3156</v>
      </c>
      <c r="G3162" s="238">
        <f t="shared" ca="1" si="100"/>
        <v>3.1177132503969193E-2</v>
      </c>
      <c r="I3162" s="156"/>
    </row>
    <row r="3163" spans="2:9" x14ac:dyDescent="0.2">
      <c r="B3163" s="230">
        <v>41332</v>
      </c>
      <c r="C3163" s="124">
        <v>195.44</v>
      </c>
      <c r="D3163" s="156">
        <f t="shared" si="99"/>
        <v>0</v>
      </c>
      <c r="E3163" s="156">
        <v>-4.629629629629586E-3</v>
      </c>
      <c r="F3163" s="124">
        <v>3157</v>
      </c>
      <c r="G3163" s="238">
        <f t="shared" ca="1" si="100"/>
        <v>8.9955434014101828E-3</v>
      </c>
      <c r="I3163" s="156"/>
    </row>
    <row r="3164" spans="2:9" x14ac:dyDescent="0.2">
      <c r="B3164" s="230">
        <v>41331</v>
      </c>
      <c r="C3164" s="124">
        <v>192.82</v>
      </c>
      <c r="D3164" s="156">
        <f t="shared" si="99"/>
        <v>-1.34056487924683E-2</v>
      </c>
      <c r="E3164" s="156">
        <v>-4.6304235980106859E-3</v>
      </c>
      <c r="F3164" s="124">
        <v>3158</v>
      </c>
      <c r="G3164" s="238">
        <f t="shared" ca="1" si="100"/>
        <v>2.6765499247511548E-3</v>
      </c>
      <c r="I3164" s="156"/>
    </row>
    <row r="3165" spans="2:9" x14ac:dyDescent="0.2">
      <c r="B3165" s="230">
        <v>41330</v>
      </c>
      <c r="C3165" s="124">
        <v>194.01</v>
      </c>
      <c r="D3165" s="156">
        <f t="shared" si="99"/>
        <v>6.1715589669121343E-3</v>
      </c>
      <c r="E3165" s="156">
        <v>-4.6312789454933823E-3</v>
      </c>
      <c r="F3165" s="124">
        <v>3159</v>
      </c>
      <c r="G3165" s="238">
        <f t="shared" ca="1" si="100"/>
        <v>-1.3681726151040251E-2</v>
      </c>
      <c r="I3165" s="156"/>
    </row>
    <row r="3166" spans="2:9" x14ac:dyDescent="0.2">
      <c r="B3166" s="230">
        <v>41327</v>
      </c>
      <c r="C3166" s="124">
        <v>193.58</v>
      </c>
      <c r="D3166" s="156">
        <f t="shared" si="99"/>
        <v>-2.2163805989380879E-3</v>
      </c>
      <c r="E3166" s="156">
        <v>-4.6319422369556799E-3</v>
      </c>
      <c r="F3166" s="124">
        <v>3160</v>
      </c>
      <c r="G3166" s="238">
        <f t="shared" ca="1" si="100"/>
        <v>2.303733196741712E-2</v>
      </c>
      <c r="I3166" s="156"/>
    </row>
    <row r="3167" spans="2:9" x14ac:dyDescent="0.2">
      <c r="B3167" s="230">
        <v>41326</v>
      </c>
      <c r="C3167" s="124">
        <v>196.63</v>
      </c>
      <c r="D3167" s="156">
        <f t="shared" si="99"/>
        <v>1.5755759892550795E-2</v>
      </c>
      <c r="E3167" s="156">
        <v>-4.6367851622874474E-3</v>
      </c>
      <c r="F3167" s="124">
        <v>3161</v>
      </c>
      <c r="G3167" s="238">
        <f t="shared" ca="1" si="100"/>
        <v>-8.7022779867950498E-3</v>
      </c>
      <c r="I3167" s="156"/>
    </row>
    <row r="3168" spans="2:9" x14ac:dyDescent="0.2">
      <c r="B3168" s="230">
        <v>41325</v>
      </c>
      <c r="C3168" s="124">
        <v>198.89</v>
      </c>
      <c r="D3168" s="156">
        <f t="shared" si="99"/>
        <v>1.1493668311040995E-2</v>
      </c>
      <c r="E3168" s="156">
        <v>-4.6757929130752307E-3</v>
      </c>
      <c r="F3168" s="124">
        <v>3162</v>
      </c>
      <c r="G3168" s="238">
        <f t="shared" ca="1" si="100"/>
        <v>-2.8070495471175846E-3</v>
      </c>
      <c r="I3168" s="156"/>
    </row>
    <row r="3169" spans="2:9" x14ac:dyDescent="0.2">
      <c r="B3169" s="230">
        <v>41324</v>
      </c>
      <c r="C3169" s="124">
        <v>199.98</v>
      </c>
      <c r="D3169" s="156">
        <f t="shared" si="99"/>
        <v>5.4804163105234222E-3</v>
      </c>
      <c r="E3169" s="156">
        <v>-4.6778651924303397E-3</v>
      </c>
      <c r="F3169" s="124">
        <v>3163</v>
      </c>
      <c r="G3169" s="238">
        <f t="shared" ca="1" si="100"/>
        <v>2.0264285385089904E-2</v>
      </c>
      <c r="I3169" s="156"/>
    </row>
    <row r="3170" spans="2:9" x14ac:dyDescent="0.2">
      <c r="B3170" s="230">
        <v>41323</v>
      </c>
      <c r="C3170" s="124">
        <v>199.09</v>
      </c>
      <c r="D3170" s="156">
        <f t="shared" si="99"/>
        <v>-4.4504450445043827E-3</v>
      </c>
      <c r="E3170" s="156">
        <v>-4.6861511900357072E-3</v>
      </c>
      <c r="F3170" s="124">
        <v>3164</v>
      </c>
      <c r="G3170" s="238">
        <f t="shared" ca="1" si="100"/>
        <v>2.9088918214250234E-2</v>
      </c>
      <c r="I3170" s="156"/>
    </row>
    <row r="3171" spans="2:9" x14ac:dyDescent="0.2">
      <c r="B3171" s="230">
        <v>41320</v>
      </c>
      <c r="C3171" s="124">
        <v>199.28</v>
      </c>
      <c r="D3171" s="156">
        <f t="shared" si="99"/>
        <v>9.5434225727056971E-4</v>
      </c>
      <c r="E3171" s="156">
        <v>-4.7071129707112053E-3</v>
      </c>
      <c r="F3171" s="124">
        <v>3165</v>
      </c>
      <c r="G3171" s="238">
        <f t="shared" ca="1" si="100"/>
        <v>1.9963432264916356E-2</v>
      </c>
      <c r="I3171" s="156"/>
    </row>
    <row r="3172" spans="2:9" x14ac:dyDescent="0.2">
      <c r="B3172" s="230">
        <v>41319</v>
      </c>
      <c r="C3172" s="124">
        <v>199.38</v>
      </c>
      <c r="D3172" s="156">
        <f t="shared" si="99"/>
        <v>5.0180650341225571E-4</v>
      </c>
      <c r="E3172" s="156">
        <v>-4.7193585337915291E-3</v>
      </c>
      <c r="F3172" s="124">
        <v>3166</v>
      </c>
      <c r="G3172" s="238">
        <f t="shared" ca="1" si="100"/>
        <v>5.0266900578057987E-3</v>
      </c>
      <c r="I3172" s="156"/>
    </row>
    <row r="3173" spans="2:9" x14ac:dyDescent="0.2">
      <c r="B3173" s="230">
        <v>41318</v>
      </c>
      <c r="C3173" s="124">
        <v>199.12</v>
      </c>
      <c r="D3173" s="156">
        <f t="shared" si="99"/>
        <v>-1.3040425318486856E-3</v>
      </c>
      <c r="E3173" s="156">
        <v>-4.7219307450157948E-3</v>
      </c>
      <c r="F3173" s="124">
        <v>3167</v>
      </c>
      <c r="G3173" s="238">
        <f t="shared" ca="1" si="100"/>
        <v>-1.4658101897195469E-2</v>
      </c>
      <c r="I3173" s="156"/>
    </row>
    <row r="3174" spans="2:9" x14ac:dyDescent="0.2">
      <c r="B3174" s="230">
        <v>41317</v>
      </c>
      <c r="C3174" s="124">
        <v>198.92</v>
      </c>
      <c r="D3174" s="156">
        <f t="shared" si="99"/>
        <v>-1.0044194455605517E-3</v>
      </c>
      <c r="E3174" s="156">
        <v>-4.7234878568741187E-3</v>
      </c>
      <c r="F3174" s="124">
        <v>3168</v>
      </c>
      <c r="G3174" s="238">
        <f t="shared" ca="1" si="100"/>
        <v>-1.9600100240062306E-2</v>
      </c>
      <c r="I3174" s="156"/>
    </row>
    <row r="3175" spans="2:9" x14ac:dyDescent="0.2">
      <c r="B3175" s="230">
        <v>41316</v>
      </c>
      <c r="C3175" s="124">
        <v>198.32</v>
      </c>
      <c r="D3175" s="156">
        <f t="shared" si="99"/>
        <v>-3.0162879549567381E-3</v>
      </c>
      <c r="E3175" s="156">
        <v>-4.7275735728637275E-3</v>
      </c>
      <c r="F3175" s="124">
        <v>3169</v>
      </c>
      <c r="G3175" s="238">
        <f t="shared" ca="1" si="100"/>
        <v>-7.3582653340281126E-3</v>
      </c>
      <c r="I3175" s="156"/>
    </row>
    <row r="3176" spans="2:9" x14ac:dyDescent="0.2">
      <c r="B3176" s="230">
        <v>41313</v>
      </c>
      <c r="C3176" s="124">
        <v>200.05</v>
      </c>
      <c r="D3176" s="156">
        <f t="shared" si="99"/>
        <v>8.7232755143203822E-3</v>
      </c>
      <c r="E3176" s="156">
        <v>-4.7306851780433866E-3</v>
      </c>
      <c r="F3176" s="124">
        <v>3170</v>
      </c>
      <c r="G3176" s="238">
        <f t="shared" ca="1" si="100"/>
        <v>2.4112858470384801E-2</v>
      </c>
      <c r="I3176" s="156"/>
    </row>
    <row r="3177" spans="2:9" x14ac:dyDescent="0.2">
      <c r="B3177" s="230">
        <v>41312</v>
      </c>
      <c r="C3177" s="124">
        <v>201.57</v>
      </c>
      <c r="D3177" s="156">
        <f t="shared" si="99"/>
        <v>7.5981004748811882E-3</v>
      </c>
      <c r="E3177" s="156">
        <v>-4.7367125984252596E-3</v>
      </c>
      <c r="F3177" s="124">
        <v>3171</v>
      </c>
      <c r="G3177" s="238">
        <f t="shared" ca="1" si="100"/>
        <v>-4.6426619893156487E-3</v>
      </c>
      <c r="I3177" s="156"/>
    </row>
    <row r="3178" spans="2:9" x14ac:dyDescent="0.2">
      <c r="B3178" s="230">
        <v>41311</v>
      </c>
      <c r="C3178" s="124">
        <v>202.1</v>
      </c>
      <c r="D3178" s="156">
        <f t="shared" si="99"/>
        <v>2.6293595277075018E-3</v>
      </c>
      <c r="E3178" s="156">
        <v>-4.7456763385037076E-3</v>
      </c>
      <c r="F3178" s="124">
        <v>3172</v>
      </c>
      <c r="G3178" s="238">
        <f t="shared" ca="1" si="100"/>
        <v>1.8737424256795584E-2</v>
      </c>
      <c r="I3178" s="156"/>
    </row>
    <row r="3179" spans="2:9" x14ac:dyDescent="0.2">
      <c r="B3179" s="230">
        <v>41310</v>
      </c>
      <c r="C3179" s="124">
        <v>200.51</v>
      </c>
      <c r="D3179" s="156">
        <f t="shared" si="99"/>
        <v>-7.8673923800099133E-3</v>
      </c>
      <c r="E3179" s="156">
        <v>-4.7489823609226257E-3</v>
      </c>
      <c r="F3179" s="124">
        <v>3173</v>
      </c>
      <c r="G3179" s="238">
        <f t="shared" ca="1" si="100"/>
        <v>-2.162316547116978E-2</v>
      </c>
      <c r="I3179" s="156"/>
    </row>
    <row r="3180" spans="2:9" x14ac:dyDescent="0.2">
      <c r="B3180" s="230">
        <v>41309</v>
      </c>
      <c r="C3180" s="124">
        <v>203.69</v>
      </c>
      <c r="D3180" s="156">
        <f t="shared" si="99"/>
        <v>1.5859558126776755E-2</v>
      </c>
      <c r="E3180" s="156">
        <v>-4.7497960946121433E-3</v>
      </c>
      <c r="F3180" s="124">
        <v>3174</v>
      </c>
      <c r="G3180" s="238">
        <f t="shared" ca="1" si="100"/>
        <v>2.5774494307359078E-2</v>
      </c>
      <c r="I3180" s="156"/>
    </row>
    <row r="3181" spans="2:9" x14ac:dyDescent="0.2">
      <c r="B3181" s="230">
        <v>41306</v>
      </c>
      <c r="C3181" s="124">
        <v>205.12</v>
      </c>
      <c r="D3181" s="156">
        <f t="shared" si="99"/>
        <v>7.0204722863174765E-3</v>
      </c>
      <c r="E3181" s="156">
        <v>-4.7602256699577671E-3</v>
      </c>
      <c r="F3181" s="124">
        <v>3175</v>
      </c>
      <c r="G3181" s="238">
        <f t="shared" ca="1" si="100"/>
        <v>-3.1179441649442554E-3</v>
      </c>
      <c r="I3181" s="156"/>
    </row>
    <row r="3182" spans="2:9" x14ac:dyDescent="0.2">
      <c r="B3182" s="230">
        <v>41305</v>
      </c>
      <c r="C3182" s="124">
        <v>203.96</v>
      </c>
      <c r="D3182" s="156">
        <f t="shared" si="99"/>
        <v>-5.6552262090483448E-3</v>
      </c>
      <c r="E3182" s="156">
        <v>-4.7616024379404489E-3</v>
      </c>
      <c r="F3182" s="124">
        <v>3176</v>
      </c>
      <c r="G3182" s="238">
        <f t="shared" ca="1" si="100"/>
        <v>1.2692006826002118E-2</v>
      </c>
      <c r="I3182" s="156"/>
    </row>
    <row r="3183" spans="2:9" x14ac:dyDescent="0.2">
      <c r="B3183" s="230">
        <v>41304</v>
      </c>
      <c r="C3183" s="124">
        <v>201.67</v>
      </c>
      <c r="D3183" s="156">
        <f t="shared" si="99"/>
        <v>-1.1227691704255836E-2</v>
      </c>
      <c r="E3183" s="156">
        <v>-4.7788093937738167E-3</v>
      </c>
      <c r="F3183" s="124">
        <v>3177</v>
      </c>
      <c r="G3183" s="238">
        <f t="shared" ca="1" si="100"/>
        <v>1.0462078094418856E-2</v>
      </c>
      <c r="I3183" s="156"/>
    </row>
    <row r="3184" spans="2:9" x14ac:dyDescent="0.2">
      <c r="B3184" s="230">
        <v>41303</v>
      </c>
      <c r="C3184" s="124">
        <v>202.3</v>
      </c>
      <c r="D3184" s="156">
        <f t="shared" si="99"/>
        <v>3.1239153071851238E-3</v>
      </c>
      <c r="E3184" s="156">
        <v>-4.7804696927503994E-3</v>
      </c>
      <c r="F3184" s="124">
        <v>3178</v>
      </c>
      <c r="G3184" s="238">
        <f t="shared" ca="1" si="100"/>
        <v>-1.0140975768166468E-2</v>
      </c>
      <c r="I3184" s="156"/>
    </row>
    <row r="3185" spans="2:9" x14ac:dyDescent="0.2">
      <c r="B3185" s="230">
        <v>41302</v>
      </c>
      <c r="C3185" s="124">
        <v>199.38</v>
      </c>
      <c r="D3185" s="156">
        <f t="shared" si="99"/>
        <v>-1.4434008897676796E-2</v>
      </c>
      <c r="E3185" s="156">
        <v>-4.7824007651841227E-3</v>
      </c>
      <c r="F3185" s="124">
        <v>3179</v>
      </c>
      <c r="G3185" s="238">
        <f t="shared" ca="1" si="100"/>
        <v>-1.1369542319703584E-3</v>
      </c>
      <c r="I3185" s="156"/>
    </row>
    <row r="3186" spans="2:9" x14ac:dyDescent="0.2">
      <c r="B3186" s="230">
        <v>41299</v>
      </c>
      <c r="C3186" s="124">
        <v>198.72</v>
      </c>
      <c r="D3186" s="156">
        <f t="shared" si="99"/>
        <v>-3.3102618116159924E-3</v>
      </c>
      <c r="E3186" s="156">
        <v>-4.7896709704290117E-3</v>
      </c>
      <c r="F3186" s="124">
        <v>3180</v>
      </c>
      <c r="G3186" s="238">
        <f t="shared" ca="1" si="100"/>
        <v>-2.1258450964647065E-2</v>
      </c>
      <c r="I3186" s="156"/>
    </row>
    <row r="3187" spans="2:9" x14ac:dyDescent="0.2">
      <c r="B3187" s="230">
        <v>41298</v>
      </c>
      <c r="C3187" s="124">
        <v>197.2</v>
      </c>
      <c r="D3187" s="156">
        <f t="shared" si="99"/>
        <v>-7.6489533011272655E-3</v>
      </c>
      <c r="E3187" s="156">
        <v>-4.7923322683705296E-3</v>
      </c>
      <c r="F3187" s="124">
        <v>3181</v>
      </c>
      <c r="G3187" s="238">
        <f t="shared" ca="1" si="100"/>
        <v>5.3664341358067545E-3</v>
      </c>
      <c r="I3187" s="156"/>
    </row>
    <row r="3188" spans="2:9" x14ac:dyDescent="0.2">
      <c r="B3188" s="230">
        <v>41297</v>
      </c>
      <c r="C3188" s="124">
        <v>194.08</v>
      </c>
      <c r="D3188" s="156">
        <f t="shared" si="99"/>
        <v>-1.5821501014198661E-2</v>
      </c>
      <c r="E3188" s="156">
        <v>-4.7952047952047501E-3</v>
      </c>
      <c r="F3188" s="124">
        <v>3182</v>
      </c>
      <c r="G3188" s="238">
        <f t="shared" ca="1" si="100"/>
        <v>3.2115840344507381E-2</v>
      </c>
      <c r="I3188" s="156"/>
    </row>
    <row r="3189" spans="2:9" x14ac:dyDescent="0.2">
      <c r="B3189" s="230">
        <v>41296</v>
      </c>
      <c r="C3189" s="124">
        <v>191.69</v>
      </c>
      <c r="D3189" s="156">
        <f t="shared" si="99"/>
        <v>-1.2314509480626621E-2</v>
      </c>
      <c r="E3189" s="156">
        <v>-4.803650774588687E-3</v>
      </c>
      <c r="F3189" s="124">
        <v>3183</v>
      </c>
      <c r="G3189" s="238">
        <f t="shared" ca="1" si="100"/>
        <v>3.3858028176558031E-3</v>
      </c>
      <c r="I3189" s="156"/>
    </row>
    <row r="3190" spans="2:9" x14ac:dyDescent="0.2">
      <c r="B3190" s="230">
        <v>41295</v>
      </c>
      <c r="C3190" s="124">
        <v>193.28</v>
      </c>
      <c r="D3190" s="156">
        <f t="shared" si="99"/>
        <v>8.2946423913610699E-3</v>
      </c>
      <c r="E3190" s="156">
        <v>-4.8087062892815894E-3</v>
      </c>
      <c r="F3190" s="124">
        <v>3184</v>
      </c>
      <c r="G3190" s="238">
        <f t="shared" ca="1" si="100"/>
        <v>8.1081940941891452E-3</v>
      </c>
      <c r="I3190" s="156"/>
    </row>
    <row r="3191" spans="2:9" x14ac:dyDescent="0.2">
      <c r="B3191" s="230">
        <v>41292</v>
      </c>
      <c r="C3191" s="124">
        <v>190.57</v>
      </c>
      <c r="D3191" s="156">
        <f t="shared" si="99"/>
        <v>-1.4021109271523219E-2</v>
      </c>
      <c r="E3191" s="156">
        <v>-4.811250925240605E-3</v>
      </c>
      <c r="F3191" s="124">
        <v>3185</v>
      </c>
      <c r="G3191" s="238">
        <f t="shared" ca="1" si="100"/>
        <v>6.9985909931691752E-3</v>
      </c>
      <c r="I3191" s="156"/>
    </row>
    <row r="3192" spans="2:9" x14ac:dyDescent="0.2">
      <c r="B3192" s="230">
        <v>41291</v>
      </c>
      <c r="C3192" s="124">
        <v>189.14</v>
      </c>
      <c r="D3192" s="156">
        <f t="shared" si="99"/>
        <v>-7.5038043763446865E-3</v>
      </c>
      <c r="E3192" s="156">
        <v>-4.8184275473028152E-3</v>
      </c>
      <c r="F3192" s="124">
        <v>3186</v>
      </c>
      <c r="G3192" s="238">
        <f t="shared" ca="1" si="100"/>
        <v>1.6739759283209355E-2</v>
      </c>
      <c r="I3192" s="156"/>
    </row>
    <row r="3193" spans="2:9" x14ac:dyDescent="0.2">
      <c r="B3193" s="230">
        <v>41290</v>
      </c>
      <c r="C3193" s="124">
        <v>188.28</v>
      </c>
      <c r="D3193" s="156">
        <f t="shared" si="99"/>
        <v>-4.5468964787986959E-3</v>
      </c>
      <c r="E3193" s="156">
        <v>-4.8186965425852301E-3</v>
      </c>
      <c r="F3193" s="124">
        <v>3187</v>
      </c>
      <c r="G3193" s="238">
        <f t="shared" ca="1" si="100"/>
        <v>3.0143251799847503E-4</v>
      </c>
      <c r="I3193" s="156"/>
    </row>
    <row r="3194" spans="2:9" x14ac:dyDescent="0.2">
      <c r="B3194" s="230">
        <v>41289</v>
      </c>
      <c r="C3194" s="124">
        <v>188.35</v>
      </c>
      <c r="D3194" s="156">
        <f t="shared" si="99"/>
        <v>3.7178670065855736E-4</v>
      </c>
      <c r="E3194" s="156">
        <v>-4.8318562583465072E-3</v>
      </c>
      <c r="F3194" s="124">
        <v>3188</v>
      </c>
      <c r="G3194" s="238">
        <f t="shared" ca="1" si="100"/>
        <v>-1.3057621898523315E-2</v>
      </c>
      <c r="I3194" s="156"/>
    </row>
    <row r="3195" spans="2:9" x14ac:dyDescent="0.2">
      <c r="B3195" s="230">
        <v>41288</v>
      </c>
      <c r="C3195" s="124">
        <v>184.24</v>
      </c>
      <c r="D3195" s="156">
        <f t="shared" si="99"/>
        <v>-2.1821077780727293E-2</v>
      </c>
      <c r="E3195" s="156">
        <v>-4.846140991668392E-3</v>
      </c>
      <c r="F3195" s="124">
        <v>3189</v>
      </c>
      <c r="G3195" s="238">
        <f t="shared" ca="1" si="100"/>
        <v>-3.6698950097335557E-2</v>
      </c>
      <c r="I3195" s="156"/>
    </row>
    <row r="3196" spans="2:9" x14ac:dyDescent="0.2">
      <c r="B3196" s="230">
        <v>41285</v>
      </c>
      <c r="C3196" s="124">
        <v>181.25</v>
      </c>
      <c r="D3196" s="156">
        <f t="shared" si="99"/>
        <v>-1.6228831958315291E-2</v>
      </c>
      <c r="E3196" s="156">
        <v>-4.8553164495193698E-3</v>
      </c>
      <c r="F3196" s="124">
        <v>3190</v>
      </c>
      <c r="G3196" s="238">
        <f t="shared" ca="1" si="100"/>
        <v>2.3599362155582337E-2</v>
      </c>
      <c r="I3196" s="156"/>
    </row>
    <row r="3197" spans="2:9" x14ac:dyDescent="0.2">
      <c r="B3197" s="230">
        <v>41284</v>
      </c>
      <c r="C3197" s="124">
        <v>186.29</v>
      </c>
      <c r="D3197" s="156">
        <f t="shared" si="99"/>
        <v>2.7806896551724095E-2</v>
      </c>
      <c r="E3197" s="156">
        <v>-4.8606016140865837E-3</v>
      </c>
      <c r="F3197" s="124">
        <v>3191</v>
      </c>
      <c r="G3197" s="238">
        <f t="shared" ca="1" si="100"/>
        <v>-1.2399941530688489E-2</v>
      </c>
      <c r="I3197" s="156"/>
    </row>
    <row r="3198" spans="2:9" x14ac:dyDescent="0.2">
      <c r="B3198" s="230">
        <v>41283</v>
      </c>
      <c r="C3198" s="124">
        <v>185.3</v>
      </c>
      <c r="D3198" s="156">
        <f t="shared" ref="D3198:D3261" si="101">(C3198-C3197)/C3197</f>
        <v>-5.3142949165278907E-3</v>
      </c>
      <c r="E3198" s="156">
        <v>-4.8748781280467529E-3</v>
      </c>
      <c r="F3198" s="124">
        <v>3192</v>
      </c>
      <c r="G3198" s="238">
        <f t="shared" ca="1" si="100"/>
        <v>-2.1997619747315976E-2</v>
      </c>
      <c r="I3198" s="156"/>
    </row>
    <row r="3199" spans="2:9" x14ac:dyDescent="0.2">
      <c r="B3199" s="230">
        <v>41282</v>
      </c>
      <c r="C3199" s="124">
        <v>189.41</v>
      </c>
      <c r="D3199" s="156">
        <f t="shared" si="101"/>
        <v>2.2180248246087345E-2</v>
      </c>
      <c r="E3199" s="156">
        <v>-4.8767967145791425E-3</v>
      </c>
      <c r="F3199" s="124">
        <v>3193</v>
      </c>
      <c r="G3199" s="238">
        <f t="shared" ca="1" si="100"/>
        <v>-9.1262721497705878E-3</v>
      </c>
      <c r="I3199" s="156"/>
    </row>
    <row r="3200" spans="2:9" x14ac:dyDescent="0.2">
      <c r="B3200" s="230">
        <v>41281</v>
      </c>
      <c r="C3200" s="124">
        <v>185</v>
      </c>
      <c r="D3200" s="156">
        <f t="shared" si="101"/>
        <v>-2.3282825616387712E-2</v>
      </c>
      <c r="E3200" s="156">
        <v>-4.880429477794E-3</v>
      </c>
      <c r="F3200" s="124">
        <v>3194</v>
      </c>
      <c r="G3200" s="238">
        <f t="shared" ca="1" si="100"/>
        <v>1.1144811794088038E-2</v>
      </c>
      <c r="I3200" s="156"/>
    </row>
    <row r="3201" spans="2:9" x14ac:dyDescent="0.2">
      <c r="B3201" s="230">
        <v>41278</v>
      </c>
      <c r="C3201" s="124">
        <v>187.22</v>
      </c>
      <c r="D3201" s="156">
        <f t="shared" si="101"/>
        <v>1.1999999999999993E-2</v>
      </c>
      <c r="E3201" s="156">
        <v>-4.8813169984686551E-3</v>
      </c>
      <c r="F3201" s="124">
        <v>3195</v>
      </c>
      <c r="G3201" s="238">
        <f t="shared" ca="1" si="100"/>
        <v>-3.2041185717600102E-3</v>
      </c>
      <c r="I3201" s="156"/>
    </row>
    <row r="3202" spans="2:9" x14ac:dyDescent="0.2">
      <c r="B3202" s="230">
        <v>41277</v>
      </c>
      <c r="C3202" s="124">
        <v>187.98</v>
      </c>
      <c r="D3202" s="156">
        <f t="shared" si="101"/>
        <v>4.059395363743141E-3</v>
      </c>
      <c r="E3202" s="156">
        <v>-4.8891786179921307E-3</v>
      </c>
      <c r="F3202" s="124">
        <v>3196</v>
      </c>
      <c r="G3202" s="238">
        <f t="shared" ca="1" si="100"/>
        <v>1.1644973315545167E-3</v>
      </c>
      <c r="I3202" s="156"/>
    </row>
    <row r="3203" spans="2:9" x14ac:dyDescent="0.2">
      <c r="B3203" s="230">
        <v>41276</v>
      </c>
      <c r="C3203" s="124">
        <v>189.21</v>
      </c>
      <c r="D3203" s="156">
        <f t="shared" si="101"/>
        <v>6.5432492818385908E-3</v>
      </c>
      <c r="E3203" s="156">
        <v>-4.8904184024634043E-3</v>
      </c>
      <c r="F3203" s="124">
        <v>3197</v>
      </c>
      <c r="G3203" s="238">
        <f t="shared" ca="1" si="100"/>
        <v>-1.2987589382249415E-2</v>
      </c>
      <c r="I3203" s="156"/>
    </row>
    <row r="3204" spans="2:9" x14ac:dyDescent="0.2">
      <c r="B3204" s="230">
        <v>41275</v>
      </c>
      <c r="C3204" s="124">
        <v>190.43</v>
      </c>
      <c r="D3204" s="156">
        <f t="shared" si="101"/>
        <v>6.4478621637334118E-3</v>
      </c>
      <c r="E3204" s="156">
        <v>-4.8942834768989823E-3</v>
      </c>
      <c r="F3204" s="124">
        <v>3198</v>
      </c>
      <c r="G3204" s="238">
        <f t="shared" ca="1" si="100"/>
        <v>8.658834785508723E-3</v>
      </c>
      <c r="I3204" s="156"/>
    </row>
    <row r="3205" spans="2:9" x14ac:dyDescent="0.2">
      <c r="B3205" s="230">
        <v>41274</v>
      </c>
      <c r="C3205" s="124">
        <v>190.14</v>
      </c>
      <c r="D3205" s="156">
        <f t="shared" si="101"/>
        <v>-1.5228692958043398E-3</v>
      </c>
      <c r="E3205" s="156">
        <v>-4.8993167925206913E-3</v>
      </c>
      <c r="F3205" s="124">
        <v>3199</v>
      </c>
      <c r="G3205" s="238">
        <f t="shared" ca="1" si="100"/>
        <v>-2.1414269303998597E-2</v>
      </c>
      <c r="I3205" s="156"/>
    </row>
    <row r="3206" spans="2:9" x14ac:dyDescent="0.2">
      <c r="B3206" s="230">
        <v>41271</v>
      </c>
      <c r="C3206" s="124">
        <v>191.86</v>
      </c>
      <c r="D3206" s="156">
        <f t="shared" si="101"/>
        <v>9.0459661302199814E-3</v>
      </c>
      <c r="E3206" s="156">
        <v>-4.90168139070952E-3</v>
      </c>
      <c r="F3206" s="124">
        <v>3200</v>
      </c>
      <c r="G3206" s="238">
        <f t="shared" ca="1" si="100"/>
        <v>-9.3620102598170069E-3</v>
      </c>
      <c r="I3206" s="156"/>
    </row>
    <row r="3207" spans="2:9" x14ac:dyDescent="0.2">
      <c r="B3207" s="230">
        <v>41270</v>
      </c>
      <c r="C3207" s="124">
        <v>191.2</v>
      </c>
      <c r="D3207" s="156">
        <f t="shared" si="101"/>
        <v>-3.4400083394142862E-3</v>
      </c>
      <c r="E3207" s="156">
        <v>-4.9053635059466069E-3</v>
      </c>
      <c r="F3207" s="124">
        <v>3201</v>
      </c>
      <c r="G3207" s="238">
        <f t="shared" ref="G3207:G3270" ca="1" si="102">_xlfn.NORM.INV(RAND(),$L$8,$L$9)</f>
        <v>-6.3582242929414133E-3</v>
      </c>
      <c r="I3207" s="156"/>
    </row>
    <row r="3208" spans="2:9" x14ac:dyDescent="0.2">
      <c r="B3208" s="230">
        <v>41269</v>
      </c>
      <c r="C3208" s="124">
        <v>192.59</v>
      </c>
      <c r="D3208" s="156">
        <f t="shared" si="101"/>
        <v>7.2698744769875258E-3</v>
      </c>
      <c r="E3208" s="156">
        <v>-4.915492275655067E-3</v>
      </c>
      <c r="F3208" s="124">
        <v>3202</v>
      </c>
      <c r="G3208" s="238">
        <f t="shared" ca="1" si="102"/>
        <v>-1.7682022622222071E-2</v>
      </c>
      <c r="I3208" s="156"/>
    </row>
    <row r="3209" spans="2:9" x14ac:dyDescent="0.2">
      <c r="B3209" s="230">
        <v>41267</v>
      </c>
      <c r="C3209" s="124">
        <v>190.3</v>
      </c>
      <c r="D3209" s="156">
        <f t="shared" si="101"/>
        <v>-1.1890544680409117E-2</v>
      </c>
      <c r="E3209" s="156">
        <v>-4.9280222476689537E-3</v>
      </c>
      <c r="F3209" s="124">
        <v>3203</v>
      </c>
      <c r="G3209" s="238">
        <f t="shared" ca="1" si="102"/>
        <v>-2.5149145406721158E-2</v>
      </c>
      <c r="I3209" s="156"/>
    </row>
    <row r="3210" spans="2:9" x14ac:dyDescent="0.2">
      <c r="B3210" s="230">
        <v>41264</v>
      </c>
      <c r="C3210" s="124">
        <v>190.3</v>
      </c>
      <c r="D3210" s="156">
        <f t="shared" si="101"/>
        <v>0</v>
      </c>
      <c r="E3210" s="156">
        <v>-4.9330195510499794E-3</v>
      </c>
      <c r="F3210" s="124">
        <v>3204</v>
      </c>
      <c r="G3210" s="238">
        <f t="shared" ca="1" si="102"/>
        <v>-1.5588723394583233E-2</v>
      </c>
      <c r="I3210" s="156"/>
    </row>
    <row r="3211" spans="2:9" x14ac:dyDescent="0.2">
      <c r="B3211" s="230">
        <v>41263</v>
      </c>
      <c r="C3211" s="124">
        <v>190.33</v>
      </c>
      <c r="D3211" s="156">
        <f t="shared" si="101"/>
        <v>1.5764582238571274E-4</v>
      </c>
      <c r="E3211" s="156">
        <v>-4.9382716049382715E-3</v>
      </c>
      <c r="F3211" s="124">
        <v>3205</v>
      </c>
      <c r="G3211" s="238">
        <f t="shared" ca="1" si="102"/>
        <v>-1.3455202084810504E-2</v>
      </c>
      <c r="I3211" s="156"/>
    </row>
    <row r="3212" spans="2:9" x14ac:dyDescent="0.2">
      <c r="B3212" s="230">
        <v>41262</v>
      </c>
      <c r="C3212" s="124">
        <v>192.32</v>
      </c>
      <c r="D3212" s="156">
        <f t="shared" si="101"/>
        <v>1.045552461514202E-2</v>
      </c>
      <c r="E3212" s="156">
        <v>-4.9401127837069595E-3</v>
      </c>
      <c r="F3212" s="124">
        <v>3206</v>
      </c>
      <c r="G3212" s="238">
        <f t="shared" ca="1" si="102"/>
        <v>-2.0433312029119265E-2</v>
      </c>
      <c r="I3212" s="156"/>
    </row>
    <row r="3213" spans="2:9" x14ac:dyDescent="0.2">
      <c r="B3213" s="230">
        <v>41261</v>
      </c>
      <c r="C3213" s="124">
        <v>194.31</v>
      </c>
      <c r="D3213" s="156">
        <f t="shared" si="101"/>
        <v>1.0347337770382744E-2</v>
      </c>
      <c r="E3213" s="156">
        <v>-4.9468216670789013E-3</v>
      </c>
      <c r="F3213" s="124">
        <v>3207</v>
      </c>
      <c r="G3213" s="238">
        <f t="shared" ca="1" si="102"/>
        <v>1.7215776121942031E-2</v>
      </c>
      <c r="I3213" s="156"/>
    </row>
    <row r="3214" spans="2:9" x14ac:dyDescent="0.2">
      <c r="B3214" s="230">
        <v>41260</v>
      </c>
      <c r="C3214" s="124">
        <v>194.28</v>
      </c>
      <c r="D3214" s="156">
        <f t="shared" si="101"/>
        <v>-1.5439246564768225E-4</v>
      </c>
      <c r="E3214" s="156">
        <v>-4.9476772187923967E-3</v>
      </c>
      <c r="F3214" s="124">
        <v>3208</v>
      </c>
      <c r="G3214" s="238">
        <f t="shared" ca="1" si="102"/>
        <v>4.8390681728580007E-3</v>
      </c>
      <c r="I3214" s="156"/>
    </row>
    <row r="3215" spans="2:9" x14ac:dyDescent="0.2">
      <c r="B3215" s="230">
        <v>41257</v>
      </c>
      <c r="C3215" s="124">
        <v>196.2</v>
      </c>
      <c r="D3215" s="156">
        <f t="shared" si="101"/>
        <v>9.8826436071648514E-3</v>
      </c>
      <c r="E3215" s="156">
        <v>-4.9720323182100212E-3</v>
      </c>
      <c r="F3215" s="124">
        <v>3209</v>
      </c>
      <c r="G3215" s="238">
        <f t="shared" ca="1" si="102"/>
        <v>-1.6641361641478107E-2</v>
      </c>
      <c r="I3215" s="156"/>
    </row>
    <row r="3216" spans="2:9" x14ac:dyDescent="0.2">
      <c r="B3216" s="230">
        <v>41256</v>
      </c>
      <c r="C3216" s="124">
        <v>195.74</v>
      </c>
      <c r="D3216" s="156">
        <f t="shared" si="101"/>
        <v>-2.3445463812435249E-3</v>
      </c>
      <c r="E3216" s="156">
        <v>-4.9729915116179229E-3</v>
      </c>
      <c r="F3216" s="124">
        <v>3210</v>
      </c>
      <c r="G3216" s="238">
        <f t="shared" ca="1" si="102"/>
        <v>1.933056587863529E-2</v>
      </c>
      <c r="I3216" s="156"/>
    </row>
    <row r="3217" spans="2:9" x14ac:dyDescent="0.2">
      <c r="B3217" s="230">
        <v>41255</v>
      </c>
      <c r="C3217" s="124">
        <v>202.83</v>
      </c>
      <c r="D3217" s="156">
        <f t="shared" si="101"/>
        <v>3.6221518340655991E-2</v>
      </c>
      <c r="E3217" s="156">
        <v>-4.9857216422453353E-3</v>
      </c>
      <c r="F3217" s="124">
        <v>3211</v>
      </c>
      <c r="G3217" s="238">
        <f t="shared" ca="1" si="102"/>
        <v>1.8773251070698743E-2</v>
      </c>
      <c r="I3217" s="156"/>
    </row>
    <row r="3218" spans="2:9" x14ac:dyDescent="0.2">
      <c r="B3218" s="230">
        <v>41254</v>
      </c>
      <c r="C3218" s="124">
        <v>201.07</v>
      </c>
      <c r="D3218" s="156">
        <f t="shared" si="101"/>
        <v>-8.6772173741557924E-3</v>
      </c>
      <c r="E3218" s="156">
        <v>-5.0093457943924296E-3</v>
      </c>
      <c r="F3218" s="124">
        <v>3212</v>
      </c>
      <c r="G3218" s="238">
        <f t="shared" ca="1" si="102"/>
        <v>-1.5573918472048648E-2</v>
      </c>
      <c r="I3218" s="156"/>
    </row>
    <row r="3219" spans="2:9" x14ac:dyDescent="0.2">
      <c r="B3219" s="230">
        <v>41253</v>
      </c>
      <c r="C3219" s="124">
        <v>200.18</v>
      </c>
      <c r="D3219" s="156">
        <f t="shared" si="101"/>
        <v>-4.4263191923210148E-3</v>
      </c>
      <c r="E3219" s="156">
        <v>-5.0107372942019149E-3</v>
      </c>
      <c r="F3219" s="124">
        <v>3213</v>
      </c>
      <c r="G3219" s="238">
        <f t="shared" ca="1" si="102"/>
        <v>1.4755255342352308E-2</v>
      </c>
      <c r="I3219" s="156"/>
    </row>
    <row r="3220" spans="2:9" x14ac:dyDescent="0.2">
      <c r="B3220" s="230">
        <v>41250</v>
      </c>
      <c r="C3220" s="124">
        <v>199.88</v>
      </c>
      <c r="D3220" s="156">
        <f t="shared" si="101"/>
        <v>-1.4986512139075401E-3</v>
      </c>
      <c r="E3220" s="156">
        <v>-5.0139275766017555E-3</v>
      </c>
      <c r="F3220" s="124">
        <v>3214</v>
      </c>
      <c r="G3220" s="238">
        <f t="shared" ca="1" si="102"/>
        <v>4.0466169414649211E-3</v>
      </c>
      <c r="I3220" s="156"/>
    </row>
    <row r="3221" spans="2:9" x14ac:dyDescent="0.2">
      <c r="B3221" s="230">
        <v>41249</v>
      </c>
      <c r="C3221" s="124">
        <v>199.78</v>
      </c>
      <c r="D3221" s="156">
        <f t="shared" si="101"/>
        <v>-5.0030018010803641E-4</v>
      </c>
      <c r="E3221" s="156">
        <v>-5.0262737034498257E-3</v>
      </c>
      <c r="F3221" s="124">
        <v>3215</v>
      </c>
      <c r="G3221" s="238">
        <f t="shared" ca="1" si="102"/>
        <v>2.591704803481629E-2</v>
      </c>
      <c r="I3221" s="156"/>
    </row>
    <row r="3222" spans="2:9" x14ac:dyDescent="0.2">
      <c r="B3222" s="230">
        <v>41248</v>
      </c>
      <c r="C3222" s="124">
        <v>197.49</v>
      </c>
      <c r="D3222" s="156">
        <f t="shared" si="101"/>
        <v>-1.1462608869756693E-2</v>
      </c>
      <c r="E3222" s="156">
        <v>-5.029337803855778E-3</v>
      </c>
      <c r="F3222" s="124">
        <v>3216</v>
      </c>
      <c r="G3222" s="238">
        <f t="shared" ca="1" si="102"/>
        <v>-2.7363393929073013E-2</v>
      </c>
      <c r="I3222" s="156"/>
    </row>
    <row r="3223" spans="2:9" x14ac:dyDescent="0.2">
      <c r="B3223" s="230">
        <v>41247</v>
      </c>
      <c r="C3223" s="124">
        <v>195.67</v>
      </c>
      <c r="D3223" s="156">
        <f t="shared" si="101"/>
        <v>-9.215656488936257E-3</v>
      </c>
      <c r="E3223" s="156">
        <v>-5.0435910368181328E-3</v>
      </c>
      <c r="F3223" s="124">
        <v>3217</v>
      </c>
      <c r="G3223" s="238">
        <f t="shared" ca="1" si="102"/>
        <v>1.0115829924594472E-2</v>
      </c>
      <c r="I3223" s="156"/>
    </row>
    <row r="3224" spans="2:9" x14ac:dyDescent="0.2">
      <c r="B3224" s="230">
        <v>41246</v>
      </c>
      <c r="C3224" s="124">
        <v>196.33</v>
      </c>
      <c r="D3224" s="156">
        <f t="shared" si="101"/>
        <v>3.3730260131855936E-3</v>
      </c>
      <c r="E3224" s="156">
        <v>-5.0472158905894215E-3</v>
      </c>
      <c r="F3224" s="124">
        <v>3218</v>
      </c>
      <c r="G3224" s="238">
        <f t="shared" ca="1" si="102"/>
        <v>9.8095087565138878E-3</v>
      </c>
      <c r="I3224" s="156"/>
    </row>
    <row r="3225" spans="2:9" x14ac:dyDescent="0.2">
      <c r="B3225" s="230">
        <v>41243</v>
      </c>
      <c r="C3225" s="124">
        <v>197.89</v>
      </c>
      <c r="D3225" s="156">
        <f t="shared" si="101"/>
        <v>7.9458055315029478E-3</v>
      </c>
      <c r="E3225" s="156">
        <v>-5.0570153693603468E-3</v>
      </c>
      <c r="F3225" s="124">
        <v>3219</v>
      </c>
      <c r="G3225" s="238">
        <f t="shared" ca="1" si="102"/>
        <v>2.7060713787185864E-3</v>
      </c>
      <c r="I3225" s="156"/>
    </row>
    <row r="3226" spans="2:9" x14ac:dyDescent="0.2">
      <c r="B3226" s="230">
        <v>41242</v>
      </c>
      <c r="C3226" s="124">
        <v>197.56</v>
      </c>
      <c r="D3226" s="156">
        <f t="shared" si="101"/>
        <v>-1.6675931072817429E-3</v>
      </c>
      <c r="E3226" s="156">
        <v>-5.057921357480866E-3</v>
      </c>
      <c r="F3226" s="124">
        <v>3220</v>
      </c>
      <c r="G3226" s="238">
        <f t="shared" ca="1" si="102"/>
        <v>-9.7048030756249799E-3</v>
      </c>
      <c r="I3226" s="156"/>
    </row>
    <row r="3227" spans="2:9" x14ac:dyDescent="0.2">
      <c r="B3227" s="230">
        <v>41240</v>
      </c>
      <c r="C3227" s="124">
        <v>195.07</v>
      </c>
      <c r="D3227" s="156">
        <f t="shared" si="101"/>
        <v>-1.2603765944523228E-2</v>
      </c>
      <c r="E3227" s="156">
        <v>-5.08130081300813E-3</v>
      </c>
      <c r="F3227" s="124">
        <v>3221</v>
      </c>
      <c r="G3227" s="238">
        <f t="shared" ca="1" si="102"/>
        <v>-3.8157112251037263E-3</v>
      </c>
      <c r="I3227" s="156"/>
    </row>
    <row r="3228" spans="2:9" x14ac:dyDescent="0.2">
      <c r="B3228" s="230">
        <v>41239</v>
      </c>
      <c r="C3228" s="124">
        <v>190.33</v>
      </c>
      <c r="D3228" s="156">
        <f t="shared" si="101"/>
        <v>-2.4298969600656077E-2</v>
      </c>
      <c r="E3228" s="156">
        <v>-5.0868268724784975E-3</v>
      </c>
      <c r="F3228" s="124">
        <v>3222</v>
      </c>
      <c r="G3228" s="238">
        <f t="shared" ca="1" si="102"/>
        <v>6.3342744233249324E-3</v>
      </c>
      <c r="I3228" s="156"/>
    </row>
    <row r="3229" spans="2:9" x14ac:dyDescent="0.2">
      <c r="B3229" s="230">
        <v>41236</v>
      </c>
      <c r="C3229" s="124">
        <v>190</v>
      </c>
      <c r="D3229" s="156">
        <f t="shared" si="101"/>
        <v>-1.7338307150738847E-3</v>
      </c>
      <c r="E3229" s="156">
        <v>-5.0936874658906095E-3</v>
      </c>
      <c r="F3229" s="124">
        <v>3223</v>
      </c>
      <c r="G3229" s="238">
        <f t="shared" ca="1" si="102"/>
        <v>-1.1077633380878662E-2</v>
      </c>
      <c r="I3229" s="156"/>
    </row>
    <row r="3230" spans="2:9" x14ac:dyDescent="0.2">
      <c r="B3230" s="230">
        <v>41235</v>
      </c>
      <c r="C3230" s="124">
        <v>191.59</v>
      </c>
      <c r="D3230" s="156">
        <f t="shared" si="101"/>
        <v>8.3684210526315961E-3</v>
      </c>
      <c r="E3230" s="156">
        <v>-5.0937717064134958E-3</v>
      </c>
      <c r="F3230" s="124">
        <v>3224</v>
      </c>
      <c r="G3230" s="238">
        <f t="shared" ca="1" si="102"/>
        <v>-5.9718282836633309E-3</v>
      </c>
      <c r="I3230" s="156"/>
    </row>
    <row r="3231" spans="2:9" x14ac:dyDescent="0.2">
      <c r="B3231" s="230">
        <v>41234</v>
      </c>
      <c r="C3231" s="124">
        <v>189.67</v>
      </c>
      <c r="D3231" s="156">
        <f t="shared" si="101"/>
        <v>-1.0021399864293627E-2</v>
      </c>
      <c r="E3231" s="156">
        <v>-5.1133458326232187E-3</v>
      </c>
      <c r="F3231" s="124">
        <v>3225</v>
      </c>
      <c r="G3231" s="238">
        <f t="shared" ca="1" si="102"/>
        <v>-1.0628679115754828E-2</v>
      </c>
      <c r="I3231" s="156"/>
    </row>
    <row r="3232" spans="2:9" x14ac:dyDescent="0.2">
      <c r="B3232" s="230">
        <v>41233</v>
      </c>
      <c r="C3232" s="124">
        <v>185.99</v>
      </c>
      <c r="D3232" s="156">
        <f t="shared" si="101"/>
        <v>-1.9402119470659455E-2</v>
      </c>
      <c r="E3232" s="156">
        <v>-5.123966942148798E-3</v>
      </c>
      <c r="F3232" s="124">
        <v>3226</v>
      </c>
      <c r="G3232" s="238">
        <f t="shared" ca="1" si="102"/>
        <v>-1.1444487408591324E-2</v>
      </c>
      <c r="I3232" s="156"/>
    </row>
    <row r="3233" spans="2:9" x14ac:dyDescent="0.2">
      <c r="B3233" s="230">
        <v>41232</v>
      </c>
      <c r="C3233" s="124">
        <v>186.75</v>
      </c>
      <c r="D3233" s="156">
        <f t="shared" si="101"/>
        <v>4.0862411957631644E-3</v>
      </c>
      <c r="E3233" s="156">
        <v>-5.1269163106307204E-3</v>
      </c>
      <c r="F3233" s="124">
        <v>3227</v>
      </c>
      <c r="G3233" s="238">
        <f t="shared" ca="1" si="102"/>
        <v>-3.4162074626549119E-2</v>
      </c>
      <c r="I3233" s="156"/>
    </row>
    <row r="3234" spans="2:9" x14ac:dyDescent="0.2">
      <c r="B3234" s="230">
        <v>41229</v>
      </c>
      <c r="C3234" s="124">
        <v>182.08</v>
      </c>
      <c r="D3234" s="156">
        <f t="shared" si="101"/>
        <v>-2.5006693440428312E-2</v>
      </c>
      <c r="E3234" s="156">
        <v>-5.1288313591402266E-3</v>
      </c>
      <c r="F3234" s="124">
        <v>3228</v>
      </c>
      <c r="G3234" s="238">
        <f t="shared" ca="1" si="102"/>
        <v>-1.0758564289474574E-2</v>
      </c>
      <c r="I3234" s="156"/>
    </row>
    <row r="3235" spans="2:9" x14ac:dyDescent="0.2">
      <c r="B3235" s="230">
        <v>41228</v>
      </c>
      <c r="C3235" s="124">
        <v>183.27</v>
      </c>
      <c r="D3235" s="156">
        <f t="shared" si="101"/>
        <v>6.5355887521968232E-3</v>
      </c>
      <c r="E3235" s="156">
        <v>-5.135032331684922E-3</v>
      </c>
      <c r="F3235" s="124">
        <v>3229</v>
      </c>
      <c r="G3235" s="238">
        <f t="shared" ca="1" si="102"/>
        <v>1.8342188279809133E-3</v>
      </c>
      <c r="I3235" s="156"/>
    </row>
    <row r="3236" spans="2:9" x14ac:dyDescent="0.2">
      <c r="B3236" s="230">
        <v>41226</v>
      </c>
      <c r="C3236" s="124">
        <v>188.21</v>
      </c>
      <c r="D3236" s="156">
        <f t="shared" si="101"/>
        <v>2.6954766191957209E-2</v>
      </c>
      <c r="E3236" s="156">
        <v>-5.135135135135074E-3</v>
      </c>
      <c r="F3236" s="124">
        <v>3230</v>
      </c>
      <c r="G3236" s="238">
        <f t="shared" ca="1" si="102"/>
        <v>-3.0036089555186151E-4</v>
      </c>
      <c r="I3236" s="156"/>
    </row>
    <row r="3237" spans="2:9" x14ac:dyDescent="0.2">
      <c r="B3237" s="230">
        <v>41225</v>
      </c>
      <c r="C3237" s="124">
        <v>188.15</v>
      </c>
      <c r="D3237" s="156">
        <f t="shared" si="101"/>
        <v>-3.1879283778758977E-4</v>
      </c>
      <c r="E3237" s="156">
        <v>-5.1388718952648594E-3</v>
      </c>
      <c r="F3237" s="124">
        <v>3231</v>
      </c>
      <c r="G3237" s="238">
        <f t="shared" ca="1" si="102"/>
        <v>7.4485980293091426E-3</v>
      </c>
      <c r="I3237" s="156"/>
    </row>
    <row r="3238" spans="2:9" x14ac:dyDescent="0.2">
      <c r="B3238" s="230">
        <v>41222</v>
      </c>
      <c r="C3238" s="124">
        <v>191.03</v>
      </c>
      <c r="D3238" s="156">
        <f t="shared" si="101"/>
        <v>1.5306935955354746E-2</v>
      </c>
      <c r="E3238" s="156">
        <v>-5.1422694549195106E-3</v>
      </c>
      <c r="F3238" s="124">
        <v>3232</v>
      </c>
      <c r="G3238" s="238">
        <f t="shared" ca="1" si="102"/>
        <v>1.7697583241934878E-2</v>
      </c>
      <c r="I3238" s="156"/>
    </row>
    <row r="3239" spans="2:9" x14ac:dyDescent="0.2">
      <c r="B3239" s="230">
        <v>41221</v>
      </c>
      <c r="C3239" s="124">
        <v>191.59</v>
      </c>
      <c r="D3239" s="156">
        <f t="shared" si="101"/>
        <v>2.9314767314034562E-3</v>
      </c>
      <c r="E3239" s="156">
        <v>-5.1624658366231056E-3</v>
      </c>
      <c r="F3239" s="124">
        <v>3233</v>
      </c>
      <c r="G3239" s="238">
        <f t="shared" ca="1" si="102"/>
        <v>2.9638136426276471E-2</v>
      </c>
      <c r="I3239" s="156"/>
    </row>
    <row r="3240" spans="2:9" x14ac:dyDescent="0.2">
      <c r="B3240" s="230">
        <v>41220</v>
      </c>
      <c r="C3240" s="124">
        <v>192.22</v>
      </c>
      <c r="D3240" s="156">
        <f t="shared" si="101"/>
        <v>3.2882718304712952E-3</v>
      </c>
      <c r="E3240" s="156">
        <v>-5.1760791200665705E-3</v>
      </c>
      <c r="F3240" s="124">
        <v>3234</v>
      </c>
      <c r="G3240" s="238">
        <f t="shared" ca="1" si="102"/>
        <v>-2.0747941601375653E-2</v>
      </c>
      <c r="I3240" s="156"/>
    </row>
    <row r="3241" spans="2:9" x14ac:dyDescent="0.2">
      <c r="B3241" s="230">
        <v>41219</v>
      </c>
      <c r="C3241" s="124">
        <v>191.69</v>
      </c>
      <c r="D3241" s="156">
        <f t="shared" si="101"/>
        <v>-2.7572573093330617E-3</v>
      </c>
      <c r="E3241" s="156">
        <v>-5.1818353118522438E-3</v>
      </c>
      <c r="F3241" s="124">
        <v>3235</v>
      </c>
      <c r="G3241" s="238">
        <f t="shared" ca="1" si="102"/>
        <v>2.2568260859636872E-2</v>
      </c>
      <c r="I3241" s="156"/>
    </row>
    <row r="3242" spans="2:9" x14ac:dyDescent="0.2">
      <c r="B3242" s="230">
        <v>41218</v>
      </c>
      <c r="C3242" s="124">
        <v>191.36</v>
      </c>
      <c r="D3242" s="156">
        <f t="shared" si="101"/>
        <v>-1.7215295529239088E-3</v>
      </c>
      <c r="E3242" s="156">
        <v>-5.1888694717032047E-3</v>
      </c>
      <c r="F3242" s="124">
        <v>3236</v>
      </c>
      <c r="G3242" s="238">
        <f t="shared" ca="1" si="102"/>
        <v>3.9019309555952363E-3</v>
      </c>
      <c r="I3242" s="156"/>
    </row>
    <row r="3243" spans="2:9" x14ac:dyDescent="0.2">
      <c r="B3243" s="230">
        <v>41215</v>
      </c>
      <c r="C3243" s="124">
        <v>187.75</v>
      </c>
      <c r="D3243" s="156">
        <f t="shared" si="101"/>
        <v>-1.8864966555184017E-2</v>
      </c>
      <c r="E3243" s="156">
        <v>-5.1978928721270841E-3</v>
      </c>
      <c r="F3243" s="124">
        <v>3237</v>
      </c>
      <c r="G3243" s="238">
        <f t="shared" ca="1" si="102"/>
        <v>1.810893507759443E-2</v>
      </c>
      <c r="I3243" s="156"/>
    </row>
    <row r="3244" spans="2:9" x14ac:dyDescent="0.2">
      <c r="B3244" s="230">
        <v>41214</v>
      </c>
      <c r="C3244" s="124">
        <v>185.16</v>
      </c>
      <c r="D3244" s="156">
        <f t="shared" si="101"/>
        <v>-1.3794940079893493E-2</v>
      </c>
      <c r="E3244" s="156">
        <v>-5.2196406300521756E-3</v>
      </c>
      <c r="F3244" s="124">
        <v>3238</v>
      </c>
      <c r="G3244" s="238">
        <f t="shared" ca="1" si="102"/>
        <v>1.1437831439719097E-2</v>
      </c>
      <c r="I3244" s="156"/>
    </row>
    <row r="3245" spans="2:9" x14ac:dyDescent="0.2">
      <c r="B3245" s="230">
        <v>41213</v>
      </c>
      <c r="C3245" s="124">
        <v>187.32</v>
      </c>
      <c r="D3245" s="156">
        <f t="shared" si="101"/>
        <v>1.1665586519766669E-2</v>
      </c>
      <c r="E3245" s="156">
        <v>-5.2213393870601844E-3</v>
      </c>
      <c r="F3245" s="124">
        <v>3239</v>
      </c>
      <c r="G3245" s="238">
        <f t="shared" ca="1" si="102"/>
        <v>-2.1055466782426958E-2</v>
      </c>
      <c r="I3245" s="156"/>
    </row>
    <row r="3246" spans="2:9" x14ac:dyDescent="0.2">
      <c r="B3246" s="230">
        <v>41212</v>
      </c>
      <c r="C3246" s="124">
        <v>188.35</v>
      </c>
      <c r="D3246" s="156">
        <f t="shared" si="101"/>
        <v>5.4986120008541596E-3</v>
      </c>
      <c r="E3246" s="156">
        <v>-5.2220527750820069E-3</v>
      </c>
      <c r="F3246" s="124">
        <v>3240</v>
      </c>
      <c r="G3246" s="238">
        <f t="shared" ca="1" si="102"/>
        <v>1.6865140060944101E-2</v>
      </c>
      <c r="I3246" s="156"/>
    </row>
    <row r="3247" spans="2:9" x14ac:dyDescent="0.2">
      <c r="B3247" s="230">
        <v>41211</v>
      </c>
      <c r="C3247" s="124">
        <v>191.1</v>
      </c>
      <c r="D3247" s="156">
        <f t="shared" si="101"/>
        <v>1.4600477833820017E-2</v>
      </c>
      <c r="E3247" s="156">
        <v>-5.2246603970741903E-3</v>
      </c>
      <c r="F3247" s="124">
        <v>3241</v>
      </c>
      <c r="G3247" s="238">
        <f t="shared" ca="1" si="102"/>
        <v>2.6358942763827987E-2</v>
      </c>
      <c r="I3247" s="156"/>
    </row>
    <row r="3248" spans="2:9" x14ac:dyDescent="0.2">
      <c r="B3248" s="230">
        <v>41208</v>
      </c>
      <c r="C3248" s="124">
        <v>189.51</v>
      </c>
      <c r="D3248" s="156">
        <f t="shared" si="101"/>
        <v>-8.3202511773940533E-3</v>
      </c>
      <c r="E3248" s="156">
        <v>-5.2297939778129677E-3</v>
      </c>
      <c r="F3248" s="124">
        <v>3242</v>
      </c>
      <c r="G3248" s="238">
        <f t="shared" ca="1" si="102"/>
        <v>-9.3692501689288509E-3</v>
      </c>
      <c r="I3248" s="156"/>
    </row>
    <row r="3249" spans="2:9" x14ac:dyDescent="0.2">
      <c r="B3249" s="230">
        <v>41207</v>
      </c>
      <c r="C3249" s="124">
        <v>193.62</v>
      </c>
      <c r="D3249" s="156">
        <f t="shared" si="101"/>
        <v>2.1687509893937067E-2</v>
      </c>
      <c r="E3249" s="156">
        <v>-5.2308802308801902E-3</v>
      </c>
      <c r="F3249" s="124">
        <v>3243</v>
      </c>
      <c r="G3249" s="238">
        <f t="shared" ca="1" si="102"/>
        <v>4.2893977935413753E-2</v>
      </c>
      <c r="I3249" s="156"/>
    </row>
    <row r="3250" spans="2:9" x14ac:dyDescent="0.2">
      <c r="B3250" s="230">
        <v>41205</v>
      </c>
      <c r="C3250" s="124">
        <v>192.26</v>
      </c>
      <c r="D3250" s="156">
        <f t="shared" si="101"/>
        <v>-7.024067761594947E-3</v>
      </c>
      <c r="E3250" s="156">
        <v>-5.2477279390208747E-3</v>
      </c>
      <c r="F3250" s="124">
        <v>3244</v>
      </c>
      <c r="G3250" s="238">
        <f t="shared" ca="1" si="102"/>
        <v>1.1305669852571486E-2</v>
      </c>
      <c r="I3250" s="156"/>
    </row>
    <row r="3251" spans="2:9" x14ac:dyDescent="0.2">
      <c r="B3251" s="230">
        <v>41204</v>
      </c>
      <c r="C3251" s="124">
        <v>194.91</v>
      </c>
      <c r="D3251" s="156">
        <f t="shared" si="101"/>
        <v>1.3783418287735388E-2</v>
      </c>
      <c r="E3251" s="156">
        <v>-5.2511815158410649E-3</v>
      </c>
      <c r="F3251" s="124">
        <v>3245</v>
      </c>
      <c r="G3251" s="238">
        <f t="shared" ca="1" si="102"/>
        <v>-5.0699670240976352E-3</v>
      </c>
      <c r="I3251" s="156"/>
    </row>
    <row r="3252" spans="2:9" x14ac:dyDescent="0.2">
      <c r="B3252" s="230">
        <v>41201</v>
      </c>
      <c r="C3252" s="124">
        <v>197.23</v>
      </c>
      <c r="D3252" s="156">
        <f t="shared" si="101"/>
        <v>1.1902929557231509E-2</v>
      </c>
      <c r="E3252" s="156">
        <v>-5.2569102933695483E-3</v>
      </c>
      <c r="F3252" s="124">
        <v>3246</v>
      </c>
      <c r="G3252" s="238">
        <f t="shared" ca="1" si="102"/>
        <v>7.2145591871478031E-3</v>
      </c>
      <c r="I3252" s="156"/>
    </row>
    <row r="3253" spans="2:9" x14ac:dyDescent="0.2">
      <c r="B3253" s="230">
        <v>41200</v>
      </c>
      <c r="C3253" s="124">
        <v>193.32</v>
      </c>
      <c r="D3253" s="156">
        <f t="shared" si="101"/>
        <v>-1.9824570298636095E-2</v>
      </c>
      <c r="E3253" s="156">
        <v>-5.2607502287282965E-3</v>
      </c>
      <c r="F3253" s="124">
        <v>3247</v>
      </c>
      <c r="G3253" s="238">
        <f t="shared" ca="1" si="102"/>
        <v>-3.1471438461686818E-2</v>
      </c>
      <c r="I3253" s="156"/>
    </row>
    <row r="3254" spans="2:9" x14ac:dyDescent="0.2">
      <c r="B3254" s="230">
        <v>41199</v>
      </c>
      <c r="C3254" s="124">
        <v>191.1</v>
      </c>
      <c r="D3254" s="156">
        <f t="shared" si="101"/>
        <v>-1.1483550589695836E-2</v>
      </c>
      <c r="E3254" s="156">
        <v>-5.263157894736881E-3</v>
      </c>
      <c r="F3254" s="124">
        <v>3248</v>
      </c>
      <c r="G3254" s="238">
        <f t="shared" ca="1" si="102"/>
        <v>-1.7182549742882039E-2</v>
      </c>
      <c r="I3254" s="156"/>
    </row>
    <row r="3255" spans="2:9" x14ac:dyDescent="0.2">
      <c r="B3255" s="230">
        <v>41198</v>
      </c>
      <c r="C3255" s="124">
        <v>189.9</v>
      </c>
      <c r="D3255" s="156">
        <f t="shared" si="101"/>
        <v>-6.2794348508633628E-3</v>
      </c>
      <c r="E3255" s="156">
        <v>-5.2684903748733995E-3</v>
      </c>
      <c r="F3255" s="124">
        <v>3249</v>
      </c>
      <c r="G3255" s="238">
        <f t="shared" ca="1" si="102"/>
        <v>-1.7685007974156012E-2</v>
      </c>
      <c r="I3255" s="156"/>
    </row>
    <row r="3256" spans="2:9" x14ac:dyDescent="0.2">
      <c r="B3256" s="230">
        <v>41197</v>
      </c>
      <c r="C3256" s="124">
        <v>190.1</v>
      </c>
      <c r="D3256" s="156">
        <f t="shared" si="101"/>
        <v>1.0531858873090501E-3</v>
      </c>
      <c r="E3256" s="156">
        <v>-5.273566249175893E-3</v>
      </c>
      <c r="F3256" s="124">
        <v>3250</v>
      </c>
      <c r="G3256" s="238">
        <f t="shared" ca="1" si="102"/>
        <v>1.3943099991639049E-2</v>
      </c>
      <c r="I3256" s="156"/>
    </row>
    <row r="3257" spans="2:9" x14ac:dyDescent="0.2">
      <c r="B3257" s="230">
        <v>41194</v>
      </c>
      <c r="C3257" s="124">
        <v>187.95</v>
      </c>
      <c r="D3257" s="156">
        <f t="shared" si="101"/>
        <v>-1.1309836927932698E-2</v>
      </c>
      <c r="E3257" s="156">
        <v>-5.2793124616328478E-3</v>
      </c>
      <c r="F3257" s="124">
        <v>3251</v>
      </c>
      <c r="G3257" s="238">
        <f t="shared" ca="1" si="102"/>
        <v>-3.2349025826432657E-3</v>
      </c>
      <c r="I3257" s="156"/>
    </row>
    <row r="3258" spans="2:9" x14ac:dyDescent="0.2">
      <c r="B3258" s="230">
        <v>41193</v>
      </c>
      <c r="C3258" s="124">
        <v>187.95</v>
      </c>
      <c r="D3258" s="156">
        <f t="shared" si="101"/>
        <v>0</v>
      </c>
      <c r="E3258" s="156">
        <v>-5.2800089872493275E-3</v>
      </c>
      <c r="F3258" s="124">
        <v>3252</v>
      </c>
      <c r="G3258" s="238">
        <f t="shared" ca="1" si="102"/>
        <v>-1.3924396904943504E-2</v>
      </c>
      <c r="I3258" s="156"/>
    </row>
    <row r="3259" spans="2:9" x14ac:dyDescent="0.2">
      <c r="B3259" s="230">
        <v>41192</v>
      </c>
      <c r="C3259" s="124">
        <v>186.29</v>
      </c>
      <c r="D3259" s="156">
        <f t="shared" si="101"/>
        <v>-8.8321362064378642E-3</v>
      </c>
      <c r="E3259" s="156">
        <v>-5.2831783601014369E-3</v>
      </c>
      <c r="F3259" s="124">
        <v>3253</v>
      </c>
      <c r="G3259" s="238">
        <f t="shared" ca="1" si="102"/>
        <v>4.3622890950554818E-3</v>
      </c>
      <c r="I3259" s="156"/>
    </row>
    <row r="3260" spans="2:9" x14ac:dyDescent="0.2">
      <c r="B3260" s="230">
        <v>41191</v>
      </c>
      <c r="C3260" s="124">
        <v>185.66</v>
      </c>
      <c r="D3260" s="156">
        <f t="shared" si="101"/>
        <v>-3.3818240377905175E-3</v>
      </c>
      <c r="E3260" s="156">
        <v>-5.2914110429447677E-3</v>
      </c>
      <c r="F3260" s="124">
        <v>3254</v>
      </c>
      <c r="G3260" s="238">
        <f t="shared" ca="1" si="102"/>
        <v>1.1459918344497581E-2</v>
      </c>
      <c r="I3260" s="156"/>
    </row>
    <row r="3261" spans="2:9" x14ac:dyDescent="0.2">
      <c r="B3261" s="230">
        <v>41190</v>
      </c>
      <c r="C3261" s="124">
        <v>184.14</v>
      </c>
      <c r="D3261" s="156">
        <f t="shared" si="101"/>
        <v>-8.1870085101799547E-3</v>
      </c>
      <c r="E3261" s="156">
        <v>-5.3051764099922797E-3</v>
      </c>
      <c r="F3261" s="124">
        <v>3255</v>
      </c>
      <c r="G3261" s="238">
        <f t="shared" ca="1" si="102"/>
        <v>2.0119821965369131E-2</v>
      </c>
      <c r="I3261" s="156"/>
    </row>
    <row r="3262" spans="2:9" x14ac:dyDescent="0.2">
      <c r="B3262" s="230">
        <v>41187</v>
      </c>
      <c r="C3262" s="124">
        <v>182.74</v>
      </c>
      <c r="D3262" s="156">
        <f t="shared" ref="D3262:D3325" si="103">(C3262-C3261)/C3261</f>
        <v>-7.6029108287171574E-3</v>
      </c>
      <c r="E3262" s="156">
        <v>-5.3133170279159609E-3</v>
      </c>
      <c r="F3262" s="124">
        <v>3256</v>
      </c>
      <c r="G3262" s="238">
        <f t="shared" ca="1" si="102"/>
        <v>1.2121866911465268E-2</v>
      </c>
      <c r="I3262" s="156"/>
    </row>
    <row r="3263" spans="2:9" x14ac:dyDescent="0.2">
      <c r="B3263" s="230">
        <v>41186</v>
      </c>
      <c r="C3263" s="124">
        <v>182.51</v>
      </c>
      <c r="D3263" s="156">
        <f t="shared" si="103"/>
        <v>-1.2586188026705602E-3</v>
      </c>
      <c r="E3263" s="156">
        <v>-5.3142949165278907E-3</v>
      </c>
      <c r="F3263" s="124">
        <v>3257</v>
      </c>
      <c r="G3263" s="238">
        <f t="shared" ca="1" si="102"/>
        <v>-1.5201250422112395E-2</v>
      </c>
      <c r="I3263" s="156"/>
    </row>
    <row r="3264" spans="2:9" x14ac:dyDescent="0.2">
      <c r="B3264" s="230">
        <v>41185</v>
      </c>
      <c r="C3264" s="124">
        <v>179.16</v>
      </c>
      <c r="D3264" s="156">
        <f t="shared" si="103"/>
        <v>-1.8355158621445371E-2</v>
      </c>
      <c r="E3264" s="156">
        <v>-5.3144375553587243E-3</v>
      </c>
      <c r="F3264" s="124">
        <v>3258</v>
      </c>
      <c r="G3264" s="238">
        <f t="shared" ca="1" si="102"/>
        <v>-5.775150950235999E-6</v>
      </c>
      <c r="I3264" s="156"/>
    </row>
    <row r="3265" spans="2:9" x14ac:dyDescent="0.2">
      <c r="B3265" s="230">
        <v>41183</v>
      </c>
      <c r="C3265" s="124">
        <v>181.15</v>
      </c>
      <c r="D3265" s="156">
        <f t="shared" si="103"/>
        <v>1.1107390042420234E-2</v>
      </c>
      <c r="E3265" s="156">
        <v>-5.3159800192474982E-3</v>
      </c>
      <c r="F3265" s="124">
        <v>3259</v>
      </c>
      <c r="G3265" s="238">
        <f t="shared" ca="1" si="102"/>
        <v>-6.3429057178254174E-3</v>
      </c>
      <c r="I3265" s="156"/>
    </row>
    <row r="3266" spans="2:9" x14ac:dyDescent="0.2">
      <c r="B3266" s="230">
        <v>41180</v>
      </c>
      <c r="C3266" s="124">
        <v>180.59</v>
      </c>
      <c r="D3266" s="156">
        <f t="shared" si="103"/>
        <v>-3.0913607507590517E-3</v>
      </c>
      <c r="E3266" s="156">
        <v>-5.3181386514718982E-3</v>
      </c>
      <c r="F3266" s="124">
        <v>3260</v>
      </c>
      <c r="G3266" s="238">
        <f t="shared" ca="1" si="102"/>
        <v>-9.1462938646779107E-3</v>
      </c>
      <c r="I3266" s="156"/>
    </row>
    <row r="3267" spans="2:9" x14ac:dyDescent="0.2">
      <c r="B3267" s="230">
        <v>41179</v>
      </c>
      <c r="C3267" s="124">
        <v>176.98</v>
      </c>
      <c r="D3267" s="156">
        <f t="shared" si="103"/>
        <v>-1.9990032670690591E-2</v>
      </c>
      <c r="E3267" s="156">
        <v>-5.3277040611178234E-3</v>
      </c>
      <c r="F3267" s="124">
        <v>3261</v>
      </c>
      <c r="G3267" s="238">
        <f t="shared" ca="1" si="102"/>
        <v>7.2500758055556993E-3</v>
      </c>
      <c r="I3267" s="156"/>
    </row>
    <row r="3268" spans="2:9" x14ac:dyDescent="0.2">
      <c r="B3268" s="230">
        <v>41178</v>
      </c>
      <c r="C3268" s="124">
        <v>174.89</v>
      </c>
      <c r="D3268" s="156">
        <f t="shared" si="103"/>
        <v>-1.1809243982370909E-2</v>
      </c>
      <c r="E3268" s="156">
        <v>-5.3396618214180099E-3</v>
      </c>
      <c r="F3268" s="124">
        <v>3262</v>
      </c>
      <c r="G3268" s="238">
        <f t="shared" ca="1" si="102"/>
        <v>-6.5152539688249841E-3</v>
      </c>
      <c r="I3268" s="156"/>
    </row>
    <row r="3269" spans="2:9" x14ac:dyDescent="0.2">
      <c r="B3269" s="230">
        <v>41177</v>
      </c>
      <c r="C3269" s="124">
        <v>172.9</v>
      </c>
      <c r="D3269" s="156">
        <f t="shared" si="103"/>
        <v>-1.1378580822231006E-2</v>
      </c>
      <c r="E3269" s="156">
        <v>-5.3444180522565932E-3</v>
      </c>
      <c r="F3269" s="124">
        <v>3263</v>
      </c>
      <c r="G3269" s="238">
        <f t="shared" ca="1" si="102"/>
        <v>2.2547635642380603E-3</v>
      </c>
      <c r="I3269" s="156"/>
    </row>
    <row r="3270" spans="2:9" x14ac:dyDescent="0.2">
      <c r="B3270" s="230">
        <v>41176</v>
      </c>
      <c r="C3270" s="124">
        <v>169.62</v>
      </c>
      <c r="D3270" s="156">
        <f t="shared" si="103"/>
        <v>-1.8970503181029504E-2</v>
      </c>
      <c r="E3270" s="156">
        <v>-5.3453068206115026E-3</v>
      </c>
      <c r="F3270" s="124">
        <v>3264</v>
      </c>
      <c r="G3270" s="238">
        <f t="shared" ca="1" si="102"/>
        <v>1.7893668106566767E-2</v>
      </c>
      <c r="I3270" s="156"/>
    </row>
    <row r="3271" spans="2:9" x14ac:dyDescent="0.2">
      <c r="B3271" s="230">
        <v>41173</v>
      </c>
      <c r="C3271" s="124">
        <v>173.43</v>
      </c>
      <c r="D3271" s="156">
        <f t="shared" si="103"/>
        <v>2.246197382384154E-2</v>
      </c>
      <c r="E3271" s="156">
        <v>-5.357334190506804E-3</v>
      </c>
      <c r="F3271" s="124">
        <v>3265</v>
      </c>
      <c r="G3271" s="238">
        <f t="shared" ref="G3271:G3334" ca="1" si="104">_xlfn.NORM.INV(RAND(),$L$8,$L$9)</f>
        <v>-4.2669922937817349E-3</v>
      </c>
      <c r="I3271" s="156"/>
    </row>
    <row r="3272" spans="2:9" x14ac:dyDescent="0.2">
      <c r="B3272" s="230">
        <v>41172</v>
      </c>
      <c r="C3272" s="124">
        <v>170.02</v>
      </c>
      <c r="D3272" s="156">
        <f t="shared" si="103"/>
        <v>-1.9662111514732149E-2</v>
      </c>
      <c r="E3272" s="156">
        <v>-5.3583389149363192E-3</v>
      </c>
      <c r="F3272" s="124">
        <v>3266</v>
      </c>
      <c r="G3272" s="238">
        <f t="shared" ca="1" si="104"/>
        <v>2.0496151664708074E-2</v>
      </c>
      <c r="I3272" s="156"/>
    </row>
    <row r="3273" spans="2:9" x14ac:dyDescent="0.2">
      <c r="B3273" s="230">
        <v>41170</v>
      </c>
      <c r="C3273" s="124">
        <v>168.52</v>
      </c>
      <c r="D3273" s="156">
        <f t="shared" si="103"/>
        <v>-8.8224914715915766E-3</v>
      </c>
      <c r="E3273" s="156">
        <v>-5.3641673620216952E-3</v>
      </c>
      <c r="F3273" s="124">
        <v>3267</v>
      </c>
      <c r="G3273" s="238">
        <f t="shared" ca="1" si="104"/>
        <v>-1.7775172562677879E-2</v>
      </c>
      <c r="I3273" s="156"/>
    </row>
    <row r="3274" spans="2:9" x14ac:dyDescent="0.2">
      <c r="B3274" s="230">
        <v>41169</v>
      </c>
      <c r="C3274" s="124">
        <v>168.06</v>
      </c>
      <c r="D3274" s="156">
        <f t="shared" si="103"/>
        <v>-2.7296463327795392E-3</v>
      </c>
      <c r="E3274" s="156">
        <v>-5.3647768867527987E-3</v>
      </c>
      <c r="F3274" s="124">
        <v>3268</v>
      </c>
      <c r="G3274" s="238">
        <f t="shared" ca="1" si="104"/>
        <v>-4.9955529594825944E-3</v>
      </c>
      <c r="I3274" s="156"/>
    </row>
    <row r="3275" spans="2:9" x14ac:dyDescent="0.2">
      <c r="B3275" s="230">
        <v>41166</v>
      </c>
      <c r="C3275" s="124">
        <v>177.84</v>
      </c>
      <c r="D3275" s="156">
        <f t="shared" si="103"/>
        <v>5.8193502320599791E-2</v>
      </c>
      <c r="E3275" s="156">
        <v>-5.3768557289683837E-3</v>
      </c>
      <c r="F3275" s="124">
        <v>3269</v>
      </c>
      <c r="G3275" s="238">
        <f t="shared" ca="1" si="104"/>
        <v>-3.0157001005026913E-3</v>
      </c>
      <c r="I3275" s="156"/>
    </row>
    <row r="3276" spans="2:9" x14ac:dyDescent="0.2">
      <c r="B3276" s="230">
        <v>41165</v>
      </c>
      <c r="C3276" s="124">
        <v>178.77</v>
      </c>
      <c r="D3276" s="156">
        <f t="shared" si="103"/>
        <v>5.2294197031039517E-3</v>
      </c>
      <c r="E3276" s="156">
        <v>-5.378858746492075E-3</v>
      </c>
      <c r="F3276" s="124">
        <v>3270</v>
      </c>
      <c r="G3276" s="238">
        <f t="shared" ca="1" si="104"/>
        <v>-1.0471584967683646E-2</v>
      </c>
      <c r="I3276" s="156"/>
    </row>
    <row r="3277" spans="2:9" x14ac:dyDescent="0.2">
      <c r="B3277" s="230">
        <v>41164</v>
      </c>
      <c r="C3277" s="124">
        <v>178.53</v>
      </c>
      <c r="D3277" s="156">
        <f t="shared" si="103"/>
        <v>-1.3425071320691899E-3</v>
      </c>
      <c r="E3277" s="156">
        <v>-5.3812909521816533E-3</v>
      </c>
      <c r="F3277" s="124">
        <v>3271</v>
      </c>
      <c r="G3277" s="238">
        <f t="shared" ca="1" si="104"/>
        <v>2.3982408222420976E-3</v>
      </c>
      <c r="I3277" s="156"/>
    </row>
    <row r="3278" spans="2:9" x14ac:dyDescent="0.2">
      <c r="B3278" s="230">
        <v>41163</v>
      </c>
      <c r="C3278" s="124">
        <v>177.21</v>
      </c>
      <c r="D3278" s="156">
        <f t="shared" si="103"/>
        <v>-7.3937153419592963E-3</v>
      </c>
      <c r="E3278" s="156">
        <v>-5.3835800807537229E-3</v>
      </c>
      <c r="F3278" s="124">
        <v>3272</v>
      </c>
      <c r="G3278" s="238">
        <f t="shared" ca="1" si="104"/>
        <v>-1.3595512790430366E-2</v>
      </c>
      <c r="I3278" s="156"/>
    </row>
    <row r="3279" spans="2:9" x14ac:dyDescent="0.2">
      <c r="B3279" s="230">
        <v>41162</v>
      </c>
      <c r="C3279" s="124">
        <v>175.45</v>
      </c>
      <c r="D3279" s="156">
        <f t="shared" si="103"/>
        <v>-9.9317194289262421E-3</v>
      </c>
      <c r="E3279" s="156">
        <v>-5.3902449712958048E-3</v>
      </c>
      <c r="F3279" s="124">
        <v>3273</v>
      </c>
      <c r="G3279" s="238">
        <f t="shared" ca="1" si="104"/>
        <v>2.1893980253618311E-2</v>
      </c>
      <c r="I3279" s="156"/>
    </row>
    <row r="3280" spans="2:9" x14ac:dyDescent="0.2">
      <c r="B3280" s="230">
        <v>41160</v>
      </c>
      <c r="C3280" s="124">
        <v>174.59</v>
      </c>
      <c r="D3280" s="156">
        <f t="shared" si="103"/>
        <v>-4.90168139070952E-3</v>
      </c>
      <c r="E3280" s="156">
        <v>-5.4023315325562931E-3</v>
      </c>
      <c r="F3280" s="124">
        <v>3274</v>
      </c>
      <c r="G3280" s="238">
        <f t="shared" ca="1" si="104"/>
        <v>-2.702291202884404E-3</v>
      </c>
      <c r="I3280" s="156"/>
    </row>
    <row r="3281" spans="2:9" x14ac:dyDescent="0.2">
      <c r="B3281" s="230">
        <v>41159</v>
      </c>
      <c r="C3281" s="124">
        <v>174.19</v>
      </c>
      <c r="D3281" s="156">
        <f t="shared" si="103"/>
        <v>-2.2910819634572753E-3</v>
      </c>
      <c r="E3281" s="156">
        <v>-5.422153369481081E-3</v>
      </c>
      <c r="F3281" s="124">
        <v>3275</v>
      </c>
      <c r="G3281" s="238">
        <f t="shared" ca="1" si="104"/>
        <v>4.7823922530168129E-2</v>
      </c>
      <c r="I3281" s="156"/>
    </row>
    <row r="3282" spans="2:9" x14ac:dyDescent="0.2">
      <c r="B3282" s="230">
        <v>41158</v>
      </c>
      <c r="C3282" s="124">
        <v>172.67</v>
      </c>
      <c r="D3282" s="156">
        <f t="shared" si="103"/>
        <v>-8.7261036798898343E-3</v>
      </c>
      <c r="E3282" s="156">
        <v>-5.4234799983688131E-3</v>
      </c>
      <c r="F3282" s="124">
        <v>3276</v>
      </c>
      <c r="G3282" s="238">
        <f t="shared" ca="1" si="104"/>
        <v>1.1709448427517238E-2</v>
      </c>
      <c r="I3282" s="156"/>
    </row>
    <row r="3283" spans="2:9" x14ac:dyDescent="0.2">
      <c r="B3283" s="230">
        <v>41157</v>
      </c>
      <c r="C3283" s="124">
        <v>177.51</v>
      </c>
      <c r="D3283" s="156">
        <f t="shared" si="103"/>
        <v>2.8030346904499934E-2</v>
      </c>
      <c r="E3283" s="156">
        <v>-5.4282557525099466E-3</v>
      </c>
      <c r="F3283" s="124">
        <v>3277</v>
      </c>
      <c r="G3283" s="238">
        <f t="shared" ca="1" si="104"/>
        <v>-1.4145244071742422E-2</v>
      </c>
      <c r="I3283" s="156"/>
    </row>
    <row r="3284" spans="2:9" x14ac:dyDescent="0.2">
      <c r="B3284" s="230">
        <v>41156</v>
      </c>
      <c r="C3284" s="124">
        <v>176.68</v>
      </c>
      <c r="D3284" s="156">
        <f t="shared" si="103"/>
        <v>-4.6757929130752307E-3</v>
      </c>
      <c r="E3284" s="156">
        <v>-5.4283691291007055E-3</v>
      </c>
      <c r="F3284" s="124">
        <v>3278</v>
      </c>
      <c r="G3284" s="238">
        <f t="shared" ca="1" si="104"/>
        <v>2.2772971225468362E-2</v>
      </c>
      <c r="I3284" s="156"/>
    </row>
    <row r="3285" spans="2:9" x14ac:dyDescent="0.2">
      <c r="B3285" s="230">
        <v>41155</v>
      </c>
      <c r="C3285" s="124">
        <v>177.41</v>
      </c>
      <c r="D3285" s="156">
        <f t="shared" si="103"/>
        <v>4.1317636404799053E-3</v>
      </c>
      <c r="E3285" s="156">
        <v>-5.4335521847408193E-3</v>
      </c>
      <c r="F3285" s="124">
        <v>3279</v>
      </c>
      <c r="G3285" s="238">
        <f t="shared" ca="1" si="104"/>
        <v>1.5763973134861334E-2</v>
      </c>
      <c r="I3285" s="156"/>
    </row>
    <row r="3286" spans="2:9" x14ac:dyDescent="0.2">
      <c r="B3286" s="230">
        <v>41152</v>
      </c>
      <c r="C3286" s="124">
        <v>177.44</v>
      </c>
      <c r="D3286" s="156">
        <f t="shared" si="103"/>
        <v>1.6909982526352031E-4</v>
      </c>
      <c r="E3286" s="156">
        <v>-5.4384772263766593E-3</v>
      </c>
      <c r="F3286" s="124">
        <v>3280</v>
      </c>
      <c r="G3286" s="238">
        <f t="shared" ca="1" si="104"/>
        <v>-1.0987884771347354E-2</v>
      </c>
      <c r="I3286" s="156"/>
    </row>
    <row r="3287" spans="2:9" x14ac:dyDescent="0.2">
      <c r="B3287" s="230">
        <v>41151</v>
      </c>
      <c r="C3287" s="124">
        <v>179.4</v>
      </c>
      <c r="D3287" s="156">
        <f t="shared" si="103"/>
        <v>1.1045987376014473E-2</v>
      </c>
      <c r="E3287" s="156">
        <v>-5.4412833923587331E-3</v>
      </c>
      <c r="F3287" s="124">
        <v>3281</v>
      </c>
      <c r="G3287" s="238">
        <f t="shared" ca="1" si="104"/>
        <v>4.9511634641653708E-3</v>
      </c>
      <c r="I3287" s="156"/>
    </row>
    <row r="3288" spans="2:9" x14ac:dyDescent="0.2">
      <c r="B3288" s="230">
        <v>41150</v>
      </c>
      <c r="C3288" s="124">
        <v>178.57</v>
      </c>
      <c r="D3288" s="156">
        <f t="shared" si="103"/>
        <v>-4.6265328874025222E-3</v>
      </c>
      <c r="E3288" s="156">
        <v>-5.4452836817144258E-3</v>
      </c>
      <c r="F3288" s="124">
        <v>3282</v>
      </c>
      <c r="G3288" s="238">
        <f t="shared" ca="1" si="104"/>
        <v>-5.5535619769404333E-3</v>
      </c>
      <c r="I3288" s="156"/>
    </row>
    <row r="3289" spans="2:9" x14ac:dyDescent="0.2">
      <c r="B3289" s="230">
        <v>41149</v>
      </c>
      <c r="C3289" s="124">
        <v>177.77</v>
      </c>
      <c r="D3289" s="156">
        <f t="shared" si="103"/>
        <v>-4.480035840286627E-3</v>
      </c>
      <c r="E3289" s="156">
        <v>-5.4475439090823545E-3</v>
      </c>
      <c r="F3289" s="124">
        <v>3283</v>
      </c>
      <c r="G3289" s="238">
        <f t="shared" ca="1" si="104"/>
        <v>-6.839635152087937E-3</v>
      </c>
      <c r="I3289" s="156"/>
    </row>
    <row r="3290" spans="2:9" x14ac:dyDescent="0.2">
      <c r="B3290" s="230">
        <v>41148</v>
      </c>
      <c r="C3290" s="124">
        <v>175.92</v>
      </c>
      <c r="D3290" s="156">
        <f t="shared" si="103"/>
        <v>-1.0406705293356711E-2</v>
      </c>
      <c r="E3290" s="156">
        <v>-5.4575986565910282E-3</v>
      </c>
      <c r="F3290" s="124">
        <v>3284</v>
      </c>
      <c r="G3290" s="238">
        <f t="shared" ca="1" si="104"/>
        <v>-2.5630988098284388E-2</v>
      </c>
      <c r="I3290" s="156"/>
    </row>
    <row r="3291" spans="2:9" x14ac:dyDescent="0.2">
      <c r="B3291" s="230">
        <v>41145</v>
      </c>
      <c r="C3291" s="124">
        <v>175.78</v>
      </c>
      <c r="D3291" s="156">
        <f t="shared" si="103"/>
        <v>-7.9581628012725307E-4</v>
      </c>
      <c r="E3291" s="156">
        <v>-5.4603652796083443E-3</v>
      </c>
      <c r="F3291" s="124">
        <v>3285</v>
      </c>
      <c r="G3291" s="238">
        <f t="shared" ca="1" si="104"/>
        <v>-3.2263761511086772E-2</v>
      </c>
      <c r="I3291" s="156"/>
    </row>
    <row r="3292" spans="2:9" x14ac:dyDescent="0.2">
      <c r="B3292" s="230">
        <v>41144</v>
      </c>
      <c r="C3292" s="124">
        <v>175.19</v>
      </c>
      <c r="D3292" s="156">
        <f t="shared" si="103"/>
        <v>-3.3564683126635761E-3</v>
      </c>
      <c r="E3292" s="156">
        <v>-5.4671364354270443E-3</v>
      </c>
      <c r="F3292" s="124">
        <v>3286</v>
      </c>
      <c r="G3292" s="238">
        <f t="shared" ca="1" si="104"/>
        <v>-1.3465956862039627E-2</v>
      </c>
      <c r="I3292" s="156"/>
    </row>
    <row r="3293" spans="2:9" x14ac:dyDescent="0.2">
      <c r="B3293" s="230">
        <v>41143</v>
      </c>
      <c r="C3293" s="124">
        <v>173.46</v>
      </c>
      <c r="D3293" s="156">
        <f t="shared" si="103"/>
        <v>-9.8749928648894907E-3</v>
      </c>
      <c r="E3293" s="156">
        <v>-5.4932981762250048E-3</v>
      </c>
      <c r="F3293" s="124">
        <v>3287</v>
      </c>
      <c r="G3293" s="238">
        <f t="shared" ca="1" si="104"/>
        <v>4.3073699420626858E-3</v>
      </c>
      <c r="I3293" s="156"/>
    </row>
    <row r="3294" spans="2:9" x14ac:dyDescent="0.2">
      <c r="B3294" s="230">
        <v>41142</v>
      </c>
      <c r="C3294" s="124">
        <v>172.87</v>
      </c>
      <c r="D3294" s="156">
        <f t="shared" si="103"/>
        <v>-3.4013605442177065E-3</v>
      </c>
      <c r="E3294" s="156">
        <v>-5.496889917546586E-3</v>
      </c>
      <c r="F3294" s="124">
        <v>3288</v>
      </c>
      <c r="G3294" s="238">
        <f t="shared" ca="1" si="104"/>
        <v>3.312068123784194E-2</v>
      </c>
      <c r="I3294" s="156"/>
    </row>
    <row r="3295" spans="2:9" x14ac:dyDescent="0.2">
      <c r="B3295" s="230">
        <v>41138</v>
      </c>
      <c r="C3295" s="124">
        <v>173.76</v>
      </c>
      <c r="D3295" s="156">
        <f t="shared" si="103"/>
        <v>5.1483773934169396E-3</v>
      </c>
      <c r="E3295" s="156">
        <v>-5.4990834860856241E-3</v>
      </c>
      <c r="F3295" s="124">
        <v>3289</v>
      </c>
      <c r="G3295" s="238">
        <f t="shared" ca="1" si="104"/>
        <v>2.60459438660441E-3</v>
      </c>
      <c r="I3295" s="156"/>
    </row>
    <row r="3296" spans="2:9" x14ac:dyDescent="0.2">
      <c r="B3296" s="230">
        <v>41137</v>
      </c>
      <c r="C3296" s="124">
        <v>171.27</v>
      </c>
      <c r="D3296" s="156">
        <f t="shared" si="103"/>
        <v>-1.4330110497237458E-2</v>
      </c>
      <c r="E3296" s="156">
        <v>-5.5082623935903572E-3</v>
      </c>
      <c r="F3296" s="124">
        <v>3290</v>
      </c>
      <c r="G3296" s="238">
        <f t="shared" ca="1" si="104"/>
        <v>1.3051148221303764E-2</v>
      </c>
      <c r="I3296" s="156"/>
    </row>
    <row r="3297" spans="2:9" x14ac:dyDescent="0.2">
      <c r="B3297" s="230">
        <v>41135</v>
      </c>
      <c r="C3297" s="124">
        <v>177.54</v>
      </c>
      <c r="D3297" s="156">
        <f t="shared" si="103"/>
        <v>3.6608863198458463E-2</v>
      </c>
      <c r="E3297" s="156">
        <v>-5.5145295866500703E-3</v>
      </c>
      <c r="F3297" s="124">
        <v>3291</v>
      </c>
      <c r="G3297" s="238">
        <f t="shared" ca="1" si="104"/>
        <v>3.4269862472450334E-2</v>
      </c>
      <c r="I3297" s="156"/>
    </row>
    <row r="3298" spans="2:9" x14ac:dyDescent="0.2">
      <c r="B3298" s="230">
        <v>41134</v>
      </c>
      <c r="C3298" s="124">
        <v>176.94</v>
      </c>
      <c r="D3298" s="156">
        <f t="shared" si="103"/>
        <v>-3.3795201081446118E-3</v>
      </c>
      <c r="E3298" s="156">
        <v>-5.5338541666666297E-3</v>
      </c>
      <c r="F3298" s="124">
        <v>3292</v>
      </c>
      <c r="G3298" s="238">
        <f t="shared" ca="1" si="104"/>
        <v>2.3432504400105942E-3</v>
      </c>
      <c r="I3298" s="156"/>
    </row>
    <row r="3299" spans="2:9" x14ac:dyDescent="0.2">
      <c r="B3299" s="230">
        <v>41131</v>
      </c>
      <c r="C3299" s="124">
        <v>177.51</v>
      </c>
      <c r="D3299" s="156">
        <f t="shared" si="103"/>
        <v>3.2214309935570994E-3</v>
      </c>
      <c r="E3299" s="156">
        <v>-5.5527511357899764E-3</v>
      </c>
      <c r="F3299" s="124">
        <v>3293</v>
      </c>
      <c r="G3299" s="238">
        <f t="shared" ca="1" si="104"/>
        <v>4.8422759302456904E-3</v>
      </c>
      <c r="I3299" s="156"/>
    </row>
    <row r="3300" spans="2:9" x14ac:dyDescent="0.2">
      <c r="B3300" s="230">
        <v>41130</v>
      </c>
      <c r="C3300" s="124">
        <v>176.08</v>
      </c>
      <c r="D3300" s="156">
        <f t="shared" si="103"/>
        <v>-8.0558841755392855E-3</v>
      </c>
      <c r="E3300" s="156">
        <v>-5.5661344660904565E-3</v>
      </c>
      <c r="F3300" s="124">
        <v>3294</v>
      </c>
      <c r="G3300" s="238">
        <f t="shared" ca="1" si="104"/>
        <v>-8.1421023183365655E-4</v>
      </c>
      <c r="I3300" s="156"/>
    </row>
    <row r="3301" spans="2:9" x14ac:dyDescent="0.2">
      <c r="B3301" s="230">
        <v>41129</v>
      </c>
      <c r="C3301" s="124">
        <v>173.4</v>
      </c>
      <c r="D3301" s="156">
        <f t="shared" si="103"/>
        <v>-1.5220354384370778E-2</v>
      </c>
      <c r="E3301" s="156">
        <v>-5.5735735735735568E-3</v>
      </c>
      <c r="F3301" s="124">
        <v>3295</v>
      </c>
      <c r="G3301" s="238">
        <f t="shared" ca="1" si="104"/>
        <v>4.8103850680772707E-3</v>
      </c>
      <c r="I3301" s="156"/>
    </row>
    <row r="3302" spans="2:9" x14ac:dyDescent="0.2">
      <c r="B3302" s="230">
        <v>41128</v>
      </c>
      <c r="C3302" s="124">
        <v>173.23</v>
      </c>
      <c r="D3302" s="156">
        <f t="shared" si="103"/>
        <v>-9.8039215686283681E-4</v>
      </c>
      <c r="E3302" s="156">
        <v>-5.5843637814119561E-3</v>
      </c>
      <c r="F3302" s="124">
        <v>3296</v>
      </c>
      <c r="G3302" s="238">
        <f t="shared" ca="1" si="104"/>
        <v>2.8906347431523378E-2</v>
      </c>
      <c r="I3302" s="156"/>
    </row>
    <row r="3303" spans="2:9" x14ac:dyDescent="0.2">
      <c r="B3303" s="230">
        <v>41127</v>
      </c>
      <c r="C3303" s="124">
        <v>171.31</v>
      </c>
      <c r="D3303" s="156">
        <f t="shared" si="103"/>
        <v>-1.1083530566299068E-2</v>
      </c>
      <c r="E3303" s="156">
        <v>-5.5906579774388752E-3</v>
      </c>
      <c r="F3303" s="124">
        <v>3297</v>
      </c>
      <c r="G3303" s="238">
        <f t="shared" ca="1" si="104"/>
        <v>-1.9834630025736964E-2</v>
      </c>
      <c r="I3303" s="156"/>
    </row>
    <row r="3304" spans="2:9" x14ac:dyDescent="0.2">
      <c r="B3304" s="230">
        <v>41124</v>
      </c>
      <c r="C3304" s="124">
        <v>171.94</v>
      </c>
      <c r="D3304" s="156">
        <f t="shared" si="103"/>
        <v>3.6775436343470633E-3</v>
      </c>
      <c r="E3304" s="156">
        <v>-5.5909987240459922E-3</v>
      </c>
      <c r="F3304" s="124">
        <v>3298</v>
      </c>
      <c r="G3304" s="238">
        <f t="shared" ca="1" si="104"/>
        <v>8.6578711090251025E-3</v>
      </c>
      <c r="I3304" s="156"/>
    </row>
    <row r="3305" spans="2:9" x14ac:dyDescent="0.2">
      <c r="B3305" s="230">
        <v>41123</v>
      </c>
      <c r="C3305" s="124">
        <v>173.33</v>
      </c>
      <c r="D3305" s="156">
        <f t="shared" si="103"/>
        <v>8.0842154239851964E-3</v>
      </c>
      <c r="E3305" s="156">
        <v>-5.5938840201379828E-3</v>
      </c>
      <c r="F3305" s="124">
        <v>3299</v>
      </c>
      <c r="G3305" s="238">
        <f t="shared" ca="1" si="104"/>
        <v>-1.5032064243635188E-2</v>
      </c>
      <c r="I3305" s="156"/>
    </row>
    <row r="3306" spans="2:9" x14ac:dyDescent="0.2">
      <c r="B3306" s="230">
        <v>41122</v>
      </c>
      <c r="C3306" s="124">
        <v>171.74</v>
      </c>
      <c r="D3306" s="156">
        <f t="shared" si="103"/>
        <v>-9.1732533317948617E-3</v>
      </c>
      <c r="E3306" s="156">
        <v>-5.5986996568539327E-3</v>
      </c>
      <c r="F3306" s="124">
        <v>3300</v>
      </c>
      <c r="G3306" s="238">
        <f t="shared" ca="1" si="104"/>
        <v>1.5913534037709714E-2</v>
      </c>
      <c r="I3306" s="156"/>
    </row>
    <row r="3307" spans="2:9" x14ac:dyDescent="0.2">
      <c r="B3307" s="230">
        <v>41121</v>
      </c>
      <c r="C3307" s="124">
        <v>171.14</v>
      </c>
      <c r="D3307" s="156">
        <f t="shared" si="103"/>
        <v>-3.4936531966928072E-3</v>
      </c>
      <c r="E3307" s="156">
        <v>-5.6022408963585435E-3</v>
      </c>
      <c r="F3307" s="124">
        <v>3301</v>
      </c>
      <c r="G3307" s="238">
        <f t="shared" ca="1" si="104"/>
        <v>-1.9459289975967499E-2</v>
      </c>
      <c r="I3307" s="156"/>
    </row>
    <row r="3308" spans="2:9" x14ac:dyDescent="0.2">
      <c r="B3308" s="230">
        <v>41120</v>
      </c>
      <c r="C3308" s="124">
        <v>171.18</v>
      </c>
      <c r="D3308" s="156">
        <f t="shared" si="103"/>
        <v>2.3372677340201278E-4</v>
      </c>
      <c r="E3308" s="156">
        <v>-5.6191049568533238E-3</v>
      </c>
      <c r="F3308" s="124">
        <v>3302</v>
      </c>
      <c r="G3308" s="238">
        <f t="shared" ca="1" si="104"/>
        <v>-1.8666346477322182E-2</v>
      </c>
      <c r="I3308" s="156"/>
    </row>
    <row r="3309" spans="2:9" x14ac:dyDescent="0.2">
      <c r="B3309" s="230">
        <v>41117</v>
      </c>
      <c r="C3309" s="124">
        <v>169.02</v>
      </c>
      <c r="D3309" s="156">
        <f t="shared" si="103"/>
        <v>-1.2618296529968433E-2</v>
      </c>
      <c r="E3309" s="156">
        <v>-5.6317335945150699E-3</v>
      </c>
      <c r="F3309" s="124">
        <v>3303</v>
      </c>
      <c r="G3309" s="238">
        <f t="shared" ca="1" si="104"/>
        <v>1.3154241073736157E-2</v>
      </c>
      <c r="I3309" s="156"/>
    </row>
    <row r="3310" spans="2:9" x14ac:dyDescent="0.2">
      <c r="B3310" s="230">
        <v>41116</v>
      </c>
      <c r="C3310" s="124">
        <v>165.37</v>
      </c>
      <c r="D3310" s="156">
        <f t="shared" si="103"/>
        <v>-2.1595077505620668E-2</v>
      </c>
      <c r="E3310" s="156">
        <v>-5.6365751096000309E-3</v>
      </c>
      <c r="F3310" s="124">
        <v>3304</v>
      </c>
      <c r="G3310" s="238">
        <f t="shared" ca="1" si="104"/>
        <v>-1.1033896738427232E-2</v>
      </c>
      <c r="I3310" s="156"/>
    </row>
    <row r="3311" spans="2:9" x14ac:dyDescent="0.2">
      <c r="B3311" s="230">
        <v>41115</v>
      </c>
      <c r="C3311" s="124">
        <v>168.89</v>
      </c>
      <c r="D3311" s="156">
        <f t="shared" si="103"/>
        <v>2.1285601983430984E-2</v>
      </c>
      <c r="E3311" s="156">
        <v>-5.6375194914238275E-3</v>
      </c>
      <c r="F3311" s="124">
        <v>3305</v>
      </c>
      <c r="G3311" s="238">
        <f t="shared" ca="1" si="104"/>
        <v>1.4590941111416379E-2</v>
      </c>
      <c r="I3311" s="156"/>
    </row>
    <row r="3312" spans="2:9" x14ac:dyDescent="0.2">
      <c r="B3312" s="230">
        <v>41114</v>
      </c>
      <c r="C3312" s="124">
        <v>165.94</v>
      </c>
      <c r="D3312" s="156">
        <f t="shared" si="103"/>
        <v>-1.746699034874764E-2</v>
      </c>
      <c r="E3312" s="156">
        <v>-5.6380379627889495E-3</v>
      </c>
      <c r="F3312" s="124">
        <v>3306</v>
      </c>
      <c r="G3312" s="238">
        <f t="shared" ca="1" si="104"/>
        <v>-2.4656243012938169E-2</v>
      </c>
      <c r="I3312" s="156"/>
    </row>
    <row r="3313" spans="2:9" x14ac:dyDescent="0.2">
      <c r="B3313" s="230">
        <v>41113</v>
      </c>
      <c r="C3313" s="124">
        <v>165.44</v>
      </c>
      <c r="D3313" s="156">
        <f t="shared" si="103"/>
        <v>-3.0131372785344099E-3</v>
      </c>
      <c r="E3313" s="156">
        <v>-5.6419495543333859E-3</v>
      </c>
      <c r="F3313" s="124">
        <v>3307</v>
      </c>
      <c r="G3313" s="238">
        <f t="shared" ca="1" si="104"/>
        <v>-3.6633872691548288E-3</v>
      </c>
      <c r="I3313" s="156"/>
    </row>
    <row r="3314" spans="2:9" x14ac:dyDescent="0.2">
      <c r="B3314" s="230">
        <v>41110</v>
      </c>
      <c r="C3314" s="124">
        <v>167.63</v>
      </c>
      <c r="D3314" s="156">
        <f t="shared" si="103"/>
        <v>1.3237427466150857E-2</v>
      </c>
      <c r="E3314" s="156">
        <v>-5.6446554968192404E-3</v>
      </c>
      <c r="F3314" s="124">
        <v>3308</v>
      </c>
      <c r="G3314" s="238">
        <f t="shared" ca="1" si="104"/>
        <v>-9.5067592366906411E-3</v>
      </c>
      <c r="I3314" s="156"/>
    </row>
    <row r="3315" spans="2:9" x14ac:dyDescent="0.2">
      <c r="B3315" s="230">
        <v>41109</v>
      </c>
      <c r="C3315" s="124">
        <v>168.46</v>
      </c>
      <c r="D3315" s="156">
        <f t="shared" si="103"/>
        <v>4.9513810177176671E-3</v>
      </c>
      <c r="E3315" s="156">
        <v>-5.6552262090483448E-3</v>
      </c>
      <c r="F3315" s="124">
        <v>3309</v>
      </c>
      <c r="G3315" s="238">
        <f t="shared" ca="1" si="104"/>
        <v>1.7744232096077731E-2</v>
      </c>
      <c r="I3315" s="156"/>
    </row>
    <row r="3316" spans="2:9" x14ac:dyDescent="0.2">
      <c r="B3316" s="230">
        <v>41108</v>
      </c>
      <c r="C3316" s="124">
        <v>169.02</v>
      </c>
      <c r="D3316" s="156">
        <f t="shared" si="103"/>
        <v>3.3242312715184748E-3</v>
      </c>
      <c r="E3316" s="156">
        <v>-5.6710775047259928E-3</v>
      </c>
      <c r="F3316" s="124">
        <v>3310</v>
      </c>
      <c r="G3316" s="238">
        <f t="shared" ca="1" si="104"/>
        <v>1.1109134750217442E-2</v>
      </c>
      <c r="I3316" s="156"/>
    </row>
    <row r="3317" spans="2:9" x14ac:dyDescent="0.2">
      <c r="B3317" s="230">
        <v>41107</v>
      </c>
      <c r="C3317" s="124">
        <v>169.39</v>
      </c>
      <c r="D3317" s="156">
        <f t="shared" si="103"/>
        <v>2.1890900485148274E-3</v>
      </c>
      <c r="E3317" s="156">
        <v>-5.6733756585167763E-3</v>
      </c>
      <c r="F3317" s="124">
        <v>3311</v>
      </c>
      <c r="G3317" s="238">
        <f t="shared" ca="1" si="104"/>
        <v>-8.2896443246940326E-3</v>
      </c>
      <c r="I3317" s="156"/>
    </row>
    <row r="3318" spans="2:9" x14ac:dyDescent="0.2">
      <c r="B3318" s="230">
        <v>41106</v>
      </c>
      <c r="C3318" s="124">
        <v>167.1</v>
      </c>
      <c r="D3318" s="156">
        <f t="shared" si="103"/>
        <v>-1.3519097939665815E-2</v>
      </c>
      <c r="E3318" s="156">
        <v>-5.6895961670088303E-3</v>
      </c>
      <c r="F3318" s="124">
        <v>3312</v>
      </c>
      <c r="G3318" s="238">
        <f t="shared" ca="1" si="104"/>
        <v>-3.136970996884083E-2</v>
      </c>
      <c r="I3318" s="156"/>
    </row>
    <row r="3319" spans="2:9" x14ac:dyDescent="0.2">
      <c r="B3319" s="230">
        <v>41103</v>
      </c>
      <c r="C3319" s="124">
        <v>168.09</v>
      </c>
      <c r="D3319" s="156">
        <f t="shared" si="103"/>
        <v>5.9245960502693545E-3</v>
      </c>
      <c r="E3319" s="156">
        <v>-5.691924581999369E-3</v>
      </c>
      <c r="F3319" s="124">
        <v>3313</v>
      </c>
      <c r="G3319" s="238">
        <f t="shared" ca="1" si="104"/>
        <v>2.2390922679137761E-2</v>
      </c>
      <c r="I3319" s="156"/>
    </row>
    <row r="3320" spans="2:9" x14ac:dyDescent="0.2">
      <c r="B3320" s="230">
        <v>41102</v>
      </c>
      <c r="C3320" s="124">
        <v>166.87</v>
      </c>
      <c r="D3320" s="156">
        <f t="shared" si="103"/>
        <v>-7.2580165387589914E-3</v>
      </c>
      <c r="E3320" s="156">
        <v>-5.7003257328990461E-3</v>
      </c>
      <c r="F3320" s="124">
        <v>3314</v>
      </c>
      <c r="G3320" s="238">
        <f t="shared" ca="1" si="104"/>
        <v>1.7016590281834242E-2</v>
      </c>
      <c r="I3320" s="156"/>
    </row>
    <row r="3321" spans="2:9" x14ac:dyDescent="0.2">
      <c r="B3321" s="230">
        <v>41101</v>
      </c>
      <c r="C3321" s="124">
        <v>167.93</v>
      </c>
      <c r="D3321" s="156">
        <f t="shared" si="103"/>
        <v>6.3522502546892925E-3</v>
      </c>
      <c r="E3321" s="156">
        <v>-5.7102069950035073E-3</v>
      </c>
      <c r="F3321" s="124">
        <v>3315</v>
      </c>
      <c r="G3321" s="238">
        <f t="shared" ca="1" si="104"/>
        <v>-3.2239136793032745E-2</v>
      </c>
      <c r="I3321" s="156"/>
    </row>
    <row r="3322" spans="2:9" x14ac:dyDescent="0.2">
      <c r="B3322" s="230">
        <v>41100</v>
      </c>
      <c r="C3322" s="124">
        <v>171.31</v>
      </c>
      <c r="D3322" s="156">
        <f t="shared" si="103"/>
        <v>2.0127434049901718E-2</v>
      </c>
      <c r="E3322" s="156">
        <v>-5.728053825521621E-3</v>
      </c>
      <c r="F3322" s="124">
        <v>3316</v>
      </c>
      <c r="G3322" s="238">
        <f t="shared" ca="1" si="104"/>
        <v>2.1020692854142858E-3</v>
      </c>
      <c r="I3322" s="156"/>
    </row>
    <row r="3323" spans="2:9" x14ac:dyDescent="0.2">
      <c r="B3323" s="230">
        <v>41099</v>
      </c>
      <c r="C3323" s="124">
        <v>166.83</v>
      </c>
      <c r="D3323" s="156">
        <f t="shared" si="103"/>
        <v>-2.6151421399801471E-2</v>
      </c>
      <c r="E3323" s="156">
        <v>-5.7354925775978029E-3</v>
      </c>
      <c r="F3323" s="124">
        <v>3317</v>
      </c>
      <c r="G3323" s="238">
        <f t="shared" ca="1" si="104"/>
        <v>9.7861953404279048E-4</v>
      </c>
      <c r="I3323" s="156"/>
    </row>
    <row r="3324" spans="2:9" x14ac:dyDescent="0.2">
      <c r="B3324" s="230">
        <v>41096</v>
      </c>
      <c r="C3324" s="124">
        <v>167.56</v>
      </c>
      <c r="D3324" s="156">
        <f t="shared" si="103"/>
        <v>4.3757118024335536E-3</v>
      </c>
      <c r="E3324" s="156">
        <v>-5.7368232341339764E-3</v>
      </c>
      <c r="F3324" s="124">
        <v>3318</v>
      </c>
      <c r="G3324" s="238">
        <f t="shared" ca="1" si="104"/>
        <v>-2.4304068980259767E-2</v>
      </c>
      <c r="I3324" s="156"/>
    </row>
    <row r="3325" spans="2:9" x14ac:dyDescent="0.2">
      <c r="B3325" s="230">
        <v>41095</v>
      </c>
      <c r="C3325" s="124">
        <v>166.14</v>
      </c>
      <c r="D3325" s="156">
        <f t="shared" si="103"/>
        <v>-8.4745762711865361E-3</v>
      </c>
      <c r="E3325" s="156">
        <v>-5.7539346759181483E-3</v>
      </c>
      <c r="F3325" s="124">
        <v>3319</v>
      </c>
      <c r="G3325" s="238">
        <f t="shared" ca="1" si="104"/>
        <v>1.5826779390904221E-4</v>
      </c>
      <c r="I3325" s="156"/>
    </row>
    <row r="3326" spans="2:9" x14ac:dyDescent="0.2">
      <c r="B3326" s="230">
        <v>41094</v>
      </c>
      <c r="C3326" s="124">
        <v>163.19</v>
      </c>
      <c r="D3326" s="156">
        <f t="shared" ref="D3326:D3389" si="105">(C3326-C3325)/C3325</f>
        <v>-1.7756109305405013E-2</v>
      </c>
      <c r="E3326" s="156">
        <v>-5.7740887766150224E-3</v>
      </c>
      <c r="F3326" s="124">
        <v>3320</v>
      </c>
      <c r="G3326" s="238">
        <f t="shared" ca="1" si="104"/>
        <v>6.4713473860212971E-3</v>
      </c>
      <c r="I3326" s="156"/>
    </row>
    <row r="3327" spans="2:9" x14ac:dyDescent="0.2">
      <c r="B3327" s="230">
        <v>41093</v>
      </c>
      <c r="C3327" s="124">
        <v>163.41999999999999</v>
      </c>
      <c r="D3327" s="156">
        <f t="shared" si="105"/>
        <v>1.4094000857895078E-3</v>
      </c>
      <c r="E3327" s="156">
        <v>-5.7849591063236262E-3</v>
      </c>
      <c r="F3327" s="124">
        <v>3321</v>
      </c>
      <c r="G3327" s="238">
        <f t="shared" ca="1" si="104"/>
        <v>1.6109904465892312E-2</v>
      </c>
      <c r="I3327" s="156"/>
    </row>
    <row r="3328" spans="2:9" x14ac:dyDescent="0.2">
      <c r="B3328" s="230">
        <v>41092</v>
      </c>
      <c r="C3328" s="124">
        <v>165.77</v>
      </c>
      <c r="D3328" s="156">
        <f t="shared" si="105"/>
        <v>1.4380124831722083E-2</v>
      </c>
      <c r="E3328" s="156">
        <v>-5.7939446743629384E-3</v>
      </c>
      <c r="F3328" s="124">
        <v>3322</v>
      </c>
      <c r="G3328" s="238">
        <f t="shared" ca="1" si="104"/>
        <v>-1.2814463825000632E-3</v>
      </c>
      <c r="I3328" s="156"/>
    </row>
    <row r="3329" spans="2:9" x14ac:dyDescent="0.2">
      <c r="B3329" s="230">
        <v>41089</v>
      </c>
      <c r="C3329" s="124">
        <v>171.64</v>
      </c>
      <c r="D3329" s="156">
        <f t="shared" si="105"/>
        <v>3.5410508535923119E-2</v>
      </c>
      <c r="E3329" s="156">
        <v>-5.7943925233645286E-3</v>
      </c>
      <c r="F3329" s="124">
        <v>3323</v>
      </c>
      <c r="G3329" s="238">
        <f t="shared" ca="1" si="104"/>
        <v>4.9465379634359733E-3</v>
      </c>
      <c r="I3329" s="156"/>
    </row>
    <row r="3330" spans="2:9" x14ac:dyDescent="0.2">
      <c r="B3330" s="230">
        <v>41088</v>
      </c>
      <c r="C3330" s="124">
        <v>166.6</v>
      </c>
      <c r="D3330" s="156">
        <f t="shared" si="105"/>
        <v>-2.9363784665579075E-2</v>
      </c>
      <c r="E3330" s="156">
        <v>-5.8274127883770239E-3</v>
      </c>
      <c r="F3330" s="124">
        <v>3324</v>
      </c>
      <c r="G3330" s="238">
        <f t="shared" ca="1" si="104"/>
        <v>8.0537221993885119E-3</v>
      </c>
      <c r="I3330" s="156"/>
    </row>
    <row r="3331" spans="2:9" x14ac:dyDescent="0.2">
      <c r="B3331" s="230">
        <v>41087</v>
      </c>
      <c r="C3331" s="124">
        <v>164.28</v>
      </c>
      <c r="D3331" s="156">
        <f t="shared" si="105"/>
        <v>-1.3925570228091195E-2</v>
      </c>
      <c r="E3331" s="156">
        <v>-5.8275058275057724E-3</v>
      </c>
      <c r="F3331" s="124">
        <v>3325</v>
      </c>
      <c r="G3331" s="238">
        <f t="shared" ca="1" si="104"/>
        <v>2.4713541709948904E-3</v>
      </c>
      <c r="I3331" s="156"/>
    </row>
    <row r="3332" spans="2:9" x14ac:dyDescent="0.2">
      <c r="B3332" s="230">
        <v>41086</v>
      </c>
      <c r="C3332" s="124">
        <v>163.78</v>
      </c>
      <c r="D3332" s="156">
        <f t="shared" si="105"/>
        <v>-3.0435841246652059E-3</v>
      </c>
      <c r="E3332" s="156">
        <v>-5.8644495583105964E-3</v>
      </c>
      <c r="F3332" s="124">
        <v>3326</v>
      </c>
      <c r="G3332" s="238">
        <f t="shared" ca="1" si="104"/>
        <v>2.7672984456274053E-3</v>
      </c>
      <c r="I3332" s="156"/>
    </row>
    <row r="3333" spans="2:9" x14ac:dyDescent="0.2">
      <c r="B3333" s="230">
        <v>41085</v>
      </c>
      <c r="C3333" s="124">
        <v>165.77</v>
      </c>
      <c r="D3333" s="156">
        <f t="shared" si="105"/>
        <v>1.2150445719868171E-2</v>
      </c>
      <c r="E3333" s="156">
        <v>-5.8672533920059505E-3</v>
      </c>
      <c r="F3333" s="124">
        <v>3327</v>
      </c>
      <c r="G3333" s="238">
        <f t="shared" ca="1" si="104"/>
        <v>-2.1198917735068819E-2</v>
      </c>
      <c r="I3333" s="156"/>
    </row>
    <row r="3334" spans="2:9" x14ac:dyDescent="0.2">
      <c r="B3334" s="230">
        <v>41082</v>
      </c>
      <c r="C3334" s="124">
        <v>166.07</v>
      </c>
      <c r="D3334" s="156">
        <f t="shared" si="105"/>
        <v>1.8097363817336245E-3</v>
      </c>
      <c r="E3334" s="156">
        <v>-5.8801911062108265E-3</v>
      </c>
      <c r="F3334" s="124">
        <v>3328</v>
      </c>
      <c r="G3334" s="238">
        <f t="shared" ca="1" si="104"/>
        <v>2.0793870046620627E-2</v>
      </c>
      <c r="I3334" s="156"/>
    </row>
    <row r="3335" spans="2:9" x14ac:dyDescent="0.2">
      <c r="B3335" s="230">
        <v>41081</v>
      </c>
      <c r="C3335" s="124">
        <v>166.67</v>
      </c>
      <c r="D3335" s="156">
        <f t="shared" si="105"/>
        <v>3.6129343048111901E-3</v>
      </c>
      <c r="E3335" s="156">
        <v>-5.8815666354765104E-3</v>
      </c>
      <c r="F3335" s="124">
        <v>3329</v>
      </c>
      <c r="G3335" s="238">
        <f t="shared" ref="G3335:G3398" ca="1" si="106">_xlfn.NORM.INV(RAND(),$L$8,$L$9)</f>
        <v>1.032455998476174E-4</v>
      </c>
      <c r="I3335" s="156"/>
    </row>
    <row r="3336" spans="2:9" x14ac:dyDescent="0.2">
      <c r="B3336" s="230">
        <v>41080</v>
      </c>
      <c r="C3336" s="124">
        <v>163.12</v>
      </c>
      <c r="D3336" s="156">
        <f t="shared" si="105"/>
        <v>-2.1299574008519728E-2</v>
      </c>
      <c r="E3336" s="156">
        <v>-5.8845163663112272E-3</v>
      </c>
      <c r="F3336" s="124">
        <v>3330</v>
      </c>
      <c r="G3336" s="238">
        <f t="shared" ca="1" si="106"/>
        <v>2.1715486299835007E-2</v>
      </c>
      <c r="I3336" s="156"/>
    </row>
    <row r="3337" spans="2:9" x14ac:dyDescent="0.2">
      <c r="B3337" s="230">
        <v>41079</v>
      </c>
      <c r="C3337" s="124">
        <v>165.34</v>
      </c>
      <c r="D3337" s="156">
        <f t="shared" si="105"/>
        <v>1.3609612555174098E-2</v>
      </c>
      <c r="E3337" s="156">
        <v>-5.8878944889307581E-3</v>
      </c>
      <c r="F3337" s="124">
        <v>3331</v>
      </c>
      <c r="G3337" s="238">
        <f t="shared" ca="1" si="106"/>
        <v>-2.601262254617611E-2</v>
      </c>
      <c r="I3337" s="156"/>
    </row>
    <row r="3338" spans="2:9" x14ac:dyDescent="0.2">
      <c r="B3338" s="230">
        <v>41078</v>
      </c>
      <c r="C3338" s="124">
        <v>161.22999999999999</v>
      </c>
      <c r="D3338" s="156">
        <f t="shared" si="105"/>
        <v>-2.4857868634329344E-2</v>
      </c>
      <c r="E3338" s="156">
        <v>-5.9032983508245452E-3</v>
      </c>
      <c r="F3338" s="124">
        <v>3332</v>
      </c>
      <c r="G3338" s="238">
        <f t="shared" ca="1" si="106"/>
        <v>6.5816797728746219E-3</v>
      </c>
      <c r="I3338" s="156"/>
    </row>
    <row r="3339" spans="2:9" x14ac:dyDescent="0.2">
      <c r="B3339" s="230">
        <v>41075</v>
      </c>
      <c r="C3339" s="124">
        <v>164.41</v>
      </c>
      <c r="D3339" s="156">
        <f t="shared" si="105"/>
        <v>1.9723376542827062E-2</v>
      </c>
      <c r="E3339" s="156">
        <v>-5.9038749376351899E-3</v>
      </c>
      <c r="F3339" s="124">
        <v>3333</v>
      </c>
      <c r="G3339" s="238">
        <f t="shared" ca="1" si="106"/>
        <v>6.6861614327090192E-3</v>
      </c>
      <c r="I3339" s="156"/>
    </row>
    <row r="3340" spans="2:9" x14ac:dyDescent="0.2">
      <c r="B3340" s="230">
        <v>41074</v>
      </c>
      <c r="C3340" s="124">
        <v>162.22999999999999</v>
      </c>
      <c r="D3340" s="156">
        <f t="shared" si="105"/>
        <v>-1.3259534091600309E-2</v>
      </c>
      <c r="E3340" s="156">
        <v>-5.9110004089372534E-3</v>
      </c>
      <c r="F3340" s="124">
        <v>3334</v>
      </c>
      <c r="G3340" s="238">
        <f t="shared" ca="1" si="106"/>
        <v>-1.0295475597965073E-2</v>
      </c>
      <c r="I3340" s="156"/>
    </row>
    <row r="3341" spans="2:9" x14ac:dyDescent="0.2">
      <c r="B3341" s="230">
        <v>41073</v>
      </c>
      <c r="C3341" s="124">
        <v>161.79</v>
      </c>
      <c r="D3341" s="156">
        <f t="shared" si="105"/>
        <v>-2.7121987301978534E-3</v>
      </c>
      <c r="E3341" s="156">
        <v>-5.9216519890677279E-3</v>
      </c>
      <c r="F3341" s="124">
        <v>3335</v>
      </c>
      <c r="G3341" s="238">
        <f t="shared" ca="1" si="106"/>
        <v>-5.3852128739590981E-3</v>
      </c>
      <c r="I3341" s="156"/>
    </row>
    <row r="3342" spans="2:9" x14ac:dyDescent="0.2">
      <c r="B3342" s="230">
        <v>41072</v>
      </c>
      <c r="C3342" s="124">
        <v>161.13</v>
      </c>
      <c r="D3342" s="156">
        <f t="shared" si="105"/>
        <v>-4.0793621361023338E-3</v>
      </c>
      <c r="E3342" s="156">
        <v>-5.9237319511292949E-3</v>
      </c>
      <c r="F3342" s="124">
        <v>3336</v>
      </c>
      <c r="G3342" s="238">
        <f t="shared" ca="1" si="106"/>
        <v>-2.2021191024277194E-2</v>
      </c>
      <c r="I3342" s="156"/>
    </row>
    <row r="3343" spans="2:9" x14ac:dyDescent="0.2">
      <c r="B3343" s="230">
        <v>41071</v>
      </c>
      <c r="C3343" s="124">
        <v>158.94</v>
      </c>
      <c r="D3343" s="156">
        <f t="shared" si="105"/>
        <v>-1.3591509960901122E-2</v>
      </c>
      <c r="E3343" s="156">
        <v>-5.9286517428192072E-3</v>
      </c>
      <c r="F3343" s="124">
        <v>3337</v>
      </c>
      <c r="G3343" s="238">
        <f t="shared" ca="1" si="106"/>
        <v>-3.7936966425655833E-3</v>
      </c>
      <c r="I3343" s="156"/>
    </row>
    <row r="3344" spans="2:9" x14ac:dyDescent="0.2">
      <c r="B3344" s="230">
        <v>41068</v>
      </c>
      <c r="C3344" s="124">
        <v>158.58000000000001</v>
      </c>
      <c r="D3344" s="156">
        <f t="shared" si="105"/>
        <v>-2.2650056625140632E-3</v>
      </c>
      <c r="E3344" s="156">
        <v>-5.9460607347631231E-3</v>
      </c>
      <c r="F3344" s="124">
        <v>3338</v>
      </c>
      <c r="G3344" s="238">
        <f t="shared" ca="1" si="106"/>
        <v>1.6361134054668242E-3</v>
      </c>
      <c r="I3344" s="156"/>
    </row>
    <row r="3345" spans="2:9" x14ac:dyDescent="0.2">
      <c r="B3345" s="230">
        <v>41067</v>
      </c>
      <c r="C3345" s="124">
        <v>156.69</v>
      </c>
      <c r="D3345" s="156">
        <f t="shared" si="105"/>
        <v>-1.1918274687854802E-2</v>
      </c>
      <c r="E3345" s="156">
        <v>-5.949161709031878E-3</v>
      </c>
      <c r="F3345" s="124">
        <v>3339</v>
      </c>
      <c r="G3345" s="238">
        <f t="shared" ca="1" si="106"/>
        <v>4.5091573359501806E-3</v>
      </c>
      <c r="I3345" s="156"/>
    </row>
    <row r="3346" spans="2:9" x14ac:dyDescent="0.2">
      <c r="B3346" s="230">
        <v>41066</v>
      </c>
      <c r="C3346" s="124">
        <v>155.5</v>
      </c>
      <c r="D3346" s="156">
        <f t="shared" si="105"/>
        <v>-7.5946135681919571E-3</v>
      </c>
      <c r="E3346" s="156">
        <v>-5.9511678147801238E-3</v>
      </c>
      <c r="F3346" s="124">
        <v>3340</v>
      </c>
      <c r="G3346" s="238">
        <f t="shared" ca="1" si="106"/>
        <v>1.5129523752147402E-2</v>
      </c>
      <c r="I3346" s="156"/>
    </row>
    <row r="3347" spans="2:9" x14ac:dyDescent="0.2">
      <c r="B3347" s="230">
        <v>41065</v>
      </c>
      <c r="C3347" s="124">
        <v>149.76</v>
      </c>
      <c r="D3347" s="156">
        <f t="shared" si="105"/>
        <v>-3.6913183279742821E-2</v>
      </c>
      <c r="E3347" s="156">
        <v>-5.9536200507931507E-3</v>
      </c>
      <c r="F3347" s="124">
        <v>3341</v>
      </c>
      <c r="G3347" s="238">
        <f t="shared" ca="1" si="106"/>
        <v>-6.0192818721645953E-3</v>
      </c>
      <c r="I3347" s="156"/>
    </row>
    <row r="3348" spans="2:9" x14ac:dyDescent="0.2">
      <c r="B3348" s="230">
        <v>41064</v>
      </c>
      <c r="C3348" s="124">
        <v>152.55000000000001</v>
      </c>
      <c r="D3348" s="156">
        <f t="shared" si="105"/>
        <v>1.8629807692307831E-2</v>
      </c>
      <c r="E3348" s="156">
        <v>-5.9679224170086633E-3</v>
      </c>
      <c r="F3348" s="124">
        <v>3342</v>
      </c>
      <c r="G3348" s="238">
        <f t="shared" ca="1" si="106"/>
        <v>-7.8225390188197026E-3</v>
      </c>
      <c r="I3348" s="156"/>
    </row>
    <row r="3349" spans="2:9" x14ac:dyDescent="0.2">
      <c r="B3349" s="230">
        <v>41061</v>
      </c>
      <c r="C3349" s="124">
        <v>155.03</v>
      </c>
      <c r="D3349" s="156">
        <f t="shared" si="105"/>
        <v>1.6256964929531232E-2</v>
      </c>
      <c r="E3349" s="156">
        <v>-5.9925093632959654E-3</v>
      </c>
      <c r="F3349" s="124">
        <v>3343</v>
      </c>
      <c r="G3349" s="238">
        <f t="shared" ca="1" si="106"/>
        <v>8.5960261295080307E-3</v>
      </c>
      <c r="I3349" s="156"/>
    </row>
    <row r="3350" spans="2:9" x14ac:dyDescent="0.2">
      <c r="B3350" s="230">
        <v>41060</v>
      </c>
      <c r="C3350" s="124">
        <v>152.05000000000001</v>
      </c>
      <c r="D3350" s="156">
        <f t="shared" si="105"/>
        <v>-1.9222086047861638E-2</v>
      </c>
      <c r="E3350" s="156">
        <v>-5.9967290568779842E-3</v>
      </c>
      <c r="F3350" s="124">
        <v>3344</v>
      </c>
      <c r="G3350" s="238">
        <f t="shared" ca="1" si="106"/>
        <v>-2.6277188576159145E-2</v>
      </c>
      <c r="I3350" s="156"/>
    </row>
    <row r="3351" spans="2:9" x14ac:dyDescent="0.2">
      <c r="B3351" s="230">
        <v>41059</v>
      </c>
      <c r="C3351" s="124">
        <v>153.74</v>
      </c>
      <c r="D3351" s="156">
        <f t="shared" si="105"/>
        <v>1.1114764879973676E-2</v>
      </c>
      <c r="E3351" s="156">
        <v>-5.9973710154453174E-3</v>
      </c>
      <c r="F3351" s="124">
        <v>3345</v>
      </c>
      <c r="G3351" s="238">
        <f t="shared" ca="1" si="106"/>
        <v>-4.9103567444812508E-4</v>
      </c>
      <c r="I3351" s="156"/>
    </row>
    <row r="3352" spans="2:9" x14ac:dyDescent="0.2">
      <c r="B3352" s="230">
        <v>41058</v>
      </c>
      <c r="C3352" s="124">
        <v>153.08000000000001</v>
      </c>
      <c r="D3352" s="156">
        <f t="shared" si="105"/>
        <v>-4.292962143879254E-3</v>
      </c>
      <c r="E3352" s="156">
        <v>-6.0026950875903193E-3</v>
      </c>
      <c r="F3352" s="124">
        <v>3346</v>
      </c>
      <c r="G3352" s="238">
        <f t="shared" ca="1" si="106"/>
        <v>1.9268146709718974E-2</v>
      </c>
      <c r="I3352" s="156"/>
    </row>
    <row r="3353" spans="2:9" x14ac:dyDescent="0.2">
      <c r="B3353" s="230">
        <v>41057</v>
      </c>
      <c r="C3353" s="124">
        <v>155.83000000000001</v>
      </c>
      <c r="D3353" s="156">
        <f t="shared" si="105"/>
        <v>1.7964463025868824E-2</v>
      </c>
      <c r="E3353" s="156">
        <v>-6.0099294486543279E-3</v>
      </c>
      <c r="F3353" s="124">
        <v>3347</v>
      </c>
      <c r="G3353" s="238">
        <f t="shared" ca="1" si="106"/>
        <v>-7.3228872902678464E-3</v>
      </c>
      <c r="I3353" s="156"/>
    </row>
    <row r="3354" spans="2:9" x14ac:dyDescent="0.2">
      <c r="B3354" s="230">
        <v>41054</v>
      </c>
      <c r="C3354" s="124">
        <v>153.71</v>
      </c>
      <c r="D3354" s="156">
        <f t="shared" si="105"/>
        <v>-1.3604569081691616E-2</v>
      </c>
      <c r="E3354" s="156">
        <v>-6.0110603510459245E-3</v>
      </c>
      <c r="F3354" s="124">
        <v>3348</v>
      </c>
      <c r="G3354" s="238">
        <f t="shared" ca="1" si="106"/>
        <v>-3.8670245496246064E-3</v>
      </c>
      <c r="I3354" s="156"/>
    </row>
    <row r="3355" spans="2:9" x14ac:dyDescent="0.2">
      <c r="B3355" s="230">
        <v>41053</v>
      </c>
      <c r="C3355" s="124">
        <v>154.69999999999999</v>
      </c>
      <c r="D3355" s="156">
        <f t="shared" si="105"/>
        <v>6.4407000195171463E-3</v>
      </c>
      <c r="E3355" s="156">
        <v>-6.0162176301333838E-3</v>
      </c>
      <c r="F3355" s="124">
        <v>3349</v>
      </c>
      <c r="G3355" s="238">
        <f t="shared" ca="1" si="106"/>
        <v>7.8888705342790993E-3</v>
      </c>
      <c r="I3355" s="156"/>
    </row>
    <row r="3356" spans="2:9" x14ac:dyDescent="0.2">
      <c r="B3356" s="230">
        <v>41052</v>
      </c>
      <c r="C3356" s="124">
        <v>153.61000000000001</v>
      </c>
      <c r="D3356" s="156">
        <f t="shared" si="105"/>
        <v>-7.0458952811892376E-3</v>
      </c>
      <c r="E3356" s="156">
        <v>-6.045519203414001E-3</v>
      </c>
      <c r="F3356" s="124">
        <v>3350</v>
      </c>
      <c r="G3356" s="238">
        <f t="shared" ca="1" si="106"/>
        <v>-1.3540225727896127E-2</v>
      </c>
      <c r="I3356" s="156"/>
    </row>
    <row r="3357" spans="2:9" x14ac:dyDescent="0.2">
      <c r="B3357" s="230">
        <v>41051</v>
      </c>
      <c r="C3357" s="124">
        <v>154.30000000000001</v>
      </c>
      <c r="D3357" s="156">
        <f t="shared" si="105"/>
        <v>4.4918950589154204E-3</v>
      </c>
      <c r="E3357" s="156">
        <v>-6.0479787018548345E-3</v>
      </c>
      <c r="F3357" s="124">
        <v>3351</v>
      </c>
      <c r="G3357" s="238">
        <f t="shared" ca="1" si="106"/>
        <v>1.1355550461096131E-2</v>
      </c>
      <c r="I3357" s="156"/>
    </row>
    <row r="3358" spans="2:9" x14ac:dyDescent="0.2">
      <c r="B3358" s="230">
        <v>41050</v>
      </c>
      <c r="C3358" s="124">
        <v>155.69999999999999</v>
      </c>
      <c r="D3358" s="156">
        <f t="shared" si="105"/>
        <v>9.073233959818388E-3</v>
      </c>
      <c r="E3358" s="156">
        <v>-6.0545363499794422E-3</v>
      </c>
      <c r="F3358" s="124">
        <v>3352</v>
      </c>
      <c r="G3358" s="238">
        <f t="shared" ca="1" si="106"/>
        <v>-2.4200611042720328E-2</v>
      </c>
      <c r="I3358" s="156"/>
    </row>
    <row r="3359" spans="2:9" x14ac:dyDescent="0.2">
      <c r="B3359" s="230">
        <v>41047</v>
      </c>
      <c r="C3359" s="124">
        <v>158.81</v>
      </c>
      <c r="D3359" s="156">
        <f t="shared" si="105"/>
        <v>1.9974309569685381E-2</v>
      </c>
      <c r="E3359" s="156">
        <v>-6.0699702019643802E-3</v>
      </c>
      <c r="F3359" s="124">
        <v>3353</v>
      </c>
      <c r="G3359" s="238">
        <f t="shared" ca="1" si="106"/>
        <v>-7.4913815442227086E-4</v>
      </c>
      <c r="I3359" s="156"/>
    </row>
    <row r="3360" spans="2:9" x14ac:dyDescent="0.2">
      <c r="B3360" s="230">
        <v>41046</v>
      </c>
      <c r="C3360" s="124">
        <v>155.63</v>
      </c>
      <c r="D3360" s="156">
        <f t="shared" si="105"/>
        <v>-2.0023927964234033E-2</v>
      </c>
      <c r="E3360" s="156">
        <v>-6.0816681146828849E-3</v>
      </c>
      <c r="F3360" s="124">
        <v>3354</v>
      </c>
      <c r="G3360" s="238">
        <f t="shared" ca="1" si="106"/>
        <v>-1.3187157566518145E-2</v>
      </c>
      <c r="I3360" s="156"/>
    </row>
    <row r="3361" spans="2:9" x14ac:dyDescent="0.2">
      <c r="B3361" s="230">
        <v>41045</v>
      </c>
      <c r="C3361" s="124">
        <v>150.69</v>
      </c>
      <c r="D3361" s="156">
        <f t="shared" si="105"/>
        <v>-3.1741952065797066E-2</v>
      </c>
      <c r="E3361" s="156">
        <v>-6.0875170092387293E-3</v>
      </c>
      <c r="F3361" s="124">
        <v>3355</v>
      </c>
      <c r="G3361" s="238">
        <f t="shared" ca="1" si="106"/>
        <v>-6.0121557458995729E-3</v>
      </c>
      <c r="I3361" s="156"/>
    </row>
    <row r="3362" spans="2:9" x14ac:dyDescent="0.2">
      <c r="B3362" s="230">
        <v>41044</v>
      </c>
      <c r="C3362" s="124">
        <v>153.04</v>
      </c>
      <c r="D3362" s="156">
        <f t="shared" si="105"/>
        <v>1.5594929988718524E-2</v>
      </c>
      <c r="E3362" s="156">
        <v>-6.0924620714371313E-3</v>
      </c>
      <c r="F3362" s="124">
        <v>3356</v>
      </c>
      <c r="G3362" s="238">
        <f t="shared" ca="1" si="106"/>
        <v>-1.8969351469059377E-2</v>
      </c>
      <c r="I3362" s="156"/>
    </row>
    <row r="3363" spans="2:9" x14ac:dyDescent="0.2">
      <c r="B3363" s="230">
        <v>41043</v>
      </c>
      <c r="C3363" s="124">
        <v>155.46</v>
      </c>
      <c r="D3363" s="156">
        <f t="shared" si="105"/>
        <v>1.5812859383167906E-2</v>
      </c>
      <c r="E3363" s="156">
        <v>-6.0968174612852089E-3</v>
      </c>
      <c r="F3363" s="124">
        <v>3357</v>
      </c>
      <c r="G3363" s="238">
        <f t="shared" ca="1" si="106"/>
        <v>-1.6539903878231971E-2</v>
      </c>
      <c r="I3363" s="156"/>
    </row>
    <row r="3364" spans="2:9" x14ac:dyDescent="0.2">
      <c r="B3364" s="230">
        <v>41040</v>
      </c>
      <c r="C3364" s="124">
        <v>155.30000000000001</v>
      </c>
      <c r="D3364" s="156">
        <f t="shared" si="105"/>
        <v>-1.0292036536729485E-3</v>
      </c>
      <c r="E3364" s="156">
        <v>-6.097712118583099E-3</v>
      </c>
      <c r="F3364" s="124">
        <v>3358</v>
      </c>
      <c r="G3364" s="238">
        <f t="shared" ca="1" si="106"/>
        <v>9.4022295653568202E-3</v>
      </c>
      <c r="I3364" s="156"/>
    </row>
    <row r="3365" spans="2:9" x14ac:dyDescent="0.2">
      <c r="B3365" s="230">
        <v>41039</v>
      </c>
      <c r="C3365" s="124">
        <v>158.61000000000001</v>
      </c>
      <c r="D3365" s="156">
        <f t="shared" si="105"/>
        <v>2.1313586606567948E-2</v>
      </c>
      <c r="E3365" s="156">
        <v>-6.0993751859565095E-3</v>
      </c>
      <c r="F3365" s="124">
        <v>3359</v>
      </c>
      <c r="G3365" s="238">
        <f t="shared" ca="1" si="106"/>
        <v>-7.7914285038467269E-3</v>
      </c>
      <c r="I3365" s="156"/>
    </row>
    <row r="3366" spans="2:9" x14ac:dyDescent="0.2">
      <c r="B3366" s="230">
        <v>41038</v>
      </c>
      <c r="C3366" s="124">
        <v>159.04</v>
      </c>
      <c r="D3366" s="156">
        <f t="shared" si="105"/>
        <v>2.7110522665656539E-3</v>
      </c>
      <c r="E3366" s="156">
        <v>-6.1156955556485549E-3</v>
      </c>
      <c r="F3366" s="124">
        <v>3360</v>
      </c>
      <c r="G3366" s="238">
        <f t="shared" ca="1" si="106"/>
        <v>2.0064390104881234E-2</v>
      </c>
      <c r="I3366" s="156"/>
    </row>
    <row r="3367" spans="2:9" x14ac:dyDescent="0.2">
      <c r="B3367" s="230">
        <v>41037</v>
      </c>
      <c r="C3367" s="124">
        <v>150.41999999999999</v>
      </c>
      <c r="D3367" s="156">
        <f t="shared" si="105"/>
        <v>-5.420020120724349E-2</v>
      </c>
      <c r="E3367" s="156">
        <v>-6.117247238742636E-3</v>
      </c>
      <c r="F3367" s="124">
        <v>3361</v>
      </c>
      <c r="G3367" s="238">
        <f t="shared" ca="1" si="106"/>
        <v>-1.6663480321965479E-3</v>
      </c>
      <c r="I3367" s="156"/>
    </row>
    <row r="3368" spans="2:9" x14ac:dyDescent="0.2">
      <c r="B3368" s="230">
        <v>41036</v>
      </c>
      <c r="C3368" s="124">
        <v>156.69</v>
      </c>
      <c r="D3368" s="156">
        <f t="shared" si="105"/>
        <v>4.1683286796968561E-2</v>
      </c>
      <c r="E3368" s="156">
        <v>-6.1270557884553776E-3</v>
      </c>
      <c r="F3368" s="124">
        <v>3362</v>
      </c>
      <c r="G3368" s="238">
        <f t="shared" ca="1" si="106"/>
        <v>1.9993919939261192E-2</v>
      </c>
      <c r="I3368" s="156"/>
    </row>
    <row r="3369" spans="2:9" x14ac:dyDescent="0.2">
      <c r="B3369" s="230">
        <v>41033</v>
      </c>
      <c r="C3369" s="124">
        <v>157.88</v>
      </c>
      <c r="D3369" s="156">
        <f t="shared" si="105"/>
        <v>7.5946135681919571E-3</v>
      </c>
      <c r="E3369" s="156">
        <v>-6.1349693251533744E-3</v>
      </c>
      <c r="F3369" s="124">
        <v>3363</v>
      </c>
      <c r="G3369" s="238">
        <f t="shared" ca="1" si="106"/>
        <v>-1.1654158453878263E-2</v>
      </c>
      <c r="I3369" s="156"/>
    </row>
    <row r="3370" spans="2:9" x14ac:dyDescent="0.2">
      <c r="B3370" s="230">
        <v>41032</v>
      </c>
      <c r="C3370" s="124">
        <v>160.24</v>
      </c>
      <c r="D3370" s="156">
        <f t="shared" si="105"/>
        <v>1.4948061819103202E-2</v>
      </c>
      <c r="E3370" s="156">
        <v>-6.1379818315737784E-3</v>
      </c>
      <c r="F3370" s="124">
        <v>3364</v>
      </c>
      <c r="G3370" s="238">
        <f t="shared" ca="1" si="106"/>
        <v>4.4864047284641616E-3</v>
      </c>
      <c r="I3370" s="156"/>
    </row>
    <row r="3371" spans="2:9" x14ac:dyDescent="0.2">
      <c r="B3371" s="230">
        <v>41031</v>
      </c>
      <c r="C3371" s="124">
        <v>162.16</v>
      </c>
      <c r="D3371" s="156">
        <f t="shared" si="105"/>
        <v>1.198202695956058E-2</v>
      </c>
      <c r="E3371" s="156">
        <v>-6.1530109034973243E-3</v>
      </c>
      <c r="F3371" s="124">
        <v>3365</v>
      </c>
      <c r="G3371" s="238">
        <f t="shared" ca="1" si="106"/>
        <v>-2.868094336355094E-2</v>
      </c>
      <c r="I3371" s="156"/>
    </row>
    <row r="3372" spans="2:9" x14ac:dyDescent="0.2">
      <c r="B3372" s="230">
        <v>41029</v>
      </c>
      <c r="C3372" s="124">
        <v>162.76</v>
      </c>
      <c r="D3372" s="156">
        <f t="shared" si="105"/>
        <v>3.7000493339910847E-3</v>
      </c>
      <c r="E3372" s="156">
        <v>-6.1642973958988267E-3</v>
      </c>
      <c r="F3372" s="124">
        <v>3366</v>
      </c>
      <c r="G3372" s="238">
        <f t="shared" ca="1" si="106"/>
        <v>-5.9101171802607424E-3</v>
      </c>
      <c r="I3372" s="156"/>
    </row>
    <row r="3373" spans="2:9" x14ac:dyDescent="0.2">
      <c r="B3373" s="230">
        <v>41027</v>
      </c>
      <c r="C3373" s="124">
        <v>163.68</v>
      </c>
      <c r="D3373" s="156">
        <f t="shared" si="105"/>
        <v>5.6524944703859421E-3</v>
      </c>
      <c r="E3373" s="156">
        <v>-6.1768530559168167E-3</v>
      </c>
      <c r="F3373" s="124">
        <v>3367</v>
      </c>
      <c r="G3373" s="238">
        <f t="shared" ca="1" si="106"/>
        <v>5.4426915769830147E-4</v>
      </c>
      <c r="I3373" s="156"/>
    </row>
    <row r="3374" spans="2:9" x14ac:dyDescent="0.2">
      <c r="B3374" s="230">
        <v>41026</v>
      </c>
      <c r="C3374" s="124">
        <v>162.94999999999999</v>
      </c>
      <c r="D3374" s="156">
        <f t="shared" si="105"/>
        <v>-4.4599217986315866E-3</v>
      </c>
      <c r="E3374" s="156">
        <v>-6.1781747175005822E-3</v>
      </c>
      <c r="F3374" s="124">
        <v>3368</v>
      </c>
      <c r="G3374" s="238">
        <f t="shared" ca="1" si="106"/>
        <v>3.5890324127741298E-2</v>
      </c>
      <c r="I3374" s="156"/>
    </row>
    <row r="3375" spans="2:9" x14ac:dyDescent="0.2">
      <c r="B3375" s="230">
        <v>41025</v>
      </c>
      <c r="C3375" s="124">
        <v>165.11</v>
      </c>
      <c r="D3375" s="156">
        <f t="shared" si="105"/>
        <v>1.3255599877263118E-2</v>
      </c>
      <c r="E3375" s="156">
        <v>-6.187422657216753E-3</v>
      </c>
      <c r="F3375" s="124">
        <v>3369</v>
      </c>
      <c r="G3375" s="238">
        <f t="shared" ca="1" si="106"/>
        <v>-2.349726047114083E-2</v>
      </c>
      <c r="I3375" s="156"/>
    </row>
    <row r="3376" spans="2:9" x14ac:dyDescent="0.2">
      <c r="B3376" s="230">
        <v>41024</v>
      </c>
      <c r="C3376" s="124">
        <v>163.05000000000001</v>
      </c>
      <c r="D3376" s="156">
        <f t="shared" si="105"/>
        <v>-1.2476530797650064E-2</v>
      </c>
      <c r="E3376" s="156">
        <v>-6.1993323795898093E-3</v>
      </c>
      <c r="F3376" s="124">
        <v>3370</v>
      </c>
      <c r="G3376" s="238">
        <f t="shared" ca="1" si="106"/>
        <v>2.0602302735801385E-2</v>
      </c>
      <c r="I3376" s="156"/>
    </row>
    <row r="3377" spans="2:9" x14ac:dyDescent="0.2">
      <c r="B3377" s="230">
        <v>41023</v>
      </c>
      <c r="C3377" s="124">
        <v>162.46</v>
      </c>
      <c r="D3377" s="156">
        <f t="shared" si="105"/>
        <v>-3.6185219257896559E-3</v>
      </c>
      <c r="E3377" s="156">
        <v>-6.2056737588652485E-3</v>
      </c>
      <c r="F3377" s="124">
        <v>3371</v>
      </c>
      <c r="G3377" s="238">
        <f t="shared" ca="1" si="106"/>
        <v>-2.7915219832377386E-3</v>
      </c>
      <c r="I3377" s="156"/>
    </row>
    <row r="3378" spans="2:9" x14ac:dyDescent="0.2">
      <c r="B3378" s="230">
        <v>41022</v>
      </c>
      <c r="C3378" s="124">
        <v>162.26</v>
      </c>
      <c r="D3378" s="156">
        <f t="shared" si="105"/>
        <v>-1.2310722639419984E-3</v>
      </c>
      <c r="E3378" s="156">
        <v>-6.220194899440124E-3</v>
      </c>
      <c r="F3378" s="124">
        <v>3372</v>
      </c>
      <c r="G3378" s="238">
        <f t="shared" ca="1" si="106"/>
        <v>-9.3220757070853755E-3</v>
      </c>
      <c r="I3378" s="156"/>
    </row>
    <row r="3379" spans="2:9" x14ac:dyDescent="0.2">
      <c r="B3379" s="230">
        <v>41019</v>
      </c>
      <c r="C3379" s="124">
        <v>162.56</v>
      </c>
      <c r="D3379" s="156">
        <f t="shared" si="105"/>
        <v>1.848884506347907E-3</v>
      </c>
      <c r="E3379" s="156">
        <v>-6.2365591397848972E-3</v>
      </c>
      <c r="F3379" s="124">
        <v>3373</v>
      </c>
      <c r="G3379" s="238">
        <f t="shared" ca="1" si="106"/>
        <v>-2.4205224022516812E-2</v>
      </c>
      <c r="I3379" s="156"/>
    </row>
    <row r="3380" spans="2:9" x14ac:dyDescent="0.2">
      <c r="B3380" s="230">
        <v>41018</v>
      </c>
      <c r="C3380" s="124">
        <v>161.79</v>
      </c>
      <c r="D3380" s="156">
        <f t="shared" si="105"/>
        <v>-4.7367125984252596E-3</v>
      </c>
      <c r="E3380" s="156">
        <v>-6.2413605328194227E-3</v>
      </c>
      <c r="F3380" s="124">
        <v>3374</v>
      </c>
      <c r="G3380" s="238">
        <f t="shared" ca="1" si="106"/>
        <v>7.4018568484998668E-3</v>
      </c>
      <c r="I3380" s="156"/>
    </row>
    <row r="3381" spans="2:9" x14ac:dyDescent="0.2">
      <c r="B3381" s="230">
        <v>41017</v>
      </c>
      <c r="C3381" s="124">
        <v>160.27000000000001</v>
      </c>
      <c r="D3381" s="156">
        <f t="shared" si="105"/>
        <v>-9.3948946164780379E-3</v>
      </c>
      <c r="E3381" s="156">
        <v>-6.2597809076682222E-3</v>
      </c>
      <c r="F3381" s="124">
        <v>3375</v>
      </c>
      <c r="G3381" s="238">
        <f t="shared" ca="1" si="106"/>
        <v>-9.7475804645937112E-3</v>
      </c>
      <c r="I3381" s="156"/>
    </row>
    <row r="3382" spans="2:9" x14ac:dyDescent="0.2">
      <c r="B3382" s="230">
        <v>41016</v>
      </c>
      <c r="C3382" s="124">
        <v>163.22</v>
      </c>
      <c r="D3382" s="156">
        <f t="shared" si="105"/>
        <v>1.8406439133961366E-2</v>
      </c>
      <c r="E3382" s="156">
        <v>-6.2614011733964905E-3</v>
      </c>
      <c r="F3382" s="124">
        <v>3376</v>
      </c>
      <c r="G3382" s="238">
        <f t="shared" ca="1" si="106"/>
        <v>-1.3657696410459825E-2</v>
      </c>
      <c r="I3382" s="156"/>
    </row>
    <row r="3383" spans="2:9" x14ac:dyDescent="0.2">
      <c r="B3383" s="230">
        <v>41015</v>
      </c>
      <c r="C3383" s="124">
        <v>159.81</v>
      </c>
      <c r="D3383" s="156">
        <f t="shared" si="105"/>
        <v>-2.0892047543193216E-2</v>
      </c>
      <c r="E3383" s="156">
        <v>-6.2683643486777449E-3</v>
      </c>
      <c r="F3383" s="124">
        <v>3377</v>
      </c>
      <c r="G3383" s="238">
        <f t="shared" ca="1" si="106"/>
        <v>5.6732943431571682E-3</v>
      </c>
      <c r="I3383" s="156"/>
    </row>
    <row r="3384" spans="2:9" x14ac:dyDescent="0.2">
      <c r="B3384" s="230">
        <v>41012</v>
      </c>
      <c r="C3384" s="124">
        <v>156.62</v>
      </c>
      <c r="D3384" s="156">
        <f t="shared" si="105"/>
        <v>-1.9961203929666466E-2</v>
      </c>
      <c r="E3384" s="156">
        <v>-6.274172754619594E-3</v>
      </c>
      <c r="F3384" s="124">
        <v>3378</v>
      </c>
      <c r="G3384" s="238">
        <f t="shared" ca="1" si="106"/>
        <v>-8.145734749832231E-3</v>
      </c>
      <c r="I3384" s="156"/>
    </row>
    <row r="3385" spans="2:9" x14ac:dyDescent="0.2">
      <c r="B3385" s="230">
        <v>41011</v>
      </c>
      <c r="C3385" s="124">
        <v>155.63</v>
      </c>
      <c r="D3385" s="156">
        <f t="shared" si="105"/>
        <v>-6.3210317967054598E-3</v>
      </c>
      <c r="E3385" s="156">
        <v>-6.2794348508633628E-3</v>
      </c>
      <c r="F3385" s="124">
        <v>3379</v>
      </c>
      <c r="G3385" s="238">
        <f t="shared" ca="1" si="106"/>
        <v>5.9250005099304049E-3</v>
      </c>
      <c r="I3385" s="156"/>
    </row>
    <row r="3386" spans="2:9" x14ac:dyDescent="0.2">
      <c r="B3386" s="230">
        <v>41010</v>
      </c>
      <c r="C3386" s="124">
        <v>152.31</v>
      </c>
      <c r="D3386" s="156">
        <f t="shared" si="105"/>
        <v>-2.1332647947053866E-2</v>
      </c>
      <c r="E3386" s="156">
        <v>-6.2830984651288295E-3</v>
      </c>
      <c r="F3386" s="124">
        <v>3380</v>
      </c>
      <c r="G3386" s="238">
        <f t="shared" ca="1" si="106"/>
        <v>-5.1181699038465355E-3</v>
      </c>
      <c r="I3386" s="156"/>
    </row>
    <row r="3387" spans="2:9" x14ac:dyDescent="0.2">
      <c r="B3387" s="230">
        <v>41009</v>
      </c>
      <c r="C3387" s="124">
        <v>152.05000000000001</v>
      </c>
      <c r="D3387" s="156">
        <f t="shared" si="105"/>
        <v>-1.7070448427548481E-3</v>
      </c>
      <c r="E3387" s="156">
        <v>-6.2996439331690678E-3</v>
      </c>
      <c r="F3387" s="124">
        <v>3381</v>
      </c>
      <c r="G3387" s="238">
        <f t="shared" ca="1" si="106"/>
        <v>2.0507532133211218E-2</v>
      </c>
      <c r="I3387" s="156"/>
    </row>
    <row r="3388" spans="2:9" x14ac:dyDescent="0.2">
      <c r="B3388" s="230">
        <v>41008</v>
      </c>
      <c r="C3388" s="124">
        <v>148.54</v>
      </c>
      <c r="D3388" s="156">
        <f t="shared" si="105"/>
        <v>-2.3084511673791643E-2</v>
      </c>
      <c r="E3388" s="156">
        <v>-6.3043107854830029E-3</v>
      </c>
      <c r="F3388" s="124">
        <v>3382</v>
      </c>
      <c r="G3388" s="238">
        <f t="shared" ca="1" si="106"/>
        <v>-8.1069397363030607E-3</v>
      </c>
      <c r="I3388" s="156"/>
    </row>
    <row r="3389" spans="2:9" x14ac:dyDescent="0.2">
      <c r="B3389" s="230">
        <v>41003</v>
      </c>
      <c r="C3389" s="124">
        <v>150.76</v>
      </c>
      <c r="D3389" s="156">
        <f t="shared" si="105"/>
        <v>1.494546923387639E-2</v>
      </c>
      <c r="E3389" s="156">
        <v>-6.3049293083682744E-3</v>
      </c>
      <c r="F3389" s="124">
        <v>3383</v>
      </c>
      <c r="G3389" s="238">
        <f t="shared" ca="1" si="106"/>
        <v>-8.1633316839495058E-3</v>
      </c>
      <c r="I3389" s="156"/>
    </row>
    <row r="3390" spans="2:9" x14ac:dyDescent="0.2">
      <c r="B3390" s="230">
        <v>41002</v>
      </c>
      <c r="C3390" s="124">
        <v>150.56</v>
      </c>
      <c r="D3390" s="156">
        <f t="shared" ref="D3390:D3453" si="107">(C3390-C3389)/C3389</f>
        <v>-1.3266118333774785E-3</v>
      </c>
      <c r="E3390" s="156">
        <v>-6.3129554843801405E-3</v>
      </c>
      <c r="F3390" s="124">
        <v>3384</v>
      </c>
      <c r="G3390" s="238">
        <f t="shared" ca="1" si="106"/>
        <v>-1.3055539812937456E-3</v>
      </c>
      <c r="I3390" s="156"/>
    </row>
    <row r="3391" spans="2:9" x14ac:dyDescent="0.2">
      <c r="B3391" s="230">
        <v>41001</v>
      </c>
      <c r="C3391" s="124">
        <v>150.46</v>
      </c>
      <c r="D3391" s="156">
        <f t="shared" si="107"/>
        <v>-6.6418703506903774E-4</v>
      </c>
      <c r="E3391" s="156">
        <v>-6.3137445361826682E-3</v>
      </c>
      <c r="F3391" s="124">
        <v>3385</v>
      </c>
      <c r="G3391" s="238">
        <f t="shared" ca="1" si="106"/>
        <v>-1.8183146781193382E-2</v>
      </c>
      <c r="I3391" s="156"/>
    </row>
    <row r="3392" spans="2:9" x14ac:dyDescent="0.2">
      <c r="B3392" s="230">
        <v>40998</v>
      </c>
      <c r="C3392" s="124">
        <v>150.41999999999999</v>
      </c>
      <c r="D3392" s="156">
        <f t="shared" si="107"/>
        <v>-2.6585138907364391E-4</v>
      </c>
      <c r="E3392" s="156">
        <v>-6.3157894736842199E-3</v>
      </c>
      <c r="F3392" s="124">
        <v>3386</v>
      </c>
      <c r="G3392" s="238">
        <f t="shared" ca="1" si="106"/>
        <v>-1.0239047439696775E-2</v>
      </c>
      <c r="I3392" s="156"/>
    </row>
    <row r="3393" spans="2:9" x14ac:dyDescent="0.2">
      <c r="B3393" s="230">
        <v>40997</v>
      </c>
      <c r="C3393" s="124">
        <v>148.87</v>
      </c>
      <c r="D3393" s="156">
        <f t="shared" si="107"/>
        <v>-1.0304480787129259E-2</v>
      </c>
      <c r="E3393" s="156">
        <v>-6.3210317967054598E-3</v>
      </c>
      <c r="F3393" s="124">
        <v>3387</v>
      </c>
      <c r="G3393" s="238">
        <f t="shared" ca="1" si="106"/>
        <v>-1.7476061809595274E-2</v>
      </c>
      <c r="I3393" s="156"/>
    </row>
    <row r="3394" spans="2:9" x14ac:dyDescent="0.2">
      <c r="B3394" s="230">
        <v>40996</v>
      </c>
      <c r="C3394" s="124">
        <v>150.36000000000001</v>
      </c>
      <c r="D3394" s="156">
        <f t="shared" si="107"/>
        <v>1.0008732451131921E-2</v>
      </c>
      <c r="E3394" s="156">
        <v>-6.3332250730756372E-3</v>
      </c>
      <c r="F3394" s="124">
        <v>3388</v>
      </c>
      <c r="G3394" s="238">
        <f t="shared" ca="1" si="106"/>
        <v>1.328399412374723E-2</v>
      </c>
      <c r="I3394" s="156"/>
    </row>
    <row r="3395" spans="2:9" x14ac:dyDescent="0.2">
      <c r="B3395" s="230">
        <v>40995</v>
      </c>
      <c r="C3395" s="124">
        <v>149.86000000000001</v>
      </c>
      <c r="D3395" s="156">
        <f t="shared" si="107"/>
        <v>-3.3253524873636604E-3</v>
      </c>
      <c r="E3395" s="156">
        <v>-6.3511084481725722E-3</v>
      </c>
      <c r="F3395" s="124">
        <v>3389</v>
      </c>
      <c r="G3395" s="238">
        <f t="shared" ca="1" si="106"/>
        <v>4.7366120975235451E-3</v>
      </c>
      <c r="I3395" s="156"/>
    </row>
    <row r="3396" spans="2:9" x14ac:dyDescent="0.2">
      <c r="B3396" s="230">
        <v>40994</v>
      </c>
      <c r="C3396" s="124">
        <v>147.63999999999999</v>
      </c>
      <c r="D3396" s="156">
        <f t="shared" si="107"/>
        <v>-1.4813826237822148E-2</v>
      </c>
      <c r="E3396" s="156">
        <v>-6.3775510204081634E-3</v>
      </c>
      <c r="F3396" s="124">
        <v>3390</v>
      </c>
      <c r="G3396" s="238">
        <f t="shared" ca="1" si="106"/>
        <v>2.7294312944171187E-2</v>
      </c>
      <c r="I3396" s="156"/>
    </row>
    <row r="3397" spans="2:9" x14ac:dyDescent="0.2">
      <c r="B3397" s="230">
        <v>40991</v>
      </c>
      <c r="C3397" s="124">
        <v>147.47</v>
      </c>
      <c r="D3397" s="156">
        <f t="shared" si="107"/>
        <v>-1.1514494716878048E-3</v>
      </c>
      <c r="E3397" s="156">
        <v>-6.3965884861408324E-3</v>
      </c>
      <c r="F3397" s="124">
        <v>3391</v>
      </c>
      <c r="G3397" s="238">
        <f t="shared" ca="1" si="106"/>
        <v>1.2291525508550115E-2</v>
      </c>
      <c r="I3397" s="156"/>
    </row>
    <row r="3398" spans="2:9" x14ac:dyDescent="0.2">
      <c r="B3398" s="230">
        <v>40990</v>
      </c>
      <c r="C3398" s="124">
        <v>145.65</v>
      </c>
      <c r="D3398" s="156">
        <f t="shared" si="107"/>
        <v>-1.2341493185054541E-2</v>
      </c>
      <c r="E3398" s="156">
        <v>-6.406129281483419E-3</v>
      </c>
      <c r="F3398" s="124">
        <v>3392</v>
      </c>
      <c r="G3398" s="238">
        <f t="shared" ca="1" si="106"/>
        <v>3.6754664336788652E-2</v>
      </c>
      <c r="I3398" s="156"/>
    </row>
    <row r="3399" spans="2:9" x14ac:dyDescent="0.2">
      <c r="B3399" s="230">
        <v>40989</v>
      </c>
      <c r="C3399" s="124">
        <v>148.4</v>
      </c>
      <c r="D3399" s="156">
        <f t="shared" si="107"/>
        <v>1.8880878819086851E-2</v>
      </c>
      <c r="E3399" s="156">
        <v>-6.4084031993831749E-3</v>
      </c>
      <c r="F3399" s="124">
        <v>3393</v>
      </c>
      <c r="G3399" s="238">
        <f t="shared" ref="G3399:G3462" ca="1" si="108">_xlfn.NORM.INV(RAND(),$L$8,$L$9)</f>
        <v>6.9128997399828139E-3</v>
      </c>
      <c r="I3399" s="156"/>
    </row>
    <row r="3400" spans="2:9" x14ac:dyDescent="0.2">
      <c r="B3400" s="230">
        <v>40988</v>
      </c>
      <c r="C3400" s="124">
        <v>148.24</v>
      </c>
      <c r="D3400" s="156">
        <f t="shared" si="107"/>
        <v>-1.0781671159029419E-3</v>
      </c>
      <c r="E3400" s="156">
        <v>-6.423982869378982E-3</v>
      </c>
      <c r="F3400" s="124">
        <v>3394</v>
      </c>
      <c r="G3400" s="238">
        <f t="shared" ca="1" si="108"/>
        <v>1.4099328133477329E-2</v>
      </c>
      <c r="I3400" s="156"/>
    </row>
    <row r="3401" spans="2:9" x14ac:dyDescent="0.2">
      <c r="B3401" s="230">
        <v>40987</v>
      </c>
      <c r="C3401" s="124">
        <v>146.18</v>
      </c>
      <c r="D3401" s="156">
        <f t="shared" si="107"/>
        <v>-1.3896384241770117E-2</v>
      </c>
      <c r="E3401" s="156">
        <v>-6.4317180616740438E-3</v>
      </c>
      <c r="F3401" s="124">
        <v>3395</v>
      </c>
      <c r="G3401" s="238">
        <f t="shared" ca="1" si="108"/>
        <v>1.8664143398090475E-3</v>
      </c>
      <c r="I3401" s="156"/>
    </row>
    <row r="3402" spans="2:9" x14ac:dyDescent="0.2">
      <c r="B3402" s="230">
        <v>40984</v>
      </c>
      <c r="C3402" s="124">
        <v>143.30000000000001</v>
      </c>
      <c r="D3402" s="156">
        <f t="shared" si="107"/>
        <v>-1.9701737583800762E-2</v>
      </c>
      <c r="E3402" s="156">
        <v>-6.4334539605950718E-3</v>
      </c>
      <c r="F3402" s="124">
        <v>3396</v>
      </c>
      <c r="G3402" s="238">
        <f t="shared" ca="1" si="108"/>
        <v>7.0699695852320828E-5</v>
      </c>
      <c r="I3402" s="156"/>
    </row>
    <row r="3403" spans="2:9" x14ac:dyDescent="0.2">
      <c r="B3403" s="230">
        <v>40983</v>
      </c>
      <c r="C3403" s="124">
        <v>138.49</v>
      </c>
      <c r="D3403" s="156">
        <f t="shared" si="107"/>
        <v>-3.3565945568736925E-2</v>
      </c>
      <c r="E3403" s="156">
        <v>-6.4412238325282211E-3</v>
      </c>
      <c r="F3403" s="124">
        <v>3397</v>
      </c>
      <c r="G3403" s="238">
        <f t="shared" ca="1" si="108"/>
        <v>-1.779578238284042E-3</v>
      </c>
      <c r="I3403" s="156"/>
    </row>
    <row r="3404" spans="2:9" x14ac:dyDescent="0.2">
      <c r="B3404" s="230">
        <v>40982</v>
      </c>
      <c r="C3404" s="124">
        <v>140.88</v>
      </c>
      <c r="D3404" s="156">
        <f t="shared" si="107"/>
        <v>1.7257563723012393E-2</v>
      </c>
      <c r="E3404" s="156">
        <v>-6.4435296223375599E-3</v>
      </c>
      <c r="F3404" s="124">
        <v>3398</v>
      </c>
      <c r="G3404" s="238">
        <f t="shared" ca="1" si="108"/>
        <v>1.8039767661950947E-2</v>
      </c>
      <c r="I3404" s="156"/>
    </row>
    <row r="3405" spans="2:9" x14ac:dyDescent="0.2">
      <c r="B3405" s="230">
        <v>40981</v>
      </c>
      <c r="C3405" s="124">
        <v>138.59</v>
      </c>
      <c r="D3405" s="156">
        <f t="shared" si="107"/>
        <v>-1.6254968767745542E-2</v>
      </c>
      <c r="E3405" s="156">
        <v>-6.4474323667583098E-3</v>
      </c>
      <c r="F3405" s="124">
        <v>3399</v>
      </c>
      <c r="G3405" s="238">
        <f t="shared" ca="1" si="108"/>
        <v>8.370170368893929E-3</v>
      </c>
      <c r="I3405" s="156"/>
    </row>
    <row r="3406" spans="2:9" x14ac:dyDescent="0.2">
      <c r="B3406" s="230">
        <v>40980</v>
      </c>
      <c r="C3406" s="124">
        <v>137.1</v>
      </c>
      <c r="D3406" s="156">
        <f t="shared" si="107"/>
        <v>-1.0751136445631063E-2</v>
      </c>
      <c r="E3406" s="156">
        <v>-6.4676616915422987E-3</v>
      </c>
      <c r="F3406" s="124">
        <v>3400</v>
      </c>
      <c r="G3406" s="238">
        <f t="shared" ca="1" si="108"/>
        <v>-9.6244502670937929E-3</v>
      </c>
      <c r="I3406" s="156"/>
    </row>
    <row r="3407" spans="2:9" x14ac:dyDescent="0.2">
      <c r="B3407" s="230">
        <v>40977</v>
      </c>
      <c r="C3407" s="124">
        <v>138.06</v>
      </c>
      <c r="D3407" s="156">
        <f t="shared" si="107"/>
        <v>7.0021881838074982E-3</v>
      </c>
      <c r="E3407" s="156">
        <v>-6.4734161549812631E-3</v>
      </c>
      <c r="F3407" s="124">
        <v>3401</v>
      </c>
      <c r="G3407" s="238">
        <f t="shared" ca="1" si="108"/>
        <v>-3.1423258038666565E-3</v>
      </c>
      <c r="I3407" s="156"/>
    </row>
    <row r="3408" spans="2:9" x14ac:dyDescent="0.2">
      <c r="B3408" s="230">
        <v>40975</v>
      </c>
      <c r="C3408" s="124">
        <v>139.19</v>
      </c>
      <c r="D3408" s="156">
        <f t="shared" si="107"/>
        <v>8.1848471678979823E-3</v>
      </c>
      <c r="E3408" s="156">
        <v>-6.4838829195997469E-3</v>
      </c>
      <c r="F3408" s="124">
        <v>3402</v>
      </c>
      <c r="G3408" s="238">
        <f t="shared" ca="1" si="108"/>
        <v>-3.3458764610134174E-2</v>
      </c>
      <c r="I3408" s="156"/>
    </row>
    <row r="3409" spans="2:9" x14ac:dyDescent="0.2">
      <c r="B3409" s="230">
        <v>40974</v>
      </c>
      <c r="C3409" s="124">
        <v>139.49</v>
      </c>
      <c r="D3409" s="156">
        <f t="shared" si="107"/>
        <v>2.1553272505209524E-3</v>
      </c>
      <c r="E3409" s="156">
        <v>-6.4867127014018961E-3</v>
      </c>
      <c r="F3409" s="124">
        <v>3403</v>
      </c>
      <c r="G3409" s="238">
        <f t="shared" ca="1" si="108"/>
        <v>-8.9043956564640089E-3</v>
      </c>
      <c r="I3409" s="156"/>
    </row>
    <row r="3410" spans="2:9" x14ac:dyDescent="0.2">
      <c r="B3410" s="230">
        <v>40973</v>
      </c>
      <c r="C3410" s="124">
        <v>137.22999999999999</v>
      </c>
      <c r="D3410" s="156">
        <f t="shared" si="107"/>
        <v>-1.6201878270843927E-2</v>
      </c>
      <c r="E3410" s="156">
        <v>-6.5068493150684152E-3</v>
      </c>
      <c r="F3410" s="124">
        <v>3404</v>
      </c>
      <c r="G3410" s="238">
        <f t="shared" ca="1" si="108"/>
        <v>-1.2339246839150235E-2</v>
      </c>
      <c r="I3410" s="156"/>
    </row>
    <row r="3411" spans="2:9" x14ac:dyDescent="0.2">
      <c r="B3411" s="230">
        <v>40971</v>
      </c>
      <c r="C3411" s="124">
        <v>135.91</v>
      </c>
      <c r="D3411" s="156">
        <f t="shared" si="107"/>
        <v>-9.618887998251063E-3</v>
      </c>
      <c r="E3411" s="156">
        <v>-6.5173116089612803E-3</v>
      </c>
      <c r="F3411" s="124">
        <v>3405</v>
      </c>
      <c r="G3411" s="238">
        <f t="shared" ca="1" si="108"/>
        <v>-1.7495403804633727E-2</v>
      </c>
      <c r="I3411" s="156"/>
    </row>
    <row r="3412" spans="2:9" x14ac:dyDescent="0.2">
      <c r="B3412" s="230">
        <v>40970</v>
      </c>
      <c r="C3412" s="124">
        <v>136.07</v>
      </c>
      <c r="D3412" s="156">
        <f t="shared" si="107"/>
        <v>1.1772496505039849E-3</v>
      </c>
      <c r="E3412" s="156">
        <v>-6.5298507462686834E-3</v>
      </c>
      <c r="F3412" s="124">
        <v>3406</v>
      </c>
      <c r="G3412" s="238">
        <f t="shared" ca="1" si="108"/>
        <v>3.7918520830652822E-2</v>
      </c>
      <c r="I3412" s="156"/>
    </row>
    <row r="3413" spans="2:9" x14ac:dyDescent="0.2">
      <c r="B3413" s="230">
        <v>40969</v>
      </c>
      <c r="C3413" s="124">
        <v>137.13</v>
      </c>
      <c r="D3413" s="156">
        <f t="shared" si="107"/>
        <v>7.7901080326302809E-3</v>
      </c>
      <c r="E3413" s="156">
        <v>-6.533700137551504E-3</v>
      </c>
      <c r="F3413" s="124">
        <v>3407</v>
      </c>
      <c r="G3413" s="238">
        <f t="shared" ca="1" si="108"/>
        <v>-1.6742039305690725E-3</v>
      </c>
      <c r="I3413" s="156"/>
    </row>
    <row r="3414" spans="2:9" x14ac:dyDescent="0.2">
      <c r="B3414" s="230">
        <v>40968</v>
      </c>
      <c r="C3414" s="124">
        <v>137.66</v>
      </c>
      <c r="D3414" s="156">
        <f t="shared" si="107"/>
        <v>3.864945671990091E-3</v>
      </c>
      <c r="E3414" s="156">
        <v>-6.5403030751765489E-3</v>
      </c>
      <c r="F3414" s="124">
        <v>3408</v>
      </c>
      <c r="G3414" s="238">
        <f t="shared" ca="1" si="108"/>
        <v>-2.9787559665261892E-2</v>
      </c>
      <c r="I3414" s="156"/>
    </row>
    <row r="3415" spans="2:9" x14ac:dyDescent="0.2">
      <c r="B3415" s="230">
        <v>40967</v>
      </c>
      <c r="C3415" s="124">
        <v>139.68</v>
      </c>
      <c r="D3415" s="156">
        <f t="shared" si="107"/>
        <v>1.4673834083975086E-2</v>
      </c>
      <c r="E3415" s="156">
        <v>-6.5535400819192778E-3</v>
      </c>
      <c r="F3415" s="124">
        <v>3409</v>
      </c>
      <c r="G3415" s="238">
        <f t="shared" ca="1" si="108"/>
        <v>4.3628336373863373E-3</v>
      </c>
      <c r="I3415" s="156"/>
    </row>
    <row r="3416" spans="2:9" x14ac:dyDescent="0.2">
      <c r="B3416" s="230">
        <v>40966</v>
      </c>
      <c r="C3416" s="124">
        <v>140.75</v>
      </c>
      <c r="D3416" s="156">
        <f t="shared" si="107"/>
        <v>7.6603665521190805E-3</v>
      </c>
      <c r="E3416" s="156">
        <v>-6.5549676660786637E-3</v>
      </c>
      <c r="F3416" s="124">
        <v>3410</v>
      </c>
      <c r="G3416" s="238">
        <f t="shared" ca="1" si="108"/>
        <v>3.7839941973750475E-3</v>
      </c>
      <c r="I3416" s="156"/>
    </row>
    <row r="3417" spans="2:9" x14ac:dyDescent="0.2">
      <c r="B3417" s="230">
        <v>40963</v>
      </c>
      <c r="C3417" s="124">
        <v>138.82</v>
      </c>
      <c r="D3417" s="156">
        <f t="shared" si="107"/>
        <v>-1.3712255772646585E-2</v>
      </c>
      <c r="E3417" s="156">
        <v>-6.5549890750182492E-3</v>
      </c>
      <c r="F3417" s="124">
        <v>3411</v>
      </c>
      <c r="G3417" s="238">
        <f t="shared" ca="1" si="108"/>
        <v>-3.3412519753750346E-3</v>
      </c>
      <c r="I3417" s="156"/>
    </row>
    <row r="3418" spans="2:9" x14ac:dyDescent="0.2">
      <c r="B3418" s="230">
        <v>40962</v>
      </c>
      <c r="C3418" s="124">
        <v>138.29</v>
      </c>
      <c r="D3418" s="156">
        <f t="shared" si="107"/>
        <v>-3.8178936752629386E-3</v>
      </c>
      <c r="E3418" s="156">
        <v>-6.5637750576548609E-3</v>
      </c>
      <c r="F3418" s="124">
        <v>3412</v>
      </c>
      <c r="G3418" s="238">
        <f t="shared" ca="1" si="108"/>
        <v>-8.119482466054994E-3</v>
      </c>
      <c r="I3418" s="156"/>
    </row>
    <row r="3419" spans="2:9" x14ac:dyDescent="0.2">
      <c r="B3419" s="230">
        <v>40961</v>
      </c>
      <c r="C3419" s="124">
        <v>138.26</v>
      </c>
      <c r="D3419" s="156">
        <f t="shared" si="107"/>
        <v>-2.1693542555500136E-4</v>
      </c>
      <c r="E3419" s="156">
        <v>-6.5670661631915712E-3</v>
      </c>
      <c r="F3419" s="124">
        <v>3413</v>
      </c>
      <c r="G3419" s="238">
        <f t="shared" ca="1" si="108"/>
        <v>3.6289696491551473E-3</v>
      </c>
      <c r="I3419" s="156"/>
    </row>
    <row r="3420" spans="2:9" x14ac:dyDescent="0.2">
      <c r="B3420" s="230">
        <v>40960</v>
      </c>
      <c r="C3420" s="124">
        <v>137.5</v>
      </c>
      <c r="D3420" s="156">
        <f t="shared" si="107"/>
        <v>-5.496889917546586E-3</v>
      </c>
      <c r="E3420" s="156">
        <v>-6.578093218505136E-3</v>
      </c>
      <c r="F3420" s="124">
        <v>3414</v>
      </c>
      <c r="G3420" s="238">
        <f t="shared" ca="1" si="108"/>
        <v>-2.8130336461098131E-2</v>
      </c>
      <c r="I3420" s="156"/>
    </row>
    <row r="3421" spans="2:9" x14ac:dyDescent="0.2">
      <c r="B3421" s="230">
        <v>40956</v>
      </c>
      <c r="C3421" s="124">
        <v>136.19999999999999</v>
      </c>
      <c r="D3421" s="156">
        <f t="shared" si="107"/>
        <v>-9.4545454545455366E-3</v>
      </c>
      <c r="E3421" s="156">
        <v>-6.5827620314472075E-3</v>
      </c>
      <c r="F3421" s="124">
        <v>3415</v>
      </c>
      <c r="G3421" s="238">
        <f t="shared" ca="1" si="108"/>
        <v>7.3459995153267376E-3</v>
      </c>
      <c r="I3421" s="156"/>
    </row>
    <row r="3422" spans="2:9" x14ac:dyDescent="0.2">
      <c r="B3422" s="230">
        <v>40955</v>
      </c>
      <c r="C3422" s="124">
        <v>135.21</v>
      </c>
      <c r="D3422" s="156">
        <f t="shared" si="107"/>
        <v>-7.268722466960211E-3</v>
      </c>
      <c r="E3422" s="156">
        <v>-6.5835880554902691E-3</v>
      </c>
      <c r="F3422" s="124">
        <v>3416</v>
      </c>
      <c r="G3422" s="238">
        <f t="shared" ca="1" si="108"/>
        <v>-6.9624220206285035E-3</v>
      </c>
      <c r="I3422" s="156"/>
    </row>
    <row r="3423" spans="2:9" x14ac:dyDescent="0.2">
      <c r="B3423" s="230">
        <v>40954</v>
      </c>
      <c r="C3423" s="124">
        <v>134.68</v>
      </c>
      <c r="D3423" s="156">
        <f t="shared" si="107"/>
        <v>-3.9198284150580662E-3</v>
      </c>
      <c r="E3423" s="156">
        <v>-6.5903028401066155E-3</v>
      </c>
      <c r="F3423" s="124">
        <v>3417</v>
      </c>
      <c r="G3423" s="238">
        <f t="shared" ca="1" si="108"/>
        <v>-8.6591476374463742E-3</v>
      </c>
      <c r="I3423" s="156"/>
    </row>
    <row r="3424" spans="2:9" x14ac:dyDescent="0.2">
      <c r="B3424" s="230">
        <v>40953</v>
      </c>
      <c r="C3424" s="124">
        <v>134.28</v>
      </c>
      <c r="D3424" s="156">
        <f t="shared" si="107"/>
        <v>-2.9700029700030122E-3</v>
      </c>
      <c r="E3424" s="156">
        <v>-6.5914750256335563E-3</v>
      </c>
      <c r="F3424" s="124">
        <v>3418</v>
      </c>
      <c r="G3424" s="238">
        <f t="shared" ca="1" si="108"/>
        <v>-3.7756000182636515E-2</v>
      </c>
      <c r="I3424" s="156"/>
    </row>
    <row r="3425" spans="2:9" x14ac:dyDescent="0.2">
      <c r="B3425" s="230">
        <v>40952</v>
      </c>
      <c r="C3425" s="124">
        <v>134.44999999999999</v>
      </c>
      <c r="D3425" s="156">
        <f t="shared" si="107"/>
        <v>1.2660113196305293E-3</v>
      </c>
      <c r="E3425" s="156">
        <v>-6.5995710278831639E-3</v>
      </c>
      <c r="F3425" s="124">
        <v>3419</v>
      </c>
      <c r="G3425" s="238">
        <f t="shared" ca="1" si="108"/>
        <v>2.3800791034554156E-2</v>
      </c>
      <c r="I3425" s="156"/>
    </row>
    <row r="3426" spans="2:9" x14ac:dyDescent="0.2">
      <c r="B3426" s="230">
        <v>40949</v>
      </c>
      <c r="C3426" s="124">
        <v>135.11000000000001</v>
      </c>
      <c r="D3426" s="156">
        <f t="shared" si="107"/>
        <v>4.9088880624769439E-3</v>
      </c>
      <c r="E3426" s="156">
        <v>-6.6090493136755617E-3</v>
      </c>
      <c r="F3426" s="124">
        <v>3420</v>
      </c>
      <c r="G3426" s="238">
        <f t="shared" ca="1" si="108"/>
        <v>-1.0911831992695029E-2</v>
      </c>
      <c r="I3426" s="156"/>
    </row>
    <row r="3427" spans="2:9" x14ac:dyDescent="0.2">
      <c r="B3427" s="230">
        <v>40948</v>
      </c>
      <c r="C3427" s="124">
        <v>135.18</v>
      </c>
      <c r="D3427" s="156">
        <f t="shared" si="107"/>
        <v>5.1809636592401137E-4</v>
      </c>
      <c r="E3427" s="156">
        <v>-6.6120320357607914E-3</v>
      </c>
      <c r="F3427" s="124">
        <v>3421</v>
      </c>
      <c r="G3427" s="238">
        <f t="shared" ca="1" si="108"/>
        <v>-1.5040514568621063E-2</v>
      </c>
      <c r="I3427" s="156"/>
    </row>
    <row r="3428" spans="2:9" x14ac:dyDescent="0.2">
      <c r="B3428" s="230">
        <v>40947</v>
      </c>
      <c r="C3428" s="124">
        <v>135.54</v>
      </c>
      <c r="D3428" s="156">
        <f t="shared" si="107"/>
        <v>2.6631158455391714E-3</v>
      </c>
      <c r="E3428" s="156">
        <v>-6.619213855011922E-3</v>
      </c>
      <c r="F3428" s="124">
        <v>3422</v>
      </c>
      <c r="G3428" s="238">
        <f t="shared" ca="1" si="108"/>
        <v>2.2628400408186412E-2</v>
      </c>
      <c r="I3428" s="156"/>
    </row>
    <row r="3429" spans="2:9" x14ac:dyDescent="0.2">
      <c r="B3429" s="230">
        <v>40946</v>
      </c>
      <c r="C3429" s="124">
        <v>136.27000000000001</v>
      </c>
      <c r="D3429" s="156">
        <f t="shared" si="107"/>
        <v>5.3858639516011376E-3</v>
      </c>
      <c r="E3429" s="156">
        <v>-6.6414307409842161E-3</v>
      </c>
      <c r="F3429" s="124">
        <v>3423</v>
      </c>
      <c r="G3429" s="238">
        <f t="shared" ca="1" si="108"/>
        <v>1.8489696143501551E-2</v>
      </c>
      <c r="I3429" s="156"/>
    </row>
    <row r="3430" spans="2:9" x14ac:dyDescent="0.2">
      <c r="B3430" s="230">
        <v>40945</v>
      </c>
      <c r="C3430" s="124">
        <v>134.18</v>
      </c>
      <c r="D3430" s="156">
        <f t="shared" si="107"/>
        <v>-1.5337198209437171E-2</v>
      </c>
      <c r="E3430" s="156">
        <v>-6.6479161339811372E-3</v>
      </c>
      <c r="F3430" s="124">
        <v>3424</v>
      </c>
      <c r="G3430" s="238">
        <f t="shared" ca="1" si="108"/>
        <v>1.5667164755835367E-2</v>
      </c>
      <c r="I3430" s="156"/>
    </row>
    <row r="3431" spans="2:9" x14ac:dyDescent="0.2">
      <c r="B3431" s="230">
        <v>40942</v>
      </c>
      <c r="C3431" s="124">
        <v>133.02000000000001</v>
      </c>
      <c r="D3431" s="156">
        <f t="shared" si="107"/>
        <v>-8.6451035921895694E-3</v>
      </c>
      <c r="E3431" s="156">
        <v>-6.6568047337278004E-3</v>
      </c>
      <c r="F3431" s="124">
        <v>3425</v>
      </c>
      <c r="G3431" s="238">
        <f t="shared" ca="1" si="108"/>
        <v>6.4277214259949684E-3</v>
      </c>
      <c r="I3431" s="156"/>
    </row>
    <row r="3432" spans="2:9" x14ac:dyDescent="0.2">
      <c r="B3432" s="230">
        <v>40941</v>
      </c>
      <c r="C3432" s="124">
        <v>131.96</v>
      </c>
      <c r="D3432" s="156">
        <f t="shared" si="107"/>
        <v>-7.9687265072921534E-3</v>
      </c>
      <c r="E3432" s="156">
        <v>-6.6569837811669245E-3</v>
      </c>
      <c r="F3432" s="124">
        <v>3426</v>
      </c>
      <c r="G3432" s="238">
        <f t="shared" ca="1" si="108"/>
        <v>-1.0100900023638998E-2</v>
      </c>
      <c r="I3432" s="156"/>
    </row>
    <row r="3433" spans="2:9" x14ac:dyDescent="0.2">
      <c r="B3433" s="230">
        <v>40940</v>
      </c>
      <c r="C3433" s="124">
        <v>133.65</v>
      </c>
      <c r="D3433" s="156">
        <f t="shared" si="107"/>
        <v>1.2806911185207621E-2</v>
      </c>
      <c r="E3433" s="156">
        <v>-6.6584463625153851E-3</v>
      </c>
      <c r="F3433" s="124">
        <v>3427</v>
      </c>
      <c r="G3433" s="238">
        <f t="shared" ca="1" si="108"/>
        <v>7.6877706566502403E-3</v>
      </c>
      <c r="I3433" s="156"/>
    </row>
    <row r="3434" spans="2:9" x14ac:dyDescent="0.2">
      <c r="B3434" s="230">
        <v>40939</v>
      </c>
      <c r="C3434" s="124">
        <v>135.21</v>
      </c>
      <c r="D3434" s="156">
        <f t="shared" si="107"/>
        <v>1.1672278338945023E-2</v>
      </c>
      <c r="E3434" s="156">
        <v>-6.686318211230188E-3</v>
      </c>
      <c r="F3434" s="124">
        <v>3428</v>
      </c>
      <c r="G3434" s="238">
        <f t="shared" ca="1" si="108"/>
        <v>-8.3499054000123803E-3</v>
      </c>
      <c r="I3434" s="156"/>
    </row>
    <row r="3435" spans="2:9" x14ac:dyDescent="0.2">
      <c r="B3435" s="230">
        <v>40938</v>
      </c>
      <c r="C3435" s="124">
        <v>133.15</v>
      </c>
      <c r="D3435" s="156">
        <f t="shared" si="107"/>
        <v>-1.5235559500036995E-2</v>
      </c>
      <c r="E3435" s="156">
        <v>-6.6975278242884552E-3</v>
      </c>
      <c r="F3435" s="124">
        <v>3429</v>
      </c>
      <c r="G3435" s="238">
        <f t="shared" ca="1" si="108"/>
        <v>1.3862357987312999E-2</v>
      </c>
      <c r="I3435" s="156"/>
    </row>
    <row r="3436" spans="2:9" x14ac:dyDescent="0.2">
      <c r="B3436" s="230">
        <v>40935</v>
      </c>
      <c r="C3436" s="124">
        <v>133.78</v>
      </c>
      <c r="D3436" s="156">
        <f t="shared" si="107"/>
        <v>4.7315058205031572E-3</v>
      </c>
      <c r="E3436" s="156">
        <v>-6.730769230769258E-3</v>
      </c>
      <c r="F3436" s="124">
        <v>3430</v>
      </c>
      <c r="G3436" s="238">
        <f t="shared" ca="1" si="108"/>
        <v>-7.9695356269910769E-3</v>
      </c>
      <c r="I3436" s="156"/>
    </row>
    <row r="3437" spans="2:9" x14ac:dyDescent="0.2">
      <c r="B3437" s="230">
        <v>40933</v>
      </c>
      <c r="C3437" s="124">
        <v>136.6</v>
      </c>
      <c r="D3437" s="156">
        <f t="shared" si="107"/>
        <v>2.10793840633876E-2</v>
      </c>
      <c r="E3437" s="156">
        <v>-6.7359287589907908E-3</v>
      </c>
      <c r="F3437" s="124">
        <v>3431</v>
      </c>
      <c r="G3437" s="238">
        <f t="shared" ca="1" si="108"/>
        <v>-1.1959092078835169E-2</v>
      </c>
      <c r="I3437" s="156"/>
    </row>
    <row r="3438" spans="2:9" x14ac:dyDescent="0.2">
      <c r="B3438" s="230">
        <v>40932</v>
      </c>
      <c r="C3438" s="124">
        <v>136.54</v>
      </c>
      <c r="D3438" s="156">
        <f t="shared" si="107"/>
        <v>-4.3923865300148079E-4</v>
      </c>
      <c r="E3438" s="156">
        <v>-6.7599067599067066E-3</v>
      </c>
      <c r="F3438" s="124">
        <v>3432</v>
      </c>
      <c r="G3438" s="238">
        <f t="shared" ca="1" si="108"/>
        <v>-8.0488171548608409E-3</v>
      </c>
      <c r="I3438" s="156"/>
    </row>
    <row r="3439" spans="2:9" x14ac:dyDescent="0.2">
      <c r="B3439" s="230">
        <v>40931</v>
      </c>
      <c r="C3439" s="124">
        <v>135.63999999999999</v>
      </c>
      <c r="D3439" s="156">
        <f t="shared" si="107"/>
        <v>-6.5914750256335563E-3</v>
      </c>
      <c r="E3439" s="156">
        <v>-6.7672238075826537E-3</v>
      </c>
      <c r="F3439" s="124">
        <v>3433</v>
      </c>
      <c r="G3439" s="238">
        <f t="shared" ca="1" si="108"/>
        <v>-1.7552074842223615E-2</v>
      </c>
      <c r="I3439" s="156"/>
    </row>
    <row r="3440" spans="2:9" x14ac:dyDescent="0.2">
      <c r="B3440" s="230">
        <v>40928</v>
      </c>
      <c r="C3440" s="124">
        <v>133.44999999999999</v>
      </c>
      <c r="D3440" s="156">
        <f t="shared" si="107"/>
        <v>-1.6145679740489517E-2</v>
      </c>
      <c r="E3440" s="156">
        <v>-6.7757395471822277E-3</v>
      </c>
      <c r="F3440" s="124">
        <v>3434</v>
      </c>
      <c r="G3440" s="238">
        <f t="shared" ca="1" si="108"/>
        <v>-2.2149035812524715E-2</v>
      </c>
      <c r="I3440" s="156"/>
    </row>
    <row r="3441" spans="2:9" x14ac:dyDescent="0.2">
      <c r="B3441" s="230">
        <v>40927</v>
      </c>
      <c r="C3441" s="124">
        <v>138.69</v>
      </c>
      <c r="D3441" s="156">
        <f t="shared" si="107"/>
        <v>3.9265642562757656E-2</v>
      </c>
      <c r="E3441" s="156">
        <v>-6.7778936392075178E-3</v>
      </c>
      <c r="F3441" s="124">
        <v>3435</v>
      </c>
      <c r="G3441" s="238">
        <f t="shared" ca="1" si="108"/>
        <v>1.5581535717782504E-2</v>
      </c>
      <c r="I3441" s="156"/>
    </row>
    <row r="3442" spans="2:9" x14ac:dyDescent="0.2">
      <c r="B3442" s="230">
        <v>40926</v>
      </c>
      <c r="C3442" s="124">
        <v>139.09</v>
      </c>
      <c r="D3442" s="156">
        <f t="shared" si="107"/>
        <v>2.8841300742663903E-3</v>
      </c>
      <c r="E3442" s="156">
        <v>-6.7854113655641335E-3</v>
      </c>
      <c r="F3442" s="124">
        <v>3436</v>
      </c>
      <c r="G3442" s="238">
        <f t="shared" ca="1" si="108"/>
        <v>-1.1649105238167852E-2</v>
      </c>
      <c r="I3442" s="156"/>
    </row>
    <row r="3443" spans="2:9" x14ac:dyDescent="0.2">
      <c r="B3443" s="230">
        <v>40925</v>
      </c>
      <c r="C3443" s="124">
        <v>138.16</v>
      </c>
      <c r="D3443" s="156">
        <f t="shared" si="107"/>
        <v>-6.686318211230188E-3</v>
      </c>
      <c r="E3443" s="156">
        <v>-6.7870036101082866E-3</v>
      </c>
      <c r="F3443" s="124">
        <v>3437</v>
      </c>
      <c r="G3443" s="238">
        <f t="shared" ca="1" si="108"/>
        <v>2.0548714600608725E-2</v>
      </c>
      <c r="I3443" s="156"/>
    </row>
    <row r="3444" spans="2:9" x14ac:dyDescent="0.2">
      <c r="B3444" s="230">
        <v>40924</v>
      </c>
      <c r="C3444" s="124">
        <v>138.62</v>
      </c>
      <c r="D3444" s="156">
        <f t="shared" si="107"/>
        <v>3.3294730746960622E-3</v>
      </c>
      <c r="E3444" s="156">
        <v>-6.7889163561228472E-3</v>
      </c>
      <c r="F3444" s="124">
        <v>3438</v>
      </c>
      <c r="G3444" s="238">
        <f t="shared" ca="1" si="108"/>
        <v>1.6852377816524083E-2</v>
      </c>
      <c r="I3444" s="156"/>
    </row>
    <row r="3445" spans="2:9" x14ac:dyDescent="0.2">
      <c r="B3445" s="230">
        <v>40921</v>
      </c>
      <c r="C3445" s="124">
        <v>137.27000000000001</v>
      </c>
      <c r="D3445" s="156">
        <f t="shared" si="107"/>
        <v>-9.7388544221612625E-3</v>
      </c>
      <c r="E3445" s="156">
        <v>-6.7903279231532115E-3</v>
      </c>
      <c r="F3445" s="124">
        <v>3439</v>
      </c>
      <c r="G3445" s="238">
        <f t="shared" ca="1" si="108"/>
        <v>-2.4847422784165879E-2</v>
      </c>
      <c r="I3445" s="156"/>
    </row>
    <row r="3446" spans="2:9" x14ac:dyDescent="0.2">
      <c r="B3446" s="230">
        <v>40920</v>
      </c>
      <c r="C3446" s="124">
        <v>135.87</v>
      </c>
      <c r="D3446" s="156">
        <f t="shared" si="107"/>
        <v>-1.0198878123406465E-2</v>
      </c>
      <c r="E3446" s="156">
        <v>-6.8013274880157192E-3</v>
      </c>
      <c r="F3446" s="124">
        <v>3440</v>
      </c>
      <c r="G3446" s="238">
        <f t="shared" ca="1" si="108"/>
        <v>3.1672851619239713E-3</v>
      </c>
      <c r="I3446" s="156"/>
    </row>
    <row r="3447" spans="2:9" x14ac:dyDescent="0.2">
      <c r="B3447" s="230">
        <v>40919</v>
      </c>
      <c r="C3447" s="124">
        <v>134.78</v>
      </c>
      <c r="D3447" s="156">
        <f t="shared" si="107"/>
        <v>-8.022374328402174E-3</v>
      </c>
      <c r="E3447" s="156">
        <v>-6.8027210884354867E-3</v>
      </c>
      <c r="F3447" s="124">
        <v>3441</v>
      </c>
      <c r="G3447" s="238">
        <f t="shared" ca="1" si="108"/>
        <v>1.5382421211946232E-2</v>
      </c>
      <c r="I3447" s="156"/>
    </row>
    <row r="3448" spans="2:9" x14ac:dyDescent="0.2">
      <c r="B3448" s="230">
        <v>40918</v>
      </c>
      <c r="C3448" s="124">
        <v>136.01</v>
      </c>
      <c r="D3448" s="156">
        <f t="shared" si="107"/>
        <v>9.1259830835434767E-3</v>
      </c>
      <c r="E3448" s="156">
        <v>-6.8033550792171854E-3</v>
      </c>
      <c r="F3448" s="124">
        <v>3442</v>
      </c>
      <c r="G3448" s="238">
        <f t="shared" ca="1" si="108"/>
        <v>8.1148358288801667E-3</v>
      </c>
      <c r="I3448" s="156"/>
    </row>
    <row r="3449" spans="2:9" x14ac:dyDescent="0.2">
      <c r="B3449" s="230">
        <v>40917</v>
      </c>
      <c r="C3449" s="124">
        <v>133.91999999999999</v>
      </c>
      <c r="D3449" s="156">
        <f t="shared" si="107"/>
        <v>-1.536651716785533E-2</v>
      </c>
      <c r="E3449" s="156">
        <v>-6.8038782105800067E-3</v>
      </c>
      <c r="F3449" s="124">
        <v>3443</v>
      </c>
      <c r="G3449" s="238">
        <f t="shared" ca="1" si="108"/>
        <v>-6.0647128040951557E-5</v>
      </c>
      <c r="I3449" s="156"/>
    </row>
    <row r="3450" spans="2:9" x14ac:dyDescent="0.2">
      <c r="B3450" s="230">
        <v>40915</v>
      </c>
      <c r="C3450" s="124">
        <v>133.69</v>
      </c>
      <c r="D3450" s="156">
        <f t="shared" si="107"/>
        <v>-1.7174432497012379E-3</v>
      </c>
      <c r="E3450" s="156">
        <v>-6.8297703138887958E-3</v>
      </c>
      <c r="F3450" s="124">
        <v>3444</v>
      </c>
      <c r="G3450" s="238">
        <f t="shared" ca="1" si="108"/>
        <v>9.3147074074624355E-3</v>
      </c>
      <c r="I3450" s="156"/>
    </row>
    <row r="3451" spans="2:9" x14ac:dyDescent="0.2">
      <c r="B3451" s="230">
        <v>40914</v>
      </c>
      <c r="C3451" s="124">
        <v>133.97999999999999</v>
      </c>
      <c r="D3451" s="156">
        <f t="shared" si="107"/>
        <v>2.1691973969630643E-3</v>
      </c>
      <c r="E3451" s="156">
        <v>-6.8306010928960029E-3</v>
      </c>
      <c r="F3451" s="124">
        <v>3445</v>
      </c>
      <c r="G3451" s="238">
        <f t="shared" ca="1" si="108"/>
        <v>-9.3768368476885664E-3</v>
      </c>
      <c r="I3451" s="156"/>
    </row>
    <row r="3452" spans="2:9" x14ac:dyDescent="0.2">
      <c r="B3452" s="230">
        <v>40913</v>
      </c>
      <c r="C3452" s="124">
        <v>132.46</v>
      </c>
      <c r="D3452" s="156">
        <f t="shared" si="107"/>
        <v>-1.1344976862218107E-2</v>
      </c>
      <c r="E3452" s="156">
        <v>-6.8442923490589372E-3</v>
      </c>
      <c r="F3452" s="124">
        <v>3446</v>
      </c>
      <c r="G3452" s="238">
        <f t="shared" ca="1" si="108"/>
        <v>-7.4885529567681993E-3</v>
      </c>
      <c r="I3452" s="156"/>
    </row>
    <row r="3453" spans="2:9" x14ac:dyDescent="0.2">
      <c r="B3453" s="230">
        <v>40912</v>
      </c>
      <c r="C3453" s="124">
        <v>132.29</v>
      </c>
      <c r="D3453" s="156">
        <f t="shared" si="107"/>
        <v>-1.2834063113393924E-3</v>
      </c>
      <c r="E3453" s="156">
        <v>-6.8483378513340557E-3</v>
      </c>
      <c r="F3453" s="124">
        <v>3447</v>
      </c>
      <c r="G3453" s="238">
        <f t="shared" ca="1" si="108"/>
        <v>1.6809157016195484E-2</v>
      </c>
      <c r="I3453" s="156"/>
    </row>
    <row r="3454" spans="2:9" x14ac:dyDescent="0.2">
      <c r="B3454" s="230">
        <v>40911</v>
      </c>
      <c r="C3454" s="124">
        <v>132.82</v>
      </c>
      <c r="D3454" s="156">
        <f t="shared" ref="D3454:D3517" si="109">(C3454-C3453)/C3453</f>
        <v>4.0063496862952691E-3</v>
      </c>
      <c r="E3454" s="156">
        <v>-6.8699731903484685E-3</v>
      </c>
      <c r="F3454" s="124">
        <v>3448</v>
      </c>
      <c r="G3454" s="238">
        <f t="shared" ca="1" si="108"/>
        <v>9.716252289325782E-3</v>
      </c>
      <c r="I3454" s="156"/>
    </row>
    <row r="3455" spans="2:9" x14ac:dyDescent="0.2">
      <c r="B3455" s="230">
        <v>40910</v>
      </c>
      <c r="C3455" s="124">
        <v>131.69999999999999</v>
      </c>
      <c r="D3455" s="156">
        <f t="shared" si="109"/>
        <v>-8.432464990212352E-3</v>
      </c>
      <c r="E3455" s="156">
        <v>-6.8728522336769403E-3</v>
      </c>
      <c r="F3455" s="124">
        <v>3449</v>
      </c>
      <c r="G3455" s="238">
        <f t="shared" ca="1" si="108"/>
        <v>-2.207824330033856E-2</v>
      </c>
      <c r="I3455" s="156"/>
    </row>
    <row r="3456" spans="2:9" x14ac:dyDescent="0.2">
      <c r="B3456" s="230">
        <v>40907</v>
      </c>
      <c r="C3456" s="124">
        <v>133.44999999999999</v>
      </c>
      <c r="D3456" s="156">
        <f t="shared" si="109"/>
        <v>1.328777524677297E-2</v>
      </c>
      <c r="E3456" s="156">
        <v>-6.9029850746269508E-3</v>
      </c>
      <c r="F3456" s="124">
        <v>3450</v>
      </c>
      <c r="G3456" s="238">
        <f t="shared" ca="1" si="108"/>
        <v>8.0343785408196807E-3</v>
      </c>
      <c r="I3456" s="156"/>
    </row>
    <row r="3457" spans="2:9" x14ac:dyDescent="0.2">
      <c r="B3457" s="230">
        <v>40906</v>
      </c>
      <c r="C3457" s="124">
        <v>133.06</v>
      </c>
      <c r="D3457" s="156">
        <f t="shared" si="109"/>
        <v>-2.9224428624952145E-3</v>
      </c>
      <c r="E3457" s="156">
        <v>-6.9074402999802645E-3</v>
      </c>
      <c r="F3457" s="124">
        <v>3451</v>
      </c>
      <c r="G3457" s="238">
        <f t="shared" ca="1" si="108"/>
        <v>-3.7626582476058814E-3</v>
      </c>
      <c r="I3457" s="156"/>
    </row>
    <row r="3458" spans="2:9" x14ac:dyDescent="0.2">
      <c r="B3458" s="230">
        <v>40905</v>
      </c>
      <c r="C3458" s="124">
        <v>133.94999999999999</v>
      </c>
      <c r="D3458" s="156">
        <f t="shared" si="109"/>
        <v>6.6887118593114865E-3</v>
      </c>
      <c r="E3458" s="156">
        <v>-6.9249080285652513E-3</v>
      </c>
      <c r="F3458" s="124">
        <v>3452</v>
      </c>
      <c r="G3458" s="238">
        <f t="shared" ca="1" si="108"/>
        <v>2.9378832395446027E-2</v>
      </c>
      <c r="I3458" s="156"/>
    </row>
    <row r="3459" spans="2:9" x14ac:dyDescent="0.2">
      <c r="B3459" s="230">
        <v>40904</v>
      </c>
      <c r="C3459" s="124">
        <v>135.94</v>
      </c>
      <c r="D3459" s="156">
        <f t="shared" si="109"/>
        <v>1.4856289660321084E-2</v>
      </c>
      <c r="E3459" s="156">
        <v>-6.925959426282483E-3</v>
      </c>
      <c r="F3459" s="124">
        <v>3453</v>
      </c>
      <c r="G3459" s="238">
        <f t="shared" ca="1" si="108"/>
        <v>-7.7478591407790013E-4</v>
      </c>
      <c r="I3459" s="156"/>
    </row>
    <row r="3460" spans="2:9" x14ac:dyDescent="0.2">
      <c r="B3460" s="230">
        <v>40903</v>
      </c>
      <c r="C3460" s="124">
        <v>135.87</v>
      </c>
      <c r="D3460" s="156">
        <f t="shared" si="109"/>
        <v>-5.1493305870231848E-4</v>
      </c>
      <c r="E3460" s="156">
        <v>-6.9290788401071253E-3</v>
      </c>
      <c r="F3460" s="124">
        <v>3454</v>
      </c>
      <c r="G3460" s="238">
        <f t="shared" ca="1" si="108"/>
        <v>-5.1031584471839669E-3</v>
      </c>
      <c r="I3460" s="156"/>
    </row>
    <row r="3461" spans="2:9" x14ac:dyDescent="0.2">
      <c r="B3461" s="230">
        <v>40900</v>
      </c>
      <c r="C3461" s="124">
        <v>135.24</v>
      </c>
      <c r="D3461" s="156">
        <f t="shared" si="109"/>
        <v>-4.6367851622874474E-3</v>
      </c>
      <c r="E3461" s="156">
        <v>-6.9468565474122713E-3</v>
      </c>
      <c r="F3461" s="124">
        <v>3455</v>
      </c>
      <c r="G3461" s="238">
        <f t="shared" ca="1" si="108"/>
        <v>2.1974092491468384E-2</v>
      </c>
      <c r="I3461" s="156"/>
    </row>
    <row r="3462" spans="2:9" x14ac:dyDescent="0.2">
      <c r="B3462" s="230">
        <v>40899</v>
      </c>
      <c r="C3462" s="124">
        <v>135.08000000000001</v>
      </c>
      <c r="D3462" s="156">
        <f t="shared" si="109"/>
        <v>-1.1830819284235181E-3</v>
      </c>
      <c r="E3462" s="156">
        <v>-6.9544364508392744E-3</v>
      </c>
      <c r="F3462" s="124">
        <v>3456</v>
      </c>
      <c r="G3462" s="238">
        <f t="shared" ca="1" si="108"/>
        <v>-1.3554441592801402E-3</v>
      </c>
      <c r="I3462" s="156"/>
    </row>
    <row r="3463" spans="2:9" x14ac:dyDescent="0.2">
      <c r="B3463" s="230">
        <v>40898</v>
      </c>
      <c r="C3463" s="124">
        <v>134.08000000000001</v>
      </c>
      <c r="D3463" s="156">
        <f t="shared" si="109"/>
        <v>-7.403020432336393E-3</v>
      </c>
      <c r="E3463" s="156">
        <v>-6.9583240802427839E-3</v>
      </c>
      <c r="F3463" s="124">
        <v>3457</v>
      </c>
      <c r="G3463" s="238">
        <f t="shared" ref="G3463:G3526" ca="1" si="110">_xlfn.NORM.INV(RAND(),$L$8,$L$9)</f>
        <v>1.1288619455658185E-2</v>
      </c>
      <c r="I3463" s="156"/>
    </row>
    <row r="3464" spans="2:9" x14ac:dyDescent="0.2">
      <c r="B3464" s="230">
        <v>40897</v>
      </c>
      <c r="C3464" s="124">
        <v>132.19</v>
      </c>
      <c r="D3464" s="156">
        <f t="shared" si="109"/>
        <v>-1.4096062052506075E-2</v>
      </c>
      <c r="E3464" s="156">
        <v>-6.9610522719507836E-3</v>
      </c>
      <c r="F3464" s="124">
        <v>3458</v>
      </c>
      <c r="G3464" s="238">
        <f t="shared" ca="1" si="110"/>
        <v>-6.6039192143254937E-3</v>
      </c>
      <c r="I3464" s="156"/>
    </row>
    <row r="3465" spans="2:9" x14ac:dyDescent="0.2">
      <c r="B3465" s="230">
        <v>40896</v>
      </c>
      <c r="C3465" s="124">
        <v>130.93</v>
      </c>
      <c r="D3465" s="156">
        <f t="shared" si="109"/>
        <v>-9.5317346244041985E-3</v>
      </c>
      <c r="E3465" s="156">
        <v>-6.9611780455153417E-3</v>
      </c>
      <c r="F3465" s="124">
        <v>3459</v>
      </c>
      <c r="G3465" s="238">
        <f t="shared" ca="1" si="110"/>
        <v>-3.3562862020932317E-4</v>
      </c>
      <c r="I3465" s="156"/>
    </row>
    <row r="3466" spans="2:9" x14ac:dyDescent="0.2">
      <c r="B3466" s="230">
        <v>40893</v>
      </c>
      <c r="C3466" s="124">
        <v>129.81</v>
      </c>
      <c r="D3466" s="156">
        <f t="shared" si="109"/>
        <v>-8.5541892614374431E-3</v>
      </c>
      <c r="E3466" s="156">
        <v>-6.9840990951418932E-3</v>
      </c>
      <c r="F3466" s="124">
        <v>3460</v>
      </c>
      <c r="G3466" s="238">
        <f t="shared" ca="1" si="110"/>
        <v>5.100634145795392E-3</v>
      </c>
      <c r="I3466" s="156"/>
    </row>
    <row r="3467" spans="2:9" x14ac:dyDescent="0.2">
      <c r="B3467" s="230">
        <v>40892</v>
      </c>
      <c r="C3467" s="124">
        <v>132.33000000000001</v>
      </c>
      <c r="D3467" s="156">
        <f t="shared" si="109"/>
        <v>1.941298821354295E-2</v>
      </c>
      <c r="E3467" s="156">
        <v>-6.9846433526288476E-3</v>
      </c>
      <c r="F3467" s="124">
        <v>3461</v>
      </c>
      <c r="G3467" s="238">
        <f t="shared" ca="1" si="110"/>
        <v>7.773851908495868E-3</v>
      </c>
      <c r="I3467" s="156"/>
    </row>
    <row r="3468" spans="2:9" x14ac:dyDescent="0.2">
      <c r="B3468" s="230">
        <v>40891</v>
      </c>
      <c r="C3468" s="124">
        <v>132.49</v>
      </c>
      <c r="D3468" s="156">
        <f t="shared" si="109"/>
        <v>1.2090984659562955E-3</v>
      </c>
      <c r="E3468" s="156">
        <v>-6.988694758478884E-3</v>
      </c>
      <c r="F3468" s="124">
        <v>3462</v>
      </c>
      <c r="G3468" s="238">
        <f t="shared" ca="1" si="110"/>
        <v>-3.9328221488978627E-3</v>
      </c>
      <c r="I3468" s="156"/>
    </row>
    <row r="3469" spans="2:9" x14ac:dyDescent="0.2">
      <c r="B3469" s="230">
        <v>40890</v>
      </c>
      <c r="C3469" s="124">
        <v>130.83000000000001</v>
      </c>
      <c r="D3469" s="156">
        <f t="shared" si="109"/>
        <v>-1.2529247490376606E-2</v>
      </c>
      <c r="E3469" s="156">
        <v>-7.0002295157218534E-3</v>
      </c>
      <c r="F3469" s="124">
        <v>3463</v>
      </c>
      <c r="G3469" s="238">
        <f t="shared" ca="1" si="110"/>
        <v>-2.3780470259532525E-2</v>
      </c>
      <c r="I3469" s="156"/>
    </row>
    <row r="3470" spans="2:9" x14ac:dyDescent="0.2">
      <c r="B3470" s="230">
        <v>40889</v>
      </c>
      <c r="C3470" s="124">
        <v>129.94</v>
      </c>
      <c r="D3470" s="156">
        <f t="shared" si="109"/>
        <v>-6.8027210884354867E-3</v>
      </c>
      <c r="E3470" s="156">
        <v>-7.0044361428904973E-3</v>
      </c>
      <c r="F3470" s="124">
        <v>3464</v>
      </c>
      <c r="G3470" s="238">
        <f t="shared" ca="1" si="110"/>
        <v>-1.095438411724791E-2</v>
      </c>
      <c r="I3470" s="156"/>
    </row>
    <row r="3471" spans="2:9" x14ac:dyDescent="0.2">
      <c r="B3471" s="230">
        <v>40886</v>
      </c>
      <c r="C3471" s="124">
        <v>130.69999999999999</v>
      </c>
      <c r="D3471" s="156">
        <f t="shared" si="109"/>
        <v>5.8488533169154299E-3</v>
      </c>
      <c r="E3471" s="156">
        <v>-7.0059930784164628E-3</v>
      </c>
      <c r="F3471" s="124">
        <v>3465</v>
      </c>
      <c r="G3471" s="238">
        <f t="shared" ca="1" si="110"/>
        <v>9.2403236878082669E-3</v>
      </c>
      <c r="I3471" s="156"/>
    </row>
    <row r="3472" spans="2:9" x14ac:dyDescent="0.2">
      <c r="B3472" s="230">
        <v>40885</v>
      </c>
      <c r="C3472" s="124">
        <v>131.93</v>
      </c>
      <c r="D3472" s="156">
        <f t="shared" si="109"/>
        <v>9.4108645753635672E-3</v>
      </c>
      <c r="E3472" s="156">
        <v>-7.0197300103842066E-3</v>
      </c>
      <c r="F3472" s="124">
        <v>3466</v>
      </c>
      <c r="G3472" s="238">
        <f t="shared" ca="1" si="110"/>
        <v>3.5220524385762259E-2</v>
      </c>
      <c r="I3472" s="156"/>
    </row>
    <row r="3473" spans="2:9" x14ac:dyDescent="0.2">
      <c r="B3473" s="230">
        <v>40884</v>
      </c>
      <c r="C3473" s="124">
        <v>135.87</v>
      </c>
      <c r="D3473" s="156">
        <f t="shared" si="109"/>
        <v>2.9864321988933507E-2</v>
      </c>
      <c r="E3473" s="156">
        <v>-7.024067761594947E-3</v>
      </c>
      <c r="F3473" s="124">
        <v>3467</v>
      </c>
      <c r="G3473" s="238">
        <f t="shared" ca="1" si="110"/>
        <v>-5.5144753163960591E-3</v>
      </c>
      <c r="I3473" s="156"/>
    </row>
    <row r="3474" spans="2:9" x14ac:dyDescent="0.2">
      <c r="B3474" s="230">
        <v>40882</v>
      </c>
      <c r="C3474" s="124">
        <v>135.34</v>
      </c>
      <c r="D3474" s="156">
        <f t="shared" si="109"/>
        <v>-3.9007875174799523E-3</v>
      </c>
      <c r="E3474" s="156">
        <v>-7.0438536696205917E-3</v>
      </c>
      <c r="F3474" s="124">
        <v>3468</v>
      </c>
      <c r="G3474" s="238">
        <f t="shared" ca="1" si="110"/>
        <v>-4.0782395473874723E-2</v>
      </c>
      <c r="I3474" s="156"/>
    </row>
    <row r="3475" spans="2:9" x14ac:dyDescent="0.2">
      <c r="B3475" s="230">
        <v>40879</v>
      </c>
      <c r="C3475" s="124">
        <v>136.9</v>
      </c>
      <c r="D3475" s="156">
        <f t="shared" si="109"/>
        <v>1.1526525786907065E-2</v>
      </c>
      <c r="E3475" s="156">
        <v>-7.0458952811892376E-3</v>
      </c>
      <c r="F3475" s="124">
        <v>3469</v>
      </c>
      <c r="G3475" s="238">
        <f t="shared" ca="1" si="110"/>
        <v>-1.8274325103131466E-2</v>
      </c>
      <c r="I3475" s="156"/>
    </row>
    <row r="3476" spans="2:9" x14ac:dyDescent="0.2">
      <c r="B3476" s="230">
        <v>40878</v>
      </c>
      <c r="C3476" s="124">
        <v>135.01</v>
      </c>
      <c r="D3476" s="156">
        <f t="shared" si="109"/>
        <v>-1.3805697589481481E-2</v>
      </c>
      <c r="E3476" s="156">
        <v>-7.0560564484515205E-3</v>
      </c>
      <c r="F3476" s="124">
        <v>3470</v>
      </c>
      <c r="G3476" s="238">
        <f t="shared" ca="1" si="110"/>
        <v>4.0528347294259158E-2</v>
      </c>
      <c r="I3476" s="156"/>
    </row>
    <row r="3477" spans="2:9" x14ac:dyDescent="0.2">
      <c r="B3477" s="230">
        <v>40877</v>
      </c>
      <c r="C3477" s="124">
        <v>133.06</v>
      </c>
      <c r="D3477" s="156">
        <f t="shared" si="109"/>
        <v>-1.4443374564846964E-2</v>
      </c>
      <c r="E3477" s="156">
        <v>-7.0610733812243986E-3</v>
      </c>
      <c r="F3477" s="124">
        <v>3471</v>
      </c>
      <c r="G3477" s="238">
        <f t="shared" ca="1" si="110"/>
        <v>-1.1938801202491713E-2</v>
      </c>
      <c r="I3477" s="156"/>
    </row>
    <row r="3478" spans="2:9" x14ac:dyDescent="0.2">
      <c r="B3478" s="230">
        <v>40876</v>
      </c>
      <c r="C3478" s="124">
        <v>131.19999999999999</v>
      </c>
      <c r="D3478" s="156">
        <f t="shared" si="109"/>
        <v>-1.3978656245302973E-2</v>
      </c>
      <c r="E3478" s="156">
        <v>-7.0738033482669179E-3</v>
      </c>
      <c r="F3478" s="124">
        <v>3472</v>
      </c>
      <c r="G3478" s="238">
        <f t="shared" ca="1" si="110"/>
        <v>-4.3201037324819107E-3</v>
      </c>
      <c r="I3478" s="156"/>
    </row>
    <row r="3479" spans="2:9" x14ac:dyDescent="0.2">
      <c r="B3479" s="230">
        <v>40875</v>
      </c>
      <c r="C3479" s="124">
        <v>130.24</v>
      </c>
      <c r="D3479" s="156">
        <f t="shared" si="109"/>
        <v>-7.3170731707315516E-3</v>
      </c>
      <c r="E3479" s="156">
        <v>-7.1185391519654586E-3</v>
      </c>
      <c r="F3479" s="124">
        <v>3473</v>
      </c>
      <c r="G3479" s="238">
        <f t="shared" ca="1" si="110"/>
        <v>-5.5539627065701231E-4</v>
      </c>
      <c r="I3479" s="156"/>
    </row>
    <row r="3480" spans="2:9" x14ac:dyDescent="0.2">
      <c r="B3480" s="230">
        <v>40872</v>
      </c>
      <c r="C3480" s="124">
        <v>127.45</v>
      </c>
      <c r="D3480" s="156">
        <f t="shared" si="109"/>
        <v>-2.1421990171990219E-2</v>
      </c>
      <c r="E3480" s="156">
        <v>-7.1510297482837533E-3</v>
      </c>
      <c r="F3480" s="124">
        <v>3474</v>
      </c>
      <c r="G3480" s="238">
        <f t="shared" ca="1" si="110"/>
        <v>-2.2672543201717642E-2</v>
      </c>
      <c r="I3480" s="156"/>
    </row>
    <row r="3481" spans="2:9" x14ac:dyDescent="0.2">
      <c r="B3481" s="230">
        <v>40871</v>
      </c>
      <c r="C3481" s="124">
        <v>127.49</v>
      </c>
      <c r="D3481" s="156">
        <f t="shared" si="109"/>
        <v>3.1384856806584575E-4</v>
      </c>
      <c r="E3481" s="156">
        <v>-7.1599045346063712E-3</v>
      </c>
      <c r="F3481" s="124">
        <v>3475</v>
      </c>
      <c r="G3481" s="238">
        <f t="shared" ca="1" si="110"/>
        <v>-3.0840566386082961E-2</v>
      </c>
      <c r="I3481" s="156"/>
    </row>
    <row r="3482" spans="2:9" x14ac:dyDescent="0.2">
      <c r="B3482" s="230">
        <v>40870</v>
      </c>
      <c r="C3482" s="124">
        <v>128.15</v>
      </c>
      <c r="D3482" s="156">
        <f t="shared" si="109"/>
        <v>5.1768766177740276E-3</v>
      </c>
      <c r="E3482" s="156">
        <v>-7.163610860635241E-3</v>
      </c>
      <c r="F3482" s="124">
        <v>3476</v>
      </c>
      <c r="G3482" s="238">
        <f t="shared" ca="1" si="110"/>
        <v>-1.4356067973035024E-2</v>
      </c>
      <c r="I3482" s="156"/>
    </row>
    <row r="3483" spans="2:9" x14ac:dyDescent="0.2">
      <c r="B3483" s="230">
        <v>40869</v>
      </c>
      <c r="C3483" s="124">
        <v>130.07</v>
      </c>
      <c r="D3483" s="156">
        <f t="shared" si="109"/>
        <v>1.498244245025351E-2</v>
      </c>
      <c r="E3483" s="156">
        <v>-7.1714476317544977E-3</v>
      </c>
      <c r="F3483" s="124">
        <v>3477</v>
      </c>
      <c r="G3483" s="238">
        <f t="shared" ca="1" si="110"/>
        <v>7.7849895584183285E-4</v>
      </c>
      <c r="I3483" s="156"/>
    </row>
    <row r="3484" spans="2:9" x14ac:dyDescent="0.2">
      <c r="B3484" s="230">
        <v>40868</v>
      </c>
      <c r="C3484" s="124">
        <v>132.22999999999999</v>
      </c>
      <c r="D3484" s="156">
        <f t="shared" si="109"/>
        <v>1.6606442684708209E-2</v>
      </c>
      <c r="E3484" s="156">
        <v>-7.1799950482792562E-3</v>
      </c>
      <c r="F3484" s="124">
        <v>3478</v>
      </c>
      <c r="G3484" s="238">
        <f t="shared" ca="1" si="110"/>
        <v>5.3777156952550592E-3</v>
      </c>
      <c r="I3484" s="156"/>
    </row>
    <row r="3485" spans="2:9" x14ac:dyDescent="0.2">
      <c r="B3485" s="230">
        <v>40865</v>
      </c>
      <c r="C3485" s="124">
        <v>133.78</v>
      </c>
      <c r="D3485" s="156">
        <f t="shared" si="109"/>
        <v>1.1721999546245266E-2</v>
      </c>
      <c r="E3485" s="156">
        <v>-7.1848646249446065E-3</v>
      </c>
      <c r="F3485" s="124">
        <v>3479</v>
      </c>
      <c r="G3485" s="238">
        <f t="shared" ca="1" si="110"/>
        <v>-1.0735822628175639E-2</v>
      </c>
      <c r="I3485" s="156"/>
    </row>
    <row r="3486" spans="2:9" x14ac:dyDescent="0.2">
      <c r="B3486" s="230">
        <v>40864</v>
      </c>
      <c r="C3486" s="124">
        <v>137.72999999999999</v>
      </c>
      <c r="D3486" s="156">
        <f t="shared" si="109"/>
        <v>2.9526087606518078E-2</v>
      </c>
      <c r="E3486" s="156">
        <v>-7.1862024912167956E-3</v>
      </c>
      <c r="F3486" s="124">
        <v>3480</v>
      </c>
      <c r="G3486" s="238">
        <f t="shared" ca="1" si="110"/>
        <v>-6.9847362414085928E-3</v>
      </c>
      <c r="I3486" s="156"/>
    </row>
    <row r="3487" spans="2:9" x14ac:dyDescent="0.2">
      <c r="B3487" s="230">
        <v>40863</v>
      </c>
      <c r="C3487" s="124">
        <v>140.94</v>
      </c>
      <c r="D3487" s="156">
        <f t="shared" si="109"/>
        <v>2.3306469178828202E-2</v>
      </c>
      <c r="E3487" s="156">
        <v>-7.1961158314548142E-3</v>
      </c>
      <c r="F3487" s="124">
        <v>3481</v>
      </c>
      <c r="G3487" s="238">
        <f t="shared" ca="1" si="110"/>
        <v>-1.1505187589322957E-2</v>
      </c>
      <c r="I3487" s="156"/>
    </row>
    <row r="3488" spans="2:9" x14ac:dyDescent="0.2">
      <c r="B3488" s="230">
        <v>40862</v>
      </c>
      <c r="C3488" s="124">
        <v>139.65</v>
      </c>
      <c r="D3488" s="156">
        <f t="shared" si="109"/>
        <v>-9.1528309919113957E-3</v>
      </c>
      <c r="E3488" s="156">
        <v>-7.1996027805363311E-3</v>
      </c>
      <c r="F3488" s="124">
        <v>3482</v>
      </c>
      <c r="G3488" s="238">
        <f t="shared" ca="1" si="110"/>
        <v>5.8475119882651812E-3</v>
      </c>
      <c r="I3488" s="156"/>
    </row>
    <row r="3489" spans="2:9" x14ac:dyDescent="0.2">
      <c r="B3489" s="230">
        <v>40861</v>
      </c>
      <c r="C3489" s="124">
        <v>140.22</v>
      </c>
      <c r="D3489" s="156">
        <f t="shared" si="109"/>
        <v>4.0816326530611754E-3</v>
      </c>
      <c r="E3489" s="156">
        <v>-7.2111051018568587E-3</v>
      </c>
      <c r="F3489" s="124">
        <v>3483</v>
      </c>
      <c r="G3489" s="238">
        <f t="shared" ca="1" si="110"/>
        <v>5.9077564489129156E-3</v>
      </c>
      <c r="I3489" s="156"/>
    </row>
    <row r="3490" spans="2:9" x14ac:dyDescent="0.2">
      <c r="B3490" s="230">
        <v>40858</v>
      </c>
      <c r="C3490" s="124">
        <v>140.97999999999999</v>
      </c>
      <c r="D3490" s="156">
        <f t="shared" si="109"/>
        <v>5.4200542005419404E-3</v>
      </c>
      <c r="E3490" s="156">
        <v>-7.2270825408899866E-3</v>
      </c>
      <c r="F3490" s="124">
        <v>3484</v>
      </c>
      <c r="G3490" s="238">
        <f t="shared" ca="1" si="110"/>
        <v>-3.8214072464051015E-2</v>
      </c>
      <c r="I3490" s="156"/>
    </row>
    <row r="3491" spans="2:9" x14ac:dyDescent="0.2">
      <c r="B3491" s="230">
        <v>40856</v>
      </c>
      <c r="C3491" s="124">
        <v>140.55000000000001</v>
      </c>
      <c r="D3491" s="156">
        <f t="shared" si="109"/>
        <v>-3.0500780252516557E-3</v>
      </c>
      <c r="E3491" s="156">
        <v>-7.2398190045248872E-3</v>
      </c>
      <c r="F3491" s="124">
        <v>3485</v>
      </c>
      <c r="G3491" s="238">
        <f t="shared" ca="1" si="110"/>
        <v>1.8525987250252549E-2</v>
      </c>
      <c r="I3491" s="156"/>
    </row>
    <row r="3492" spans="2:9" x14ac:dyDescent="0.2">
      <c r="B3492" s="230">
        <v>40855</v>
      </c>
      <c r="C3492" s="124">
        <v>139.75</v>
      </c>
      <c r="D3492" s="156">
        <f t="shared" si="109"/>
        <v>-5.691924581999369E-3</v>
      </c>
      <c r="E3492" s="156">
        <v>-7.2477234714736615E-3</v>
      </c>
      <c r="F3492" s="124">
        <v>3486</v>
      </c>
      <c r="G3492" s="238">
        <f t="shared" ca="1" si="110"/>
        <v>-1.1842489737842327E-2</v>
      </c>
      <c r="I3492" s="156"/>
    </row>
    <row r="3493" spans="2:9" x14ac:dyDescent="0.2">
      <c r="B3493" s="230">
        <v>40851</v>
      </c>
      <c r="C3493" s="124">
        <v>139.44999999999999</v>
      </c>
      <c r="D3493" s="156">
        <f t="shared" si="109"/>
        <v>-2.1466905187836234E-3</v>
      </c>
      <c r="E3493" s="156">
        <v>-7.2580165387589914E-3</v>
      </c>
      <c r="F3493" s="124">
        <v>3487</v>
      </c>
      <c r="G3493" s="238">
        <f t="shared" ca="1" si="110"/>
        <v>-2.3320933047025461E-4</v>
      </c>
      <c r="I3493" s="156"/>
    </row>
    <row r="3494" spans="2:9" x14ac:dyDescent="0.2">
      <c r="B3494" s="230">
        <v>40850</v>
      </c>
      <c r="C3494" s="124">
        <v>139.35</v>
      </c>
      <c r="D3494" s="156">
        <f t="shared" si="109"/>
        <v>-7.1710290426672157E-4</v>
      </c>
      <c r="E3494" s="156">
        <v>-7.2630432151071294E-3</v>
      </c>
      <c r="F3494" s="124">
        <v>3488</v>
      </c>
      <c r="G3494" s="238">
        <f t="shared" ca="1" si="110"/>
        <v>-3.7417937717724788E-2</v>
      </c>
      <c r="I3494" s="156"/>
    </row>
    <row r="3495" spans="2:9" x14ac:dyDescent="0.2">
      <c r="B3495" s="230">
        <v>40849</v>
      </c>
      <c r="C3495" s="124">
        <v>138.79</v>
      </c>
      <c r="D3495" s="156">
        <f t="shared" si="109"/>
        <v>-4.0186580552565646E-3</v>
      </c>
      <c r="E3495" s="156">
        <v>-7.2659987363481067E-3</v>
      </c>
      <c r="F3495" s="124">
        <v>3489</v>
      </c>
      <c r="G3495" s="238">
        <f t="shared" ca="1" si="110"/>
        <v>1.5356022970576986E-3</v>
      </c>
      <c r="I3495" s="156"/>
    </row>
    <row r="3496" spans="2:9" x14ac:dyDescent="0.2">
      <c r="B3496" s="230">
        <v>40848</v>
      </c>
      <c r="C3496" s="124">
        <v>138.09</v>
      </c>
      <c r="D3496" s="156">
        <f t="shared" si="109"/>
        <v>-5.0435910368181328E-3</v>
      </c>
      <c r="E3496" s="156">
        <v>-7.268722466960211E-3</v>
      </c>
      <c r="F3496" s="124">
        <v>3490</v>
      </c>
      <c r="G3496" s="238">
        <f t="shared" ca="1" si="110"/>
        <v>1.1435999396911692E-3</v>
      </c>
      <c r="I3496" s="156"/>
    </row>
    <row r="3497" spans="2:9" x14ac:dyDescent="0.2">
      <c r="B3497" s="230">
        <v>40847</v>
      </c>
      <c r="C3497" s="124">
        <v>141.31</v>
      </c>
      <c r="D3497" s="156">
        <f t="shared" si="109"/>
        <v>2.3318125859946404E-2</v>
      </c>
      <c r="E3497" s="156">
        <v>-7.269422989550179E-3</v>
      </c>
      <c r="F3497" s="124">
        <v>3491</v>
      </c>
      <c r="G3497" s="238">
        <f t="shared" ca="1" si="110"/>
        <v>-2.6987932424757763E-2</v>
      </c>
      <c r="I3497" s="156"/>
    </row>
    <row r="3498" spans="2:9" x14ac:dyDescent="0.2">
      <c r="B3498" s="230">
        <v>40844</v>
      </c>
      <c r="C3498" s="124">
        <v>142.87</v>
      </c>
      <c r="D3498" s="156">
        <f t="shared" si="109"/>
        <v>1.103955841766331E-2</v>
      </c>
      <c r="E3498" s="156">
        <v>-7.2837093622313432E-3</v>
      </c>
      <c r="F3498" s="124">
        <v>3492</v>
      </c>
      <c r="G3498" s="238">
        <f t="shared" ca="1" si="110"/>
        <v>-4.3542742401899504E-3</v>
      </c>
      <c r="I3498" s="156"/>
    </row>
    <row r="3499" spans="2:9" x14ac:dyDescent="0.2">
      <c r="B3499" s="230">
        <v>40842</v>
      </c>
      <c r="C3499" s="124">
        <v>140.68</v>
      </c>
      <c r="D3499" s="156">
        <f t="shared" si="109"/>
        <v>-1.5328620424161809E-2</v>
      </c>
      <c r="E3499" s="156">
        <v>-7.286649376312326E-3</v>
      </c>
      <c r="F3499" s="124">
        <v>3493</v>
      </c>
      <c r="G3499" s="238">
        <f t="shared" ca="1" si="110"/>
        <v>-3.5117334101673696E-3</v>
      </c>
      <c r="I3499" s="156"/>
    </row>
    <row r="3500" spans="2:9" x14ac:dyDescent="0.2">
      <c r="B3500" s="230">
        <v>40841</v>
      </c>
      <c r="C3500" s="124">
        <v>139.91999999999999</v>
      </c>
      <c r="D3500" s="156">
        <f t="shared" si="109"/>
        <v>-5.4023315325562931E-3</v>
      </c>
      <c r="E3500" s="156">
        <v>-7.2893790009812736E-3</v>
      </c>
      <c r="F3500" s="124">
        <v>3494</v>
      </c>
      <c r="G3500" s="238">
        <f t="shared" ca="1" si="110"/>
        <v>-6.5516585673727019E-3</v>
      </c>
      <c r="I3500" s="156"/>
    </row>
    <row r="3501" spans="2:9" x14ac:dyDescent="0.2">
      <c r="B3501" s="230">
        <v>40840</v>
      </c>
      <c r="C3501" s="124">
        <v>137.19999999999999</v>
      </c>
      <c r="D3501" s="156">
        <f t="shared" si="109"/>
        <v>-1.94396798170383E-2</v>
      </c>
      <c r="E3501" s="156">
        <v>-7.2962268084219304E-3</v>
      </c>
      <c r="F3501" s="124">
        <v>3495</v>
      </c>
      <c r="G3501" s="238">
        <f t="shared" ca="1" si="110"/>
        <v>-1.9126378926422612E-2</v>
      </c>
      <c r="I3501" s="156"/>
    </row>
    <row r="3502" spans="2:9" x14ac:dyDescent="0.2">
      <c r="B3502" s="230">
        <v>40837</v>
      </c>
      <c r="C3502" s="124">
        <v>135.24</v>
      </c>
      <c r="D3502" s="156">
        <f t="shared" si="109"/>
        <v>-1.4285714285714138E-2</v>
      </c>
      <c r="E3502" s="156">
        <v>-7.296849087893827E-3</v>
      </c>
      <c r="F3502" s="124">
        <v>3496</v>
      </c>
      <c r="G3502" s="238">
        <f t="shared" ca="1" si="110"/>
        <v>-3.0221478811959077E-3</v>
      </c>
      <c r="I3502" s="156"/>
    </row>
    <row r="3503" spans="2:9" x14ac:dyDescent="0.2">
      <c r="B3503" s="230">
        <v>40836</v>
      </c>
      <c r="C3503" s="124">
        <v>135.94</v>
      </c>
      <c r="D3503" s="156">
        <f t="shared" si="109"/>
        <v>5.1759834368529179E-3</v>
      </c>
      <c r="E3503" s="156">
        <v>-7.2977033698218017E-3</v>
      </c>
      <c r="F3503" s="124">
        <v>3497</v>
      </c>
      <c r="G3503" s="238">
        <f t="shared" ca="1" si="110"/>
        <v>-3.5601420335050057E-3</v>
      </c>
      <c r="I3503" s="156"/>
    </row>
    <row r="3504" spans="2:9" x14ac:dyDescent="0.2">
      <c r="B3504" s="230">
        <v>40835</v>
      </c>
      <c r="C3504" s="124">
        <v>137.30000000000001</v>
      </c>
      <c r="D3504" s="156">
        <f t="shared" si="109"/>
        <v>1.0004413711931835E-2</v>
      </c>
      <c r="E3504" s="156">
        <v>-7.3116707167587306E-3</v>
      </c>
      <c r="F3504" s="124">
        <v>3498</v>
      </c>
      <c r="G3504" s="238">
        <f t="shared" ca="1" si="110"/>
        <v>-1.0166810646019165E-2</v>
      </c>
      <c r="I3504" s="156"/>
    </row>
    <row r="3505" spans="2:9" x14ac:dyDescent="0.2">
      <c r="B3505" s="230">
        <v>40834</v>
      </c>
      <c r="C3505" s="124">
        <v>135.41</v>
      </c>
      <c r="D3505" s="156">
        <f t="shared" si="109"/>
        <v>-1.3765477057538344E-2</v>
      </c>
      <c r="E3505" s="156">
        <v>-7.3170731707315516E-3</v>
      </c>
      <c r="F3505" s="124">
        <v>3499</v>
      </c>
      <c r="G3505" s="238">
        <f t="shared" ca="1" si="110"/>
        <v>-1.3415440548568284E-2</v>
      </c>
      <c r="I3505" s="156"/>
    </row>
    <row r="3506" spans="2:9" x14ac:dyDescent="0.2">
      <c r="B3506" s="230">
        <v>40833</v>
      </c>
      <c r="C3506" s="124">
        <v>136.4</v>
      </c>
      <c r="D3506" s="156">
        <f t="shared" si="109"/>
        <v>7.3111291632819517E-3</v>
      </c>
      <c r="E3506" s="156">
        <v>-7.3193766724382716E-3</v>
      </c>
      <c r="F3506" s="124">
        <v>3500</v>
      </c>
      <c r="G3506" s="238">
        <f t="shared" ca="1" si="110"/>
        <v>-6.5755235978347745E-3</v>
      </c>
      <c r="I3506" s="156"/>
    </row>
    <row r="3507" spans="2:9" x14ac:dyDescent="0.2">
      <c r="B3507" s="230">
        <v>40830</v>
      </c>
      <c r="C3507" s="124">
        <v>136.04</v>
      </c>
      <c r="D3507" s="156">
        <f t="shared" si="109"/>
        <v>-2.6392961876833842E-3</v>
      </c>
      <c r="E3507" s="156">
        <v>-7.3251417769375606E-3</v>
      </c>
      <c r="F3507" s="124">
        <v>3501</v>
      </c>
      <c r="G3507" s="238">
        <f t="shared" ca="1" si="110"/>
        <v>3.8567676761226757E-3</v>
      </c>
      <c r="I3507" s="156"/>
    </row>
    <row r="3508" spans="2:9" x14ac:dyDescent="0.2">
      <c r="B3508" s="230">
        <v>40829</v>
      </c>
      <c r="C3508" s="124">
        <v>133.85</v>
      </c>
      <c r="D3508" s="156">
        <f t="shared" si="109"/>
        <v>-1.6098206409879433E-2</v>
      </c>
      <c r="E3508" s="156">
        <v>-7.3257719371526827E-3</v>
      </c>
      <c r="F3508" s="124">
        <v>3502</v>
      </c>
      <c r="G3508" s="238">
        <f t="shared" ca="1" si="110"/>
        <v>-2.0108939263645223E-2</v>
      </c>
      <c r="I3508" s="156"/>
    </row>
    <row r="3509" spans="2:9" x14ac:dyDescent="0.2">
      <c r="B3509" s="230">
        <v>40828</v>
      </c>
      <c r="C3509" s="124">
        <v>135.24</v>
      </c>
      <c r="D3509" s="156">
        <f t="shared" si="109"/>
        <v>1.0384759058647851E-2</v>
      </c>
      <c r="E3509" s="156">
        <v>-7.3304551178270541E-3</v>
      </c>
      <c r="F3509" s="124">
        <v>3503</v>
      </c>
      <c r="G3509" s="238">
        <f t="shared" ca="1" si="110"/>
        <v>2.8461041645714346E-2</v>
      </c>
      <c r="I3509" s="156"/>
    </row>
    <row r="3510" spans="2:9" x14ac:dyDescent="0.2">
      <c r="B3510" s="230">
        <v>40827</v>
      </c>
      <c r="C3510" s="124">
        <v>132.29</v>
      </c>
      <c r="D3510" s="156">
        <f t="shared" si="109"/>
        <v>-2.1813073055309204E-2</v>
      </c>
      <c r="E3510" s="156">
        <v>-7.3388640714741682E-3</v>
      </c>
      <c r="F3510" s="124">
        <v>3504</v>
      </c>
      <c r="G3510" s="238">
        <f t="shared" ca="1" si="110"/>
        <v>3.2170111290569389E-2</v>
      </c>
      <c r="I3510" s="156"/>
    </row>
    <row r="3511" spans="2:9" x14ac:dyDescent="0.2">
      <c r="B3511" s="230">
        <v>40826</v>
      </c>
      <c r="C3511" s="124">
        <v>132.66</v>
      </c>
      <c r="D3511" s="156">
        <f t="shared" si="109"/>
        <v>2.7968856300552162E-3</v>
      </c>
      <c r="E3511" s="156">
        <v>-7.3390647934577485E-3</v>
      </c>
      <c r="F3511" s="124">
        <v>3505</v>
      </c>
      <c r="G3511" s="238">
        <f t="shared" ca="1" si="110"/>
        <v>1.1907435545738617E-2</v>
      </c>
      <c r="I3511" s="156"/>
    </row>
    <row r="3512" spans="2:9" x14ac:dyDescent="0.2">
      <c r="B3512" s="230">
        <v>40823</v>
      </c>
      <c r="C3512" s="124">
        <v>132.03</v>
      </c>
      <c r="D3512" s="156">
        <f t="shared" si="109"/>
        <v>-4.7489823609226257E-3</v>
      </c>
      <c r="E3512" s="156">
        <v>-7.3426573426573494E-3</v>
      </c>
      <c r="F3512" s="124">
        <v>3506</v>
      </c>
      <c r="G3512" s="238">
        <f t="shared" ca="1" si="110"/>
        <v>1.0469779939522398E-2</v>
      </c>
      <c r="I3512" s="156"/>
    </row>
    <row r="3513" spans="2:9" x14ac:dyDescent="0.2">
      <c r="B3513" s="230">
        <v>40821</v>
      </c>
      <c r="C3513" s="124">
        <v>128.68</v>
      </c>
      <c r="D3513" s="156">
        <f t="shared" si="109"/>
        <v>-2.537302128304169E-2</v>
      </c>
      <c r="E3513" s="156">
        <v>-7.3490813648294266E-3</v>
      </c>
      <c r="F3513" s="124">
        <v>3507</v>
      </c>
      <c r="G3513" s="238">
        <f t="shared" ca="1" si="110"/>
        <v>-2.8107707024673963E-2</v>
      </c>
      <c r="I3513" s="156"/>
    </row>
    <row r="3514" spans="2:9" x14ac:dyDescent="0.2">
      <c r="B3514" s="230">
        <v>40820</v>
      </c>
      <c r="C3514" s="124">
        <v>127.06</v>
      </c>
      <c r="D3514" s="156">
        <f t="shared" si="109"/>
        <v>-1.2589368977308085E-2</v>
      </c>
      <c r="E3514" s="156">
        <v>-7.3679901760131195E-3</v>
      </c>
      <c r="F3514" s="124">
        <v>3508</v>
      </c>
      <c r="G3514" s="238">
        <f t="shared" ca="1" si="110"/>
        <v>-3.439399214637596E-3</v>
      </c>
      <c r="I3514" s="156"/>
    </row>
    <row r="3515" spans="2:9" x14ac:dyDescent="0.2">
      <c r="B3515" s="230">
        <v>40819</v>
      </c>
      <c r="C3515" s="124">
        <v>128.85</v>
      </c>
      <c r="D3515" s="156">
        <f t="shared" si="109"/>
        <v>1.4087832520069196E-2</v>
      </c>
      <c r="E3515" s="156">
        <v>-7.371007371007504E-3</v>
      </c>
      <c r="F3515" s="124">
        <v>3509</v>
      </c>
      <c r="G3515" s="238">
        <f t="shared" ca="1" si="110"/>
        <v>-5.1302029137478373E-3</v>
      </c>
      <c r="I3515" s="156"/>
    </row>
    <row r="3516" spans="2:9" x14ac:dyDescent="0.2">
      <c r="B3516" s="230">
        <v>40816</v>
      </c>
      <c r="C3516" s="124">
        <v>131.27000000000001</v>
      </c>
      <c r="D3516" s="156">
        <f t="shared" si="109"/>
        <v>1.8781528909584913E-2</v>
      </c>
      <c r="E3516" s="156">
        <v>-7.371126521507251E-3</v>
      </c>
      <c r="F3516" s="124">
        <v>3510</v>
      </c>
      <c r="G3516" s="238">
        <f t="shared" ca="1" si="110"/>
        <v>-9.2258911481319528E-3</v>
      </c>
      <c r="I3516" s="156"/>
    </row>
    <row r="3517" spans="2:9" x14ac:dyDescent="0.2">
      <c r="B3517" s="230">
        <v>40815</v>
      </c>
      <c r="C3517" s="124">
        <v>134.08000000000001</v>
      </c>
      <c r="D3517" s="156">
        <f t="shared" si="109"/>
        <v>2.1406261902948139E-2</v>
      </c>
      <c r="E3517" s="156">
        <v>-7.3853145859962511E-3</v>
      </c>
      <c r="F3517" s="124">
        <v>3511</v>
      </c>
      <c r="G3517" s="238">
        <f t="shared" ca="1" si="110"/>
        <v>-3.8116069189611385E-3</v>
      </c>
      <c r="I3517" s="156"/>
    </row>
    <row r="3518" spans="2:9" x14ac:dyDescent="0.2">
      <c r="B3518" s="230">
        <v>40814</v>
      </c>
      <c r="C3518" s="124">
        <v>130.66999999999999</v>
      </c>
      <c r="D3518" s="156">
        <f t="shared" ref="D3518:D3581" si="111">(C3518-C3517)/C3517</f>
        <v>-2.5432577565632643E-2</v>
      </c>
      <c r="E3518" s="156">
        <v>-7.3937153419592963E-3</v>
      </c>
      <c r="F3518" s="124">
        <v>3512</v>
      </c>
      <c r="G3518" s="238">
        <f t="shared" ca="1" si="110"/>
        <v>1.4929600532209656E-2</v>
      </c>
      <c r="I3518" s="156"/>
    </row>
    <row r="3519" spans="2:9" x14ac:dyDescent="0.2">
      <c r="B3519" s="230">
        <v>40813</v>
      </c>
      <c r="C3519" s="124">
        <v>128.25</v>
      </c>
      <c r="D3519" s="156">
        <f t="shared" si="111"/>
        <v>-1.8519935715925522E-2</v>
      </c>
      <c r="E3519" s="156">
        <v>-7.403020432336393E-3</v>
      </c>
      <c r="F3519" s="124">
        <v>3513</v>
      </c>
      <c r="G3519" s="238">
        <f t="shared" ca="1" si="110"/>
        <v>-2.6903659663512033E-2</v>
      </c>
      <c r="I3519" s="156"/>
    </row>
    <row r="3520" spans="2:9" x14ac:dyDescent="0.2">
      <c r="B3520" s="230">
        <v>40812</v>
      </c>
      <c r="C3520" s="124">
        <v>124.97</v>
      </c>
      <c r="D3520" s="156">
        <f t="shared" si="111"/>
        <v>-2.557504873294348E-2</v>
      </c>
      <c r="E3520" s="156">
        <v>-7.4127644187308309E-3</v>
      </c>
      <c r="F3520" s="124">
        <v>3514</v>
      </c>
      <c r="G3520" s="238">
        <f t="shared" ca="1" si="110"/>
        <v>-1.9307544775319863E-2</v>
      </c>
      <c r="I3520" s="156"/>
    </row>
    <row r="3521" spans="2:9" x14ac:dyDescent="0.2">
      <c r="B3521" s="230">
        <v>40809</v>
      </c>
      <c r="C3521" s="124">
        <v>127.06</v>
      </c>
      <c r="D3521" s="156">
        <f t="shared" si="111"/>
        <v>1.6724013763303219E-2</v>
      </c>
      <c r="E3521" s="156">
        <v>-7.4346112504478533E-3</v>
      </c>
      <c r="F3521" s="124">
        <v>3515</v>
      </c>
      <c r="G3521" s="238">
        <f t="shared" ca="1" si="110"/>
        <v>-9.3299744451548657E-3</v>
      </c>
      <c r="I3521" s="156"/>
    </row>
    <row r="3522" spans="2:9" x14ac:dyDescent="0.2">
      <c r="B3522" s="230">
        <v>40808</v>
      </c>
      <c r="C3522" s="124">
        <v>126.59</v>
      </c>
      <c r="D3522" s="156">
        <f t="shared" si="111"/>
        <v>-3.6990398237053269E-3</v>
      </c>
      <c r="E3522" s="156">
        <v>-7.4349442379183115E-3</v>
      </c>
      <c r="F3522" s="124">
        <v>3516</v>
      </c>
      <c r="G3522" s="238">
        <f t="shared" ca="1" si="110"/>
        <v>-1.1006084963926301E-2</v>
      </c>
      <c r="I3522" s="156"/>
    </row>
    <row r="3523" spans="2:9" x14ac:dyDescent="0.2">
      <c r="B3523" s="230">
        <v>40807</v>
      </c>
      <c r="C3523" s="124">
        <v>131</v>
      </c>
      <c r="D3523" s="156">
        <f t="shared" si="111"/>
        <v>3.4836874950627983E-2</v>
      </c>
      <c r="E3523" s="156">
        <v>-7.4528188484191994E-3</v>
      </c>
      <c r="F3523" s="124">
        <v>3517</v>
      </c>
      <c r="G3523" s="238">
        <f t="shared" ca="1" si="110"/>
        <v>-3.2049567438537499E-2</v>
      </c>
      <c r="I3523" s="156"/>
    </row>
    <row r="3524" spans="2:9" x14ac:dyDescent="0.2">
      <c r="B3524" s="230">
        <v>40806</v>
      </c>
      <c r="C3524" s="124">
        <v>131.6</v>
      </c>
      <c r="D3524" s="156">
        <f t="shared" si="111"/>
        <v>4.580152671755682E-3</v>
      </c>
      <c r="E3524" s="156">
        <v>-7.4746396155898412E-3</v>
      </c>
      <c r="F3524" s="124">
        <v>3518</v>
      </c>
      <c r="G3524" s="238">
        <f t="shared" ca="1" si="110"/>
        <v>1.148839875926852E-2</v>
      </c>
      <c r="I3524" s="156"/>
    </row>
    <row r="3525" spans="2:9" x14ac:dyDescent="0.2">
      <c r="B3525" s="230">
        <v>40805</v>
      </c>
      <c r="C3525" s="124">
        <v>129.51</v>
      </c>
      <c r="D3525" s="156">
        <f t="shared" si="111"/>
        <v>-1.5881458966565377E-2</v>
      </c>
      <c r="E3525" s="156">
        <v>-7.4809512814592678E-3</v>
      </c>
      <c r="F3525" s="124">
        <v>3519</v>
      </c>
      <c r="G3525" s="238">
        <f t="shared" ca="1" si="110"/>
        <v>1.6945608384668865E-3</v>
      </c>
      <c r="I3525" s="156"/>
    </row>
    <row r="3526" spans="2:9" x14ac:dyDescent="0.2">
      <c r="B3526" s="230">
        <v>40802</v>
      </c>
      <c r="C3526" s="124">
        <v>131.22999999999999</v>
      </c>
      <c r="D3526" s="156">
        <f t="shared" si="111"/>
        <v>1.3280827735310008E-2</v>
      </c>
      <c r="E3526" s="156">
        <v>-7.4915044794562789E-3</v>
      </c>
      <c r="F3526" s="124">
        <v>3520</v>
      </c>
      <c r="G3526" s="238">
        <f t="shared" ca="1" si="110"/>
        <v>2.4486502740849962E-2</v>
      </c>
      <c r="I3526" s="156"/>
    </row>
    <row r="3527" spans="2:9" x14ac:dyDescent="0.2">
      <c r="B3527" s="230">
        <v>40801</v>
      </c>
      <c r="C3527" s="124">
        <v>132.19</v>
      </c>
      <c r="D3527" s="156">
        <f t="shared" si="111"/>
        <v>7.3154004419721712E-3</v>
      </c>
      <c r="E3527" s="156">
        <v>-7.4922493971753745E-3</v>
      </c>
      <c r="F3527" s="124">
        <v>3521</v>
      </c>
      <c r="G3527" s="238">
        <f t="shared" ref="G3527:G3590" ca="1" si="112">_xlfn.NORM.INV(RAND(),$L$8,$L$9)</f>
        <v>9.253261062931558E-3</v>
      </c>
      <c r="I3527" s="156"/>
    </row>
    <row r="3528" spans="2:9" x14ac:dyDescent="0.2">
      <c r="B3528" s="230">
        <v>40800</v>
      </c>
      <c r="C3528" s="124">
        <v>132.22999999999999</v>
      </c>
      <c r="D3528" s="156">
        <f t="shared" si="111"/>
        <v>3.0259474998102764E-4</v>
      </c>
      <c r="E3528" s="156">
        <v>-7.5038043763446865E-3</v>
      </c>
      <c r="F3528" s="124">
        <v>3522</v>
      </c>
      <c r="G3528" s="238">
        <f t="shared" ca="1" si="112"/>
        <v>3.5299092123718626E-3</v>
      </c>
      <c r="I3528" s="156"/>
    </row>
    <row r="3529" spans="2:9" x14ac:dyDescent="0.2">
      <c r="B3529" s="230">
        <v>40799</v>
      </c>
      <c r="C3529" s="124">
        <v>130.63999999999999</v>
      </c>
      <c r="D3529" s="156">
        <f t="shared" si="111"/>
        <v>-1.2024502760341855E-2</v>
      </c>
      <c r="E3529" s="156">
        <v>-7.5459317585302209E-3</v>
      </c>
      <c r="F3529" s="124">
        <v>3523</v>
      </c>
      <c r="G3529" s="238">
        <f t="shared" ca="1" si="112"/>
        <v>1.4849923577584495E-3</v>
      </c>
      <c r="I3529" s="156"/>
    </row>
    <row r="3530" spans="2:9" x14ac:dyDescent="0.2">
      <c r="B3530" s="230">
        <v>40798</v>
      </c>
      <c r="C3530" s="124">
        <v>130.07</v>
      </c>
      <c r="D3530" s="156">
        <f t="shared" si="111"/>
        <v>-4.3631353337415281E-3</v>
      </c>
      <c r="E3530" s="156">
        <v>-7.5471698113207773E-3</v>
      </c>
      <c r="F3530" s="124">
        <v>3524</v>
      </c>
      <c r="G3530" s="238">
        <f t="shared" ca="1" si="112"/>
        <v>9.4877522077928805E-3</v>
      </c>
      <c r="I3530" s="156"/>
    </row>
    <row r="3531" spans="2:9" x14ac:dyDescent="0.2">
      <c r="B3531" s="230">
        <v>40795</v>
      </c>
      <c r="C3531" s="124">
        <v>131.03</v>
      </c>
      <c r="D3531" s="156">
        <f t="shared" si="111"/>
        <v>7.3806411932037215E-3</v>
      </c>
      <c r="E3531" s="156">
        <v>-7.5489881143592117E-3</v>
      </c>
      <c r="F3531" s="124">
        <v>3525</v>
      </c>
      <c r="G3531" s="238">
        <f t="shared" ca="1" si="112"/>
        <v>-2.086429172148686E-2</v>
      </c>
      <c r="I3531" s="156"/>
    </row>
    <row r="3532" spans="2:9" x14ac:dyDescent="0.2">
      <c r="B3532" s="230">
        <v>40794</v>
      </c>
      <c r="C3532" s="124">
        <v>132.03</v>
      </c>
      <c r="D3532" s="156">
        <f t="shared" si="111"/>
        <v>7.6318400366328322E-3</v>
      </c>
      <c r="E3532" s="156">
        <v>-7.5598300156564423E-3</v>
      </c>
      <c r="F3532" s="124">
        <v>3526</v>
      </c>
      <c r="G3532" s="238">
        <f t="shared" ca="1" si="112"/>
        <v>-9.179169156793602E-4</v>
      </c>
      <c r="I3532" s="156"/>
    </row>
    <row r="3533" spans="2:9" x14ac:dyDescent="0.2">
      <c r="B3533" s="230">
        <v>40793</v>
      </c>
      <c r="C3533" s="124">
        <v>132.62</v>
      </c>
      <c r="D3533" s="156">
        <f t="shared" si="111"/>
        <v>4.4686813602969281E-3</v>
      </c>
      <c r="E3533" s="156">
        <v>-7.5640969259861864E-3</v>
      </c>
      <c r="F3533" s="124">
        <v>3527</v>
      </c>
      <c r="G3533" s="238">
        <f t="shared" ca="1" si="112"/>
        <v>-1.5963099029245947E-3</v>
      </c>
      <c r="I3533" s="156"/>
    </row>
    <row r="3534" spans="2:9" x14ac:dyDescent="0.2">
      <c r="B3534" s="230">
        <v>40792</v>
      </c>
      <c r="C3534" s="124">
        <v>134.44999999999999</v>
      </c>
      <c r="D3534" s="156">
        <f t="shared" si="111"/>
        <v>1.3798823706831428E-2</v>
      </c>
      <c r="E3534" s="156">
        <v>-7.5757575757574528E-3</v>
      </c>
      <c r="F3534" s="124">
        <v>3528</v>
      </c>
      <c r="G3534" s="238">
        <f t="shared" ca="1" si="112"/>
        <v>1.3851536614453442E-2</v>
      </c>
      <c r="I3534" s="156"/>
    </row>
    <row r="3535" spans="2:9" x14ac:dyDescent="0.2">
      <c r="B3535" s="230">
        <v>40791</v>
      </c>
      <c r="C3535" s="124">
        <v>134.41</v>
      </c>
      <c r="D3535" s="156">
        <f t="shared" si="111"/>
        <v>-2.9750836742277459E-4</v>
      </c>
      <c r="E3535" s="156">
        <v>-7.5872534142640358E-3</v>
      </c>
      <c r="F3535" s="124">
        <v>3529</v>
      </c>
      <c r="G3535" s="238">
        <f t="shared" ca="1" si="112"/>
        <v>-7.8616035387545947E-4</v>
      </c>
      <c r="I3535" s="156"/>
    </row>
    <row r="3536" spans="2:9" x14ac:dyDescent="0.2">
      <c r="B3536" s="230">
        <v>40788</v>
      </c>
      <c r="C3536" s="124">
        <v>134.75</v>
      </c>
      <c r="D3536" s="156">
        <f t="shared" si="111"/>
        <v>2.5295736924336241E-3</v>
      </c>
      <c r="E3536" s="156">
        <v>-7.5884121605498183E-3</v>
      </c>
      <c r="F3536" s="124">
        <v>3530</v>
      </c>
      <c r="G3536" s="238">
        <f t="shared" ca="1" si="112"/>
        <v>-1.1067226385811011E-3</v>
      </c>
      <c r="I3536" s="156"/>
    </row>
    <row r="3537" spans="2:9" x14ac:dyDescent="0.2">
      <c r="B3537" s="230">
        <v>40785</v>
      </c>
      <c r="C3537" s="124">
        <v>132.59</v>
      </c>
      <c r="D3537" s="156">
        <f t="shared" si="111"/>
        <v>-1.6029684601113148E-2</v>
      </c>
      <c r="E3537" s="156">
        <v>-7.5946135681919571E-3</v>
      </c>
      <c r="F3537" s="124">
        <v>3531</v>
      </c>
      <c r="G3537" s="238">
        <f t="shared" ca="1" si="112"/>
        <v>1.0579719014501684E-2</v>
      </c>
      <c r="I3537" s="156"/>
    </row>
    <row r="3538" spans="2:9" x14ac:dyDescent="0.2">
      <c r="B3538" s="230">
        <v>40784</v>
      </c>
      <c r="C3538" s="124">
        <v>133.88</v>
      </c>
      <c r="D3538" s="156">
        <f t="shared" si="111"/>
        <v>9.729240515875948E-3</v>
      </c>
      <c r="E3538" s="156">
        <v>-7.6001005895665443E-3</v>
      </c>
      <c r="F3538" s="124">
        <v>3532</v>
      </c>
      <c r="G3538" s="238">
        <f t="shared" ca="1" si="112"/>
        <v>-3.6636028224818181E-3</v>
      </c>
      <c r="I3538" s="156"/>
    </row>
    <row r="3539" spans="2:9" x14ac:dyDescent="0.2">
      <c r="B3539" s="230">
        <v>40781</v>
      </c>
      <c r="C3539" s="124">
        <v>130.5</v>
      </c>
      <c r="D3539" s="156">
        <f t="shared" si="111"/>
        <v>-2.5246489393486671E-2</v>
      </c>
      <c r="E3539" s="156">
        <v>-7.6026355803344445E-3</v>
      </c>
      <c r="F3539" s="124">
        <v>3533</v>
      </c>
      <c r="G3539" s="238">
        <f t="shared" ca="1" si="112"/>
        <v>3.2185944518635094E-2</v>
      </c>
      <c r="I3539" s="156"/>
    </row>
    <row r="3540" spans="2:9" x14ac:dyDescent="0.2">
      <c r="B3540" s="230">
        <v>40780</v>
      </c>
      <c r="C3540" s="124">
        <v>134.15</v>
      </c>
      <c r="D3540" s="156">
        <f t="shared" si="111"/>
        <v>2.7969348659003874E-2</v>
      </c>
      <c r="E3540" s="156">
        <v>-7.6029108287171574E-3</v>
      </c>
      <c r="F3540" s="124">
        <v>3534</v>
      </c>
      <c r="G3540" s="238">
        <f t="shared" ca="1" si="112"/>
        <v>2.496984114554537E-2</v>
      </c>
      <c r="I3540" s="156"/>
    </row>
    <row r="3541" spans="2:9" x14ac:dyDescent="0.2">
      <c r="B3541" s="230">
        <v>40779</v>
      </c>
      <c r="C3541" s="124">
        <v>133.88</v>
      </c>
      <c r="D3541" s="156">
        <f t="shared" si="111"/>
        <v>-2.0126723816623945E-3</v>
      </c>
      <c r="E3541" s="156">
        <v>-7.6173151806270267E-3</v>
      </c>
      <c r="F3541" s="124">
        <v>3535</v>
      </c>
      <c r="G3541" s="238">
        <f t="shared" ca="1" si="112"/>
        <v>-4.275718294083505E-4</v>
      </c>
      <c r="I3541" s="156"/>
    </row>
    <row r="3542" spans="2:9" x14ac:dyDescent="0.2">
      <c r="B3542" s="230">
        <v>40778</v>
      </c>
      <c r="C3542" s="124">
        <v>134.71</v>
      </c>
      <c r="D3542" s="156">
        <f t="shared" si="111"/>
        <v>6.1995817149687223E-3</v>
      </c>
      <c r="E3542" s="156">
        <v>-7.6212809614539167E-3</v>
      </c>
      <c r="F3542" s="124">
        <v>3536</v>
      </c>
      <c r="G3542" s="238">
        <f t="shared" ca="1" si="112"/>
        <v>5.3915889525427956E-3</v>
      </c>
      <c r="I3542" s="156"/>
    </row>
    <row r="3543" spans="2:9" x14ac:dyDescent="0.2">
      <c r="B3543" s="230">
        <v>40777</v>
      </c>
      <c r="C3543" s="124">
        <v>133.91999999999999</v>
      </c>
      <c r="D3543" s="156">
        <f t="shared" si="111"/>
        <v>-5.8644495583105964E-3</v>
      </c>
      <c r="E3543" s="156">
        <v>-7.6330363592584053E-3</v>
      </c>
      <c r="F3543" s="124">
        <v>3537</v>
      </c>
      <c r="G3543" s="238">
        <f t="shared" ca="1" si="112"/>
        <v>-2.9994482517481848E-3</v>
      </c>
      <c r="I3543" s="156"/>
    </row>
    <row r="3544" spans="2:9" x14ac:dyDescent="0.2">
      <c r="B3544" s="230">
        <v>40774</v>
      </c>
      <c r="C3544" s="124">
        <v>132.06</v>
      </c>
      <c r="D3544" s="156">
        <f t="shared" si="111"/>
        <v>-1.3888888888888781E-2</v>
      </c>
      <c r="E3544" s="156">
        <v>-7.6384468491406026E-3</v>
      </c>
      <c r="F3544" s="124">
        <v>3538</v>
      </c>
      <c r="G3544" s="238">
        <f t="shared" ca="1" si="112"/>
        <v>-1.856652417345685E-3</v>
      </c>
      <c r="I3544" s="156"/>
    </row>
    <row r="3545" spans="2:9" x14ac:dyDescent="0.2">
      <c r="B3545" s="230">
        <v>40773</v>
      </c>
      <c r="C3545" s="124">
        <v>135.13999999999999</v>
      </c>
      <c r="D3545" s="156">
        <f t="shared" si="111"/>
        <v>2.3322732091473453E-2</v>
      </c>
      <c r="E3545" s="156">
        <v>-7.6484895033283509E-3</v>
      </c>
      <c r="F3545" s="124">
        <v>3539</v>
      </c>
      <c r="G3545" s="238">
        <f t="shared" ca="1" si="112"/>
        <v>-1.7721897588973187E-2</v>
      </c>
      <c r="I3545" s="156"/>
    </row>
    <row r="3546" spans="2:9" x14ac:dyDescent="0.2">
      <c r="B3546" s="230">
        <v>40772</v>
      </c>
      <c r="C3546" s="124">
        <v>135.41</v>
      </c>
      <c r="D3546" s="156">
        <f t="shared" si="111"/>
        <v>1.9979280745893906E-3</v>
      </c>
      <c r="E3546" s="156">
        <v>-7.6489533011272655E-3</v>
      </c>
      <c r="F3546" s="124">
        <v>3540</v>
      </c>
      <c r="G3546" s="238">
        <f t="shared" ca="1" si="112"/>
        <v>1.0583083531186664E-2</v>
      </c>
      <c r="I3546" s="156"/>
    </row>
    <row r="3547" spans="2:9" x14ac:dyDescent="0.2">
      <c r="B3547" s="230">
        <v>40771</v>
      </c>
      <c r="C3547" s="124">
        <v>132.91999999999999</v>
      </c>
      <c r="D3547" s="156">
        <f t="shared" si="111"/>
        <v>-1.838859759249693E-2</v>
      </c>
      <c r="E3547" s="156">
        <v>-7.6521089958939267E-3</v>
      </c>
      <c r="F3547" s="124">
        <v>3541</v>
      </c>
      <c r="G3547" s="238">
        <f t="shared" ca="1" si="112"/>
        <v>1.0193788597412079E-2</v>
      </c>
      <c r="I3547" s="156"/>
    </row>
    <row r="3548" spans="2:9" x14ac:dyDescent="0.2">
      <c r="B3548" s="230">
        <v>40767</v>
      </c>
      <c r="C3548" s="124">
        <v>131.27000000000001</v>
      </c>
      <c r="D3548" s="156">
        <f t="shared" si="111"/>
        <v>-1.2413481793559866E-2</v>
      </c>
      <c r="E3548" s="156">
        <v>-7.6523140011717627E-3</v>
      </c>
      <c r="F3548" s="124">
        <v>3542</v>
      </c>
      <c r="G3548" s="238">
        <f t="shared" ca="1" si="112"/>
        <v>-2.3578135098476807E-2</v>
      </c>
      <c r="I3548" s="156"/>
    </row>
    <row r="3549" spans="2:9" x14ac:dyDescent="0.2">
      <c r="B3549" s="230">
        <v>40766</v>
      </c>
      <c r="C3549" s="124">
        <v>131.76</v>
      </c>
      <c r="D3549" s="156">
        <f t="shared" si="111"/>
        <v>3.7327645311189201E-3</v>
      </c>
      <c r="E3549" s="156">
        <v>-7.6621828707645161E-3</v>
      </c>
      <c r="F3549" s="124">
        <v>3543</v>
      </c>
      <c r="G3549" s="238">
        <f t="shared" ca="1" si="112"/>
        <v>1.9972044045134536E-2</v>
      </c>
      <c r="I3549" s="156"/>
    </row>
    <row r="3550" spans="2:9" x14ac:dyDescent="0.2">
      <c r="B3550" s="230">
        <v>40765</v>
      </c>
      <c r="C3550" s="124">
        <v>130.66999999999999</v>
      </c>
      <c r="D3550" s="156">
        <f t="shared" si="111"/>
        <v>-8.272616879174282E-3</v>
      </c>
      <c r="E3550" s="156">
        <v>-7.6759456210117299E-3</v>
      </c>
      <c r="F3550" s="124">
        <v>3544</v>
      </c>
      <c r="G3550" s="238">
        <f t="shared" ca="1" si="112"/>
        <v>-2.5268145647984127E-2</v>
      </c>
      <c r="I3550" s="156"/>
    </row>
    <row r="3551" spans="2:9" x14ac:dyDescent="0.2">
      <c r="B3551" s="230">
        <v>40764</v>
      </c>
      <c r="C3551" s="124">
        <v>132.43</v>
      </c>
      <c r="D3551" s="156">
        <f t="shared" si="111"/>
        <v>1.3469044157036959E-2</v>
      </c>
      <c r="E3551" s="156">
        <v>-7.6821566594400762E-3</v>
      </c>
      <c r="F3551" s="124">
        <v>3545</v>
      </c>
      <c r="G3551" s="238">
        <f t="shared" ca="1" si="112"/>
        <v>6.5715036442801321E-3</v>
      </c>
      <c r="I3551" s="156"/>
    </row>
    <row r="3552" spans="2:9" x14ac:dyDescent="0.2">
      <c r="B3552" s="230">
        <v>40763</v>
      </c>
      <c r="C3552" s="124">
        <v>129.28</v>
      </c>
      <c r="D3552" s="156">
        <f t="shared" si="111"/>
        <v>-2.3786151174205281E-2</v>
      </c>
      <c r="E3552" s="156">
        <v>-7.684680218145677E-3</v>
      </c>
      <c r="F3552" s="124">
        <v>3546</v>
      </c>
      <c r="G3552" s="238">
        <f t="shared" ca="1" si="112"/>
        <v>-1.9633435875389651E-2</v>
      </c>
      <c r="I3552" s="156"/>
    </row>
    <row r="3553" spans="2:9" x14ac:dyDescent="0.2">
      <c r="B3553" s="230">
        <v>40760</v>
      </c>
      <c r="C3553" s="124">
        <v>130.19999999999999</v>
      </c>
      <c r="D3553" s="156">
        <f t="shared" si="111"/>
        <v>7.1163366336632694E-3</v>
      </c>
      <c r="E3553" s="156">
        <v>-7.7038210952632509E-3</v>
      </c>
      <c r="F3553" s="124">
        <v>3547</v>
      </c>
      <c r="G3553" s="238">
        <f t="shared" ca="1" si="112"/>
        <v>-2.5746266680643187E-3</v>
      </c>
      <c r="I3553" s="156"/>
    </row>
    <row r="3554" spans="2:9" x14ac:dyDescent="0.2">
      <c r="B3554" s="230">
        <v>40759</v>
      </c>
      <c r="C3554" s="124">
        <v>132.56</v>
      </c>
      <c r="D3554" s="156">
        <f t="shared" si="111"/>
        <v>1.8125960061444037E-2</v>
      </c>
      <c r="E3554" s="156">
        <v>-7.7109093397818946E-3</v>
      </c>
      <c r="F3554" s="124">
        <v>3548</v>
      </c>
      <c r="G3554" s="238">
        <f t="shared" ca="1" si="112"/>
        <v>-5.1647799527128981E-2</v>
      </c>
      <c r="I3554" s="156"/>
    </row>
    <row r="3555" spans="2:9" x14ac:dyDescent="0.2">
      <c r="B3555" s="230">
        <v>40758</v>
      </c>
      <c r="C3555" s="124">
        <v>137.13</v>
      </c>
      <c r="D3555" s="156">
        <f t="shared" si="111"/>
        <v>3.4474954737477317E-2</v>
      </c>
      <c r="E3555" s="156">
        <v>-7.7282530553557773E-3</v>
      </c>
      <c r="F3555" s="124">
        <v>3549</v>
      </c>
      <c r="G3555" s="238">
        <f t="shared" ca="1" si="112"/>
        <v>8.6464511107126104E-3</v>
      </c>
      <c r="I3555" s="156"/>
    </row>
    <row r="3556" spans="2:9" x14ac:dyDescent="0.2">
      <c r="B3556" s="230">
        <v>40757</v>
      </c>
      <c r="C3556" s="124">
        <v>135.74</v>
      </c>
      <c r="D3556" s="156">
        <f t="shared" si="111"/>
        <v>-1.013636695106823E-2</v>
      </c>
      <c r="E3556" s="156">
        <v>-7.7404590428753871E-3</v>
      </c>
      <c r="F3556" s="124">
        <v>3550</v>
      </c>
      <c r="G3556" s="238">
        <f t="shared" ca="1" si="112"/>
        <v>-2.8758410708556031E-3</v>
      </c>
      <c r="I3556" s="156"/>
    </row>
    <row r="3557" spans="2:9" x14ac:dyDescent="0.2">
      <c r="B3557" s="230">
        <v>40756</v>
      </c>
      <c r="C3557" s="124">
        <v>138.49</v>
      </c>
      <c r="D3557" s="156">
        <f t="shared" si="111"/>
        <v>2.0259319286871958E-2</v>
      </c>
      <c r="E3557" s="156">
        <v>-7.7466001032880016E-3</v>
      </c>
      <c r="F3557" s="124">
        <v>3551</v>
      </c>
      <c r="G3557" s="238">
        <f t="shared" ca="1" si="112"/>
        <v>-1.4392463931757202E-2</v>
      </c>
      <c r="I3557" s="156"/>
    </row>
    <row r="3558" spans="2:9" x14ac:dyDescent="0.2">
      <c r="B3558" s="230">
        <v>40753</v>
      </c>
      <c r="C3558" s="124">
        <v>138.13</v>
      </c>
      <c r="D3558" s="156">
        <f t="shared" si="111"/>
        <v>-2.5994656653911012E-3</v>
      </c>
      <c r="E3558" s="156">
        <v>-7.7489345215032927E-3</v>
      </c>
      <c r="F3558" s="124">
        <v>3552</v>
      </c>
      <c r="G3558" s="238">
        <f t="shared" ca="1" si="112"/>
        <v>4.1532720999184654E-2</v>
      </c>
      <c r="I3558" s="156"/>
    </row>
    <row r="3559" spans="2:9" x14ac:dyDescent="0.2">
      <c r="B3559" s="230">
        <v>40752</v>
      </c>
      <c r="C3559" s="124">
        <v>136.72999999999999</v>
      </c>
      <c r="D3559" s="156">
        <f t="shared" si="111"/>
        <v>-1.0135379714761498E-2</v>
      </c>
      <c r="E3559" s="156">
        <v>-7.7519379844960389E-3</v>
      </c>
      <c r="F3559" s="124">
        <v>3553</v>
      </c>
      <c r="G3559" s="238">
        <f t="shared" ca="1" si="112"/>
        <v>-2.3751127669105103E-3</v>
      </c>
      <c r="I3559" s="156"/>
    </row>
    <row r="3560" spans="2:9" x14ac:dyDescent="0.2">
      <c r="B3560" s="230">
        <v>40751</v>
      </c>
      <c r="C3560" s="124">
        <v>133.19</v>
      </c>
      <c r="D3560" s="156">
        <f t="shared" si="111"/>
        <v>-2.5890441015139268E-2</v>
      </c>
      <c r="E3560" s="156">
        <v>-7.7684691546078457E-3</v>
      </c>
      <c r="F3560" s="124">
        <v>3554</v>
      </c>
      <c r="G3560" s="238">
        <f t="shared" ca="1" si="112"/>
        <v>1.8928980300617508E-2</v>
      </c>
      <c r="I3560" s="156"/>
    </row>
    <row r="3561" spans="2:9" x14ac:dyDescent="0.2">
      <c r="B3561" s="230">
        <v>40750</v>
      </c>
      <c r="C3561" s="124">
        <v>133.19</v>
      </c>
      <c r="D3561" s="156">
        <f t="shared" si="111"/>
        <v>0</v>
      </c>
      <c r="E3561" s="156">
        <v>-7.7690952617552687E-3</v>
      </c>
      <c r="F3561" s="124">
        <v>3555</v>
      </c>
      <c r="G3561" s="238">
        <f t="shared" ca="1" si="112"/>
        <v>-3.9450500085768374E-3</v>
      </c>
      <c r="I3561" s="156"/>
    </row>
    <row r="3562" spans="2:9" x14ac:dyDescent="0.2">
      <c r="B3562" s="230">
        <v>40749</v>
      </c>
      <c r="C3562" s="124">
        <v>136.16999999999999</v>
      </c>
      <c r="D3562" s="156">
        <f t="shared" si="111"/>
        <v>2.2374052106013887E-2</v>
      </c>
      <c r="E3562" s="156">
        <v>-7.7861952861953817E-3</v>
      </c>
      <c r="F3562" s="124">
        <v>3556</v>
      </c>
      <c r="G3562" s="238">
        <f t="shared" ca="1" si="112"/>
        <v>-5.3166463195583992E-3</v>
      </c>
      <c r="I3562" s="156"/>
    </row>
    <row r="3563" spans="2:9" x14ac:dyDescent="0.2">
      <c r="B3563" s="230">
        <v>40746</v>
      </c>
      <c r="C3563" s="124">
        <v>137.5</v>
      </c>
      <c r="D3563" s="156">
        <f t="shared" si="111"/>
        <v>9.7672027612544076E-3</v>
      </c>
      <c r="E3563" s="156">
        <v>-7.7987911873660075E-3</v>
      </c>
      <c r="F3563" s="124">
        <v>3557</v>
      </c>
      <c r="G3563" s="238">
        <f t="shared" ca="1" si="112"/>
        <v>1.5469324067747035E-3</v>
      </c>
      <c r="I3563" s="156"/>
    </row>
    <row r="3564" spans="2:9" x14ac:dyDescent="0.2">
      <c r="B3564" s="230">
        <v>40745</v>
      </c>
      <c r="C3564" s="124">
        <v>137.30000000000001</v>
      </c>
      <c r="D3564" s="156">
        <f t="shared" si="111"/>
        <v>-1.4545454545453718E-3</v>
      </c>
      <c r="E3564" s="156">
        <v>-7.8215751568186404E-3</v>
      </c>
      <c r="F3564" s="124">
        <v>3558</v>
      </c>
      <c r="G3564" s="238">
        <f t="shared" ca="1" si="112"/>
        <v>2.3525763131576897E-2</v>
      </c>
      <c r="I3564" s="156"/>
    </row>
    <row r="3565" spans="2:9" x14ac:dyDescent="0.2">
      <c r="B3565" s="230">
        <v>40744</v>
      </c>
      <c r="C3565" s="124">
        <v>136.4</v>
      </c>
      <c r="D3565" s="156">
        <f t="shared" si="111"/>
        <v>-6.5549890750182492E-3</v>
      </c>
      <c r="E3565" s="156">
        <v>-7.8333630051630604E-3</v>
      </c>
      <c r="F3565" s="124">
        <v>3559</v>
      </c>
      <c r="G3565" s="238">
        <f t="shared" ca="1" si="112"/>
        <v>-1.2911089099630724E-3</v>
      </c>
      <c r="I3565" s="156"/>
    </row>
    <row r="3566" spans="2:9" x14ac:dyDescent="0.2">
      <c r="B3566" s="230">
        <v>40743</v>
      </c>
      <c r="C3566" s="124">
        <v>135.31</v>
      </c>
      <c r="D3566" s="156">
        <f t="shared" si="111"/>
        <v>-7.9912023460410805E-3</v>
      </c>
      <c r="E3566" s="156">
        <v>-7.8361630588823557E-3</v>
      </c>
      <c r="F3566" s="124">
        <v>3560</v>
      </c>
      <c r="G3566" s="238">
        <f t="shared" ca="1" si="112"/>
        <v>2.334101758922953E-3</v>
      </c>
      <c r="I3566" s="156"/>
    </row>
    <row r="3567" spans="2:9" x14ac:dyDescent="0.2">
      <c r="B3567" s="230">
        <v>40742</v>
      </c>
      <c r="C3567" s="124">
        <v>133.69</v>
      </c>
      <c r="D3567" s="156">
        <f t="shared" si="111"/>
        <v>-1.1972507575197728E-2</v>
      </c>
      <c r="E3567" s="156">
        <v>-7.8372920473122193E-3</v>
      </c>
      <c r="F3567" s="124">
        <v>3561</v>
      </c>
      <c r="G3567" s="238">
        <f t="shared" ca="1" si="112"/>
        <v>-1.6026385058067305E-2</v>
      </c>
      <c r="I3567" s="156"/>
    </row>
    <row r="3568" spans="2:9" x14ac:dyDescent="0.2">
      <c r="B3568" s="230">
        <v>40739</v>
      </c>
      <c r="C3568" s="124">
        <v>133.75</v>
      </c>
      <c r="D3568" s="156">
        <f t="shared" si="111"/>
        <v>4.4879946144066329E-4</v>
      </c>
      <c r="E3568" s="156">
        <v>-7.8433090877223378E-3</v>
      </c>
      <c r="F3568" s="124">
        <v>3562</v>
      </c>
      <c r="G3568" s="238">
        <f t="shared" ca="1" si="112"/>
        <v>4.7311531369132586E-3</v>
      </c>
      <c r="I3568" s="156"/>
    </row>
    <row r="3569" spans="2:9" x14ac:dyDescent="0.2">
      <c r="B3569" s="230">
        <v>40738</v>
      </c>
      <c r="C3569" s="124">
        <v>134.58000000000001</v>
      </c>
      <c r="D3569" s="156">
        <f t="shared" si="111"/>
        <v>6.2056074766356079E-3</v>
      </c>
      <c r="E3569" s="156">
        <v>-7.8543377365228317E-3</v>
      </c>
      <c r="F3569" s="124">
        <v>3563</v>
      </c>
      <c r="G3569" s="238">
        <f t="shared" ca="1" si="112"/>
        <v>1.4125491957654113E-2</v>
      </c>
      <c r="I3569" s="156"/>
    </row>
    <row r="3570" spans="2:9" x14ac:dyDescent="0.2">
      <c r="B3570" s="230">
        <v>40737</v>
      </c>
      <c r="C3570" s="124">
        <v>135.24</v>
      </c>
      <c r="D3570" s="156">
        <f t="shared" si="111"/>
        <v>4.9041462327240049E-3</v>
      </c>
      <c r="E3570" s="156">
        <v>-7.8673923800099133E-3</v>
      </c>
      <c r="F3570" s="124">
        <v>3564</v>
      </c>
      <c r="G3570" s="238">
        <f t="shared" ca="1" si="112"/>
        <v>-5.6284592298770485E-3</v>
      </c>
      <c r="I3570" s="156"/>
    </row>
    <row r="3571" spans="2:9" x14ac:dyDescent="0.2">
      <c r="B3571" s="230">
        <v>40736</v>
      </c>
      <c r="C3571" s="124">
        <v>133.69</v>
      </c>
      <c r="D3571" s="156">
        <f t="shared" si="111"/>
        <v>-1.146110618160316E-2</v>
      </c>
      <c r="E3571" s="156">
        <v>-7.8710168846007934E-3</v>
      </c>
      <c r="F3571" s="124">
        <v>3565</v>
      </c>
      <c r="G3571" s="238">
        <f t="shared" ca="1" si="112"/>
        <v>-2.1185466837784768E-3</v>
      </c>
      <c r="I3571" s="156"/>
    </row>
    <row r="3572" spans="2:9" x14ac:dyDescent="0.2">
      <c r="B3572" s="230">
        <v>40735</v>
      </c>
      <c r="C3572" s="124">
        <v>134.31</v>
      </c>
      <c r="D3572" s="156">
        <f t="shared" si="111"/>
        <v>4.6375944348867118E-3</v>
      </c>
      <c r="E3572" s="156">
        <v>-7.8710644677662013E-3</v>
      </c>
      <c r="F3572" s="124">
        <v>3566</v>
      </c>
      <c r="G3572" s="238">
        <f t="shared" ca="1" si="112"/>
        <v>7.6694102165631708E-3</v>
      </c>
      <c r="I3572" s="156"/>
    </row>
    <row r="3573" spans="2:9" x14ac:dyDescent="0.2">
      <c r="B3573" s="230">
        <v>40732</v>
      </c>
      <c r="C3573" s="124">
        <v>132.96</v>
      </c>
      <c r="D3573" s="156">
        <f t="shared" si="111"/>
        <v>-1.0051373687737281E-2</v>
      </c>
      <c r="E3573" s="156">
        <v>-7.8740157480315653E-3</v>
      </c>
      <c r="F3573" s="124">
        <v>3567</v>
      </c>
      <c r="G3573" s="238">
        <f t="shared" ca="1" si="112"/>
        <v>2.3039105029069768E-2</v>
      </c>
      <c r="I3573" s="156"/>
    </row>
    <row r="3574" spans="2:9" x14ac:dyDescent="0.2">
      <c r="B3574" s="230">
        <v>40731</v>
      </c>
      <c r="C3574" s="124">
        <v>134.85</v>
      </c>
      <c r="D3574" s="156">
        <f t="shared" si="111"/>
        <v>1.4214801444043218E-2</v>
      </c>
      <c r="E3574" s="156">
        <v>-7.8869536641471717E-3</v>
      </c>
      <c r="F3574" s="124">
        <v>3568</v>
      </c>
      <c r="G3574" s="238">
        <f t="shared" ca="1" si="112"/>
        <v>-4.9544526781300273E-2</v>
      </c>
      <c r="I3574" s="156"/>
    </row>
    <row r="3575" spans="2:9" x14ac:dyDescent="0.2">
      <c r="B3575" s="230">
        <v>40730</v>
      </c>
      <c r="C3575" s="124">
        <v>130.4</v>
      </c>
      <c r="D3575" s="156">
        <f t="shared" si="111"/>
        <v>-3.2999629217649158E-2</v>
      </c>
      <c r="E3575" s="156">
        <v>-7.8883298165882375E-3</v>
      </c>
      <c r="F3575" s="124">
        <v>3569</v>
      </c>
      <c r="G3575" s="238">
        <f t="shared" ca="1" si="112"/>
        <v>-1.4820434049423832E-2</v>
      </c>
      <c r="I3575" s="156"/>
    </row>
    <row r="3576" spans="2:9" x14ac:dyDescent="0.2">
      <c r="B3576" s="230">
        <v>40729</v>
      </c>
      <c r="C3576" s="124">
        <v>129.71</v>
      </c>
      <c r="D3576" s="156">
        <f t="shared" si="111"/>
        <v>-5.2914110429447677E-3</v>
      </c>
      <c r="E3576" s="156">
        <v>-7.8923966207202507E-3</v>
      </c>
      <c r="F3576" s="124">
        <v>3570</v>
      </c>
      <c r="G3576" s="238">
        <f t="shared" ca="1" si="112"/>
        <v>9.3890696194245289E-3</v>
      </c>
      <c r="I3576" s="156"/>
    </row>
    <row r="3577" spans="2:9" x14ac:dyDescent="0.2">
      <c r="B3577" s="230">
        <v>40728</v>
      </c>
      <c r="C3577" s="124">
        <v>131.76</v>
      </c>
      <c r="D3577" s="156">
        <f t="shared" si="111"/>
        <v>1.58044869323875E-2</v>
      </c>
      <c r="E3577" s="156">
        <v>-7.8945513498273386E-3</v>
      </c>
      <c r="F3577" s="124">
        <v>3571</v>
      </c>
      <c r="G3577" s="238">
        <f t="shared" ca="1" si="112"/>
        <v>5.2318567987767479E-4</v>
      </c>
      <c r="I3577" s="156"/>
    </row>
    <row r="3578" spans="2:9" x14ac:dyDescent="0.2">
      <c r="B3578" s="230">
        <v>40725</v>
      </c>
      <c r="C3578" s="124">
        <v>133.62</v>
      </c>
      <c r="D3578" s="156">
        <f t="shared" si="111"/>
        <v>1.4116575591985533E-2</v>
      </c>
      <c r="E3578" s="156">
        <v>-7.9101811686653895E-3</v>
      </c>
      <c r="F3578" s="124">
        <v>3572</v>
      </c>
      <c r="G3578" s="238">
        <f t="shared" ca="1" si="112"/>
        <v>1.8201266705204309E-2</v>
      </c>
      <c r="I3578" s="156"/>
    </row>
    <row r="3579" spans="2:9" x14ac:dyDescent="0.2">
      <c r="B3579" s="230">
        <v>40724</v>
      </c>
      <c r="C3579" s="124">
        <v>134.55000000000001</v>
      </c>
      <c r="D3579" s="156">
        <f t="shared" si="111"/>
        <v>6.9600359227661038E-3</v>
      </c>
      <c r="E3579" s="156">
        <v>-7.9113924050632899E-3</v>
      </c>
      <c r="F3579" s="124">
        <v>3573</v>
      </c>
      <c r="G3579" s="238">
        <f t="shared" ca="1" si="112"/>
        <v>6.412269780498683E-3</v>
      </c>
      <c r="I3579" s="156"/>
    </row>
    <row r="3580" spans="2:9" x14ac:dyDescent="0.2">
      <c r="B3580" s="230">
        <v>40723</v>
      </c>
      <c r="C3580" s="124">
        <v>132.29</v>
      </c>
      <c r="D3580" s="156">
        <f t="shared" si="111"/>
        <v>-1.6796729840208243E-2</v>
      </c>
      <c r="E3580" s="156">
        <v>-7.9241579085968794E-3</v>
      </c>
      <c r="F3580" s="124">
        <v>3574</v>
      </c>
      <c r="G3580" s="238">
        <f t="shared" ca="1" si="112"/>
        <v>-2.5017517708420061E-3</v>
      </c>
      <c r="I3580" s="156"/>
    </row>
    <row r="3581" spans="2:9" x14ac:dyDescent="0.2">
      <c r="B3581" s="230">
        <v>40722</v>
      </c>
      <c r="C3581" s="124">
        <v>128.51</v>
      </c>
      <c r="D3581" s="156">
        <f t="shared" si="111"/>
        <v>-2.8573588328671868E-2</v>
      </c>
      <c r="E3581" s="156">
        <v>-7.9275198187994181E-3</v>
      </c>
      <c r="F3581" s="124">
        <v>3575</v>
      </c>
      <c r="G3581" s="238">
        <f t="shared" ca="1" si="112"/>
        <v>-1.1236782169070649E-2</v>
      </c>
      <c r="I3581" s="156"/>
    </row>
    <row r="3582" spans="2:9" x14ac:dyDescent="0.2">
      <c r="B3582" s="230">
        <v>40721</v>
      </c>
      <c r="C3582" s="124">
        <v>128.35</v>
      </c>
      <c r="D3582" s="156">
        <f t="shared" ref="D3582:D3645" si="113">(C3582-C3581)/C3581</f>
        <v>-1.2450392965527709E-3</v>
      </c>
      <c r="E3582" s="156">
        <v>-7.9365079365079638E-3</v>
      </c>
      <c r="F3582" s="124">
        <v>3576</v>
      </c>
      <c r="G3582" s="238">
        <f t="shared" ca="1" si="112"/>
        <v>-1.9803768020467467E-2</v>
      </c>
      <c r="I3582" s="156"/>
    </row>
    <row r="3583" spans="2:9" x14ac:dyDescent="0.2">
      <c r="B3583" s="230">
        <v>40718</v>
      </c>
      <c r="C3583" s="124">
        <v>129.34</v>
      </c>
      <c r="D3583" s="156">
        <f t="shared" si="113"/>
        <v>7.713283989092397E-3</v>
      </c>
      <c r="E3583" s="156">
        <v>-7.941443811893014E-3</v>
      </c>
      <c r="F3583" s="124">
        <v>3577</v>
      </c>
      <c r="G3583" s="238">
        <f t="shared" ca="1" si="112"/>
        <v>-1.1924601461240207E-2</v>
      </c>
      <c r="I3583" s="156"/>
    </row>
    <row r="3584" spans="2:9" x14ac:dyDescent="0.2">
      <c r="B3584" s="230">
        <v>40717</v>
      </c>
      <c r="C3584" s="124">
        <v>126.92</v>
      </c>
      <c r="D3584" s="156">
        <f t="shared" si="113"/>
        <v>-1.8710375753827134E-2</v>
      </c>
      <c r="E3584" s="156">
        <v>-7.9462786793507972E-3</v>
      </c>
      <c r="F3584" s="124">
        <v>3578</v>
      </c>
      <c r="G3584" s="238">
        <f t="shared" ca="1" si="112"/>
        <v>1.8672157089601902E-3</v>
      </c>
      <c r="I3584" s="156"/>
    </row>
    <row r="3585" spans="2:9" x14ac:dyDescent="0.2">
      <c r="B3585" s="230">
        <v>40716</v>
      </c>
      <c r="C3585" s="124">
        <v>122.78</v>
      </c>
      <c r="D3585" s="156">
        <f t="shared" si="113"/>
        <v>-3.2618972581153489E-2</v>
      </c>
      <c r="E3585" s="156">
        <v>-7.953340402969248E-3</v>
      </c>
      <c r="F3585" s="124">
        <v>3579</v>
      </c>
      <c r="G3585" s="238">
        <f t="shared" ca="1" si="112"/>
        <v>1.6348972142910749E-3</v>
      </c>
      <c r="I3585" s="156"/>
    </row>
    <row r="3586" spans="2:9" x14ac:dyDescent="0.2">
      <c r="B3586" s="230">
        <v>40715</v>
      </c>
      <c r="C3586" s="124">
        <v>122.55</v>
      </c>
      <c r="D3586" s="156">
        <f t="shared" si="113"/>
        <v>-1.8732692620948362E-3</v>
      </c>
      <c r="E3586" s="156">
        <v>-7.9687265072921534E-3</v>
      </c>
      <c r="F3586" s="124">
        <v>3580</v>
      </c>
      <c r="G3586" s="238">
        <f t="shared" ca="1" si="112"/>
        <v>-1.241690679028486E-2</v>
      </c>
      <c r="I3586" s="156"/>
    </row>
    <row r="3587" spans="2:9" x14ac:dyDescent="0.2">
      <c r="B3587" s="230">
        <v>40714</v>
      </c>
      <c r="C3587" s="124">
        <v>123.61</v>
      </c>
      <c r="D3587" s="156">
        <f t="shared" si="113"/>
        <v>8.6495308037535888E-3</v>
      </c>
      <c r="E3587" s="156">
        <v>-7.9861573272992734E-3</v>
      </c>
      <c r="F3587" s="124">
        <v>3581</v>
      </c>
      <c r="G3587" s="238">
        <f t="shared" ca="1" si="112"/>
        <v>1.4147614288037824E-2</v>
      </c>
      <c r="I3587" s="156"/>
    </row>
    <row r="3588" spans="2:9" x14ac:dyDescent="0.2">
      <c r="B3588" s="230">
        <v>40711</v>
      </c>
      <c r="C3588" s="124">
        <v>127.12</v>
      </c>
      <c r="D3588" s="156">
        <f t="shared" si="113"/>
        <v>2.8395760860771824E-2</v>
      </c>
      <c r="E3588" s="156">
        <v>-7.9912023460410805E-3</v>
      </c>
      <c r="F3588" s="124">
        <v>3582</v>
      </c>
      <c r="G3588" s="238">
        <f t="shared" ca="1" si="112"/>
        <v>9.0789306047103571E-3</v>
      </c>
      <c r="I3588" s="156"/>
    </row>
    <row r="3589" spans="2:9" x14ac:dyDescent="0.2">
      <c r="B3589" s="230">
        <v>40710</v>
      </c>
      <c r="C3589" s="124">
        <v>128.61000000000001</v>
      </c>
      <c r="D3589" s="156">
        <f t="shared" si="113"/>
        <v>1.1721208307111462E-2</v>
      </c>
      <c r="E3589" s="156">
        <v>-8.022374328402174E-3</v>
      </c>
      <c r="F3589" s="124">
        <v>3583</v>
      </c>
      <c r="G3589" s="238">
        <f t="shared" ca="1" si="112"/>
        <v>-3.4056823784559967E-3</v>
      </c>
      <c r="I3589" s="156"/>
    </row>
    <row r="3590" spans="2:9" x14ac:dyDescent="0.2">
      <c r="B3590" s="230">
        <v>40709</v>
      </c>
      <c r="C3590" s="124">
        <v>128.71</v>
      </c>
      <c r="D3590" s="156">
        <f t="shared" si="113"/>
        <v>7.7754451442340645E-4</v>
      </c>
      <c r="E3590" s="156">
        <v>-8.0405330983588409E-3</v>
      </c>
      <c r="F3590" s="124">
        <v>3584</v>
      </c>
      <c r="G3590" s="238">
        <f t="shared" ca="1" si="112"/>
        <v>-1.8402149628836774E-2</v>
      </c>
      <c r="I3590" s="156"/>
    </row>
    <row r="3591" spans="2:9" x14ac:dyDescent="0.2">
      <c r="B3591" s="230">
        <v>40708</v>
      </c>
      <c r="C3591" s="124">
        <v>128.51</v>
      </c>
      <c r="D3591" s="156">
        <f t="shared" si="113"/>
        <v>-1.5538808173414422E-3</v>
      </c>
      <c r="E3591" s="156">
        <v>-8.0432271902325884E-3</v>
      </c>
      <c r="F3591" s="124">
        <v>3585</v>
      </c>
      <c r="G3591" s="238">
        <f t="shared" ref="G3591:G3654" ca="1" si="114">_xlfn.NORM.INV(RAND(),$L$8,$L$9)</f>
        <v>8.4287723755296085E-3</v>
      </c>
      <c r="I3591" s="156"/>
    </row>
    <row r="3592" spans="2:9" x14ac:dyDescent="0.2">
      <c r="B3592" s="230">
        <v>40707</v>
      </c>
      <c r="C3592" s="124">
        <v>126.56</v>
      </c>
      <c r="D3592" s="156">
        <f t="shared" si="113"/>
        <v>-1.5173916426737131E-2</v>
      </c>
      <c r="E3592" s="156">
        <v>-8.044160317048488E-3</v>
      </c>
      <c r="F3592" s="124">
        <v>3586</v>
      </c>
      <c r="G3592" s="238">
        <f t="shared" ca="1" si="114"/>
        <v>-6.9239600418127762E-3</v>
      </c>
      <c r="I3592" s="156"/>
    </row>
    <row r="3593" spans="2:9" x14ac:dyDescent="0.2">
      <c r="B3593" s="230">
        <v>40704</v>
      </c>
      <c r="C3593" s="124">
        <v>127.06</v>
      </c>
      <c r="D3593" s="156">
        <f t="shared" si="113"/>
        <v>3.9506953223767379E-3</v>
      </c>
      <c r="E3593" s="156">
        <v>-8.0489375402446883E-3</v>
      </c>
      <c r="F3593" s="124">
        <v>3587</v>
      </c>
      <c r="G3593" s="238">
        <f t="shared" ca="1" si="114"/>
        <v>-1.7012736709046208E-2</v>
      </c>
      <c r="I3593" s="156"/>
    </row>
    <row r="3594" spans="2:9" x14ac:dyDescent="0.2">
      <c r="B3594" s="230">
        <v>40703</v>
      </c>
      <c r="C3594" s="124">
        <v>129.28</v>
      </c>
      <c r="D3594" s="156">
        <f t="shared" si="113"/>
        <v>1.747206044388477E-2</v>
      </c>
      <c r="E3594" s="156">
        <v>-8.0541664822763783E-3</v>
      </c>
      <c r="F3594" s="124">
        <v>3588</v>
      </c>
      <c r="G3594" s="238">
        <f t="shared" ca="1" si="114"/>
        <v>1.8869757061715876E-2</v>
      </c>
      <c r="I3594" s="156"/>
    </row>
    <row r="3595" spans="2:9" x14ac:dyDescent="0.2">
      <c r="B3595" s="230">
        <v>40702</v>
      </c>
      <c r="C3595" s="124">
        <v>129.24</v>
      </c>
      <c r="D3595" s="156">
        <f t="shared" si="113"/>
        <v>-3.0940594059399783E-4</v>
      </c>
      <c r="E3595" s="156">
        <v>-8.0558841755392855E-3</v>
      </c>
      <c r="F3595" s="124">
        <v>3589</v>
      </c>
      <c r="G3595" s="238">
        <f t="shared" ca="1" si="114"/>
        <v>1.1692893222322844E-2</v>
      </c>
      <c r="I3595" s="156"/>
    </row>
    <row r="3596" spans="2:9" x14ac:dyDescent="0.2">
      <c r="B3596" s="230">
        <v>40701</v>
      </c>
      <c r="C3596" s="124">
        <v>128.32</v>
      </c>
      <c r="D3596" s="156">
        <f t="shared" si="113"/>
        <v>-7.1185391519654586E-3</v>
      </c>
      <c r="E3596" s="156">
        <v>-8.0611823067383917E-3</v>
      </c>
      <c r="F3596" s="124">
        <v>3590</v>
      </c>
      <c r="G3596" s="238">
        <f t="shared" ca="1" si="114"/>
        <v>-5.1009918063403816E-3</v>
      </c>
      <c r="I3596" s="156"/>
    </row>
    <row r="3597" spans="2:9" x14ac:dyDescent="0.2">
      <c r="B3597" s="230">
        <v>40700</v>
      </c>
      <c r="C3597" s="124">
        <v>127.82</v>
      </c>
      <c r="D3597" s="156">
        <f t="shared" si="113"/>
        <v>-3.8965087281795513E-3</v>
      </c>
      <c r="E3597" s="156">
        <v>-8.0674734140080261E-3</v>
      </c>
      <c r="F3597" s="124">
        <v>3591</v>
      </c>
      <c r="G3597" s="238">
        <f t="shared" ca="1" si="114"/>
        <v>-2.2897329543482806E-3</v>
      </c>
      <c r="I3597" s="156"/>
    </row>
    <row r="3598" spans="2:9" x14ac:dyDescent="0.2">
      <c r="B3598" s="230">
        <v>40697</v>
      </c>
      <c r="C3598" s="124">
        <v>128.25</v>
      </c>
      <c r="D3598" s="156">
        <f t="shared" si="113"/>
        <v>3.3641057737443815E-3</v>
      </c>
      <c r="E3598" s="156">
        <v>-8.0789946140035901E-3</v>
      </c>
      <c r="F3598" s="124">
        <v>3592</v>
      </c>
      <c r="G3598" s="238">
        <f t="shared" ca="1" si="114"/>
        <v>4.0257311104758154E-3</v>
      </c>
      <c r="I3598" s="156"/>
    </row>
    <row r="3599" spans="2:9" x14ac:dyDescent="0.2">
      <c r="B3599" s="230">
        <v>40696</v>
      </c>
      <c r="C3599" s="124">
        <v>129.47999999999999</v>
      </c>
      <c r="D3599" s="156">
        <f t="shared" si="113"/>
        <v>9.5906432748537208E-3</v>
      </c>
      <c r="E3599" s="156">
        <v>-8.0872672559714077E-3</v>
      </c>
      <c r="F3599" s="124">
        <v>3593</v>
      </c>
      <c r="G3599" s="238">
        <f t="shared" ca="1" si="114"/>
        <v>1.2094651076311282E-3</v>
      </c>
      <c r="I3599" s="156"/>
    </row>
    <row r="3600" spans="2:9" x14ac:dyDescent="0.2">
      <c r="B3600" s="230">
        <v>40695</v>
      </c>
      <c r="C3600" s="124">
        <v>128.51</v>
      </c>
      <c r="D3600" s="156">
        <f t="shared" si="113"/>
        <v>-7.4915044794562789E-3</v>
      </c>
      <c r="E3600" s="156">
        <v>-8.1284455353908564E-3</v>
      </c>
      <c r="F3600" s="124">
        <v>3594</v>
      </c>
      <c r="G3600" s="238">
        <f t="shared" ca="1" si="114"/>
        <v>-2.1480989423007701E-2</v>
      </c>
      <c r="I3600" s="156"/>
    </row>
    <row r="3601" spans="2:9" x14ac:dyDescent="0.2">
      <c r="B3601" s="230">
        <v>40694</v>
      </c>
      <c r="C3601" s="124">
        <v>128.18</v>
      </c>
      <c r="D3601" s="156">
        <f t="shared" si="113"/>
        <v>-2.5678935491400211E-3</v>
      </c>
      <c r="E3601" s="156">
        <v>-8.1308499574548505E-3</v>
      </c>
      <c r="F3601" s="124">
        <v>3595</v>
      </c>
      <c r="G3601" s="238">
        <f t="shared" ca="1" si="114"/>
        <v>-1.2927441343118672E-3</v>
      </c>
      <c r="I3601" s="156"/>
    </row>
    <row r="3602" spans="2:9" x14ac:dyDescent="0.2">
      <c r="B3602" s="230">
        <v>40693</v>
      </c>
      <c r="C3602" s="124">
        <v>124.37</v>
      </c>
      <c r="D3602" s="156">
        <f t="shared" si="113"/>
        <v>-2.9723825869870511E-2</v>
      </c>
      <c r="E3602" s="156">
        <v>-8.136381247578546E-3</v>
      </c>
      <c r="F3602" s="124">
        <v>3596</v>
      </c>
      <c r="G3602" s="238">
        <f t="shared" ca="1" si="114"/>
        <v>-3.026377987311234E-2</v>
      </c>
      <c r="I3602" s="156"/>
    </row>
    <row r="3603" spans="2:9" x14ac:dyDescent="0.2">
      <c r="B3603" s="230">
        <v>40690</v>
      </c>
      <c r="C3603" s="124">
        <v>125.27</v>
      </c>
      <c r="D3603" s="156">
        <f t="shared" si="113"/>
        <v>7.236471817962462E-3</v>
      </c>
      <c r="E3603" s="156">
        <v>-8.1554745792123198E-3</v>
      </c>
      <c r="F3603" s="124">
        <v>3597</v>
      </c>
      <c r="G3603" s="238">
        <f t="shared" ca="1" si="114"/>
        <v>1.6041467354834749E-2</v>
      </c>
      <c r="I3603" s="156"/>
    </row>
    <row r="3604" spans="2:9" x14ac:dyDescent="0.2">
      <c r="B3604" s="230">
        <v>40689</v>
      </c>
      <c r="C3604" s="124">
        <v>123.97</v>
      </c>
      <c r="D3604" s="156">
        <f t="shared" si="113"/>
        <v>-1.0377584417657836E-2</v>
      </c>
      <c r="E3604" s="156">
        <v>-8.1578947368421643E-3</v>
      </c>
      <c r="F3604" s="124">
        <v>3598</v>
      </c>
      <c r="G3604" s="238">
        <f t="shared" ca="1" si="114"/>
        <v>1.4184315858529382E-2</v>
      </c>
      <c r="I3604" s="156"/>
    </row>
    <row r="3605" spans="2:9" x14ac:dyDescent="0.2">
      <c r="B3605" s="230">
        <v>40688</v>
      </c>
      <c r="C3605" s="124">
        <v>125.37</v>
      </c>
      <c r="D3605" s="156">
        <f t="shared" si="113"/>
        <v>1.1293054771315687E-2</v>
      </c>
      <c r="E3605" s="156">
        <v>-8.1780144541649964E-3</v>
      </c>
      <c r="F3605" s="124">
        <v>3599</v>
      </c>
      <c r="G3605" s="238">
        <f t="shared" ca="1" si="114"/>
        <v>1.7678034852905786E-2</v>
      </c>
      <c r="I3605" s="156"/>
    </row>
    <row r="3606" spans="2:9" x14ac:dyDescent="0.2">
      <c r="B3606" s="230">
        <v>40687</v>
      </c>
      <c r="C3606" s="124">
        <v>123.94</v>
      </c>
      <c r="D3606" s="156">
        <f t="shared" si="113"/>
        <v>-1.1406237536890858E-2</v>
      </c>
      <c r="E3606" s="156">
        <v>-8.181353332197102E-3</v>
      </c>
      <c r="F3606" s="124">
        <v>3600</v>
      </c>
      <c r="G3606" s="238">
        <f t="shared" ca="1" si="114"/>
        <v>2.2044457684353121E-3</v>
      </c>
      <c r="I3606" s="156"/>
    </row>
    <row r="3607" spans="2:9" x14ac:dyDescent="0.2">
      <c r="B3607" s="230">
        <v>40686</v>
      </c>
      <c r="C3607" s="124">
        <v>126.09</v>
      </c>
      <c r="D3607" s="156">
        <f t="shared" si="113"/>
        <v>1.7347103437147054E-2</v>
      </c>
      <c r="E3607" s="156">
        <v>-8.1844542138247121E-3</v>
      </c>
      <c r="F3607" s="124">
        <v>3601</v>
      </c>
      <c r="G3607" s="238">
        <f t="shared" ca="1" si="114"/>
        <v>1.6014075428035152E-2</v>
      </c>
      <c r="I3607" s="156"/>
    </row>
    <row r="3608" spans="2:9" x14ac:dyDescent="0.2">
      <c r="B3608" s="230">
        <v>40683</v>
      </c>
      <c r="C3608" s="124">
        <v>123.67</v>
      </c>
      <c r="D3608" s="156">
        <f t="shared" si="113"/>
        <v>-1.9192640177650898E-2</v>
      </c>
      <c r="E3608" s="156">
        <v>-8.1849044319396869E-3</v>
      </c>
      <c r="F3608" s="124">
        <v>3602</v>
      </c>
      <c r="G3608" s="238">
        <f t="shared" ca="1" si="114"/>
        <v>8.4339819043678758E-3</v>
      </c>
      <c r="I3608" s="156"/>
    </row>
    <row r="3609" spans="2:9" x14ac:dyDescent="0.2">
      <c r="B3609" s="230">
        <v>40682</v>
      </c>
      <c r="C3609" s="124">
        <v>125.33</v>
      </c>
      <c r="D3609" s="156">
        <f t="shared" si="113"/>
        <v>1.3422818791946281E-2</v>
      </c>
      <c r="E3609" s="156">
        <v>-8.1870085101799547E-3</v>
      </c>
      <c r="F3609" s="124">
        <v>3603</v>
      </c>
      <c r="G3609" s="238">
        <f t="shared" ca="1" si="114"/>
        <v>2.4143659099304958E-2</v>
      </c>
      <c r="I3609" s="156"/>
    </row>
    <row r="3610" spans="2:9" x14ac:dyDescent="0.2">
      <c r="B3610" s="230">
        <v>40681</v>
      </c>
      <c r="C3610" s="124">
        <v>125.27</v>
      </c>
      <c r="D3610" s="156">
        <f t="shared" si="113"/>
        <v>-4.7873613659939581E-4</v>
      </c>
      <c r="E3610" s="156">
        <v>-8.1907973982173789E-3</v>
      </c>
      <c r="F3610" s="124">
        <v>3604</v>
      </c>
      <c r="G3610" s="238">
        <f t="shared" ca="1" si="114"/>
        <v>3.3485496501792791E-2</v>
      </c>
      <c r="I3610" s="156"/>
    </row>
    <row r="3611" spans="2:9" x14ac:dyDescent="0.2">
      <c r="B3611" s="230">
        <v>40680</v>
      </c>
      <c r="C3611" s="124">
        <v>124.54</v>
      </c>
      <c r="D3611" s="156">
        <f t="shared" si="113"/>
        <v>-5.8274127883770239E-3</v>
      </c>
      <c r="E3611" s="156">
        <v>-8.2052467352362289E-3</v>
      </c>
      <c r="F3611" s="124">
        <v>3605</v>
      </c>
      <c r="G3611" s="238">
        <f t="shared" ca="1" si="114"/>
        <v>1.665390845551851E-2</v>
      </c>
      <c r="I3611" s="156"/>
    </row>
    <row r="3612" spans="2:9" x14ac:dyDescent="0.2">
      <c r="B3612" s="230">
        <v>40679</v>
      </c>
      <c r="C3612" s="124">
        <v>123.38</v>
      </c>
      <c r="D3612" s="156">
        <f t="shared" si="113"/>
        <v>-9.3142765376586691E-3</v>
      </c>
      <c r="E3612" s="156">
        <v>-8.2135523613963042E-3</v>
      </c>
      <c r="F3612" s="124">
        <v>3606</v>
      </c>
      <c r="G3612" s="238">
        <f t="shared" ca="1" si="114"/>
        <v>1.8093390992317351E-2</v>
      </c>
      <c r="I3612" s="156"/>
    </row>
    <row r="3613" spans="2:9" x14ac:dyDescent="0.2">
      <c r="B3613" s="230">
        <v>40676</v>
      </c>
      <c r="C3613" s="124">
        <v>125.3</v>
      </c>
      <c r="D3613" s="156">
        <f t="shared" si="113"/>
        <v>1.5561679364564774E-2</v>
      </c>
      <c r="E3613" s="156">
        <v>-8.219821512447158E-3</v>
      </c>
      <c r="F3613" s="124">
        <v>3607</v>
      </c>
      <c r="G3613" s="238">
        <f t="shared" ca="1" si="114"/>
        <v>4.3276970455046249E-2</v>
      </c>
      <c r="I3613" s="156"/>
    </row>
    <row r="3614" spans="2:9" x14ac:dyDescent="0.2">
      <c r="B3614" s="230">
        <v>40675</v>
      </c>
      <c r="C3614" s="124">
        <v>121.85</v>
      </c>
      <c r="D3614" s="156">
        <f t="shared" si="113"/>
        <v>-2.7533918595371132E-2</v>
      </c>
      <c r="E3614" s="156">
        <v>-8.2300611308009711E-3</v>
      </c>
      <c r="F3614" s="124">
        <v>3608</v>
      </c>
      <c r="G3614" s="238">
        <f t="shared" ca="1" si="114"/>
        <v>-5.4113502603689734E-3</v>
      </c>
      <c r="I3614" s="156"/>
    </row>
    <row r="3615" spans="2:9" x14ac:dyDescent="0.2">
      <c r="B3615" s="230">
        <v>40674</v>
      </c>
      <c r="C3615" s="124">
        <v>123.54</v>
      </c>
      <c r="D3615" s="156">
        <f t="shared" si="113"/>
        <v>1.3869511694706705E-2</v>
      </c>
      <c r="E3615" s="156">
        <v>-8.2346886258362825E-3</v>
      </c>
      <c r="F3615" s="124">
        <v>3609</v>
      </c>
      <c r="G3615" s="238">
        <f t="shared" ca="1" si="114"/>
        <v>1.2003524407768775E-2</v>
      </c>
      <c r="I3615" s="156"/>
    </row>
    <row r="3616" spans="2:9" x14ac:dyDescent="0.2">
      <c r="B3616" s="230">
        <v>40673</v>
      </c>
      <c r="C3616" s="124">
        <v>123.04</v>
      </c>
      <c r="D3616" s="156">
        <f t="shared" si="113"/>
        <v>-4.0472721385785976E-3</v>
      </c>
      <c r="E3616" s="156">
        <v>-8.2437359217890326E-3</v>
      </c>
      <c r="F3616" s="124">
        <v>3610</v>
      </c>
      <c r="G3616" s="238">
        <f t="shared" ca="1" si="114"/>
        <v>-1.9503290820114899E-2</v>
      </c>
      <c r="I3616" s="156"/>
    </row>
    <row r="3617" spans="2:9" x14ac:dyDescent="0.2">
      <c r="B3617" s="230">
        <v>40672</v>
      </c>
      <c r="C3617" s="124">
        <v>122.28</v>
      </c>
      <c r="D3617" s="156">
        <f t="shared" si="113"/>
        <v>-6.1768530559168167E-3</v>
      </c>
      <c r="E3617" s="156">
        <v>-8.2477051650910842E-3</v>
      </c>
      <c r="F3617" s="124">
        <v>3611</v>
      </c>
      <c r="G3617" s="238">
        <f t="shared" ca="1" si="114"/>
        <v>8.0501693525998467E-4</v>
      </c>
      <c r="I3617" s="156"/>
    </row>
    <row r="3618" spans="2:9" x14ac:dyDescent="0.2">
      <c r="B3618" s="230">
        <v>40669</v>
      </c>
      <c r="C3618" s="124">
        <v>121.72</v>
      </c>
      <c r="D3618" s="156">
        <f t="shared" si="113"/>
        <v>-4.5796532548250104E-3</v>
      </c>
      <c r="E3618" s="156">
        <v>-8.2539494704454291E-3</v>
      </c>
      <c r="F3618" s="124">
        <v>3612</v>
      </c>
      <c r="G3618" s="238">
        <f t="shared" ca="1" si="114"/>
        <v>-1.593768529023902E-2</v>
      </c>
      <c r="I3618" s="156"/>
    </row>
    <row r="3619" spans="2:9" x14ac:dyDescent="0.2">
      <c r="B3619" s="230">
        <v>40668</v>
      </c>
      <c r="C3619" s="124">
        <v>120.99</v>
      </c>
      <c r="D3619" s="156">
        <f t="shared" si="113"/>
        <v>-5.9973710154453174E-3</v>
      </c>
      <c r="E3619" s="156">
        <v>-8.272616879174282E-3</v>
      </c>
      <c r="F3619" s="124">
        <v>3613</v>
      </c>
      <c r="G3619" s="238">
        <f t="shared" ca="1" si="114"/>
        <v>-2.8804890608518973E-3</v>
      </c>
      <c r="I3619" s="156"/>
    </row>
    <row r="3620" spans="2:9" x14ac:dyDescent="0.2">
      <c r="B3620" s="230">
        <v>40667</v>
      </c>
      <c r="C3620" s="124">
        <v>123.84</v>
      </c>
      <c r="D3620" s="156">
        <f t="shared" si="113"/>
        <v>2.3555665757500691E-2</v>
      </c>
      <c r="E3620" s="156">
        <v>-8.2815734989647605E-3</v>
      </c>
      <c r="F3620" s="124">
        <v>3614</v>
      </c>
      <c r="G3620" s="238">
        <f t="shared" ca="1" si="114"/>
        <v>-2.2387513866721862E-2</v>
      </c>
      <c r="I3620" s="156"/>
    </row>
    <row r="3621" spans="2:9" x14ac:dyDescent="0.2">
      <c r="B3621" s="230">
        <v>40666</v>
      </c>
      <c r="C3621" s="124">
        <v>123.87</v>
      </c>
      <c r="D3621" s="156">
        <f t="shared" si="113"/>
        <v>2.4224806201551306E-4</v>
      </c>
      <c r="E3621" s="156">
        <v>-8.3030617540218645E-3</v>
      </c>
      <c r="F3621" s="124">
        <v>3615</v>
      </c>
      <c r="G3621" s="238">
        <f t="shared" ca="1" si="114"/>
        <v>2.1981070919708971E-2</v>
      </c>
      <c r="I3621" s="156"/>
    </row>
    <row r="3622" spans="2:9" x14ac:dyDescent="0.2">
      <c r="B3622" s="230">
        <v>40665</v>
      </c>
      <c r="C3622" s="124">
        <v>126.72</v>
      </c>
      <c r="D3622" s="156">
        <f t="shared" si="113"/>
        <v>2.3007992249939407E-2</v>
      </c>
      <c r="E3622" s="156">
        <v>-8.308157099697842E-3</v>
      </c>
      <c r="F3622" s="124">
        <v>3616</v>
      </c>
      <c r="G3622" s="238">
        <f t="shared" ca="1" si="114"/>
        <v>6.7552359821557093E-3</v>
      </c>
      <c r="I3622" s="156"/>
    </row>
    <row r="3623" spans="2:9" x14ac:dyDescent="0.2">
      <c r="B3623" s="230">
        <v>40662</v>
      </c>
      <c r="C3623" s="124">
        <v>127.52</v>
      </c>
      <c r="D3623" s="156">
        <f t="shared" si="113"/>
        <v>6.3131313131312905E-3</v>
      </c>
      <c r="E3623" s="156">
        <v>-8.3121761207525704E-3</v>
      </c>
      <c r="F3623" s="124">
        <v>3617</v>
      </c>
      <c r="G3623" s="238">
        <f t="shared" ca="1" si="114"/>
        <v>-3.1820251012899418E-2</v>
      </c>
      <c r="I3623" s="156"/>
    </row>
    <row r="3624" spans="2:9" x14ac:dyDescent="0.2">
      <c r="B3624" s="230">
        <v>40661</v>
      </c>
      <c r="C3624" s="124">
        <v>127.19</v>
      </c>
      <c r="D3624" s="156">
        <f t="shared" si="113"/>
        <v>-2.587829360100363E-3</v>
      </c>
      <c r="E3624" s="156">
        <v>-8.3125519534498257E-3</v>
      </c>
      <c r="F3624" s="124">
        <v>3618</v>
      </c>
      <c r="G3624" s="238">
        <f t="shared" ca="1" si="114"/>
        <v>2.4945652196967164E-2</v>
      </c>
      <c r="I3624" s="156"/>
    </row>
    <row r="3625" spans="2:9" x14ac:dyDescent="0.2">
      <c r="B3625" s="230">
        <v>40660</v>
      </c>
      <c r="C3625" s="124">
        <v>128.38</v>
      </c>
      <c r="D3625" s="156">
        <f t="shared" si="113"/>
        <v>9.356081452944396E-3</v>
      </c>
      <c r="E3625" s="156">
        <v>-8.3166999334664017E-3</v>
      </c>
      <c r="F3625" s="124">
        <v>3619</v>
      </c>
      <c r="G3625" s="238">
        <f t="shared" ca="1" si="114"/>
        <v>1.2956114088323142E-2</v>
      </c>
      <c r="I3625" s="156"/>
    </row>
    <row r="3626" spans="2:9" x14ac:dyDescent="0.2">
      <c r="B3626" s="230">
        <v>40659</v>
      </c>
      <c r="C3626" s="124">
        <v>127.06</v>
      </c>
      <c r="D3626" s="156">
        <f t="shared" si="113"/>
        <v>-1.0281975385574025E-2</v>
      </c>
      <c r="E3626" s="156">
        <v>-8.3202511773940533E-3</v>
      </c>
      <c r="F3626" s="124">
        <v>3620</v>
      </c>
      <c r="G3626" s="238">
        <f t="shared" ca="1" si="114"/>
        <v>3.0013636470451525E-2</v>
      </c>
      <c r="I3626" s="156"/>
    </row>
    <row r="3627" spans="2:9" x14ac:dyDescent="0.2">
      <c r="B3627" s="230">
        <v>40658</v>
      </c>
      <c r="C3627" s="124">
        <v>126.13</v>
      </c>
      <c r="D3627" s="156">
        <f t="shared" si="113"/>
        <v>-7.3193766724382716E-3</v>
      </c>
      <c r="E3627" s="156">
        <v>-8.3209509658246986E-3</v>
      </c>
      <c r="F3627" s="124">
        <v>3621</v>
      </c>
      <c r="G3627" s="238">
        <f t="shared" ca="1" si="114"/>
        <v>2.2361044974377606E-2</v>
      </c>
      <c r="I3627" s="156"/>
    </row>
    <row r="3628" spans="2:9" x14ac:dyDescent="0.2">
      <c r="B3628" s="230">
        <v>40654</v>
      </c>
      <c r="C3628" s="124">
        <v>126.06</v>
      </c>
      <c r="D3628" s="156">
        <f t="shared" si="113"/>
        <v>-5.5498295409492728E-4</v>
      </c>
      <c r="E3628" s="156">
        <v>-8.3388637216146415E-3</v>
      </c>
      <c r="F3628" s="124">
        <v>3622</v>
      </c>
      <c r="G3628" s="238">
        <f t="shared" ca="1" si="114"/>
        <v>-2.9471070325354207E-2</v>
      </c>
      <c r="I3628" s="156"/>
    </row>
    <row r="3629" spans="2:9" x14ac:dyDescent="0.2">
      <c r="B3629" s="230">
        <v>40653</v>
      </c>
      <c r="C3629" s="124">
        <v>126.36</v>
      </c>
      <c r="D3629" s="156">
        <f t="shared" si="113"/>
        <v>2.3798191337458126E-3</v>
      </c>
      <c r="E3629" s="156">
        <v>-8.3440614122919955E-3</v>
      </c>
      <c r="F3629" s="124">
        <v>3623</v>
      </c>
      <c r="G3629" s="238">
        <f t="shared" ca="1" si="114"/>
        <v>1.1384607813641466E-2</v>
      </c>
      <c r="I3629" s="156"/>
    </row>
    <row r="3630" spans="2:9" x14ac:dyDescent="0.2">
      <c r="B3630" s="230">
        <v>40652</v>
      </c>
      <c r="C3630" s="124">
        <v>124.3</v>
      </c>
      <c r="D3630" s="156">
        <f t="shared" si="113"/>
        <v>-1.6302627413738544E-2</v>
      </c>
      <c r="E3630" s="156">
        <v>-8.356545961002786E-3</v>
      </c>
      <c r="F3630" s="124">
        <v>3624</v>
      </c>
      <c r="G3630" s="238">
        <f t="shared" ca="1" si="114"/>
        <v>1.8273454619224076E-2</v>
      </c>
      <c r="I3630" s="156"/>
    </row>
    <row r="3631" spans="2:9" x14ac:dyDescent="0.2">
      <c r="B3631" s="230">
        <v>40651</v>
      </c>
      <c r="C3631" s="124">
        <v>126.09</v>
      </c>
      <c r="D3631" s="156">
        <f t="shared" si="113"/>
        <v>1.4400643604183477E-2</v>
      </c>
      <c r="E3631" s="156">
        <v>-8.3612040133779018E-3</v>
      </c>
      <c r="F3631" s="124">
        <v>3625</v>
      </c>
      <c r="G3631" s="238">
        <f t="shared" ca="1" si="114"/>
        <v>6.1141372477407033E-3</v>
      </c>
      <c r="I3631" s="156"/>
    </row>
    <row r="3632" spans="2:9" x14ac:dyDescent="0.2">
      <c r="B3632" s="230">
        <v>40648</v>
      </c>
      <c r="C3632" s="124">
        <v>126.96</v>
      </c>
      <c r="D3632" s="156">
        <f t="shared" si="113"/>
        <v>6.8998334522959023E-3</v>
      </c>
      <c r="E3632" s="156">
        <v>-8.3694515020176705E-3</v>
      </c>
      <c r="F3632" s="124">
        <v>3626</v>
      </c>
      <c r="G3632" s="238">
        <f t="shared" ca="1" si="114"/>
        <v>-7.3607634744051837E-3</v>
      </c>
      <c r="I3632" s="156"/>
    </row>
    <row r="3633" spans="2:9" x14ac:dyDescent="0.2">
      <c r="B3633" s="230">
        <v>40646</v>
      </c>
      <c r="C3633" s="124">
        <v>126.03</v>
      </c>
      <c r="D3633" s="156">
        <f t="shared" si="113"/>
        <v>-7.3251417769375606E-3</v>
      </c>
      <c r="E3633" s="156">
        <v>-8.4033613445378408E-3</v>
      </c>
      <c r="F3633" s="124">
        <v>3627</v>
      </c>
      <c r="G3633" s="238">
        <f t="shared" ca="1" si="114"/>
        <v>-5.8292883765783347E-3</v>
      </c>
      <c r="I3633" s="156"/>
    </row>
    <row r="3634" spans="2:9" x14ac:dyDescent="0.2">
      <c r="B3634" s="230">
        <v>40644</v>
      </c>
      <c r="C3634" s="124">
        <v>122.65</v>
      </c>
      <c r="D3634" s="156">
        <f t="shared" si="113"/>
        <v>-2.6819011346504763E-2</v>
      </c>
      <c r="E3634" s="156">
        <v>-8.4165198669014576E-3</v>
      </c>
      <c r="F3634" s="124">
        <v>3628</v>
      </c>
      <c r="G3634" s="238">
        <f t="shared" ca="1" si="114"/>
        <v>3.7614696045220782E-2</v>
      </c>
      <c r="I3634" s="156"/>
    </row>
    <row r="3635" spans="2:9" x14ac:dyDescent="0.2">
      <c r="B3635" s="230">
        <v>40641</v>
      </c>
      <c r="C3635" s="124">
        <v>121.82</v>
      </c>
      <c r="D3635" s="156">
        <f t="shared" si="113"/>
        <v>-6.7672238075826537E-3</v>
      </c>
      <c r="E3635" s="156">
        <v>-8.4175084175084174E-3</v>
      </c>
      <c r="F3635" s="124">
        <v>3629</v>
      </c>
      <c r="G3635" s="238">
        <f t="shared" ca="1" si="114"/>
        <v>-9.8570550447778481E-3</v>
      </c>
      <c r="I3635" s="156"/>
    </row>
    <row r="3636" spans="2:9" x14ac:dyDescent="0.2">
      <c r="B3636" s="230">
        <v>40640</v>
      </c>
      <c r="C3636" s="124">
        <v>121.02</v>
      </c>
      <c r="D3636" s="156">
        <f t="shared" si="113"/>
        <v>-6.5670661631915712E-3</v>
      </c>
      <c r="E3636" s="156">
        <v>-8.432464990212352E-3</v>
      </c>
      <c r="F3636" s="124">
        <v>3630</v>
      </c>
      <c r="G3636" s="238">
        <f t="shared" ca="1" si="114"/>
        <v>-9.2444500772531774E-3</v>
      </c>
      <c r="I3636" s="156"/>
    </row>
    <row r="3637" spans="2:9" x14ac:dyDescent="0.2">
      <c r="B3637" s="230">
        <v>40639</v>
      </c>
      <c r="C3637" s="124">
        <v>121.29</v>
      </c>
      <c r="D3637" s="156">
        <f t="shared" si="113"/>
        <v>2.2310361923649829E-3</v>
      </c>
      <c r="E3637" s="156">
        <v>-8.4435239764218753E-3</v>
      </c>
      <c r="F3637" s="124">
        <v>3631</v>
      </c>
      <c r="G3637" s="238">
        <f t="shared" ca="1" si="114"/>
        <v>-4.7807975668807991E-3</v>
      </c>
      <c r="I3637" s="156"/>
    </row>
    <row r="3638" spans="2:9" x14ac:dyDescent="0.2">
      <c r="B3638" s="230">
        <v>40638</v>
      </c>
      <c r="C3638" s="124">
        <v>122.12</v>
      </c>
      <c r="D3638" s="156">
        <f t="shared" si="113"/>
        <v>6.8431033061257997E-3</v>
      </c>
      <c r="E3638" s="156">
        <v>-8.4581497797356284E-3</v>
      </c>
      <c r="F3638" s="124">
        <v>3632</v>
      </c>
      <c r="G3638" s="238">
        <f t="shared" ca="1" si="114"/>
        <v>-4.1020043731848123E-2</v>
      </c>
      <c r="I3638" s="156"/>
    </row>
    <row r="3639" spans="2:9" x14ac:dyDescent="0.2">
      <c r="B3639" s="230">
        <v>40637</v>
      </c>
      <c r="C3639" s="124">
        <v>122.55</v>
      </c>
      <c r="D3639" s="156">
        <f t="shared" si="113"/>
        <v>3.5211267605633196E-3</v>
      </c>
      <c r="E3639" s="156">
        <v>-8.4720121028744669E-3</v>
      </c>
      <c r="F3639" s="124">
        <v>3633</v>
      </c>
      <c r="G3639" s="238">
        <f t="shared" ca="1" si="114"/>
        <v>2.3538270408164145E-2</v>
      </c>
      <c r="I3639" s="156"/>
    </row>
    <row r="3640" spans="2:9" x14ac:dyDescent="0.2">
      <c r="B3640" s="230">
        <v>40634</v>
      </c>
      <c r="C3640" s="124">
        <v>120.99</v>
      </c>
      <c r="D3640" s="156">
        <f t="shared" si="113"/>
        <v>-1.2729498164014707E-2</v>
      </c>
      <c r="E3640" s="156">
        <v>-8.4745762711865361E-3</v>
      </c>
      <c r="F3640" s="124">
        <v>3634</v>
      </c>
      <c r="G3640" s="238">
        <f t="shared" ca="1" si="114"/>
        <v>4.6992262147560566E-3</v>
      </c>
      <c r="I3640" s="156"/>
    </row>
    <row r="3641" spans="2:9" x14ac:dyDescent="0.2">
      <c r="B3641" s="230">
        <v>40633</v>
      </c>
      <c r="C3641" s="124">
        <v>120.72</v>
      </c>
      <c r="D3641" s="156">
        <f t="shared" si="113"/>
        <v>-2.2315893875526575E-3</v>
      </c>
      <c r="E3641" s="156">
        <v>-8.4770678165426213E-3</v>
      </c>
      <c r="F3641" s="124">
        <v>3635</v>
      </c>
      <c r="G3641" s="238">
        <f t="shared" ca="1" si="114"/>
        <v>7.2003371139098861E-3</v>
      </c>
      <c r="I3641" s="156"/>
    </row>
    <row r="3642" spans="2:9" x14ac:dyDescent="0.2">
      <c r="B3642" s="230">
        <v>40632</v>
      </c>
      <c r="C3642" s="124">
        <v>117.74</v>
      </c>
      <c r="D3642" s="156">
        <f t="shared" si="113"/>
        <v>-2.4685222001325415E-2</v>
      </c>
      <c r="E3642" s="156">
        <v>-8.4933530280648772E-3</v>
      </c>
      <c r="F3642" s="124">
        <v>3636</v>
      </c>
      <c r="G3642" s="238">
        <f t="shared" ca="1" si="114"/>
        <v>1.4378204479504266E-2</v>
      </c>
      <c r="I3642" s="156"/>
    </row>
    <row r="3643" spans="2:9" x14ac:dyDescent="0.2">
      <c r="B3643" s="230">
        <v>40631</v>
      </c>
      <c r="C3643" s="124">
        <v>118.83</v>
      </c>
      <c r="D3643" s="156">
        <f t="shared" si="113"/>
        <v>9.2576864277221296E-3</v>
      </c>
      <c r="E3643" s="156">
        <v>-8.5314894040394162E-3</v>
      </c>
      <c r="F3643" s="124">
        <v>3637</v>
      </c>
      <c r="G3643" s="238">
        <f t="shared" ca="1" si="114"/>
        <v>1.8507992379124753E-2</v>
      </c>
      <c r="I3643" s="156"/>
    </row>
    <row r="3644" spans="2:9" x14ac:dyDescent="0.2">
      <c r="B3644" s="230">
        <v>40630</v>
      </c>
      <c r="C3644" s="124">
        <v>118.47</v>
      </c>
      <c r="D3644" s="156">
        <f t="shared" si="113"/>
        <v>-3.0295379954556885E-3</v>
      </c>
      <c r="E3644" s="156">
        <v>-8.5451569420373855E-3</v>
      </c>
      <c r="F3644" s="124">
        <v>3638</v>
      </c>
      <c r="G3644" s="238">
        <f t="shared" ca="1" si="114"/>
        <v>1.0444475907716567E-2</v>
      </c>
      <c r="I3644" s="156"/>
    </row>
    <row r="3645" spans="2:9" x14ac:dyDescent="0.2">
      <c r="B3645" s="230">
        <v>40627</v>
      </c>
      <c r="C3645" s="124">
        <v>117.64</v>
      </c>
      <c r="D3645" s="156">
        <f t="shared" si="113"/>
        <v>-7.0059930784164628E-3</v>
      </c>
      <c r="E3645" s="156">
        <v>-8.5483870967742112E-3</v>
      </c>
      <c r="F3645" s="124">
        <v>3639</v>
      </c>
      <c r="G3645" s="238">
        <f t="shared" ca="1" si="114"/>
        <v>7.8091453892448525E-3</v>
      </c>
      <c r="I3645" s="156"/>
    </row>
    <row r="3646" spans="2:9" x14ac:dyDescent="0.2">
      <c r="B3646" s="230">
        <v>40626</v>
      </c>
      <c r="C3646" s="124">
        <v>114.69</v>
      </c>
      <c r="D3646" s="156">
        <f t="shared" ref="D3646:D3709" si="115">(C3646-C3645)/C3645</f>
        <v>-2.5076504590275439E-2</v>
      </c>
      <c r="E3646" s="156">
        <v>-8.5541892614374431E-3</v>
      </c>
      <c r="F3646" s="124">
        <v>3640</v>
      </c>
      <c r="G3646" s="238">
        <f t="shared" ca="1" si="114"/>
        <v>4.6138121985043667E-3</v>
      </c>
      <c r="I3646" s="156"/>
    </row>
    <row r="3647" spans="2:9" x14ac:dyDescent="0.2">
      <c r="B3647" s="230">
        <v>40625</v>
      </c>
      <c r="C3647" s="124">
        <v>114</v>
      </c>
      <c r="D3647" s="156">
        <f t="shared" si="115"/>
        <v>-6.0162176301333838E-3</v>
      </c>
      <c r="E3647" s="156">
        <v>-8.5557139947035829E-3</v>
      </c>
      <c r="F3647" s="124">
        <v>3641</v>
      </c>
      <c r="G3647" s="238">
        <f t="shared" ca="1" si="114"/>
        <v>7.1911723819310311E-3</v>
      </c>
      <c r="I3647" s="156"/>
    </row>
    <row r="3648" spans="2:9" x14ac:dyDescent="0.2">
      <c r="B3648" s="230">
        <v>40624</v>
      </c>
      <c r="C3648" s="124">
        <v>112.74</v>
      </c>
      <c r="D3648" s="156">
        <f t="shared" si="115"/>
        <v>-1.1052631578947413E-2</v>
      </c>
      <c r="E3648" s="156">
        <v>-8.5640310695080882E-3</v>
      </c>
      <c r="F3648" s="124">
        <v>3642</v>
      </c>
      <c r="G3648" s="238">
        <f t="shared" ca="1" si="114"/>
        <v>-1.3147680400125218E-2</v>
      </c>
      <c r="I3648" s="156"/>
    </row>
    <row r="3649" spans="2:9" x14ac:dyDescent="0.2">
      <c r="B3649" s="230">
        <v>40623</v>
      </c>
      <c r="C3649" s="124">
        <v>111.31</v>
      </c>
      <c r="D3649" s="156">
        <f t="shared" si="115"/>
        <v>-1.2684051800603093E-2</v>
      </c>
      <c r="E3649" s="156">
        <v>-8.5684430512017202E-3</v>
      </c>
      <c r="F3649" s="124">
        <v>3643</v>
      </c>
      <c r="G3649" s="238">
        <f t="shared" ca="1" si="114"/>
        <v>-3.0834711761542101E-2</v>
      </c>
      <c r="I3649" s="156"/>
    </row>
    <row r="3650" spans="2:9" x14ac:dyDescent="0.2">
      <c r="B3650" s="230">
        <v>40620</v>
      </c>
      <c r="C3650" s="124">
        <v>111.34</v>
      </c>
      <c r="D3650" s="156">
        <f t="shared" si="115"/>
        <v>2.6951756356123559E-4</v>
      </c>
      <c r="E3650" s="156">
        <v>-8.5838934087960998E-3</v>
      </c>
      <c r="F3650" s="124">
        <v>3644</v>
      </c>
      <c r="G3650" s="238">
        <f t="shared" ca="1" si="114"/>
        <v>1.1263599113862034E-2</v>
      </c>
      <c r="I3650" s="156"/>
    </row>
    <row r="3651" spans="2:9" x14ac:dyDescent="0.2">
      <c r="B3651" s="230">
        <v>40619</v>
      </c>
      <c r="C3651" s="124">
        <v>111.41</v>
      </c>
      <c r="D3651" s="156">
        <f t="shared" si="115"/>
        <v>6.2870486797191646E-4</v>
      </c>
      <c r="E3651" s="156">
        <v>-8.5916442048517578E-3</v>
      </c>
      <c r="F3651" s="124">
        <v>3645</v>
      </c>
      <c r="G3651" s="238">
        <f t="shared" ca="1" si="114"/>
        <v>7.7020419381591829E-3</v>
      </c>
      <c r="I3651" s="156"/>
    </row>
    <row r="3652" spans="2:9" x14ac:dyDescent="0.2">
      <c r="B3652" s="230">
        <v>40618</v>
      </c>
      <c r="C3652" s="124">
        <v>113.5</v>
      </c>
      <c r="D3652" s="156">
        <f t="shared" si="115"/>
        <v>1.8759536845884602E-2</v>
      </c>
      <c r="E3652" s="156">
        <v>-8.5940943146761446E-3</v>
      </c>
      <c r="F3652" s="124">
        <v>3646</v>
      </c>
      <c r="G3652" s="238">
        <f t="shared" ca="1" si="114"/>
        <v>1.6571373925159259E-2</v>
      </c>
      <c r="I3652" s="156"/>
    </row>
    <row r="3653" spans="2:9" x14ac:dyDescent="0.2">
      <c r="B3653" s="230">
        <v>40617</v>
      </c>
      <c r="C3653" s="124">
        <v>112.77</v>
      </c>
      <c r="D3653" s="156">
        <f t="shared" si="115"/>
        <v>-6.4317180616740438E-3</v>
      </c>
      <c r="E3653" s="156">
        <v>-8.6033315028373782E-3</v>
      </c>
      <c r="F3653" s="124">
        <v>3647</v>
      </c>
      <c r="G3653" s="238">
        <f t="shared" ca="1" si="114"/>
        <v>6.9458148709130524E-3</v>
      </c>
      <c r="I3653" s="156"/>
    </row>
    <row r="3654" spans="2:9" x14ac:dyDescent="0.2">
      <c r="B3654" s="230">
        <v>40616</v>
      </c>
      <c r="C3654" s="124">
        <v>114.99</v>
      </c>
      <c r="D3654" s="156">
        <f t="shared" si="115"/>
        <v>1.9686086725192863E-2</v>
      </c>
      <c r="E3654" s="156">
        <v>-8.6091732225025714E-3</v>
      </c>
      <c r="F3654" s="124">
        <v>3648</v>
      </c>
      <c r="G3654" s="238">
        <f t="shared" ca="1" si="114"/>
        <v>-1.3211699090436154E-2</v>
      </c>
      <c r="I3654" s="156"/>
    </row>
    <row r="3655" spans="2:9" x14ac:dyDescent="0.2">
      <c r="B3655" s="230">
        <v>40613</v>
      </c>
      <c r="C3655" s="124">
        <v>113.6</v>
      </c>
      <c r="D3655" s="156">
        <f t="shared" si="115"/>
        <v>-1.2088007652839383E-2</v>
      </c>
      <c r="E3655" s="156">
        <v>-8.6173129651390071E-3</v>
      </c>
      <c r="F3655" s="124">
        <v>3649</v>
      </c>
      <c r="G3655" s="238">
        <f t="shared" ref="G3655:G3718" ca="1" si="116">_xlfn.NORM.INV(RAND(),$L$8,$L$9)</f>
        <v>1.3003441638030307E-2</v>
      </c>
      <c r="I3655" s="156"/>
    </row>
    <row r="3656" spans="2:9" x14ac:dyDescent="0.2">
      <c r="B3656" s="230">
        <v>40612</v>
      </c>
      <c r="C3656" s="124">
        <v>113.56</v>
      </c>
      <c r="D3656" s="156">
        <f t="shared" si="115"/>
        <v>-3.5211267605626801E-4</v>
      </c>
      <c r="E3656" s="156">
        <v>-8.6317722681360145E-3</v>
      </c>
      <c r="F3656" s="124">
        <v>3650</v>
      </c>
      <c r="G3656" s="238">
        <f t="shared" ca="1" si="116"/>
        <v>2.591311163516688E-2</v>
      </c>
      <c r="I3656" s="156"/>
    </row>
    <row r="3657" spans="2:9" x14ac:dyDescent="0.2">
      <c r="B3657" s="230">
        <v>40611</v>
      </c>
      <c r="C3657" s="124">
        <v>113.86</v>
      </c>
      <c r="D3657" s="156">
        <f t="shared" si="115"/>
        <v>2.64177527298342E-3</v>
      </c>
      <c r="E3657" s="156">
        <v>-8.63395452214058E-3</v>
      </c>
      <c r="F3657" s="124">
        <v>3651</v>
      </c>
      <c r="G3657" s="238">
        <f t="shared" ca="1" si="116"/>
        <v>9.1314327293271335E-3</v>
      </c>
      <c r="I3657" s="156"/>
    </row>
    <row r="3658" spans="2:9" x14ac:dyDescent="0.2">
      <c r="B3658" s="230">
        <v>40610</v>
      </c>
      <c r="C3658" s="124">
        <v>114</v>
      </c>
      <c r="D3658" s="156">
        <f t="shared" si="115"/>
        <v>1.229580186193576E-3</v>
      </c>
      <c r="E3658" s="156">
        <v>-8.6451035921895694E-3</v>
      </c>
      <c r="F3658" s="124">
        <v>3652</v>
      </c>
      <c r="G3658" s="238">
        <f t="shared" ca="1" si="116"/>
        <v>3.1281442919353926E-2</v>
      </c>
      <c r="I3658" s="156"/>
    </row>
    <row r="3659" spans="2:9" x14ac:dyDescent="0.2">
      <c r="B3659" s="230">
        <v>40609</v>
      </c>
      <c r="C3659" s="124">
        <v>114.46</v>
      </c>
      <c r="D3659" s="156">
        <f t="shared" si="115"/>
        <v>4.035087719298191E-3</v>
      </c>
      <c r="E3659" s="156">
        <v>-8.6461888509670338E-3</v>
      </c>
      <c r="F3659" s="124">
        <v>3653</v>
      </c>
      <c r="G3659" s="238">
        <f t="shared" ca="1" si="116"/>
        <v>-2.5908392242321474E-2</v>
      </c>
      <c r="I3659" s="156"/>
    </row>
    <row r="3660" spans="2:9" x14ac:dyDescent="0.2">
      <c r="B3660" s="230">
        <v>40606</v>
      </c>
      <c r="C3660" s="124">
        <v>114.29</v>
      </c>
      <c r="D3660" s="156">
        <f t="shared" si="115"/>
        <v>-1.4852350165995762E-3</v>
      </c>
      <c r="E3660" s="156">
        <v>-8.6507269013576023E-3</v>
      </c>
      <c r="F3660" s="124">
        <v>3654</v>
      </c>
      <c r="G3660" s="238">
        <f t="shared" ca="1" si="116"/>
        <v>-2.2253267628842615E-3</v>
      </c>
      <c r="I3660" s="156"/>
    </row>
    <row r="3661" spans="2:9" x14ac:dyDescent="0.2">
      <c r="B3661" s="230">
        <v>40605</v>
      </c>
      <c r="C3661" s="124">
        <v>115.06</v>
      </c>
      <c r="D3661" s="156">
        <f t="shared" si="115"/>
        <v>6.737247353224219E-3</v>
      </c>
      <c r="E3661" s="156">
        <v>-8.6720867208671271E-3</v>
      </c>
      <c r="F3661" s="124">
        <v>3655</v>
      </c>
      <c r="G3661" s="238">
        <f t="shared" ca="1" si="116"/>
        <v>-2.965686501977705E-3</v>
      </c>
      <c r="I3661" s="156"/>
    </row>
    <row r="3662" spans="2:9" x14ac:dyDescent="0.2">
      <c r="B3662" s="230">
        <v>40603</v>
      </c>
      <c r="C3662" s="124">
        <v>115.09</v>
      </c>
      <c r="D3662" s="156">
        <f t="shared" si="115"/>
        <v>2.6073353033201059E-4</v>
      </c>
      <c r="E3662" s="156">
        <v>-8.6736537766533336E-3</v>
      </c>
      <c r="F3662" s="124">
        <v>3656</v>
      </c>
      <c r="G3662" s="238">
        <f t="shared" ca="1" si="116"/>
        <v>3.7229438926176847E-2</v>
      </c>
      <c r="I3662" s="156"/>
    </row>
    <row r="3663" spans="2:9" x14ac:dyDescent="0.2">
      <c r="B3663" s="230">
        <v>40602</v>
      </c>
      <c r="C3663" s="124">
        <v>112.04</v>
      </c>
      <c r="D3663" s="156">
        <f t="shared" si="115"/>
        <v>-2.6500999218003276E-2</v>
      </c>
      <c r="E3663" s="156">
        <v>-8.6749716874291831E-3</v>
      </c>
      <c r="F3663" s="124">
        <v>3657</v>
      </c>
      <c r="G3663" s="238">
        <f t="shared" ca="1" si="116"/>
        <v>2.6276789629875154E-2</v>
      </c>
      <c r="I3663" s="156"/>
    </row>
    <row r="3664" spans="2:9" x14ac:dyDescent="0.2">
      <c r="B3664" s="230">
        <v>40599</v>
      </c>
      <c r="C3664" s="124">
        <v>103.62</v>
      </c>
      <c r="D3664" s="156">
        <f t="shared" si="115"/>
        <v>-7.5151731524455562E-2</v>
      </c>
      <c r="E3664" s="156">
        <v>-8.6772173741557924E-3</v>
      </c>
      <c r="F3664" s="124">
        <v>3658</v>
      </c>
      <c r="G3664" s="238">
        <f t="shared" ca="1" si="116"/>
        <v>-1.1983999608792801E-2</v>
      </c>
      <c r="I3664" s="156"/>
    </row>
    <row r="3665" spans="2:9" x14ac:dyDescent="0.2">
      <c r="B3665" s="230">
        <v>40598</v>
      </c>
      <c r="C3665" s="124">
        <v>99.87</v>
      </c>
      <c r="D3665" s="156">
        <f t="shared" si="115"/>
        <v>-3.6189924724956572E-2</v>
      </c>
      <c r="E3665" s="156">
        <v>-8.7256274911128116E-3</v>
      </c>
      <c r="F3665" s="124">
        <v>3659</v>
      </c>
      <c r="G3665" s="238">
        <f t="shared" ca="1" si="116"/>
        <v>8.4432972517811677E-3</v>
      </c>
      <c r="I3665" s="156"/>
    </row>
    <row r="3666" spans="2:9" x14ac:dyDescent="0.2">
      <c r="B3666" s="230">
        <v>40597</v>
      </c>
      <c r="C3666" s="124">
        <v>103.16</v>
      </c>
      <c r="D3666" s="156">
        <f t="shared" si="115"/>
        <v>3.2942825673375309E-2</v>
      </c>
      <c r="E3666" s="156">
        <v>-8.7261036798898343E-3</v>
      </c>
      <c r="F3666" s="124">
        <v>3660</v>
      </c>
      <c r="G3666" s="238">
        <f t="shared" ca="1" si="116"/>
        <v>2.080303652719168E-2</v>
      </c>
      <c r="I3666" s="156"/>
    </row>
    <row r="3667" spans="2:9" x14ac:dyDescent="0.2">
      <c r="B3667" s="230">
        <v>40596</v>
      </c>
      <c r="C3667" s="124">
        <v>103.89</v>
      </c>
      <c r="D3667" s="156">
        <f t="shared" si="115"/>
        <v>7.0763861962001165E-3</v>
      </c>
      <c r="E3667" s="156">
        <v>-8.7396611916868202E-3</v>
      </c>
      <c r="F3667" s="124">
        <v>3661</v>
      </c>
      <c r="G3667" s="238">
        <f t="shared" ca="1" si="116"/>
        <v>1.7339568288257536E-2</v>
      </c>
      <c r="I3667" s="156"/>
    </row>
    <row r="3668" spans="2:9" x14ac:dyDescent="0.2">
      <c r="B3668" s="230">
        <v>40595</v>
      </c>
      <c r="C3668" s="124">
        <v>104.88</v>
      </c>
      <c r="D3668" s="156">
        <f t="shared" si="115"/>
        <v>9.5293098469534585E-3</v>
      </c>
      <c r="E3668" s="156">
        <v>-8.7401673117742541E-3</v>
      </c>
      <c r="F3668" s="124">
        <v>3662</v>
      </c>
      <c r="G3668" s="238">
        <f t="shared" ca="1" si="116"/>
        <v>2.0117375631710229E-2</v>
      </c>
      <c r="I3668" s="156"/>
    </row>
    <row r="3669" spans="2:9" x14ac:dyDescent="0.2">
      <c r="B3669" s="230">
        <v>40592</v>
      </c>
      <c r="C3669" s="124">
        <v>103.26</v>
      </c>
      <c r="D3669" s="156">
        <f t="shared" si="115"/>
        <v>-1.5446224256292815E-2</v>
      </c>
      <c r="E3669" s="156">
        <v>-8.7597330367073893E-3</v>
      </c>
      <c r="F3669" s="124">
        <v>3663</v>
      </c>
      <c r="G3669" s="238">
        <f t="shared" ca="1" si="116"/>
        <v>3.9183857047210453E-2</v>
      </c>
      <c r="I3669" s="156"/>
    </row>
    <row r="3670" spans="2:9" x14ac:dyDescent="0.2">
      <c r="B3670" s="230">
        <v>40591</v>
      </c>
      <c r="C3670" s="124">
        <v>105.05</v>
      </c>
      <c r="D3670" s="156">
        <f t="shared" si="115"/>
        <v>1.7334882820065775E-2</v>
      </c>
      <c r="E3670" s="156">
        <v>-8.7705051161279697E-3</v>
      </c>
      <c r="F3670" s="124">
        <v>3664</v>
      </c>
      <c r="G3670" s="238">
        <f t="shared" ca="1" si="116"/>
        <v>-2.0201800638560696E-2</v>
      </c>
      <c r="I3670" s="156"/>
    </row>
    <row r="3671" spans="2:9" x14ac:dyDescent="0.2">
      <c r="B3671" s="230">
        <v>40590</v>
      </c>
      <c r="C3671" s="124">
        <v>104.02</v>
      </c>
      <c r="D3671" s="156">
        <f t="shared" si="115"/>
        <v>-9.8048548310328519E-3</v>
      </c>
      <c r="E3671" s="156">
        <v>-8.771154610931968E-3</v>
      </c>
      <c r="F3671" s="124">
        <v>3665</v>
      </c>
      <c r="G3671" s="238">
        <f t="shared" ca="1" si="116"/>
        <v>8.7119275098177292E-3</v>
      </c>
      <c r="I3671" s="156"/>
    </row>
    <row r="3672" spans="2:9" x14ac:dyDescent="0.2">
      <c r="B3672" s="230">
        <v>40589</v>
      </c>
      <c r="C3672" s="124">
        <v>104.15</v>
      </c>
      <c r="D3672" s="156">
        <f t="shared" si="115"/>
        <v>1.2497596616036306E-3</v>
      </c>
      <c r="E3672" s="156">
        <v>-8.7760910815940351E-3</v>
      </c>
      <c r="F3672" s="124">
        <v>3666</v>
      </c>
      <c r="G3672" s="238">
        <f t="shared" ca="1" si="116"/>
        <v>1.4216169299938918E-2</v>
      </c>
      <c r="I3672" s="156"/>
    </row>
    <row r="3673" spans="2:9" x14ac:dyDescent="0.2">
      <c r="B3673" s="230">
        <v>40588</v>
      </c>
      <c r="C3673" s="124">
        <v>104.42</v>
      </c>
      <c r="D3673" s="156">
        <f t="shared" si="115"/>
        <v>2.5924147863657801E-3</v>
      </c>
      <c r="E3673" s="156">
        <v>-8.7769509635566168E-3</v>
      </c>
      <c r="F3673" s="124">
        <v>3667</v>
      </c>
      <c r="G3673" s="238">
        <f t="shared" ca="1" si="116"/>
        <v>4.2432987775443201E-3</v>
      </c>
      <c r="I3673" s="156"/>
    </row>
    <row r="3674" spans="2:9" x14ac:dyDescent="0.2">
      <c r="B3674" s="230">
        <v>40585</v>
      </c>
      <c r="C3674" s="124">
        <v>102.82</v>
      </c>
      <c r="D3674" s="156">
        <f t="shared" si="115"/>
        <v>-1.5322735108216898E-2</v>
      </c>
      <c r="E3674" s="156">
        <v>-8.7783467446964705E-3</v>
      </c>
      <c r="F3674" s="124">
        <v>3668</v>
      </c>
      <c r="G3674" s="238">
        <f t="shared" ca="1" si="116"/>
        <v>-2.3827782179279529E-3</v>
      </c>
      <c r="I3674" s="156"/>
    </row>
    <row r="3675" spans="2:9" x14ac:dyDescent="0.2">
      <c r="B3675" s="230">
        <v>40584</v>
      </c>
      <c r="C3675" s="124">
        <v>103.52</v>
      </c>
      <c r="D3675" s="156">
        <f t="shared" si="115"/>
        <v>6.8080140050574096E-3</v>
      </c>
      <c r="E3675" s="156">
        <v>-8.7805752172744733E-3</v>
      </c>
      <c r="F3675" s="124">
        <v>3669</v>
      </c>
      <c r="G3675" s="238">
        <f t="shared" ca="1" si="116"/>
        <v>-8.5945315915097083E-3</v>
      </c>
      <c r="I3675" s="156"/>
    </row>
    <row r="3676" spans="2:9" x14ac:dyDescent="0.2">
      <c r="B3676" s="230">
        <v>40583</v>
      </c>
      <c r="C3676" s="124">
        <v>102.03</v>
      </c>
      <c r="D3676" s="156">
        <f t="shared" si="115"/>
        <v>-1.4393353941267339E-2</v>
      </c>
      <c r="E3676" s="156">
        <v>-8.7825292505379106E-3</v>
      </c>
      <c r="F3676" s="124">
        <v>3670</v>
      </c>
      <c r="G3676" s="238">
        <f t="shared" ca="1" si="116"/>
        <v>-3.614642509176718E-2</v>
      </c>
      <c r="I3676" s="156"/>
    </row>
    <row r="3677" spans="2:9" x14ac:dyDescent="0.2">
      <c r="B3677" s="230">
        <v>40582</v>
      </c>
      <c r="C3677" s="124">
        <v>103.49</v>
      </c>
      <c r="D3677" s="156">
        <f t="shared" si="115"/>
        <v>1.430951680878167E-2</v>
      </c>
      <c r="E3677" s="156">
        <v>-8.8024090803799204E-3</v>
      </c>
      <c r="F3677" s="124">
        <v>3671</v>
      </c>
      <c r="G3677" s="238">
        <f t="shared" ca="1" si="116"/>
        <v>2.5222231442983824E-2</v>
      </c>
      <c r="I3677" s="156"/>
    </row>
    <row r="3678" spans="2:9" x14ac:dyDescent="0.2">
      <c r="B3678" s="230">
        <v>40581</v>
      </c>
      <c r="C3678" s="124">
        <v>104.15</v>
      </c>
      <c r="D3678" s="156">
        <f t="shared" si="115"/>
        <v>6.3774277707992159E-3</v>
      </c>
      <c r="E3678" s="156">
        <v>-8.8114074565351919E-3</v>
      </c>
      <c r="F3678" s="124">
        <v>3672</v>
      </c>
      <c r="G3678" s="238">
        <f t="shared" ca="1" si="116"/>
        <v>4.8656037191864244E-3</v>
      </c>
      <c r="I3678" s="156"/>
    </row>
    <row r="3679" spans="2:9" x14ac:dyDescent="0.2">
      <c r="B3679" s="230">
        <v>40578</v>
      </c>
      <c r="C3679" s="124">
        <v>101.43</v>
      </c>
      <c r="D3679" s="156">
        <f t="shared" si="115"/>
        <v>-2.6116178588574158E-2</v>
      </c>
      <c r="E3679" s="156">
        <v>-8.820858736541792E-3</v>
      </c>
      <c r="F3679" s="124">
        <v>3673</v>
      </c>
      <c r="G3679" s="238">
        <f t="shared" ca="1" si="116"/>
        <v>-3.7061807960410255E-3</v>
      </c>
      <c r="I3679" s="156"/>
    </row>
    <row r="3680" spans="2:9" x14ac:dyDescent="0.2">
      <c r="B3680" s="230">
        <v>40577</v>
      </c>
      <c r="C3680" s="124">
        <v>105.71</v>
      </c>
      <c r="D3680" s="156">
        <f t="shared" si="115"/>
        <v>4.2196588780439581E-2</v>
      </c>
      <c r="E3680" s="156">
        <v>-8.8224914715915766E-3</v>
      </c>
      <c r="F3680" s="124">
        <v>3674</v>
      </c>
      <c r="G3680" s="238">
        <f t="shared" ca="1" si="116"/>
        <v>2.9350988758084742E-2</v>
      </c>
      <c r="I3680" s="156"/>
    </row>
    <row r="3681" spans="2:9" x14ac:dyDescent="0.2">
      <c r="B3681" s="230">
        <v>40576</v>
      </c>
      <c r="C3681" s="124">
        <v>105.41</v>
      </c>
      <c r="D3681" s="156">
        <f t="shared" si="115"/>
        <v>-2.8379528899819995E-3</v>
      </c>
      <c r="E3681" s="156">
        <v>-8.8276506305464096E-3</v>
      </c>
      <c r="F3681" s="124">
        <v>3675</v>
      </c>
      <c r="G3681" s="238">
        <f t="shared" ca="1" si="116"/>
        <v>1.2848640426212032E-2</v>
      </c>
      <c r="I3681" s="156"/>
    </row>
    <row r="3682" spans="2:9" x14ac:dyDescent="0.2">
      <c r="B3682" s="230">
        <v>40575</v>
      </c>
      <c r="C3682" s="124">
        <v>105.81</v>
      </c>
      <c r="D3682" s="156">
        <f t="shared" si="115"/>
        <v>3.7947063845935459E-3</v>
      </c>
      <c r="E3682" s="156">
        <v>-8.8321362064378642E-3</v>
      </c>
      <c r="F3682" s="124">
        <v>3676</v>
      </c>
      <c r="G3682" s="238">
        <f t="shared" ca="1" si="116"/>
        <v>-1.2416925495029298E-2</v>
      </c>
      <c r="I3682" s="156"/>
    </row>
    <row r="3683" spans="2:9" x14ac:dyDescent="0.2">
      <c r="B3683" s="230">
        <v>40574</v>
      </c>
      <c r="C3683" s="124">
        <v>107.8</v>
      </c>
      <c r="D3683" s="156">
        <f t="shared" si="115"/>
        <v>1.8807296096777195E-2</v>
      </c>
      <c r="E3683" s="156">
        <v>-8.8324258923170463E-3</v>
      </c>
      <c r="F3683" s="124">
        <v>3677</v>
      </c>
      <c r="G3683" s="238">
        <f t="shared" ca="1" si="116"/>
        <v>-5.5796850912866892E-3</v>
      </c>
      <c r="I3683" s="156"/>
    </row>
    <row r="3684" spans="2:9" x14ac:dyDescent="0.2">
      <c r="B3684" s="230">
        <v>40571</v>
      </c>
      <c r="C3684" s="124">
        <v>111.48</v>
      </c>
      <c r="D3684" s="156">
        <f t="shared" si="115"/>
        <v>3.4137291280148488E-2</v>
      </c>
      <c r="E3684" s="156">
        <v>-8.843296781039971E-3</v>
      </c>
      <c r="F3684" s="124">
        <v>3678</v>
      </c>
      <c r="G3684" s="238">
        <f t="shared" ca="1" si="116"/>
        <v>-4.0714550012442632E-3</v>
      </c>
      <c r="I3684" s="156"/>
    </row>
    <row r="3685" spans="2:9" x14ac:dyDescent="0.2">
      <c r="B3685" s="230">
        <v>40570</v>
      </c>
      <c r="C3685" s="124">
        <v>111.24</v>
      </c>
      <c r="D3685" s="156">
        <f t="shared" si="115"/>
        <v>-2.1528525296018036E-3</v>
      </c>
      <c r="E3685" s="156">
        <v>-8.8530012647145707E-3</v>
      </c>
      <c r="F3685" s="124">
        <v>3679</v>
      </c>
      <c r="G3685" s="238">
        <f t="shared" ca="1" si="116"/>
        <v>2.2296114054720265E-2</v>
      </c>
      <c r="I3685" s="156"/>
    </row>
    <row r="3686" spans="2:9" x14ac:dyDescent="0.2">
      <c r="B3686" s="230">
        <v>40568</v>
      </c>
      <c r="C3686" s="124">
        <v>111.38</v>
      </c>
      <c r="D3686" s="156">
        <f t="shared" si="115"/>
        <v>1.258540093491555E-3</v>
      </c>
      <c r="E3686" s="156">
        <v>-8.8642659279778921E-3</v>
      </c>
      <c r="F3686" s="124">
        <v>3680</v>
      </c>
      <c r="G3686" s="238">
        <f t="shared" ca="1" si="116"/>
        <v>-8.4668736514933503E-3</v>
      </c>
      <c r="I3686" s="156"/>
    </row>
    <row r="3687" spans="2:9" x14ac:dyDescent="0.2">
      <c r="B3687" s="230">
        <v>40567</v>
      </c>
      <c r="C3687" s="124">
        <v>112.11</v>
      </c>
      <c r="D3687" s="156">
        <f t="shared" si="115"/>
        <v>6.5541389836595802E-3</v>
      </c>
      <c r="E3687" s="156">
        <v>-8.8723886232066236E-3</v>
      </c>
      <c r="F3687" s="124">
        <v>3681</v>
      </c>
      <c r="G3687" s="238">
        <f t="shared" ca="1" si="116"/>
        <v>2.4446060137243014E-2</v>
      </c>
      <c r="I3687" s="156"/>
    </row>
    <row r="3688" spans="2:9" x14ac:dyDescent="0.2">
      <c r="B3688" s="230">
        <v>40564</v>
      </c>
      <c r="C3688" s="124">
        <v>111.97</v>
      </c>
      <c r="D3688" s="156">
        <f t="shared" si="115"/>
        <v>-1.248773526001254E-3</v>
      </c>
      <c r="E3688" s="156">
        <v>-8.8728065827303471E-3</v>
      </c>
      <c r="F3688" s="124">
        <v>3682</v>
      </c>
      <c r="G3688" s="238">
        <f t="shared" ca="1" si="116"/>
        <v>-3.9460646480240385E-4</v>
      </c>
      <c r="I3688" s="156"/>
    </row>
    <row r="3689" spans="2:9" x14ac:dyDescent="0.2">
      <c r="B3689" s="230">
        <v>40563</v>
      </c>
      <c r="C3689" s="124">
        <v>113.8</v>
      </c>
      <c r="D3689" s="156">
        <f t="shared" si="115"/>
        <v>1.6343663481289617E-2</v>
      </c>
      <c r="E3689" s="156">
        <v>-8.8960776384957758E-3</v>
      </c>
      <c r="F3689" s="124">
        <v>3683</v>
      </c>
      <c r="G3689" s="238">
        <f t="shared" ca="1" si="116"/>
        <v>-2.0470995502000256E-2</v>
      </c>
      <c r="I3689" s="156"/>
    </row>
    <row r="3690" spans="2:9" x14ac:dyDescent="0.2">
      <c r="B3690" s="230">
        <v>40562</v>
      </c>
      <c r="C3690" s="124">
        <v>116.32</v>
      </c>
      <c r="D3690" s="156">
        <f t="shared" si="115"/>
        <v>2.2144112478031601E-2</v>
      </c>
      <c r="E3690" s="156">
        <v>-8.8964414234306323E-3</v>
      </c>
      <c r="F3690" s="124">
        <v>3684</v>
      </c>
      <c r="G3690" s="238">
        <f t="shared" ca="1" si="116"/>
        <v>5.2396800292158355E-3</v>
      </c>
      <c r="I3690" s="156"/>
    </row>
    <row r="3691" spans="2:9" x14ac:dyDescent="0.2">
      <c r="B3691" s="230">
        <v>40561</v>
      </c>
      <c r="C3691" s="124">
        <v>116.78</v>
      </c>
      <c r="D3691" s="156">
        <f t="shared" si="115"/>
        <v>3.9546079779918157E-3</v>
      </c>
      <c r="E3691" s="156">
        <v>-8.9047195013357075E-3</v>
      </c>
      <c r="F3691" s="124">
        <v>3685</v>
      </c>
      <c r="G3691" s="238">
        <f t="shared" ca="1" si="116"/>
        <v>-2.5983894177050264E-2</v>
      </c>
      <c r="I3691" s="156"/>
    </row>
    <row r="3692" spans="2:9" x14ac:dyDescent="0.2">
      <c r="B3692" s="230">
        <v>40560</v>
      </c>
      <c r="C3692" s="124">
        <v>114</v>
      </c>
      <c r="D3692" s="156">
        <f t="shared" si="115"/>
        <v>-2.3805446138037346E-2</v>
      </c>
      <c r="E3692" s="156">
        <v>-8.9285714285714281E-3</v>
      </c>
      <c r="F3692" s="124">
        <v>3686</v>
      </c>
      <c r="G3692" s="238">
        <f t="shared" ca="1" si="116"/>
        <v>-9.9779375746207495E-3</v>
      </c>
      <c r="I3692" s="156"/>
    </row>
    <row r="3693" spans="2:9" x14ac:dyDescent="0.2">
      <c r="B3693" s="230">
        <v>40557</v>
      </c>
      <c r="C3693" s="124">
        <v>113.07</v>
      </c>
      <c r="D3693" s="156">
        <f t="shared" si="115"/>
        <v>-8.1578947368421643E-3</v>
      </c>
      <c r="E3693" s="156">
        <v>-8.9374379344588448E-3</v>
      </c>
      <c r="F3693" s="124">
        <v>3687</v>
      </c>
      <c r="G3693" s="238">
        <f t="shared" ca="1" si="116"/>
        <v>-2.0555795086006197E-2</v>
      </c>
      <c r="I3693" s="156"/>
    </row>
    <row r="3694" spans="2:9" x14ac:dyDescent="0.2">
      <c r="B3694" s="230">
        <v>40556</v>
      </c>
      <c r="C3694" s="124">
        <v>114.79</v>
      </c>
      <c r="D3694" s="156">
        <f t="shared" si="115"/>
        <v>1.5211815689396066E-2</v>
      </c>
      <c r="E3694" s="156">
        <v>-8.9432378171198715E-3</v>
      </c>
      <c r="F3694" s="124">
        <v>3688</v>
      </c>
      <c r="G3694" s="238">
        <f t="shared" ca="1" si="116"/>
        <v>9.8135573270514594E-3</v>
      </c>
      <c r="I3694" s="156"/>
    </row>
    <row r="3695" spans="2:9" x14ac:dyDescent="0.2">
      <c r="B3695" s="230">
        <v>40555</v>
      </c>
      <c r="C3695" s="124">
        <v>115.19</v>
      </c>
      <c r="D3695" s="156">
        <f t="shared" si="115"/>
        <v>3.4846240961755506E-3</v>
      </c>
      <c r="E3695" s="156">
        <v>-8.944620388598834E-3</v>
      </c>
      <c r="F3695" s="124">
        <v>3689</v>
      </c>
      <c r="G3695" s="238">
        <f t="shared" ca="1" si="116"/>
        <v>-1.6486661480084139E-2</v>
      </c>
      <c r="I3695" s="156"/>
    </row>
    <row r="3696" spans="2:9" x14ac:dyDescent="0.2">
      <c r="B3696" s="230">
        <v>40554</v>
      </c>
      <c r="C3696" s="124">
        <v>112.77</v>
      </c>
      <c r="D3696" s="156">
        <f t="shared" si="115"/>
        <v>-2.1008768122232849E-2</v>
      </c>
      <c r="E3696" s="156">
        <v>-8.9485458612974939E-3</v>
      </c>
      <c r="F3696" s="124">
        <v>3690</v>
      </c>
      <c r="G3696" s="238">
        <f t="shared" ca="1" si="116"/>
        <v>2.3298482028005951E-2</v>
      </c>
      <c r="I3696" s="156"/>
    </row>
    <row r="3697" spans="2:9" x14ac:dyDescent="0.2">
      <c r="B3697" s="230">
        <v>40553</v>
      </c>
      <c r="C3697" s="124">
        <v>113.1</v>
      </c>
      <c r="D3697" s="156">
        <f t="shared" si="115"/>
        <v>2.9263101888800064E-3</v>
      </c>
      <c r="E3697" s="156">
        <v>-8.955617015672419E-3</v>
      </c>
      <c r="F3697" s="124">
        <v>3691</v>
      </c>
      <c r="G3697" s="238">
        <f t="shared" ca="1" si="116"/>
        <v>-4.1854922600377186E-3</v>
      </c>
      <c r="I3697" s="156"/>
    </row>
    <row r="3698" spans="2:9" x14ac:dyDescent="0.2">
      <c r="B3698" s="230">
        <v>40550</v>
      </c>
      <c r="C3698" s="124">
        <v>114.36</v>
      </c>
      <c r="D3698" s="156">
        <f t="shared" si="115"/>
        <v>1.1140583554376703E-2</v>
      </c>
      <c r="E3698" s="156">
        <v>-8.9576547231270363E-3</v>
      </c>
      <c r="F3698" s="124">
        <v>3692</v>
      </c>
      <c r="G3698" s="238">
        <f t="shared" ca="1" si="116"/>
        <v>1.7507999899131249E-3</v>
      </c>
      <c r="I3698" s="156"/>
    </row>
    <row r="3699" spans="2:9" x14ac:dyDescent="0.2">
      <c r="B3699" s="230">
        <v>40549</v>
      </c>
      <c r="C3699" s="124">
        <v>118.6</v>
      </c>
      <c r="D3699" s="156">
        <f t="shared" si="115"/>
        <v>3.7075900664567986E-2</v>
      </c>
      <c r="E3699" s="156">
        <v>-8.9596381350033668E-3</v>
      </c>
      <c r="F3699" s="124">
        <v>3693</v>
      </c>
      <c r="G3699" s="238">
        <f t="shared" ca="1" si="116"/>
        <v>3.2378564574512248E-3</v>
      </c>
      <c r="I3699" s="156"/>
    </row>
    <row r="3700" spans="2:9" x14ac:dyDescent="0.2">
      <c r="B3700" s="230">
        <v>40548</v>
      </c>
      <c r="C3700" s="124">
        <v>119.2</v>
      </c>
      <c r="D3700" s="156">
        <f t="shared" si="115"/>
        <v>5.0590219224284022E-3</v>
      </c>
      <c r="E3700" s="156">
        <v>-8.9599905373038101E-3</v>
      </c>
      <c r="F3700" s="124">
        <v>3694</v>
      </c>
      <c r="G3700" s="238">
        <f t="shared" ca="1" si="116"/>
        <v>-3.2181555915159817E-2</v>
      </c>
      <c r="I3700" s="156"/>
    </row>
    <row r="3701" spans="2:9" x14ac:dyDescent="0.2">
      <c r="B3701" s="230">
        <v>40547</v>
      </c>
      <c r="C3701" s="124">
        <v>117.67</v>
      </c>
      <c r="D3701" s="156">
        <f t="shared" si="115"/>
        <v>-1.2835570469798666E-2</v>
      </c>
      <c r="E3701" s="156">
        <v>-8.9955022488755615E-3</v>
      </c>
      <c r="F3701" s="124">
        <v>3695</v>
      </c>
      <c r="G3701" s="238">
        <f t="shared" ca="1" si="116"/>
        <v>2.4455297385740708E-2</v>
      </c>
      <c r="I3701" s="156"/>
    </row>
    <row r="3702" spans="2:9" x14ac:dyDescent="0.2">
      <c r="B3702" s="230">
        <v>40546</v>
      </c>
      <c r="C3702" s="124">
        <v>115.88</v>
      </c>
      <c r="D3702" s="156">
        <f t="shared" si="115"/>
        <v>-1.5212033653437632E-2</v>
      </c>
      <c r="E3702" s="156">
        <v>-8.9995653619000891E-3</v>
      </c>
      <c r="F3702" s="124">
        <v>3696</v>
      </c>
      <c r="G3702" s="238">
        <f t="shared" ca="1" si="116"/>
        <v>1.0328615869274155E-2</v>
      </c>
      <c r="I3702" s="156"/>
    </row>
    <row r="3703" spans="2:9" x14ac:dyDescent="0.2">
      <c r="B3703" s="230">
        <v>40543</v>
      </c>
      <c r="C3703" s="124">
        <v>115.79</v>
      </c>
      <c r="D3703" s="156">
        <f t="shared" si="115"/>
        <v>-7.7666551605099421E-4</v>
      </c>
      <c r="E3703" s="156">
        <v>-9.007926975738649E-3</v>
      </c>
      <c r="F3703" s="124">
        <v>3697</v>
      </c>
      <c r="G3703" s="238">
        <f t="shared" ca="1" si="116"/>
        <v>-9.9146375006172755E-3</v>
      </c>
      <c r="I3703" s="156"/>
    </row>
    <row r="3704" spans="2:9" x14ac:dyDescent="0.2">
      <c r="B3704" s="230">
        <v>40542</v>
      </c>
      <c r="C3704" s="124">
        <v>115.72</v>
      </c>
      <c r="D3704" s="156">
        <f t="shared" si="115"/>
        <v>-6.0454270662412457E-4</v>
      </c>
      <c r="E3704" s="156">
        <v>-9.0123920390536849E-3</v>
      </c>
      <c r="F3704" s="124">
        <v>3698</v>
      </c>
      <c r="G3704" s="238">
        <f t="shared" ca="1" si="116"/>
        <v>-4.3339377355000638E-2</v>
      </c>
      <c r="I3704" s="156"/>
    </row>
    <row r="3705" spans="2:9" x14ac:dyDescent="0.2">
      <c r="B3705" s="230">
        <v>40541</v>
      </c>
      <c r="C3705" s="124">
        <v>115.49</v>
      </c>
      <c r="D3705" s="156">
        <f t="shared" si="115"/>
        <v>-1.9875561700657103E-3</v>
      </c>
      <c r="E3705" s="156">
        <v>-9.0226213089275396E-3</v>
      </c>
      <c r="F3705" s="124">
        <v>3699</v>
      </c>
      <c r="G3705" s="238">
        <f t="shared" ca="1" si="116"/>
        <v>-5.9533442295194167E-3</v>
      </c>
      <c r="I3705" s="156"/>
    </row>
    <row r="3706" spans="2:9" x14ac:dyDescent="0.2">
      <c r="B3706" s="230">
        <v>40540</v>
      </c>
      <c r="C3706" s="124">
        <v>113.5</v>
      </c>
      <c r="D3706" s="156">
        <f t="shared" si="115"/>
        <v>-1.7230929084769201E-2</v>
      </c>
      <c r="E3706" s="156">
        <v>-9.0236001850994389E-3</v>
      </c>
      <c r="F3706" s="124">
        <v>3700</v>
      </c>
      <c r="G3706" s="238">
        <f t="shared" ca="1" si="116"/>
        <v>-1.0145884722224675E-2</v>
      </c>
      <c r="I3706" s="156"/>
    </row>
    <row r="3707" spans="2:9" x14ac:dyDescent="0.2">
      <c r="B3707" s="230">
        <v>40539</v>
      </c>
      <c r="C3707" s="124">
        <v>112.54</v>
      </c>
      <c r="D3707" s="156">
        <f t="shared" si="115"/>
        <v>-8.4581497797356284E-3</v>
      </c>
      <c r="E3707" s="156">
        <v>-9.0324821955880576E-3</v>
      </c>
      <c r="F3707" s="124">
        <v>3701</v>
      </c>
      <c r="G3707" s="238">
        <f t="shared" ca="1" si="116"/>
        <v>-1.5759417328770963E-2</v>
      </c>
      <c r="I3707" s="156"/>
    </row>
    <row r="3708" spans="2:9" x14ac:dyDescent="0.2">
      <c r="B3708" s="230">
        <v>40536</v>
      </c>
      <c r="C3708" s="124">
        <v>112.64</v>
      </c>
      <c r="D3708" s="156">
        <f t="shared" si="115"/>
        <v>8.8857295183929544E-4</v>
      </c>
      <c r="E3708" s="156">
        <v>-9.0412507063476269E-3</v>
      </c>
      <c r="F3708" s="124">
        <v>3702</v>
      </c>
      <c r="G3708" s="238">
        <f t="shared" ca="1" si="116"/>
        <v>-3.2392646010307872E-3</v>
      </c>
      <c r="I3708" s="156"/>
    </row>
    <row r="3709" spans="2:9" x14ac:dyDescent="0.2">
      <c r="B3709" s="230">
        <v>40535</v>
      </c>
      <c r="C3709" s="124">
        <v>110.65</v>
      </c>
      <c r="D3709" s="156">
        <f t="shared" si="115"/>
        <v>-1.7666903409090863E-2</v>
      </c>
      <c r="E3709" s="156">
        <v>-9.0419806243272095E-3</v>
      </c>
      <c r="F3709" s="124">
        <v>3703</v>
      </c>
      <c r="G3709" s="238">
        <f t="shared" ca="1" si="116"/>
        <v>-7.9750061314127485E-3</v>
      </c>
      <c r="I3709" s="156"/>
    </row>
    <row r="3710" spans="2:9" x14ac:dyDescent="0.2">
      <c r="B3710" s="230">
        <v>40534</v>
      </c>
      <c r="C3710" s="124">
        <v>110.98</v>
      </c>
      <c r="D3710" s="156">
        <f t="shared" ref="D3710:D3773" si="117">(C3710-C3709)/C3709</f>
        <v>2.9823768639855243E-3</v>
      </c>
      <c r="E3710" s="156">
        <v>-9.056176595443553E-3</v>
      </c>
      <c r="F3710" s="124">
        <v>3704</v>
      </c>
      <c r="G3710" s="238">
        <f t="shared" ca="1" si="116"/>
        <v>8.256982226702533E-3</v>
      </c>
      <c r="I3710" s="156"/>
    </row>
    <row r="3711" spans="2:9" x14ac:dyDescent="0.2">
      <c r="B3711" s="230">
        <v>40533</v>
      </c>
      <c r="C3711" s="124">
        <v>110.81</v>
      </c>
      <c r="D3711" s="156">
        <f t="shared" si="117"/>
        <v>-1.531807532888824E-3</v>
      </c>
      <c r="E3711" s="156">
        <v>-9.0566037735848193E-3</v>
      </c>
      <c r="F3711" s="124">
        <v>3705</v>
      </c>
      <c r="G3711" s="238">
        <f t="shared" ca="1" si="116"/>
        <v>-2.1585240078717406E-2</v>
      </c>
      <c r="I3711" s="156"/>
    </row>
    <row r="3712" spans="2:9" x14ac:dyDescent="0.2">
      <c r="B3712" s="230">
        <v>40532</v>
      </c>
      <c r="C3712" s="124">
        <v>110.68</v>
      </c>
      <c r="D3712" s="156">
        <f t="shared" si="117"/>
        <v>-1.1731793159461732E-3</v>
      </c>
      <c r="E3712" s="156">
        <v>-9.063666732167415E-3</v>
      </c>
      <c r="F3712" s="124">
        <v>3706</v>
      </c>
      <c r="G3712" s="238">
        <f t="shared" ca="1" si="116"/>
        <v>-2.0627875205606112E-2</v>
      </c>
      <c r="I3712" s="156"/>
    </row>
    <row r="3713" spans="2:9" x14ac:dyDescent="0.2">
      <c r="B3713" s="230">
        <v>40528</v>
      </c>
      <c r="C3713" s="124">
        <v>111.41</v>
      </c>
      <c r="D3713" s="156">
        <f t="shared" si="117"/>
        <v>6.5955908926634416E-3</v>
      </c>
      <c r="E3713" s="156">
        <v>-9.0639647091261787E-3</v>
      </c>
      <c r="F3713" s="124">
        <v>3707</v>
      </c>
      <c r="G3713" s="238">
        <f t="shared" ca="1" si="116"/>
        <v>1.8172788180183648E-2</v>
      </c>
      <c r="I3713" s="156"/>
    </row>
    <row r="3714" spans="2:9" x14ac:dyDescent="0.2">
      <c r="B3714" s="230">
        <v>40527</v>
      </c>
      <c r="C3714" s="124">
        <v>110.71</v>
      </c>
      <c r="D3714" s="156">
        <f t="shared" si="117"/>
        <v>-6.2830984651288295E-3</v>
      </c>
      <c r="E3714" s="156">
        <v>-9.0660013810616204E-3</v>
      </c>
      <c r="F3714" s="124">
        <v>3708</v>
      </c>
      <c r="G3714" s="238">
        <f t="shared" ca="1" si="116"/>
        <v>7.4311528271923683E-4</v>
      </c>
      <c r="I3714" s="156"/>
    </row>
    <row r="3715" spans="2:9" x14ac:dyDescent="0.2">
      <c r="B3715" s="230">
        <v>40526</v>
      </c>
      <c r="C3715" s="124">
        <v>111.64</v>
      </c>
      <c r="D3715" s="156">
        <f t="shared" si="117"/>
        <v>8.4003251738777613E-3</v>
      </c>
      <c r="E3715" s="156">
        <v>-9.0694721567204789E-3</v>
      </c>
      <c r="F3715" s="124">
        <v>3709</v>
      </c>
      <c r="G3715" s="238">
        <f t="shared" ca="1" si="116"/>
        <v>2.3941770216065694E-2</v>
      </c>
      <c r="I3715" s="156"/>
    </row>
    <row r="3716" spans="2:9" x14ac:dyDescent="0.2">
      <c r="B3716" s="230">
        <v>40525</v>
      </c>
      <c r="C3716" s="124">
        <v>110.81</v>
      </c>
      <c r="D3716" s="156">
        <f t="shared" si="117"/>
        <v>-7.4346112504478533E-3</v>
      </c>
      <c r="E3716" s="156">
        <v>-9.087998423761786E-3</v>
      </c>
      <c r="F3716" s="124">
        <v>3710</v>
      </c>
      <c r="G3716" s="238">
        <f t="shared" ca="1" si="116"/>
        <v>2.0368154283421022E-2</v>
      </c>
      <c r="I3716" s="156"/>
    </row>
    <row r="3717" spans="2:9" x14ac:dyDescent="0.2">
      <c r="B3717" s="230">
        <v>40522</v>
      </c>
      <c r="C3717" s="124">
        <v>112.9</v>
      </c>
      <c r="D3717" s="156">
        <f t="shared" si="117"/>
        <v>1.8861113617904553E-2</v>
      </c>
      <c r="E3717" s="156">
        <v>-9.0893788924423114E-3</v>
      </c>
      <c r="F3717" s="124">
        <v>3711</v>
      </c>
      <c r="G3717" s="238">
        <f t="shared" ca="1" si="116"/>
        <v>4.1225557307567103E-3</v>
      </c>
      <c r="I3717" s="156"/>
    </row>
    <row r="3718" spans="2:9" x14ac:dyDescent="0.2">
      <c r="B3718" s="230">
        <v>40521</v>
      </c>
      <c r="C3718" s="124">
        <v>110.91</v>
      </c>
      <c r="D3718" s="156">
        <f t="shared" si="117"/>
        <v>-1.7626217891939848E-2</v>
      </c>
      <c r="E3718" s="156">
        <v>-9.0968161143599492E-3</v>
      </c>
      <c r="F3718" s="124">
        <v>3712</v>
      </c>
      <c r="G3718" s="238">
        <f t="shared" ca="1" si="116"/>
        <v>8.4985315511611932E-3</v>
      </c>
      <c r="I3718" s="156"/>
    </row>
    <row r="3719" spans="2:9" x14ac:dyDescent="0.2">
      <c r="B3719" s="230">
        <v>40520</v>
      </c>
      <c r="C3719" s="124">
        <v>110.55</v>
      </c>
      <c r="D3719" s="156">
        <f t="shared" si="117"/>
        <v>-3.2458750338111931E-3</v>
      </c>
      <c r="E3719" s="156">
        <v>-9.1032345535540047E-3</v>
      </c>
      <c r="F3719" s="124">
        <v>3713</v>
      </c>
      <c r="G3719" s="238">
        <f t="shared" ref="G3719:G3782" ca="1" si="118">_xlfn.NORM.INV(RAND(),$L$8,$L$9)</f>
        <v>-9.8136180220323808E-3</v>
      </c>
      <c r="I3719" s="156"/>
    </row>
    <row r="3720" spans="2:9" x14ac:dyDescent="0.2">
      <c r="B3720" s="230">
        <v>40519</v>
      </c>
      <c r="C3720" s="124">
        <v>111.51</v>
      </c>
      <c r="D3720" s="156">
        <f t="shared" si="117"/>
        <v>8.6838534599729348E-3</v>
      </c>
      <c r="E3720" s="156">
        <v>-9.1324200913241744E-3</v>
      </c>
      <c r="F3720" s="124">
        <v>3714</v>
      </c>
      <c r="G3720" s="238">
        <f t="shared" ca="1" si="118"/>
        <v>2.4995854268215233E-2</v>
      </c>
      <c r="I3720" s="156"/>
    </row>
    <row r="3721" spans="2:9" x14ac:dyDescent="0.2">
      <c r="B3721" s="230">
        <v>40518</v>
      </c>
      <c r="C3721" s="124">
        <v>112.07</v>
      </c>
      <c r="D3721" s="156">
        <f t="shared" si="117"/>
        <v>5.0219711236659317E-3</v>
      </c>
      <c r="E3721" s="156">
        <v>-9.146877748460942E-3</v>
      </c>
      <c r="F3721" s="124">
        <v>3715</v>
      </c>
      <c r="G3721" s="238">
        <f t="shared" ca="1" si="118"/>
        <v>4.7196770381497197E-3</v>
      </c>
      <c r="I3721" s="156"/>
    </row>
    <row r="3722" spans="2:9" x14ac:dyDescent="0.2">
      <c r="B3722" s="230">
        <v>40515</v>
      </c>
      <c r="C3722" s="124">
        <v>113.56</v>
      </c>
      <c r="D3722" s="156">
        <f t="shared" si="117"/>
        <v>1.3295261889890329E-2</v>
      </c>
      <c r="E3722" s="156">
        <v>-9.1525020801140281E-3</v>
      </c>
      <c r="F3722" s="124">
        <v>3716</v>
      </c>
      <c r="G3722" s="238">
        <f t="shared" ca="1" si="118"/>
        <v>-2.060536355358884E-2</v>
      </c>
      <c r="I3722" s="156"/>
    </row>
    <row r="3723" spans="2:9" x14ac:dyDescent="0.2">
      <c r="B3723" s="230">
        <v>40514</v>
      </c>
      <c r="C3723" s="124">
        <v>113.3</v>
      </c>
      <c r="D3723" s="156">
        <f t="shared" si="117"/>
        <v>-2.2895385699190306E-3</v>
      </c>
      <c r="E3723" s="156">
        <v>-9.1528309919113957E-3</v>
      </c>
      <c r="F3723" s="124">
        <v>3717</v>
      </c>
      <c r="G3723" s="238">
        <f t="shared" ca="1" si="118"/>
        <v>-2.4515330546930975E-2</v>
      </c>
      <c r="I3723" s="156"/>
    </row>
    <row r="3724" spans="2:9" x14ac:dyDescent="0.2">
      <c r="B3724" s="230">
        <v>40513</v>
      </c>
      <c r="C3724" s="124">
        <v>113.63</v>
      </c>
      <c r="D3724" s="156">
        <f t="shared" si="117"/>
        <v>2.9126213592232859E-3</v>
      </c>
      <c r="E3724" s="156">
        <v>-9.1710758377425844E-3</v>
      </c>
      <c r="F3724" s="124">
        <v>3718</v>
      </c>
      <c r="G3724" s="238">
        <f t="shared" ca="1" si="118"/>
        <v>-1.8721167122332287E-2</v>
      </c>
      <c r="I3724" s="156"/>
    </row>
    <row r="3725" spans="2:9" x14ac:dyDescent="0.2">
      <c r="B3725" s="230">
        <v>40512</v>
      </c>
      <c r="C3725" s="124">
        <v>113.96</v>
      </c>
      <c r="D3725" s="156">
        <f t="shared" si="117"/>
        <v>2.9041626331074389E-3</v>
      </c>
      <c r="E3725" s="156">
        <v>-9.1732533317948617E-3</v>
      </c>
      <c r="F3725" s="124">
        <v>3719</v>
      </c>
      <c r="G3725" s="238">
        <f t="shared" ca="1" si="118"/>
        <v>-1.4019283691281385E-2</v>
      </c>
      <c r="I3725" s="156"/>
    </row>
    <row r="3726" spans="2:9" x14ac:dyDescent="0.2">
      <c r="B3726" s="230">
        <v>40511</v>
      </c>
      <c r="C3726" s="124">
        <v>111.77</v>
      </c>
      <c r="D3726" s="156">
        <f t="shared" si="117"/>
        <v>-1.9217269217269198E-2</v>
      </c>
      <c r="E3726" s="156">
        <v>-9.1859468723222166E-3</v>
      </c>
      <c r="F3726" s="124">
        <v>3720</v>
      </c>
      <c r="G3726" s="238">
        <f t="shared" ca="1" si="118"/>
        <v>-3.4700900795271661E-2</v>
      </c>
      <c r="I3726" s="156"/>
    </row>
    <row r="3727" spans="2:9" x14ac:dyDescent="0.2">
      <c r="B3727" s="230">
        <v>40508</v>
      </c>
      <c r="C3727" s="124">
        <v>111.14</v>
      </c>
      <c r="D3727" s="156">
        <f t="shared" si="117"/>
        <v>-5.6365751096000309E-3</v>
      </c>
      <c r="E3727" s="156">
        <v>-9.2081031307550652E-3</v>
      </c>
      <c r="F3727" s="124">
        <v>3721</v>
      </c>
      <c r="G3727" s="238">
        <f t="shared" ca="1" si="118"/>
        <v>-2.5397644121295894E-2</v>
      </c>
      <c r="I3727" s="156"/>
    </row>
    <row r="3728" spans="2:9" x14ac:dyDescent="0.2">
      <c r="B3728" s="230">
        <v>40507</v>
      </c>
      <c r="C3728" s="124">
        <v>112.5</v>
      </c>
      <c r="D3728" s="156">
        <f t="shared" si="117"/>
        <v>1.2236818427208921E-2</v>
      </c>
      <c r="E3728" s="156">
        <v>-9.2144233933524888E-3</v>
      </c>
      <c r="F3728" s="124">
        <v>3722</v>
      </c>
      <c r="G3728" s="238">
        <f t="shared" ca="1" si="118"/>
        <v>-2.3715175640956244E-2</v>
      </c>
      <c r="I3728" s="156"/>
    </row>
    <row r="3729" spans="2:9" x14ac:dyDescent="0.2">
      <c r="B3729" s="230">
        <v>40506</v>
      </c>
      <c r="C3729" s="124">
        <v>115.16</v>
      </c>
      <c r="D3729" s="156">
        <f t="shared" si="117"/>
        <v>2.3644444444444412E-2</v>
      </c>
      <c r="E3729" s="156">
        <v>-9.215656488936257E-3</v>
      </c>
      <c r="F3729" s="124">
        <v>3723</v>
      </c>
      <c r="G3729" s="238">
        <f t="shared" ca="1" si="118"/>
        <v>-7.9788852661420023E-3</v>
      </c>
      <c r="I3729" s="156"/>
    </row>
    <row r="3730" spans="2:9" x14ac:dyDescent="0.2">
      <c r="B3730" s="230">
        <v>40505</v>
      </c>
      <c r="C3730" s="124">
        <v>114.36</v>
      </c>
      <c r="D3730" s="156">
        <f t="shared" si="117"/>
        <v>-6.9468565474122713E-3</v>
      </c>
      <c r="E3730" s="156">
        <v>-9.2436974789915482E-3</v>
      </c>
      <c r="F3730" s="124">
        <v>3724</v>
      </c>
      <c r="G3730" s="238">
        <f t="shared" ca="1" si="118"/>
        <v>-1.3590341565706144E-2</v>
      </c>
      <c r="I3730" s="156"/>
    </row>
    <row r="3731" spans="2:9" x14ac:dyDescent="0.2">
      <c r="B3731" s="230">
        <v>40504</v>
      </c>
      <c r="C3731" s="124">
        <v>116.61</v>
      </c>
      <c r="D3731" s="156">
        <f t="shared" si="117"/>
        <v>1.9674711437565582E-2</v>
      </c>
      <c r="E3731" s="156">
        <v>-9.2460881934566704E-3</v>
      </c>
      <c r="F3731" s="124">
        <v>3725</v>
      </c>
      <c r="G3731" s="238">
        <f t="shared" ca="1" si="118"/>
        <v>-1.5004525244706587E-3</v>
      </c>
      <c r="I3731" s="156"/>
    </row>
    <row r="3732" spans="2:9" x14ac:dyDescent="0.2">
      <c r="B3732" s="230">
        <v>40501</v>
      </c>
      <c r="C3732" s="124">
        <v>113.33</v>
      </c>
      <c r="D3732" s="156">
        <f t="shared" si="117"/>
        <v>-2.8127947860389343E-2</v>
      </c>
      <c r="E3732" s="156">
        <v>-9.250585480093651E-3</v>
      </c>
      <c r="F3732" s="124">
        <v>3726</v>
      </c>
      <c r="G3732" s="238">
        <f t="shared" ca="1" si="118"/>
        <v>1.650349203386484E-2</v>
      </c>
      <c r="I3732" s="156"/>
    </row>
    <row r="3733" spans="2:9" x14ac:dyDescent="0.2">
      <c r="B3733" s="230">
        <v>40500</v>
      </c>
      <c r="C3733" s="124">
        <v>114</v>
      </c>
      <c r="D3733" s="156">
        <f t="shared" si="117"/>
        <v>5.911938586429028E-3</v>
      </c>
      <c r="E3733" s="156">
        <v>-9.2692954587928165E-3</v>
      </c>
      <c r="F3733" s="124">
        <v>3727</v>
      </c>
      <c r="G3733" s="238">
        <f t="shared" ca="1" si="118"/>
        <v>1.8697463036228771E-2</v>
      </c>
      <c r="I3733" s="156"/>
    </row>
    <row r="3734" spans="2:9" x14ac:dyDescent="0.2">
      <c r="B3734" s="230">
        <v>40498</v>
      </c>
      <c r="C3734" s="124">
        <v>112.67</v>
      </c>
      <c r="D3734" s="156">
        <f t="shared" si="117"/>
        <v>-1.1666666666666652E-2</v>
      </c>
      <c r="E3734" s="156">
        <v>-9.2757759543347224E-3</v>
      </c>
      <c r="F3734" s="124">
        <v>3728</v>
      </c>
      <c r="G3734" s="238">
        <f t="shared" ca="1" si="118"/>
        <v>-1.1493207182797997E-2</v>
      </c>
      <c r="I3734" s="156"/>
    </row>
    <row r="3735" spans="2:9" x14ac:dyDescent="0.2">
      <c r="B3735" s="230">
        <v>40497</v>
      </c>
      <c r="C3735" s="124">
        <v>116.12</v>
      </c>
      <c r="D3735" s="156">
        <f t="shared" si="117"/>
        <v>3.0620395846276762E-2</v>
      </c>
      <c r="E3735" s="156">
        <v>-9.2801605216954949E-3</v>
      </c>
      <c r="F3735" s="124">
        <v>3729</v>
      </c>
      <c r="G3735" s="238">
        <f t="shared" ca="1" si="118"/>
        <v>7.6723804792224277E-3</v>
      </c>
      <c r="I3735" s="156"/>
    </row>
    <row r="3736" spans="2:9" x14ac:dyDescent="0.2">
      <c r="B3736" s="230">
        <v>40494</v>
      </c>
      <c r="C3736" s="124">
        <v>115.25</v>
      </c>
      <c r="D3736" s="156">
        <f t="shared" si="117"/>
        <v>-7.4922493971753745E-3</v>
      </c>
      <c r="E3736" s="156">
        <v>-9.2823443673045111E-3</v>
      </c>
      <c r="F3736" s="124">
        <v>3730</v>
      </c>
      <c r="G3736" s="238">
        <f t="shared" ca="1" si="118"/>
        <v>1.8027049424757099E-3</v>
      </c>
      <c r="I3736" s="156"/>
    </row>
    <row r="3737" spans="2:9" x14ac:dyDescent="0.2">
      <c r="B3737" s="230">
        <v>40493</v>
      </c>
      <c r="C3737" s="124">
        <v>116.25</v>
      </c>
      <c r="D3737" s="156">
        <f t="shared" si="117"/>
        <v>8.6767895878524948E-3</v>
      </c>
      <c r="E3737" s="156">
        <v>-9.3005231544273769E-3</v>
      </c>
      <c r="F3737" s="124">
        <v>3731</v>
      </c>
      <c r="G3737" s="238">
        <f t="shared" ca="1" si="118"/>
        <v>-3.7363497592405692E-3</v>
      </c>
      <c r="I3737" s="156"/>
    </row>
    <row r="3738" spans="2:9" x14ac:dyDescent="0.2">
      <c r="B3738" s="230">
        <v>40492</v>
      </c>
      <c r="C3738" s="124">
        <v>117.34</v>
      </c>
      <c r="D3738" s="156">
        <f t="shared" si="117"/>
        <v>9.3763440860215354E-3</v>
      </c>
      <c r="E3738" s="156">
        <v>-9.3009300930092277E-3</v>
      </c>
      <c r="F3738" s="124">
        <v>3732</v>
      </c>
      <c r="G3738" s="238">
        <f t="shared" ca="1" si="118"/>
        <v>-5.499194005999822E-3</v>
      </c>
      <c r="I3738" s="156"/>
    </row>
    <row r="3739" spans="2:9" x14ac:dyDescent="0.2">
      <c r="B3739" s="230">
        <v>40491</v>
      </c>
      <c r="C3739" s="124">
        <v>117.87</v>
      </c>
      <c r="D3739" s="156">
        <f t="shared" si="117"/>
        <v>4.5167888188171225E-3</v>
      </c>
      <c r="E3739" s="156">
        <v>-9.3035619351408833E-3</v>
      </c>
      <c r="F3739" s="124">
        <v>3733</v>
      </c>
      <c r="G3739" s="238">
        <f t="shared" ca="1" si="118"/>
        <v>-1.8857770803752442E-2</v>
      </c>
      <c r="I3739" s="156"/>
    </row>
    <row r="3740" spans="2:9" x14ac:dyDescent="0.2">
      <c r="B3740" s="230">
        <v>40490</v>
      </c>
      <c r="C3740" s="124">
        <v>116.45</v>
      </c>
      <c r="D3740" s="156">
        <f t="shared" si="117"/>
        <v>-1.2047170611690861E-2</v>
      </c>
      <c r="E3740" s="156">
        <v>-9.3142765376586691E-3</v>
      </c>
      <c r="F3740" s="124">
        <v>3734</v>
      </c>
      <c r="G3740" s="238">
        <f t="shared" ca="1" si="118"/>
        <v>-6.4398627419139862E-3</v>
      </c>
      <c r="I3740" s="156"/>
    </row>
    <row r="3741" spans="2:9" x14ac:dyDescent="0.2">
      <c r="B3741" s="230">
        <v>40487</v>
      </c>
      <c r="C3741" s="124">
        <v>117.44</v>
      </c>
      <c r="D3741" s="156">
        <f t="shared" si="117"/>
        <v>8.5015027908973365E-3</v>
      </c>
      <c r="E3741" s="156">
        <v>-9.3206064008983531E-3</v>
      </c>
      <c r="F3741" s="124">
        <v>3735</v>
      </c>
      <c r="G3741" s="238">
        <f t="shared" ca="1" si="118"/>
        <v>-1.972653936101066E-2</v>
      </c>
      <c r="I3741" s="156"/>
    </row>
    <row r="3742" spans="2:9" x14ac:dyDescent="0.2">
      <c r="B3742" s="230">
        <v>40486</v>
      </c>
      <c r="C3742" s="124">
        <v>117.34</v>
      </c>
      <c r="D3742" s="156">
        <f t="shared" si="117"/>
        <v>-8.5149863760213148E-4</v>
      </c>
      <c r="E3742" s="156">
        <v>-9.3210731830204677E-3</v>
      </c>
      <c r="F3742" s="124">
        <v>3736</v>
      </c>
      <c r="G3742" s="238">
        <f t="shared" ca="1" si="118"/>
        <v>9.0174365227481072E-3</v>
      </c>
      <c r="I3742" s="156"/>
    </row>
    <row r="3743" spans="2:9" x14ac:dyDescent="0.2">
      <c r="B3743" s="230">
        <v>40485</v>
      </c>
      <c r="C3743" s="124">
        <v>116.38</v>
      </c>
      <c r="D3743" s="156">
        <f t="shared" si="117"/>
        <v>-8.181353332197102E-3</v>
      </c>
      <c r="E3743" s="156">
        <v>-9.34880722114762E-3</v>
      </c>
      <c r="F3743" s="124">
        <v>3737</v>
      </c>
      <c r="G3743" s="238">
        <f t="shared" ca="1" si="118"/>
        <v>1.2055621342705242E-2</v>
      </c>
      <c r="I3743" s="156"/>
    </row>
    <row r="3744" spans="2:9" x14ac:dyDescent="0.2">
      <c r="B3744" s="230">
        <v>40484</v>
      </c>
      <c r="C3744" s="124">
        <v>114.96</v>
      </c>
      <c r="D3744" s="156">
        <f t="shared" si="117"/>
        <v>-1.2201409176834523E-2</v>
      </c>
      <c r="E3744" s="156">
        <v>-9.3545788201592293E-3</v>
      </c>
      <c r="F3744" s="124">
        <v>3738</v>
      </c>
      <c r="G3744" s="238">
        <f t="shared" ca="1" si="118"/>
        <v>3.1009791382579029E-2</v>
      </c>
      <c r="I3744" s="156"/>
    </row>
    <row r="3745" spans="2:9" x14ac:dyDescent="0.2">
      <c r="B3745" s="230">
        <v>40483</v>
      </c>
      <c r="C3745" s="124">
        <v>113.93</v>
      </c>
      <c r="D3745" s="156">
        <f t="shared" si="117"/>
        <v>-8.9596381350033668E-3</v>
      </c>
      <c r="E3745" s="156">
        <v>-9.3588490012572485E-3</v>
      </c>
      <c r="F3745" s="124">
        <v>3739</v>
      </c>
      <c r="G3745" s="238">
        <f t="shared" ca="1" si="118"/>
        <v>5.535100988244529E-3</v>
      </c>
      <c r="I3745" s="156"/>
    </row>
    <row r="3746" spans="2:9" x14ac:dyDescent="0.2">
      <c r="B3746" s="230">
        <v>40480</v>
      </c>
      <c r="C3746" s="124">
        <v>113.5</v>
      </c>
      <c r="D3746" s="156">
        <f t="shared" si="117"/>
        <v>-3.774247344860939E-3</v>
      </c>
      <c r="E3746" s="156">
        <v>-9.3632958801498842E-3</v>
      </c>
      <c r="F3746" s="124">
        <v>3740</v>
      </c>
      <c r="G3746" s="238">
        <f t="shared" ca="1" si="118"/>
        <v>-5.920646858633403E-3</v>
      </c>
      <c r="I3746" s="156"/>
    </row>
    <row r="3747" spans="2:9" x14ac:dyDescent="0.2">
      <c r="B3747" s="230">
        <v>40479</v>
      </c>
      <c r="C3747" s="124">
        <v>110.75</v>
      </c>
      <c r="D3747" s="156">
        <f t="shared" si="117"/>
        <v>-2.4229074889867842E-2</v>
      </c>
      <c r="E3747" s="156">
        <v>-9.3636205999653045E-3</v>
      </c>
      <c r="F3747" s="124">
        <v>3741</v>
      </c>
      <c r="G3747" s="238">
        <f t="shared" ca="1" si="118"/>
        <v>2.4209885368021627E-2</v>
      </c>
      <c r="I3747" s="156"/>
    </row>
    <row r="3748" spans="2:9" x14ac:dyDescent="0.2">
      <c r="B3748" s="230">
        <v>40478</v>
      </c>
      <c r="C3748" s="124">
        <v>111.28</v>
      </c>
      <c r="D3748" s="156">
        <f t="shared" si="117"/>
        <v>4.7855530474040734E-3</v>
      </c>
      <c r="E3748" s="156">
        <v>-9.3731693028705418E-3</v>
      </c>
      <c r="F3748" s="124">
        <v>3742</v>
      </c>
      <c r="G3748" s="238">
        <f t="shared" ca="1" si="118"/>
        <v>-1.5455394326562007E-2</v>
      </c>
      <c r="I3748" s="156"/>
    </row>
    <row r="3749" spans="2:9" x14ac:dyDescent="0.2">
      <c r="B3749" s="230">
        <v>40477</v>
      </c>
      <c r="C3749" s="124">
        <v>113.86</v>
      </c>
      <c r="D3749" s="156">
        <f t="shared" si="117"/>
        <v>2.3184759166067562E-2</v>
      </c>
      <c r="E3749" s="156">
        <v>-9.3754277111182394E-3</v>
      </c>
      <c r="F3749" s="124">
        <v>3743</v>
      </c>
      <c r="G3749" s="238">
        <f t="shared" ca="1" si="118"/>
        <v>-2.4217616639695323E-3</v>
      </c>
      <c r="I3749" s="156"/>
    </row>
    <row r="3750" spans="2:9" x14ac:dyDescent="0.2">
      <c r="B3750" s="230">
        <v>40476</v>
      </c>
      <c r="C3750" s="124">
        <v>112.14</v>
      </c>
      <c r="D3750" s="156">
        <f t="shared" si="117"/>
        <v>-1.5106270858949578E-2</v>
      </c>
      <c r="E3750" s="156">
        <v>-9.3915884034300179E-3</v>
      </c>
      <c r="F3750" s="124">
        <v>3744</v>
      </c>
      <c r="G3750" s="238">
        <f t="shared" ca="1" si="118"/>
        <v>-2.269628126816883E-2</v>
      </c>
      <c r="I3750" s="156"/>
    </row>
    <row r="3751" spans="2:9" x14ac:dyDescent="0.2">
      <c r="B3751" s="230">
        <v>40473</v>
      </c>
      <c r="C3751" s="124">
        <v>113.5</v>
      </c>
      <c r="D3751" s="156">
        <f t="shared" si="117"/>
        <v>1.2127697520955943E-2</v>
      </c>
      <c r="E3751" s="156">
        <v>-9.3948946164780379E-3</v>
      </c>
      <c r="F3751" s="124">
        <v>3745</v>
      </c>
      <c r="G3751" s="238">
        <f t="shared" ca="1" si="118"/>
        <v>4.6496413258157255E-3</v>
      </c>
      <c r="I3751" s="156"/>
    </row>
    <row r="3752" spans="2:9" x14ac:dyDescent="0.2">
      <c r="B3752" s="230">
        <v>40472</v>
      </c>
      <c r="C3752" s="124">
        <v>115.59</v>
      </c>
      <c r="D3752" s="156">
        <f t="shared" si="117"/>
        <v>1.841409691629959E-2</v>
      </c>
      <c r="E3752" s="156">
        <v>-9.3980490126100123E-3</v>
      </c>
      <c r="F3752" s="124">
        <v>3746</v>
      </c>
      <c r="G3752" s="238">
        <f t="shared" ca="1" si="118"/>
        <v>-1.4632904414514208E-2</v>
      </c>
      <c r="I3752" s="156"/>
    </row>
    <row r="3753" spans="2:9" x14ac:dyDescent="0.2">
      <c r="B3753" s="230">
        <v>40471</v>
      </c>
      <c r="C3753" s="124">
        <v>111.38</v>
      </c>
      <c r="D3753" s="156">
        <f t="shared" si="117"/>
        <v>-3.6421835798944611E-2</v>
      </c>
      <c r="E3753" s="156">
        <v>-9.4015134143545578E-3</v>
      </c>
      <c r="F3753" s="124">
        <v>3747</v>
      </c>
      <c r="G3753" s="238">
        <f t="shared" ca="1" si="118"/>
        <v>-2.1898881423003239E-2</v>
      </c>
      <c r="I3753" s="156"/>
    </row>
    <row r="3754" spans="2:9" x14ac:dyDescent="0.2">
      <c r="B3754" s="230">
        <v>40470</v>
      </c>
      <c r="C3754" s="124">
        <v>113.03</v>
      </c>
      <c r="D3754" s="156">
        <f t="shared" si="117"/>
        <v>1.4814149757586692E-2</v>
      </c>
      <c r="E3754" s="156">
        <v>-9.4304733727808981E-3</v>
      </c>
      <c r="F3754" s="124">
        <v>3748</v>
      </c>
      <c r="G3754" s="238">
        <f t="shared" ca="1" si="118"/>
        <v>6.4066495809117175E-3</v>
      </c>
      <c r="I3754" s="156"/>
    </row>
    <row r="3755" spans="2:9" x14ac:dyDescent="0.2">
      <c r="B3755" s="230">
        <v>40469</v>
      </c>
      <c r="C3755" s="124">
        <v>113.73</v>
      </c>
      <c r="D3755" s="156">
        <f t="shared" si="117"/>
        <v>6.1930460939573816E-3</v>
      </c>
      <c r="E3755" s="156">
        <v>-9.4545454545455366E-3</v>
      </c>
      <c r="F3755" s="124">
        <v>3749</v>
      </c>
      <c r="G3755" s="238">
        <f t="shared" ca="1" si="118"/>
        <v>2.4143365511237296E-2</v>
      </c>
      <c r="I3755" s="156"/>
    </row>
    <row r="3756" spans="2:9" x14ac:dyDescent="0.2">
      <c r="B3756" s="230">
        <v>40466</v>
      </c>
      <c r="C3756" s="124">
        <v>114</v>
      </c>
      <c r="D3756" s="156">
        <f t="shared" si="117"/>
        <v>2.37404378791872E-3</v>
      </c>
      <c r="E3756" s="156">
        <v>-9.4568209085134497E-3</v>
      </c>
      <c r="F3756" s="124">
        <v>3750</v>
      </c>
      <c r="G3756" s="238">
        <f t="shared" ca="1" si="118"/>
        <v>2.2291974339658148E-2</v>
      </c>
      <c r="I3756" s="156"/>
    </row>
    <row r="3757" spans="2:9" x14ac:dyDescent="0.2">
      <c r="B3757" s="230">
        <v>40465</v>
      </c>
      <c r="C3757" s="124">
        <v>116.05</v>
      </c>
      <c r="D3757" s="156">
        <f t="shared" si="117"/>
        <v>1.7982456140350853E-2</v>
      </c>
      <c r="E3757" s="156">
        <v>-9.472126295017206E-3</v>
      </c>
      <c r="F3757" s="124">
        <v>3751</v>
      </c>
      <c r="G3757" s="238">
        <f t="shared" ca="1" si="118"/>
        <v>1.5632755027556882E-2</v>
      </c>
      <c r="I3757" s="156"/>
    </row>
    <row r="3758" spans="2:9" x14ac:dyDescent="0.2">
      <c r="B3758" s="230">
        <v>40464</v>
      </c>
      <c r="C3758" s="124">
        <v>116.08</v>
      </c>
      <c r="D3758" s="156">
        <f t="shared" si="117"/>
        <v>2.5850926324860952E-4</v>
      </c>
      <c r="E3758" s="156">
        <v>-9.4913151364764917E-3</v>
      </c>
      <c r="F3758" s="124">
        <v>3752</v>
      </c>
      <c r="G3758" s="238">
        <f t="shared" ca="1" si="118"/>
        <v>-6.4532368755989954E-3</v>
      </c>
      <c r="I3758" s="156"/>
    </row>
    <row r="3759" spans="2:9" x14ac:dyDescent="0.2">
      <c r="B3759" s="230">
        <v>40463</v>
      </c>
      <c r="C3759" s="124">
        <v>113.33</v>
      </c>
      <c r="D3759" s="156">
        <f t="shared" si="117"/>
        <v>-2.3690558235699519E-2</v>
      </c>
      <c r="E3759" s="156">
        <v>-9.5098756400876592E-3</v>
      </c>
      <c r="F3759" s="124">
        <v>3753</v>
      </c>
      <c r="G3759" s="238">
        <f t="shared" ca="1" si="118"/>
        <v>1.1872738859384309E-2</v>
      </c>
      <c r="I3759" s="156"/>
    </row>
    <row r="3760" spans="2:9" x14ac:dyDescent="0.2">
      <c r="B3760" s="230">
        <v>40462</v>
      </c>
      <c r="C3760" s="124">
        <v>114.66</v>
      </c>
      <c r="D3760" s="156">
        <f t="shared" si="117"/>
        <v>1.1735639283508324E-2</v>
      </c>
      <c r="E3760" s="156">
        <v>-9.5113151853066305E-3</v>
      </c>
      <c r="F3760" s="124">
        <v>3754</v>
      </c>
      <c r="G3760" s="238">
        <f t="shared" ca="1" si="118"/>
        <v>-1.6235828371188844E-2</v>
      </c>
      <c r="I3760" s="156"/>
    </row>
    <row r="3761" spans="2:9" x14ac:dyDescent="0.2">
      <c r="B3761" s="230">
        <v>40459</v>
      </c>
      <c r="C3761" s="124">
        <v>114.33</v>
      </c>
      <c r="D3761" s="156">
        <f t="shared" si="117"/>
        <v>-2.8780743066457205E-3</v>
      </c>
      <c r="E3761" s="156">
        <v>-9.5312196070802355E-3</v>
      </c>
      <c r="F3761" s="124">
        <v>3755</v>
      </c>
      <c r="G3761" s="238">
        <f t="shared" ca="1" si="118"/>
        <v>1.092479985297359E-2</v>
      </c>
      <c r="I3761" s="156"/>
    </row>
    <row r="3762" spans="2:9" x14ac:dyDescent="0.2">
      <c r="B3762" s="230">
        <v>40458</v>
      </c>
      <c r="C3762" s="124">
        <v>113.96</v>
      </c>
      <c r="D3762" s="156">
        <f t="shared" si="117"/>
        <v>-3.2362459546925963E-3</v>
      </c>
      <c r="E3762" s="156">
        <v>-9.5317346244041985E-3</v>
      </c>
      <c r="F3762" s="124">
        <v>3756</v>
      </c>
      <c r="G3762" s="238">
        <f t="shared" ca="1" si="118"/>
        <v>-2.8465373387691496E-2</v>
      </c>
      <c r="I3762" s="156"/>
    </row>
    <row r="3763" spans="2:9" x14ac:dyDescent="0.2">
      <c r="B3763" s="230">
        <v>40457</v>
      </c>
      <c r="C3763" s="124">
        <v>114.63</v>
      </c>
      <c r="D3763" s="156">
        <f t="shared" si="117"/>
        <v>5.8792558792558946E-3</v>
      </c>
      <c r="E3763" s="156">
        <v>-9.5326360386601191E-3</v>
      </c>
      <c r="F3763" s="124">
        <v>3757</v>
      </c>
      <c r="G3763" s="238">
        <f t="shared" ca="1" si="118"/>
        <v>-1.5132852577567944E-2</v>
      </c>
      <c r="I3763" s="156"/>
    </row>
    <row r="3764" spans="2:9" x14ac:dyDescent="0.2">
      <c r="B3764" s="230">
        <v>40456</v>
      </c>
      <c r="C3764" s="124">
        <v>115.22</v>
      </c>
      <c r="D3764" s="156">
        <f t="shared" si="117"/>
        <v>5.1469946785309556E-3</v>
      </c>
      <c r="E3764" s="156">
        <v>-9.5327604726102022E-3</v>
      </c>
      <c r="F3764" s="124">
        <v>3758</v>
      </c>
      <c r="G3764" s="238">
        <f t="shared" ca="1" si="118"/>
        <v>1.5994060265515659E-2</v>
      </c>
      <c r="I3764" s="156"/>
    </row>
    <row r="3765" spans="2:9" x14ac:dyDescent="0.2">
      <c r="B3765" s="230">
        <v>40455</v>
      </c>
      <c r="C3765" s="124">
        <v>116.18</v>
      </c>
      <c r="D3765" s="156">
        <f t="shared" si="117"/>
        <v>8.3318868252040268E-3</v>
      </c>
      <c r="E3765" s="156">
        <v>-9.5338983050847065E-3</v>
      </c>
      <c r="F3765" s="124">
        <v>3759</v>
      </c>
      <c r="G3765" s="238">
        <f t="shared" ca="1" si="118"/>
        <v>3.7151672873629797E-2</v>
      </c>
      <c r="I3765" s="156"/>
    </row>
    <row r="3766" spans="2:9" x14ac:dyDescent="0.2">
      <c r="B3766" s="230">
        <v>40452</v>
      </c>
      <c r="C3766" s="124">
        <v>118.44</v>
      </c>
      <c r="D3766" s="156">
        <f t="shared" si="117"/>
        <v>1.9452573592700903E-2</v>
      </c>
      <c r="E3766" s="156">
        <v>-9.5417599246083434E-3</v>
      </c>
      <c r="F3766" s="124">
        <v>3760</v>
      </c>
      <c r="G3766" s="238">
        <f t="shared" ca="1" si="118"/>
        <v>-2.1803235152587513E-2</v>
      </c>
      <c r="I3766" s="156"/>
    </row>
    <row r="3767" spans="2:9" x14ac:dyDescent="0.2">
      <c r="B3767" s="230">
        <v>40451</v>
      </c>
      <c r="C3767" s="124">
        <v>118.21</v>
      </c>
      <c r="D3767" s="156">
        <f t="shared" si="117"/>
        <v>-1.9419115163796352E-3</v>
      </c>
      <c r="E3767" s="156">
        <v>-9.5519277526918585E-3</v>
      </c>
      <c r="F3767" s="124">
        <v>3761</v>
      </c>
      <c r="G3767" s="238">
        <f t="shared" ca="1" si="118"/>
        <v>1.6921989996628892E-2</v>
      </c>
      <c r="I3767" s="156"/>
    </row>
    <row r="3768" spans="2:9" x14ac:dyDescent="0.2">
      <c r="B3768" s="230">
        <v>40450</v>
      </c>
      <c r="C3768" s="124">
        <v>115.09</v>
      </c>
      <c r="D3768" s="156">
        <f t="shared" si="117"/>
        <v>-2.6393706116233741E-2</v>
      </c>
      <c r="E3768" s="156">
        <v>-9.5534325705398746E-3</v>
      </c>
      <c r="F3768" s="124">
        <v>3762</v>
      </c>
      <c r="G3768" s="238">
        <f t="shared" ca="1" si="118"/>
        <v>1.045367880369053E-2</v>
      </c>
      <c r="I3768" s="156"/>
    </row>
    <row r="3769" spans="2:9" x14ac:dyDescent="0.2">
      <c r="B3769" s="230">
        <v>40449</v>
      </c>
      <c r="C3769" s="124">
        <v>118.27</v>
      </c>
      <c r="D3769" s="156">
        <f t="shared" si="117"/>
        <v>2.7630550004344362E-2</v>
      </c>
      <c r="E3769" s="156">
        <v>-9.5635115252574922E-3</v>
      </c>
      <c r="F3769" s="124">
        <v>3763</v>
      </c>
      <c r="G3769" s="238">
        <f t="shared" ca="1" si="118"/>
        <v>7.2767660632473341E-3</v>
      </c>
      <c r="I3769" s="156"/>
    </row>
    <row r="3770" spans="2:9" x14ac:dyDescent="0.2">
      <c r="B3770" s="230">
        <v>40448</v>
      </c>
      <c r="C3770" s="124">
        <v>118.27</v>
      </c>
      <c r="D3770" s="156">
        <f t="shared" si="117"/>
        <v>0</v>
      </c>
      <c r="E3770" s="156">
        <v>-9.5650604584011333E-3</v>
      </c>
      <c r="F3770" s="124">
        <v>3764</v>
      </c>
      <c r="G3770" s="238">
        <f t="shared" ca="1" si="118"/>
        <v>2.133295209379231E-2</v>
      </c>
      <c r="I3770" s="156"/>
    </row>
    <row r="3771" spans="2:9" x14ac:dyDescent="0.2">
      <c r="B3771" s="230">
        <v>40445</v>
      </c>
      <c r="C3771" s="124">
        <v>118.83</v>
      </c>
      <c r="D3771" s="156">
        <f t="shared" si="117"/>
        <v>4.7349285533102416E-3</v>
      </c>
      <c r="E3771" s="156">
        <v>-9.5724313975749844E-3</v>
      </c>
      <c r="F3771" s="124">
        <v>3765</v>
      </c>
      <c r="G3771" s="238">
        <f t="shared" ca="1" si="118"/>
        <v>-3.5177431853128994E-3</v>
      </c>
      <c r="I3771" s="156"/>
    </row>
    <row r="3772" spans="2:9" x14ac:dyDescent="0.2">
      <c r="B3772" s="230">
        <v>40444</v>
      </c>
      <c r="C3772" s="124">
        <v>117.01</v>
      </c>
      <c r="D3772" s="156">
        <f t="shared" si="117"/>
        <v>-1.5315997643692613E-2</v>
      </c>
      <c r="E3772" s="156">
        <v>-9.5810795258372203E-3</v>
      </c>
      <c r="F3772" s="124">
        <v>3766</v>
      </c>
      <c r="G3772" s="238">
        <f t="shared" ca="1" si="118"/>
        <v>9.9098035621676041E-3</v>
      </c>
      <c r="I3772" s="156"/>
    </row>
    <row r="3773" spans="2:9" x14ac:dyDescent="0.2">
      <c r="B3773" s="230">
        <v>40443</v>
      </c>
      <c r="C3773" s="124">
        <v>115.82</v>
      </c>
      <c r="D3773" s="156">
        <f t="shared" si="117"/>
        <v>-1.0170070934108297E-2</v>
      </c>
      <c r="E3773" s="156">
        <v>-9.5953806309174664E-3</v>
      </c>
      <c r="F3773" s="124">
        <v>3767</v>
      </c>
      <c r="G3773" s="238">
        <f t="shared" ca="1" si="118"/>
        <v>2.8429952217160596E-2</v>
      </c>
      <c r="I3773" s="156"/>
    </row>
    <row r="3774" spans="2:9" x14ac:dyDescent="0.2">
      <c r="B3774" s="230">
        <v>40442</v>
      </c>
      <c r="C3774" s="124">
        <v>114.46</v>
      </c>
      <c r="D3774" s="156">
        <f t="shared" ref="D3774:D3837" si="119">(C3774-C3773)/C3773</f>
        <v>-1.1742358832671383E-2</v>
      </c>
      <c r="E3774" s="156">
        <v>-9.6014731027225988E-3</v>
      </c>
      <c r="F3774" s="124">
        <v>3768</v>
      </c>
      <c r="G3774" s="238">
        <f t="shared" ca="1" si="118"/>
        <v>-1.107514141333712E-2</v>
      </c>
      <c r="I3774" s="156"/>
    </row>
    <row r="3775" spans="2:9" x14ac:dyDescent="0.2">
      <c r="B3775" s="230">
        <v>40441</v>
      </c>
      <c r="C3775" s="124">
        <v>117.11</v>
      </c>
      <c r="D3775" s="156">
        <f t="shared" si="119"/>
        <v>2.3152192905818679E-2</v>
      </c>
      <c r="E3775" s="156">
        <v>-9.618887998251063E-3</v>
      </c>
      <c r="F3775" s="124">
        <v>3769</v>
      </c>
      <c r="G3775" s="238">
        <f t="shared" ca="1" si="118"/>
        <v>-3.1637840813413883E-3</v>
      </c>
      <c r="I3775" s="156"/>
    </row>
    <row r="3776" spans="2:9" x14ac:dyDescent="0.2">
      <c r="B3776" s="230">
        <v>40438</v>
      </c>
      <c r="C3776" s="124">
        <v>111.61</v>
      </c>
      <c r="D3776" s="156">
        <f t="shared" si="119"/>
        <v>-4.6964392451541284E-2</v>
      </c>
      <c r="E3776" s="156">
        <v>-9.6418732782368698E-3</v>
      </c>
      <c r="F3776" s="124">
        <v>3770</v>
      </c>
      <c r="G3776" s="238">
        <f t="shared" ca="1" si="118"/>
        <v>-4.6598742023857016E-3</v>
      </c>
      <c r="I3776" s="156"/>
    </row>
    <row r="3777" spans="2:9" x14ac:dyDescent="0.2">
      <c r="B3777" s="230">
        <v>40437</v>
      </c>
      <c r="C3777" s="124">
        <v>110.98</v>
      </c>
      <c r="D3777" s="156">
        <f t="shared" si="119"/>
        <v>-5.6446554968192404E-3</v>
      </c>
      <c r="E3777" s="156">
        <v>-9.6424266773804963E-3</v>
      </c>
      <c r="F3777" s="124">
        <v>3771</v>
      </c>
      <c r="G3777" s="238">
        <f t="shared" ca="1" si="118"/>
        <v>1.7843363123820923E-2</v>
      </c>
      <c r="I3777" s="156"/>
    </row>
    <row r="3778" spans="2:9" x14ac:dyDescent="0.2">
      <c r="B3778" s="230">
        <v>40436</v>
      </c>
      <c r="C3778" s="124">
        <v>111.14</v>
      </c>
      <c r="D3778" s="156">
        <f t="shared" si="119"/>
        <v>1.4417012074247305E-3</v>
      </c>
      <c r="E3778" s="156">
        <v>-9.6425211665097984E-3</v>
      </c>
      <c r="F3778" s="124">
        <v>3772</v>
      </c>
      <c r="G3778" s="238">
        <f t="shared" ca="1" si="118"/>
        <v>-1.7783885208047266E-2</v>
      </c>
      <c r="I3778" s="156"/>
    </row>
    <row r="3779" spans="2:9" x14ac:dyDescent="0.2">
      <c r="B3779" s="230">
        <v>40435</v>
      </c>
      <c r="C3779" s="124">
        <v>109.52</v>
      </c>
      <c r="D3779" s="156">
        <f t="shared" si="119"/>
        <v>-1.4576210185351849E-2</v>
      </c>
      <c r="E3779" s="156">
        <v>-9.6554335478985648E-3</v>
      </c>
      <c r="F3779" s="124">
        <v>3773</v>
      </c>
      <c r="G3779" s="238">
        <f t="shared" ca="1" si="118"/>
        <v>-7.0475806628621084E-3</v>
      </c>
      <c r="I3779" s="156"/>
    </row>
    <row r="3780" spans="2:9" x14ac:dyDescent="0.2">
      <c r="B3780" s="230">
        <v>40434</v>
      </c>
      <c r="C3780" s="124">
        <v>108.19</v>
      </c>
      <c r="D3780" s="156">
        <f t="shared" si="119"/>
        <v>-1.2143900657414155E-2</v>
      </c>
      <c r="E3780" s="156">
        <v>-9.6723797270596417E-3</v>
      </c>
      <c r="F3780" s="124">
        <v>3774</v>
      </c>
      <c r="G3780" s="238">
        <f t="shared" ca="1" si="118"/>
        <v>-2.9186935830966096E-3</v>
      </c>
      <c r="I3780" s="156"/>
    </row>
    <row r="3781" spans="2:9" x14ac:dyDescent="0.2">
      <c r="B3781" s="230">
        <v>40430</v>
      </c>
      <c r="C3781" s="124">
        <v>107.63</v>
      </c>
      <c r="D3781" s="156">
        <f t="shared" si="119"/>
        <v>-5.1760791200665705E-3</v>
      </c>
      <c r="E3781" s="156">
        <v>-9.6745385989283027E-3</v>
      </c>
      <c r="F3781" s="124">
        <v>3775</v>
      </c>
      <c r="G3781" s="238">
        <f t="shared" ca="1" si="118"/>
        <v>-3.7651223313600311E-3</v>
      </c>
      <c r="I3781" s="156"/>
    </row>
    <row r="3782" spans="2:9" x14ac:dyDescent="0.2">
      <c r="B3782" s="230">
        <v>40429</v>
      </c>
      <c r="C3782" s="124">
        <v>108.92</v>
      </c>
      <c r="D3782" s="156">
        <f t="shared" si="119"/>
        <v>1.1985505899842109E-2</v>
      </c>
      <c r="E3782" s="156">
        <v>-9.682426273128205E-3</v>
      </c>
      <c r="F3782" s="124">
        <v>3776</v>
      </c>
      <c r="G3782" s="238">
        <f t="shared" ca="1" si="118"/>
        <v>-1.9393589529152464E-2</v>
      </c>
      <c r="I3782" s="156"/>
    </row>
    <row r="3783" spans="2:9" x14ac:dyDescent="0.2">
      <c r="B3783" s="230">
        <v>40428</v>
      </c>
      <c r="C3783" s="124">
        <v>110.18</v>
      </c>
      <c r="D3783" s="156">
        <f t="shared" si="119"/>
        <v>1.1568123393316242E-2</v>
      </c>
      <c r="E3783" s="156">
        <v>-9.6863595203469238E-3</v>
      </c>
      <c r="F3783" s="124">
        <v>3777</v>
      </c>
      <c r="G3783" s="238">
        <f t="shared" ref="G3783:G3846" ca="1" si="120">_xlfn.NORM.INV(RAND(),$L$8,$L$9)</f>
        <v>4.8469260640518598E-3</v>
      </c>
      <c r="I3783" s="156"/>
    </row>
    <row r="3784" spans="2:9" x14ac:dyDescent="0.2">
      <c r="B3784" s="230">
        <v>40427</v>
      </c>
      <c r="C3784" s="124">
        <v>109.92</v>
      </c>
      <c r="D3784" s="156">
        <f t="shared" si="119"/>
        <v>-2.3597749137775014E-3</v>
      </c>
      <c r="E3784" s="156">
        <v>-9.6903805246987065E-3</v>
      </c>
      <c r="F3784" s="124">
        <v>3778</v>
      </c>
      <c r="G3784" s="238">
        <f t="shared" ca="1" si="120"/>
        <v>-1.5275569429341192E-2</v>
      </c>
      <c r="I3784" s="156"/>
    </row>
    <row r="3785" spans="2:9" x14ac:dyDescent="0.2">
      <c r="B3785" s="230">
        <v>40424</v>
      </c>
      <c r="C3785" s="124">
        <v>108.72</v>
      </c>
      <c r="D3785" s="156">
        <f t="shared" si="119"/>
        <v>-1.0917030567685615E-2</v>
      </c>
      <c r="E3785" s="156">
        <v>-9.709655319048438E-3</v>
      </c>
      <c r="F3785" s="124">
        <v>3779</v>
      </c>
      <c r="G3785" s="238">
        <f t="shared" ca="1" si="120"/>
        <v>-3.0572405364126049E-2</v>
      </c>
      <c r="I3785" s="156"/>
    </row>
    <row r="3786" spans="2:9" x14ac:dyDescent="0.2">
      <c r="B3786" s="230">
        <v>40423</v>
      </c>
      <c r="C3786" s="124">
        <v>109.69</v>
      </c>
      <c r="D3786" s="156">
        <f t="shared" si="119"/>
        <v>8.9220014716703353E-3</v>
      </c>
      <c r="E3786" s="156">
        <v>-9.7117311546170738E-3</v>
      </c>
      <c r="F3786" s="124">
        <v>3780</v>
      </c>
      <c r="G3786" s="238">
        <f t="shared" ca="1" si="120"/>
        <v>-2.5070197679185748E-2</v>
      </c>
      <c r="I3786" s="156"/>
    </row>
    <row r="3787" spans="2:9" x14ac:dyDescent="0.2">
      <c r="B3787" s="230">
        <v>40422</v>
      </c>
      <c r="C3787" s="124">
        <v>108.16</v>
      </c>
      <c r="D3787" s="156">
        <f t="shared" si="119"/>
        <v>-1.3948400036466416E-2</v>
      </c>
      <c r="E3787" s="156">
        <v>-9.7251790207084354E-3</v>
      </c>
      <c r="F3787" s="124">
        <v>3781</v>
      </c>
      <c r="G3787" s="238">
        <f t="shared" ca="1" si="120"/>
        <v>1.3151961187780694E-2</v>
      </c>
      <c r="I3787" s="156"/>
    </row>
    <row r="3788" spans="2:9" x14ac:dyDescent="0.2">
      <c r="B3788" s="230">
        <v>40421</v>
      </c>
      <c r="C3788" s="124">
        <v>108.16</v>
      </c>
      <c r="D3788" s="156">
        <f t="shared" si="119"/>
        <v>0</v>
      </c>
      <c r="E3788" s="156">
        <v>-9.7314295427502646E-3</v>
      </c>
      <c r="F3788" s="124">
        <v>3782</v>
      </c>
      <c r="G3788" s="238">
        <f t="shared" ca="1" si="120"/>
        <v>-2.5362474029293435E-2</v>
      </c>
      <c r="I3788" s="156"/>
    </row>
    <row r="3789" spans="2:9" x14ac:dyDescent="0.2">
      <c r="B3789" s="230">
        <v>40420</v>
      </c>
      <c r="C3789" s="124">
        <v>105.61</v>
      </c>
      <c r="D3789" s="156">
        <f t="shared" si="119"/>
        <v>-2.3576183431952637E-2</v>
      </c>
      <c r="E3789" s="156">
        <v>-9.7388544221612625E-3</v>
      </c>
      <c r="F3789" s="124">
        <v>3783</v>
      </c>
      <c r="G3789" s="238">
        <f t="shared" ca="1" si="120"/>
        <v>9.2140075495092746E-3</v>
      </c>
      <c r="I3789" s="156"/>
    </row>
    <row r="3790" spans="2:9" x14ac:dyDescent="0.2">
      <c r="B3790" s="230">
        <v>40417</v>
      </c>
      <c r="C3790" s="124">
        <v>106.87</v>
      </c>
      <c r="D3790" s="156">
        <f t="shared" si="119"/>
        <v>1.1930688381782076E-2</v>
      </c>
      <c r="E3790" s="156">
        <v>-9.7571150458886542E-3</v>
      </c>
      <c r="F3790" s="124">
        <v>3784</v>
      </c>
      <c r="G3790" s="238">
        <f t="shared" ca="1" si="120"/>
        <v>5.6651785137591662E-3</v>
      </c>
      <c r="I3790" s="156"/>
    </row>
    <row r="3791" spans="2:9" x14ac:dyDescent="0.2">
      <c r="B3791" s="230">
        <v>40416</v>
      </c>
      <c r="C3791" s="124">
        <v>108.66</v>
      </c>
      <c r="D3791" s="156">
        <f t="shared" si="119"/>
        <v>1.674932160568908E-2</v>
      </c>
      <c r="E3791" s="156">
        <v>-9.7596240737393408E-3</v>
      </c>
      <c r="F3791" s="124">
        <v>3785</v>
      </c>
      <c r="G3791" s="238">
        <f t="shared" ca="1" si="120"/>
        <v>-1.0845088783256622E-2</v>
      </c>
      <c r="I3791" s="156"/>
    </row>
    <row r="3792" spans="2:9" x14ac:dyDescent="0.2">
      <c r="B3792" s="230">
        <v>40415</v>
      </c>
      <c r="C3792" s="124">
        <v>106.4</v>
      </c>
      <c r="D3792" s="156">
        <f t="shared" si="119"/>
        <v>-2.0798822013620384E-2</v>
      </c>
      <c r="E3792" s="156">
        <v>-9.7750559415851878E-3</v>
      </c>
      <c r="F3792" s="124">
        <v>3786</v>
      </c>
      <c r="G3792" s="238">
        <f t="shared" ca="1" si="120"/>
        <v>-2.4886840559576216E-2</v>
      </c>
      <c r="I3792" s="156"/>
    </row>
    <row r="3793" spans="2:9" x14ac:dyDescent="0.2">
      <c r="B3793" s="230">
        <v>40414</v>
      </c>
      <c r="C3793" s="124">
        <v>105.97</v>
      </c>
      <c r="D3793" s="156">
        <f t="shared" si="119"/>
        <v>-4.0413533834587102E-3</v>
      </c>
      <c r="E3793" s="156">
        <v>-9.8048548310328519E-3</v>
      </c>
      <c r="F3793" s="124">
        <v>3787</v>
      </c>
      <c r="G3793" s="238">
        <f t="shared" ca="1" si="120"/>
        <v>3.0103948209800674E-3</v>
      </c>
      <c r="I3793" s="156"/>
    </row>
    <row r="3794" spans="2:9" x14ac:dyDescent="0.2">
      <c r="B3794" s="230">
        <v>40413</v>
      </c>
      <c r="C3794" s="124">
        <v>105.74</v>
      </c>
      <c r="D3794" s="156">
        <f t="shared" si="119"/>
        <v>-2.170425592148759E-3</v>
      </c>
      <c r="E3794" s="156">
        <v>-9.8062664434346389E-3</v>
      </c>
      <c r="F3794" s="124">
        <v>3788</v>
      </c>
      <c r="G3794" s="238">
        <f t="shared" ca="1" si="120"/>
        <v>1.5816274199541902E-2</v>
      </c>
      <c r="I3794" s="156"/>
    </row>
    <row r="3795" spans="2:9" x14ac:dyDescent="0.2">
      <c r="B3795" s="230">
        <v>40410</v>
      </c>
      <c r="C3795" s="124">
        <v>107.86</v>
      </c>
      <c r="D3795" s="156">
        <f t="shared" si="119"/>
        <v>2.0049177227161003E-2</v>
      </c>
      <c r="E3795" s="156">
        <v>-9.8101940712304672E-3</v>
      </c>
      <c r="F3795" s="124">
        <v>3789</v>
      </c>
      <c r="G3795" s="238">
        <f t="shared" ca="1" si="120"/>
        <v>-2.0845651815283587E-2</v>
      </c>
      <c r="I3795" s="156"/>
    </row>
    <row r="3796" spans="2:9" x14ac:dyDescent="0.2">
      <c r="B3796" s="230">
        <v>40409</v>
      </c>
      <c r="C3796" s="124">
        <v>109.59</v>
      </c>
      <c r="D3796" s="156">
        <f t="shared" si="119"/>
        <v>1.6039310216947933E-2</v>
      </c>
      <c r="E3796" s="156">
        <v>-9.8176718092567918E-3</v>
      </c>
      <c r="F3796" s="124">
        <v>3790</v>
      </c>
      <c r="G3796" s="238">
        <f t="shared" ca="1" si="120"/>
        <v>1.6648925447365133E-2</v>
      </c>
      <c r="I3796" s="156"/>
    </row>
    <row r="3797" spans="2:9" x14ac:dyDescent="0.2">
      <c r="B3797" s="230">
        <v>40408</v>
      </c>
      <c r="C3797" s="124">
        <v>107.73</v>
      </c>
      <c r="D3797" s="156">
        <f t="shared" si="119"/>
        <v>-1.6972351491924439E-2</v>
      </c>
      <c r="E3797" s="156">
        <v>-9.817893903404552E-3</v>
      </c>
      <c r="F3797" s="124">
        <v>3791</v>
      </c>
      <c r="G3797" s="238">
        <f t="shared" ca="1" si="120"/>
        <v>-1.0717415531098959E-2</v>
      </c>
      <c r="I3797" s="156"/>
    </row>
    <row r="3798" spans="2:9" x14ac:dyDescent="0.2">
      <c r="B3798" s="230">
        <v>40407</v>
      </c>
      <c r="C3798" s="124">
        <v>105.77</v>
      </c>
      <c r="D3798" s="156">
        <f t="shared" si="119"/>
        <v>-1.819363222872002E-2</v>
      </c>
      <c r="E3798" s="156">
        <v>-9.8196750580253518E-3</v>
      </c>
      <c r="F3798" s="124">
        <v>3792</v>
      </c>
      <c r="G3798" s="238">
        <f t="shared" ca="1" si="120"/>
        <v>1.1503572509853493E-2</v>
      </c>
      <c r="I3798" s="156"/>
    </row>
    <row r="3799" spans="2:9" x14ac:dyDescent="0.2">
      <c r="B3799" s="230">
        <v>40406</v>
      </c>
      <c r="C3799" s="124">
        <v>104.91</v>
      </c>
      <c r="D3799" s="156">
        <f t="shared" si="119"/>
        <v>-8.1308499574548505E-3</v>
      </c>
      <c r="E3799" s="156">
        <v>-9.8218962807752747E-3</v>
      </c>
      <c r="F3799" s="124">
        <v>3793</v>
      </c>
      <c r="G3799" s="238">
        <f t="shared" ca="1" si="120"/>
        <v>-6.1946592664473606E-3</v>
      </c>
      <c r="I3799" s="156"/>
    </row>
    <row r="3800" spans="2:9" x14ac:dyDescent="0.2">
      <c r="B3800" s="230">
        <v>40403</v>
      </c>
      <c r="C3800" s="124">
        <v>103.59</v>
      </c>
      <c r="D3800" s="156">
        <f t="shared" si="119"/>
        <v>-1.2582213325707685E-2</v>
      </c>
      <c r="E3800" s="156">
        <v>-9.8241521622106486E-3</v>
      </c>
      <c r="F3800" s="124">
        <v>3794</v>
      </c>
      <c r="G3800" s="238">
        <f t="shared" ca="1" si="120"/>
        <v>9.0856718797262415E-3</v>
      </c>
      <c r="I3800" s="156"/>
    </row>
    <row r="3801" spans="2:9" x14ac:dyDescent="0.2">
      <c r="B3801" s="230">
        <v>40402</v>
      </c>
      <c r="C3801" s="124">
        <v>101.4</v>
      </c>
      <c r="D3801" s="156">
        <f t="shared" si="119"/>
        <v>-2.1141036779611908E-2</v>
      </c>
      <c r="E3801" s="156">
        <v>-9.8492462311557324E-3</v>
      </c>
      <c r="F3801" s="124">
        <v>3795</v>
      </c>
      <c r="G3801" s="238">
        <f t="shared" ca="1" si="120"/>
        <v>-3.23356958225978E-2</v>
      </c>
      <c r="I3801" s="156"/>
    </row>
    <row r="3802" spans="2:9" x14ac:dyDescent="0.2">
      <c r="B3802" s="230">
        <v>40401</v>
      </c>
      <c r="C3802" s="124">
        <v>102.73</v>
      </c>
      <c r="D3802" s="156">
        <f t="shared" si="119"/>
        <v>1.3116370808678484E-2</v>
      </c>
      <c r="E3802" s="156">
        <v>-9.862338196013995E-3</v>
      </c>
      <c r="F3802" s="124">
        <v>3796</v>
      </c>
      <c r="G3802" s="238">
        <f t="shared" ca="1" si="120"/>
        <v>3.9715320211612965E-3</v>
      </c>
      <c r="I3802" s="156"/>
    </row>
    <row r="3803" spans="2:9" x14ac:dyDescent="0.2">
      <c r="B3803" s="230">
        <v>40400</v>
      </c>
      <c r="C3803" s="124">
        <v>104.25</v>
      </c>
      <c r="D3803" s="156">
        <f t="shared" si="119"/>
        <v>1.4796067361043472E-2</v>
      </c>
      <c r="E3803" s="156">
        <v>-9.8749928648894907E-3</v>
      </c>
      <c r="F3803" s="124">
        <v>3797</v>
      </c>
      <c r="G3803" s="238">
        <f t="shared" ca="1" si="120"/>
        <v>2.2295019375854819E-2</v>
      </c>
      <c r="I3803" s="156"/>
    </row>
    <row r="3804" spans="2:9" x14ac:dyDescent="0.2">
      <c r="B3804" s="230">
        <v>40399</v>
      </c>
      <c r="C3804" s="124">
        <v>105.38</v>
      </c>
      <c r="D3804" s="156">
        <f t="shared" si="119"/>
        <v>1.083932853717022E-2</v>
      </c>
      <c r="E3804" s="156">
        <v>-9.8797958175530116E-3</v>
      </c>
      <c r="F3804" s="124">
        <v>3798</v>
      </c>
      <c r="G3804" s="238">
        <f t="shared" ca="1" si="120"/>
        <v>4.4175127553503866E-3</v>
      </c>
      <c r="I3804" s="156"/>
    </row>
    <row r="3805" spans="2:9" x14ac:dyDescent="0.2">
      <c r="B3805" s="230">
        <v>40396</v>
      </c>
      <c r="C3805" s="124">
        <v>105.24</v>
      </c>
      <c r="D3805" s="156">
        <f t="shared" si="119"/>
        <v>-1.3285253368760729E-3</v>
      </c>
      <c r="E3805" s="156">
        <v>-9.8972066185179976E-3</v>
      </c>
      <c r="F3805" s="124">
        <v>3799</v>
      </c>
      <c r="G3805" s="238">
        <f t="shared" ca="1" si="120"/>
        <v>2.7577054712910006E-3</v>
      </c>
      <c r="I3805" s="156"/>
    </row>
    <row r="3806" spans="2:9" x14ac:dyDescent="0.2">
      <c r="B3806" s="230">
        <v>40395</v>
      </c>
      <c r="C3806" s="124">
        <v>103.29</v>
      </c>
      <c r="D3806" s="156">
        <f t="shared" si="119"/>
        <v>-1.852907639680719E-2</v>
      </c>
      <c r="E3806" s="156">
        <v>-9.909451622749017E-3</v>
      </c>
      <c r="F3806" s="124">
        <v>3800</v>
      </c>
      <c r="G3806" s="238">
        <f t="shared" ca="1" si="120"/>
        <v>-5.3212500083506496E-3</v>
      </c>
      <c r="I3806" s="156"/>
    </row>
    <row r="3807" spans="2:9" x14ac:dyDescent="0.2">
      <c r="B3807" s="230">
        <v>40394</v>
      </c>
      <c r="C3807" s="124">
        <v>102.96</v>
      </c>
      <c r="D3807" s="156">
        <f t="shared" si="119"/>
        <v>-3.1948881789138589E-3</v>
      </c>
      <c r="E3807" s="156">
        <v>-9.9169455807611249E-3</v>
      </c>
      <c r="F3807" s="124">
        <v>3801</v>
      </c>
      <c r="G3807" s="238">
        <f t="shared" ca="1" si="120"/>
        <v>1.4897074994499189E-2</v>
      </c>
      <c r="I3807" s="156"/>
    </row>
    <row r="3808" spans="2:9" x14ac:dyDescent="0.2">
      <c r="B3808" s="230">
        <v>40393</v>
      </c>
      <c r="C3808" s="124">
        <v>102.36</v>
      </c>
      <c r="D3808" s="156">
        <f t="shared" si="119"/>
        <v>-5.8275058275057724E-3</v>
      </c>
      <c r="E3808" s="156">
        <v>-9.9307643891182306E-3</v>
      </c>
      <c r="F3808" s="124">
        <v>3802</v>
      </c>
      <c r="G3808" s="238">
        <f t="shared" ca="1" si="120"/>
        <v>-5.7117935175966883E-3</v>
      </c>
      <c r="I3808" s="156"/>
    </row>
    <row r="3809" spans="2:9" x14ac:dyDescent="0.2">
      <c r="B3809" s="230">
        <v>40392</v>
      </c>
      <c r="C3809" s="124">
        <v>103.69</v>
      </c>
      <c r="D3809" s="156">
        <f t="shared" si="119"/>
        <v>1.2993356779992167E-2</v>
      </c>
      <c r="E3809" s="156">
        <v>-9.9317194289262421E-3</v>
      </c>
      <c r="F3809" s="124">
        <v>3803</v>
      </c>
      <c r="G3809" s="238">
        <f t="shared" ca="1" si="120"/>
        <v>-1.5809627909117586E-2</v>
      </c>
      <c r="I3809" s="156"/>
    </row>
    <row r="3810" spans="2:9" x14ac:dyDescent="0.2">
      <c r="B3810" s="230">
        <v>40389</v>
      </c>
      <c r="C3810" s="124">
        <v>102.34</v>
      </c>
      <c r="D3810" s="156">
        <f t="shared" si="119"/>
        <v>-1.3019577587038233E-2</v>
      </c>
      <c r="E3810" s="156">
        <v>-9.9373321396597977E-3</v>
      </c>
      <c r="F3810" s="124">
        <v>3804</v>
      </c>
      <c r="G3810" s="238">
        <f t="shared" ca="1" si="120"/>
        <v>2.6961194503353075E-3</v>
      </c>
      <c r="I3810" s="156"/>
    </row>
    <row r="3811" spans="2:9" x14ac:dyDescent="0.2">
      <c r="B3811" s="230">
        <v>40388</v>
      </c>
      <c r="C3811" s="124">
        <v>102.79</v>
      </c>
      <c r="D3811" s="156">
        <f t="shared" si="119"/>
        <v>4.3971076802814422E-3</v>
      </c>
      <c r="E3811" s="156">
        <v>-9.9488403130244055E-3</v>
      </c>
      <c r="F3811" s="124">
        <v>3805</v>
      </c>
      <c r="G3811" s="238">
        <f t="shared" ca="1" si="120"/>
        <v>1.1620083001705854E-2</v>
      </c>
      <c r="I3811" s="156"/>
    </row>
    <row r="3812" spans="2:9" x14ac:dyDescent="0.2">
      <c r="B3812" s="230">
        <v>40387</v>
      </c>
      <c r="C3812" s="124">
        <v>101.88</v>
      </c>
      <c r="D3812" s="156">
        <f t="shared" si="119"/>
        <v>-8.8530012647145707E-3</v>
      </c>
      <c r="E3812" s="156">
        <v>-9.9526839614945718E-3</v>
      </c>
      <c r="F3812" s="124">
        <v>3806</v>
      </c>
      <c r="G3812" s="238">
        <f t="shared" ca="1" si="120"/>
        <v>2.3105803335371523E-2</v>
      </c>
      <c r="I3812" s="156"/>
    </row>
    <row r="3813" spans="2:9" x14ac:dyDescent="0.2">
      <c r="B3813" s="230">
        <v>40386</v>
      </c>
      <c r="C3813" s="124">
        <v>100.85</v>
      </c>
      <c r="D3813" s="156">
        <f t="shared" si="119"/>
        <v>-1.0109933254809592E-2</v>
      </c>
      <c r="E3813" s="156">
        <v>-9.9680096434698207E-3</v>
      </c>
      <c r="F3813" s="124">
        <v>3807</v>
      </c>
      <c r="G3813" s="238">
        <f t="shared" ca="1" si="120"/>
        <v>-4.2113815137506368E-3</v>
      </c>
      <c r="I3813" s="156"/>
    </row>
    <row r="3814" spans="2:9" x14ac:dyDescent="0.2">
      <c r="B3814" s="230">
        <v>40385</v>
      </c>
      <c r="C3814" s="124">
        <v>100.34</v>
      </c>
      <c r="D3814" s="156">
        <f t="shared" si="119"/>
        <v>-5.0570153693603468E-3</v>
      </c>
      <c r="E3814" s="156">
        <v>-9.9712368168744878E-3</v>
      </c>
      <c r="F3814" s="124">
        <v>3808</v>
      </c>
      <c r="G3814" s="238">
        <f t="shared" ca="1" si="120"/>
        <v>-4.0461587908465838E-3</v>
      </c>
      <c r="I3814" s="156"/>
    </row>
    <row r="3815" spans="2:9" x14ac:dyDescent="0.2">
      <c r="B3815" s="230">
        <v>40382</v>
      </c>
      <c r="C3815" s="124">
        <v>99.99</v>
      </c>
      <c r="D3815" s="156">
        <f t="shared" si="119"/>
        <v>-3.4881403229022178E-3</v>
      </c>
      <c r="E3815" s="156">
        <v>-9.9783601827361807E-3</v>
      </c>
      <c r="F3815" s="124">
        <v>3809</v>
      </c>
      <c r="G3815" s="238">
        <f t="shared" ca="1" si="120"/>
        <v>6.2494855439277144E-3</v>
      </c>
      <c r="I3815" s="156"/>
    </row>
    <row r="3816" spans="2:9" x14ac:dyDescent="0.2">
      <c r="B3816" s="230">
        <v>40381</v>
      </c>
      <c r="C3816" s="124">
        <v>98.68</v>
      </c>
      <c r="D3816" s="156">
        <f t="shared" si="119"/>
        <v>-1.3101310131012983E-2</v>
      </c>
      <c r="E3816" s="156">
        <v>-9.9806680753495424E-3</v>
      </c>
      <c r="F3816" s="124">
        <v>3810</v>
      </c>
      <c r="G3816" s="238">
        <f t="shared" ca="1" si="120"/>
        <v>8.3312088090345092E-3</v>
      </c>
      <c r="I3816" s="156"/>
    </row>
    <row r="3817" spans="2:9" x14ac:dyDescent="0.2">
      <c r="B3817" s="230">
        <v>40380</v>
      </c>
      <c r="C3817" s="124">
        <v>96.91</v>
      </c>
      <c r="D3817" s="156">
        <f t="shared" si="119"/>
        <v>-1.7936765301986322E-2</v>
      </c>
      <c r="E3817" s="156">
        <v>-9.9852071005917427E-3</v>
      </c>
      <c r="F3817" s="124">
        <v>3811</v>
      </c>
      <c r="G3817" s="238">
        <f t="shared" ca="1" si="120"/>
        <v>1.7435047700346822E-3</v>
      </c>
      <c r="I3817" s="156"/>
    </row>
    <row r="3818" spans="2:9" x14ac:dyDescent="0.2">
      <c r="B3818" s="230">
        <v>40379</v>
      </c>
      <c r="C3818" s="124">
        <v>96.61</v>
      </c>
      <c r="D3818" s="156">
        <f t="shared" si="119"/>
        <v>-3.0956557630791165E-3</v>
      </c>
      <c r="E3818" s="156">
        <v>-9.9926882768706371E-3</v>
      </c>
      <c r="F3818" s="124">
        <v>3812</v>
      </c>
      <c r="G3818" s="238">
        <f t="shared" ca="1" si="120"/>
        <v>5.0339459162010401E-3</v>
      </c>
      <c r="I3818" s="156"/>
    </row>
    <row r="3819" spans="2:9" x14ac:dyDescent="0.2">
      <c r="B3819" s="230">
        <v>40378</v>
      </c>
      <c r="C3819" s="124">
        <v>96.58</v>
      </c>
      <c r="D3819" s="156">
        <f t="shared" si="119"/>
        <v>-3.1052686057345136E-4</v>
      </c>
      <c r="E3819" s="156">
        <v>-1.0000754773945332E-2</v>
      </c>
      <c r="F3819" s="124">
        <v>3813</v>
      </c>
      <c r="G3819" s="238">
        <f t="shared" ca="1" si="120"/>
        <v>-8.8447462509657509E-4</v>
      </c>
      <c r="I3819" s="156"/>
    </row>
    <row r="3820" spans="2:9" x14ac:dyDescent="0.2">
      <c r="B3820" s="230">
        <v>40375</v>
      </c>
      <c r="C3820" s="124">
        <v>98.9</v>
      </c>
      <c r="D3820" s="156">
        <f t="shared" si="119"/>
        <v>2.4021536550010433E-2</v>
      </c>
      <c r="E3820" s="156">
        <v>-1.00123439857357E-2</v>
      </c>
      <c r="F3820" s="124">
        <v>3814</v>
      </c>
      <c r="G3820" s="238">
        <f t="shared" ca="1" si="120"/>
        <v>-3.2193052958801212E-2</v>
      </c>
      <c r="I3820" s="156"/>
    </row>
    <row r="3821" spans="2:9" x14ac:dyDescent="0.2">
      <c r="B3821" s="230">
        <v>40374</v>
      </c>
      <c r="C3821" s="124">
        <v>99.48</v>
      </c>
      <c r="D3821" s="156">
        <f t="shared" si="119"/>
        <v>5.8645096056622673E-3</v>
      </c>
      <c r="E3821" s="156">
        <v>-1.0021399864293627E-2</v>
      </c>
      <c r="F3821" s="124">
        <v>3815</v>
      </c>
      <c r="G3821" s="238">
        <f t="shared" ca="1" si="120"/>
        <v>3.5542446035170899E-2</v>
      </c>
      <c r="I3821" s="156"/>
    </row>
    <row r="3822" spans="2:9" x14ac:dyDescent="0.2">
      <c r="B3822" s="230">
        <v>40373</v>
      </c>
      <c r="C3822" s="124">
        <v>98.95</v>
      </c>
      <c r="D3822" s="156">
        <f t="shared" si="119"/>
        <v>-5.3277040611178234E-3</v>
      </c>
      <c r="E3822" s="156">
        <v>-1.0034593586692449E-2</v>
      </c>
      <c r="F3822" s="124">
        <v>3816</v>
      </c>
      <c r="G3822" s="238">
        <f t="shared" ca="1" si="120"/>
        <v>-4.3535564519045621E-3</v>
      </c>
      <c r="I3822" s="156"/>
    </row>
    <row r="3823" spans="2:9" x14ac:dyDescent="0.2">
      <c r="B3823" s="230">
        <v>40372</v>
      </c>
      <c r="C3823" s="124">
        <v>99.15</v>
      </c>
      <c r="D3823" s="156">
        <f t="shared" si="119"/>
        <v>2.0212228398181187E-3</v>
      </c>
      <c r="E3823" s="156">
        <v>-1.0042036431574058E-2</v>
      </c>
      <c r="F3823" s="124">
        <v>3817</v>
      </c>
      <c r="G3823" s="238">
        <f t="shared" ca="1" si="120"/>
        <v>-1.751507884944014E-2</v>
      </c>
      <c r="I3823" s="156"/>
    </row>
    <row r="3824" spans="2:9" x14ac:dyDescent="0.2">
      <c r="B3824" s="230">
        <v>40371</v>
      </c>
      <c r="C3824" s="124">
        <v>99.43</v>
      </c>
      <c r="D3824" s="156">
        <f t="shared" si="119"/>
        <v>2.8240040342914887E-3</v>
      </c>
      <c r="E3824" s="156">
        <v>-1.0042553191489324E-2</v>
      </c>
      <c r="F3824" s="124">
        <v>3818</v>
      </c>
      <c r="G3824" s="238">
        <f t="shared" ca="1" si="120"/>
        <v>-9.6002849215262543E-4</v>
      </c>
      <c r="I3824" s="156"/>
    </row>
    <row r="3825" spans="2:9" x14ac:dyDescent="0.2">
      <c r="B3825" s="230">
        <v>40368</v>
      </c>
      <c r="C3825" s="124">
        <v>99.56</v>
      </c>
      <c r="D3825" s="156">
        <f t="shared" si="119"/>
        <v>1.3074524791310011E-3</v>
      </c>
      <c r="E3825" s="156">
        <v>-1.0051373687737281E-2</v>
      </c>
      <c r="F3825" s="124">
        <v>3819</v>
      </c>
      <c r="G3825" s="238">
        <f t="shared" ca="1" si="120"/>
        <v>-4.048635112529262E-2</v>
      </c>
      <c r="I3825" s="156"/>
    </row>
    <row r="3826" spans="2:9" x14ac:dyDescent="0.2">
      <c r="B3826" s="230">
        <v>40367</v>
      </c>
      <c r="C3826" s="124">
        <v>100.49</v>
      </c>
      <c r="D3826" s="156">
        <f t="shared" si="119"/>
        <v>9.3411008437122595E-3</v>
      </c>
      <c r="E3826" s="156">
        <v>-1.0056026432983808E-2</v>
      </c>
      <c r="F3826" s="124">
        <v>3820</v>
      </c>
      <c r="G3826" s="238">
        <f t="shared" ca="1" si="120"/>
        <v>3.3243066879918722E-3</v>
      </c>
      <c r="I3826" s="156"/>
    </row>
    <row r="3827" spans="2:9" x14ac:dyDescent="0.2">
      <c r="B3827" s="230">
        <v>40366</v>
      </c>
      <c r="C3827" s="124">
        <v>100.11</v>
      </c>
      <c r="D3827" s="156">
        <f t="shared" si="119"/>
        <v>-3.7814707931136974E-3</v>
      </c>
      <c r="E3827" s="156">
        <v>-1.0081043684522567E-2</v>
      </c>
      <c r="F3827" s="124">
        <v>3821</v>
      </c>
      <c r="G3827" s="238">
        <f t="shared" ca="1" si="120"/>
        <v>-9.5943164257578581E-3</v>
      </c>
      <c r="I3827" s="156"/>
    </row>
    <row r="3828" spans="2:9" x14ac:dyDescent="0.2">
      <c r="B3828" s="230">
        <v>40365</v>
      </c>
      <c r="C3828" s="124">
        <v>100.4</v>
      </c>
      <c r="D3828" s="156">
        <f t="shared" si="119"/>
        <v>2.8968135051444036E-3</v>
      </c>
      <c r="E3828" s="156">
        <v>-1.0090817356205853E-2</v>
      </c>
      <c r="F3828" s="124">
        <v>3822</v>
      </c>
      <c r="G3828" s="238">
        <f t="shared" ca="1" si="120"/>
        <v>-1.7596717197693096E-2</v>
      </c>
      <c r="I3828" s="156"/>
    </row>
    <row r="3829" spans="2:9" x14ac:dyDescent="0.2">
      <c r="B3829" s="230">
        <v>40364</v>
      </c>
      <c r="C3829" s="124">
        <v>100.16</v>
      </c>
      <c r="D3829" s="156">
        <f t="shared" si="119"/>
        <v>-2.3904382470120427E-3</v>
      </c>
      <c r="E3829" s="156">
        <v>-1.0096153846153819E-2</v>
      </c>
      <c r="F3829" s="124">
        <v>3823</v>
      </c>
      <c r="G3829" s="238">
        <f t="shared" ca="1" si="120"/>
        <v>-2.0681759907220255E-2</v>
      </c>
      <c r="I3829" s="156"/>
    </row>
    <row r="3830" spans="2:9" x14ac:dyDescent="0.2">
      <c r="B3830" s="230">
        <v>40361</v>
      </c>
      <c r="C3830" s="124">
        <v>100.29</v>
      </c>
      <c r="D3830" s="156">
        <f t="shared" si="119"/>
        <v>1.2979233226838025E-3</v>
      </c>
      <c r="E3830" s="156">
        <v>-1.0109933254809592E-2</v>
      </c>
      <c r="F3830" s="124">
        <v>3824</v>
      </c>
      <c r="G3830" s="238">
        <f t="shared" ca="1" si="120"/>
        <v>-1.2966822162101124E-2</v>
      </c>
      <c r="I3830" s="156"/>
    </row>
    <row r="3831" spans="2:9" x14ac:dyDescent="0.2">
      <c r="B3831" s="230">
        <v>40360</v>
      </c>
      <c r="C3831" s="124">
        <v>100.44</v>
      </c>
      <c r="D3831" s="156">
        <f t="shared" si="119"/>
        <v>1.4956625785222002E-3</v>
      </c>
      <c r="E3831" s="156">
        <v>-1.0122230710466026E-2</v>
      </c>
      <c r="F3831" s="124">
        <v>3825</v>
      </c>
      <c r="G3831" s="238">
        <f t="shared" ca="1" si="120"/>
        <v>7.5045299679442476E-4</v>
      </c>
      <c r="I3831" s="156"/>
    </row>
    <row r="3832" spans="2:9" x14ac:dyDescent="0.2">
      <c r="B3832" s="230">
        <v>40359</v>
      </c>
      <c r="C3832" s="124">
        <v>101.25</v>
      </c>
      <c r="D3832" s="156">
        <f t="shared" si="119"/>
        <v>8.0645161290322804E-3</v>
      </c>
      <c r="E3832" s="156">
        <v>-1.0135379714761498E-2</v>
      </c>
      <c r="F3832" s="124">
        <v>3826</v>
      </c>
      <c r="G3832" s="238">
        <f t="shared" ca="1" si="120"/>
        <v>7.9049056980137131E-3</v>
      </c>
      <c r="I3832" s="156"/>
    </row>
    <row r="3833" spans="2:9" x14ac:dyDescent="0.2">
      <c r="B3833" s="230">
        <v>40358</v>
      </c>
      <c r="C3833" s="124">
        <v>98.23</v>
      </c>
      <c r="D3833" s="156">
        <f t="shared" si="119"/>
        <v>-2.982716049382712E-2</v>
      </c>
      <c r="E3833" s="156">
        <v>-1.013636695106823E-2</v>
      </c>
      <c r="F3833" s="124">
        <v>3827</v>
      </c>
      <c r="G3833" s="238">
        <f t="shared" ca="1" si="120"/>
        <v>6.1863190129156746E-3</v>
      </c>
      <c r="I3833" s="156"/>
    </row>
    <row r="3834" spans="2:9" x14ac:dyDescent="0.2">
      <c r="B3834" s="230">
        <v>40357</v>
      </c>
      <c r="C3834" s="124">
        <v>98.66</v>
      </c>
      <c r="D3834" s="156">
        <f t="shared" si="119"/>
        <v>4.3774814211543578E-3</v>
      </c>
      <c r="E3834" s="156">
        <v>-1.0137683892870642E-2</v>
      </c>
      <c r="F3834" s="124">
        <v>3828</v>
      </c>
      <c r="G3834" s="238">
        <f t="shared" ca="1" si="120"/>
        <v>-2.2852281906940476E-2</v>
      </c>
      <c r="I3834" s="156"/>
    </row>
    <row r="3835" spans="2:9" x14ac:dyDescent="0.2">
      <c r="B3835" s="230">
        <v>40354</v>
      </c>
      <c r="C3835" s="124">
        <v>99.92</v>
      </c>
      <c r="D3835" s="156">
        <f t="shared" si="119"/>
        <v>1.2771133184674693E-2</v>
      </c>
      <c r="E3835" s="156">
        <v>-1.0138476755687355E-2</v>
      </c>
      <c r="F3835" s="124">
        <v>3829</v>
      </c>
      <c r="G3835" s="238">
        <f t="shared" ca="1" si="120"/>
        <v>1.8413074305832201E-2</v>
      </c>
      <c r="I3835" s="156"/>
    </row>
    <row r="3836" spans="2:9" x14ac:dyDescent="0.2">
      <c r="B3836" s="230">
        <v>40353</v>
      </c>
      <c r="C3836" s="124">
        <v>101.35</v>
      </c>
      <c r="D3836" s="156">
        <f t="shared" si="119"/>
        <v>1.4311449159327388E-2</v>
      </c>
      <c r="E3836" s="156">
        <v>-1.0140585388338274E-2</v>
      </c>
      <c r="F3836" s="124">
        <v>3830</v>
      </c>
      <c r="G3836" s="238">
        <f t="shared" ca="1" si="120"/>
        <v>1.5136747755928805E-2</v>
      </c>
      <c r="I3836" s="156"/>
    </row>
    <row r="3837" spans="2:9" x14ac:dyDescent="0.2">
      <c r="B3837" s="230">
        <v>40352</v>
      </c>
      <c r="C3837" s="124">
        <v>100.39</v>
      </c>
      <c r="D3837" s="156">
        <f t="shared" si="119"/>
        <v>-9.472126295017206E-3</v>
      </c>
      <c r="E3837" s="156">
        <v>-1.0162184356394937E-2</v>
      </c>
      <c r="F3837" s="124">
        <v>3831</v>
      </c>
      <c r="G3837" s="238">
        <f t="shared" ca="1" si="120"/>
        <v>1.0400419711748717E-2</v>
      </c>
      <c r="I3837" s="156"/>
    </row>
    <row r="3838" spans="2:9" x14ac:dyDescent="0.2">
      <c r="B3838" s="230">
        <v>40351</v>
      </c>
      <c r="C3838" s="124">
        <v>100.04</v>
      </c>
      <c r="D3838" s="156">
        <f t="shared" ref="D3838:D3901" si="121">(C3838-C3837)/C3837</f>
        <v>-3.4864030281900023E-3</v>
      </c>
      <c r="E3838" s="156">
        <v>-1.0163694111898424E-2</v>
      </c>
      <c r="F3838" s="124">
        <v>3832</v>
      </c>
      <c r="G3838" s="238">
        <f t="shared" ca="1" si="120"/>
        <v>5.7926997048453918E-4</v>
      </c>
      <c r="I3838" s="156"/>
    </row>
    <row r="3839" spans="2:9" x14ac:dyDescent="0.2">
      <c r="B3839" s="230">
        <v>40350</v>
      </c>
      <c r="C3839" s="124">
        <v>99.15</v>
      </c>
      <c r="D3839" s="156">
        <f t="shared" si="121"/>
        <v>-8.8964414234306323E-3</v>
      </c>
      <c r="E3839" s="156">
        <v>-1.0165662650602579E-2</v>
      </c>
      <c r="F3839" s="124">
        <v>3833</v>
      </c>
      <c r="G3839" s="238">
        <f t="shared" ca="1" si="120"/>
        <v>-1.8517486641333222E-2</v>
      </c>
      <c r="I3839" s="156"/>
    </row>
    <row r="3840" spans="2:9" x14ac:dyDescent="0.2">
      <c r="B3840" s="230">
        <v>40347</v>
      </c>
      <c r="C3840" s="124">
        <v>97.75</v>
      </c>
      <c r="D3840" s="156">
        <f t="shared" si="121"/>
        <v>-1.4120020171457444E-2</v>
      </c>
      <c r="E3840" s="156">
        <v>-1.0170070934108297E-2</v>
      </c>
      <c r="F3840" s="124">
        <v>3834</v>
      </c>
      <c r="G3840" s="238">
        <f t="shared" ca="1" si="120"/>
        <v>8.121349871964622E-3</v>
      </c>
      <c r="I3840" s="156"/>
    </row>
    <row r="3841" spans="2:9" x14ac:dyDescent="0.2">
      <c r="B3841" s="230">
        <v>40346</v>
      </c>
      <c r="C3841" s="124">
        <v>97.42</v>
      </c>
      <c r="D3841" s="156">
        <f t="shared" si="121"/>
        <v>-3.3759590792838698E-3</v>
      </c>
      <c r="E3841" s="156">
        <v>-1.0170640750367178E-2</v>
      </c>
      <c r="F3841" s="124">
        <v>3835</v>
      </c>
      <c r="G3841" s="238">
        <f t="shared" ca="1" si="120"/>
        <v>-1.2613951131876218E-3</v>
      </c>
      <c r="I3841" s="156"/>
    </row>
    <row r="3842" spans="2:9" x14ac:dyDescent="0.2">
      <c r="B3842" s="230">
        <v>40345</v>
      </c>
      <c r="C3842" s="124">
        <v>96.43</v>
      </c>
      <c r="D3842" s="156">
        <f t="shared" si="121"/>
        <v>-1.0162184356394937E-2</v>
      </c>
      <c r="E3842" s="156">
        <v>-1.0183572289963701E-2</v>
      </c>
      <c r="F3842" s="124">
        <v>3836</v>
      </c>
      <c r="G3842" s="238">
        <f t="shared" ca="1" si="120"/>
        <v>1.6558361291159104E-2</v>
      </c>
      <c r="I3842" s="156"/>
    </row>
    <row r="3843" spans="2:9" x14ac:dyDescent="0.2">
      <c r="B3843" s="230">
        <v>40344</v>
      </c>
      <c r="C3843" s="124">
        <v>96.69</v>
      </c>
      <c r="D3843" s="156">
        <f t="shared" si="121"/>
        <v>2.696256351757657E-3</v>
      </c>
      <c r="E3843" s="156">
        <v>-1.0187680234482112E-2</v>
      </c>
      <c r="F3843" s="124">
        <v>3837</v>
      </c>
      <c r="G3843" s="238">
        <f t="shared" ca="1" si="120"/>
        <v>-9.932920315646231E-3</v>
      </c>
      <c r="I3843" s="156"/>
    </row>
    <row r="3844" spans="2:9" x14ac:dyDescent="0.2">
      <c r="B3844" s="230">
        <v>40343</v>
      </c>
      <c r="C3844" s="124">
        <v>94.84</v>
      </c>
      <c r="D3844" s="156">
        <f t="shared" si="121"/>
        <v>-1.9133312648670953E-2</v>
      </c>
      <c r="E3844" s="156">
        <v>-1.0198878123406465E-2</v>
      </c>
      <c r="F3844" s="124">
        <v>3838</v>
      </c>
      <c r="G3844" s="238">
        <f t="shared" ca="1" si="120"/>
        <v>7.5635941882280259E-3</v>
      </c>
      <c r="I3844" s="156"/>
    </row>
    <row r="3845" spans="2:9" x14ac:dyDescent="0.2">
      <c r="B3845" s="230">
        <v>40340</v>
      </c>
      <c r="C3845" s="124">
        <v>93.33</v>
      </c>
      <c r="D3845" s="156">
        <f t="shared" si="121"/>
        <v>-1.5921552087726751E-2</v>
      </c>
      <c r="E3845" s="156">
        <v>-1.0237244068898319E-2</v>
      </c>
      <c r="F3845" s="124">
        <v>3839</v>
      </c>
      <c r="G3845" s="238">
        <f t="shared" ca="1" si="120"/>
        <v>2.5235376199915536E-2</v>
      </c>
      <c r="I3845" s="156"/>
    </row>
    <row r="3846" spans="2:9" x14ac:dyDescent="0.2">
      <c r="B3846" s="230">
        <v>40339</v>
      </c>
      <c r="C3846" s="124">
        <v>92.83</v>
      </c>
      <c r="D3846" s="156">
        <f t="shared" si="121"/>
        <v>-5.357334190506804E-3</v>
      </c>
      <c r="E3846" s="156">
        <v>-1.0241921243157433E-2</v>
      </c>
      <c r="F3846" s="124">
        <v>3840</v>
      </c>
      <c r="G3846" s="238">
        <f t="shared" ca="1" si="120"/>
        <v>-1.347833373902874E-2</v>
      </c>
      <c r="I3846" s="156"/>
    </row>
    <row r="3847" spans="2:9" x14ac:dyDescent="0.2">
      <c r="B3847" s="230">
        <v>40338</v>
      </c>
      <c r="C3847" s="124">
        <v>92.02</v>
      </c>
      <c r="D3847" s="156">
        <f t="shared" si="121"/>
        <v>-8.7256274911128116E-3</v>
      </c>
      <c r="E3847" s="156">
        <v>-1.0250817884405647E-2</v>
      </c>
      <c r="F3847" s="124">
        <v>3841</v>
      </c>
      <c r="G3847" s="238">
        <f t="shared" ref="G3847:G3910" ca="1" si="122">_xlfn.NORM.INV(RAND(),$L$8,$L$9)</f>
        <v>2.139547818290094E-3</v>
      </c>
      <c r="I3847" s="156"/>
    </row>
    <row r="3848" spans="2:9" x14ac:dyDescent="0.2">
      <c r="B3848" s="230">
        <v>40337</v>
      </c>
      <c r="C3848" s="124">
        <v>96.03</v>
      </c>
      <c r="D3848" s="156">
        <f t="shared" si="121"/>
        <v>4.3577483155835747E-2</v>
      </c>
      <c r="E3848" s="156">
        <v>-1.0260223048327103E-2</v>
      </c>
      <c r="F3848" s="124">
        <v>3842</v>
      </c>
      <c r="G3848" s="238">
        <f t="shared" ca="1" si="122"/>
        <v>2.2043370235496185E-2</v>
      </c>
      <c r="I3848" s="156"/>
    </row>
    <row r="3849" spans="2:9" x14ac:dyDescent="0.2">
      <c r="B3849" s="230">
        <v>40336</v>
      </c>
      <c r="C3849" s="124">
        <v>95.37</v>
      </c>
      <c r="D3849" s="156">
        <f t="shared" si="121"/>
        <v>-6.8728522336769403E-3</v>
      </c>
      <c r="E3849" s="156">
        <v>-1.0264721772015005E-2</v>
      </c>
      <c r="F3849" s="124">
        <v>3843</v>
      </c>
      <c r="G3849" s="238">
        <f t="shared" ca="1" si="122"/>
        <v>9.6022015645016445E-3</v>
      </c>
      <c r="I3849" s="156"/>
    </row>
    <row r="3850" spans="2:9" x14ac:dyDescent="0.2">
      <c r="B3850" s="230">
        <v>40333</v>
      </c>
      <c r="C3850" s="124">
        <v>96.41</v>
      </c>
      <c r="D3850" s="156">
        <f t="shared" si="121"/>
        <v>1.0904896718045422E-2</v>
      </c>
      <c r="E3850" s="156">
        <v>-1.0281975385574025E-2</v>
      </c>
      <c r="F3850" s="124">
        <v>3844</v>
      </c>
      <c r="G3850" s="238">
        <f t="shared" ca="1" si="122"/>
        <v>2.6031037024764933E-2</v>
      </c>
      <c r="I3850" s="156"/>
    </row>
    <row r="3851" spans="2:9" x14ac:dyDescent="0.2">
      <c r="B3851" s="230">
        <v>40332</v>
      </c>
      <c r="C3851" s="124">
        <v>94.64</v>
      </c>
      <c r="D3851" s="156">
        <f t="shared" si="121"/>
        <v>-1.8359091380562142E-2</v>
      </c>
      <c r="E3851" s="156">
        <v>-1.0282161645145891E-2</v>
      </c>
      <c r="F3851" s="124">
        <v>3845</v>
      </c>
      <c r="G3851" s="238">
        <f t="shared" ca="1" si="122"/>
        <v>1.0981913195885429E-2</v>
      </c>
      <c r="I3851" s="156"/>
    </row>
    <row r="3852" spans="2:9" x14ac:dyDescent="0.2">
      <c r="B3852" s="230">
        <v>40331</v>
      </c>
      <c r="C3852" s="124">
        <v>93.24</v>
      </c>
      <c r="D3852" s="156">
        <f t="shared" si="121"/>
        <v>-1.4792899408284084E-2</v>
      </c>
      <c r="E3852" s="156">
        <v>-1.0285335102853239E-2</v>
      </c>
      <c r="F3852" s="124">
        <v>3846</v>
      </c>
      <c r="G3852" s="238">
        <f t="shared" ca="1" si="122"/>
        <v>-7.7694260118987271E-3</v>
      </c>
      <c r="I3852" s="156"/>
    </row>
    <row r="3853" spans="2:9" x14ac:dyDescent="0.2">
      <c r="B3853" s="230">
        <v>40330</v>
      </c>
      <c r="C3853" s="124">
        <v>93.81</v>
      </c>
      <c r="D3853" s="156">
        <f t="shared" si="121"/>
        <v>6.1132561132561927E-3</v>
      </c>
      <c r="E3853" s="156">
        <v>-1.028979420411587E-2</v>
      </c>
      <c r="F3853" s="124">
        <v>3847</v>
      </c>
      <c r="G3853" s="238">
        <f t="shared" ca="1" si="122"/>
        <v>3.487167919558095E-2</v>
      </c>
      <c r="I3853" s="156"/>
    </row>
    <row r="3854" spans="2:9" x14ac:dyDescent="0.2">
      <c r="B3854" s="230">
        <v>40329</v>
      </c>
      <c r="C3854" s="124">
        <v>93.87</v>
      </c>
      <c r="D3854" s="156">
        <f t="shared" si="121"/>
        <v>6.3959066197635936E-4</v>
      </c>
      <c r="E3854" s="156">
        <v>-1.0289830217801405E-2</v>
      </c>
      <c r="F3854" s="124">
        <v>3848</v>
      </c>
      <c r="G3854" s="238">
        <f t="shared" ca="1" si="122"/>
        <v>-1.7413269454286534E-2</v>
      </c>
      <c r="I3854" s="156"/>
    </row>
    <row r="3855" spans="2:9" x14ac:dyDescent="0.2">
      <c r="B3855" s="230">
        <v>40326</v>
      </c>
      <c r="C3855" s="124">
        <v>93.87</v>
      </c>
      <c r="D3855" s="156">
        <f t="shared" si="121"/>
        <v>0</v>
      </c>
      <c r="E3855" s="156">
        <v>-1.0297215071378502E-2</v>
      </c>
      <c r="F3855" s="124">
        <v>3849</v>
      </c>
      <c r="G3855" s="238">
        <f t="shared" ca="1" si="122"/>
        <v>6.0856172578879018E-3</v>
      </c>
      <c r="I3855" s="156"/>
    </row>
    <row r="3856" spans="2:9" x14ac:dyDescent="0.2">
      <c r="B3856" s="230">
        <v>40325</v>
      </c>
      <c r="C3856" s="124">
        <v>91.45</v>
      </c>
      <c r="D3856" s="156">
        <f t="shared" si="121"/>
        <v>-2.5780334505166737E-2</v>
      </c>
      <c r="E3856" s="156">
        <v>-1.0299963859775808E-2</v>
      </c>
      <c r="F3856" s="124">
        <v>3850</v>
      </c>
      <c r="G3856" s="238">
        <f t="shared" ca="1" si="122"/>
        <v>9.9974663234520637E-3</v>
      </c>
      <c r="I3856" s="156"/>
    </row>
    <row r="3857" spans="2:9" x14ac:dyDescent="0.2">
      <c r="B3857" s="230">
        <v>40324</v>
      </c>
      <c r="C3857" s="124">
        <v>89.2</v>
      </c>
      <c r="D3857" s="156">
        <f t="shared" si="121"/>
        <v>-2.4603608529250955E-2</v>
      </c>
      <c r="E3857" s="156">
        <v>-1.0304480787129259E-2</v>
      </c>
      <c r="F3857" s="124">
        <v>3851</v>
      </c>
      <c r="G3857" s="238">
        <f t="shared" ca="1" si="122"/>
        <v>-1.6553197806346776E-2</v>
      </c>
      <c r="I3857" s="156"/>
    </row>
    <row r="3858" spans="2:9" x14ac:dyDescent="0.2">
      <c r="B3858" s="230">
        <v>40323</v>
      </c>
      <c r="C3858" s="124">
        <v>86.35</v>
      </c>
      <c r="D3858" s="156">
        <f t="shared" si="121"/>
        <v>-3.1950672645740003E-2</v>
      </c>
      <c r="E3858" s="156">
        <v>-1.0311640696608617E-2</v>
      </c>
      <c r="F3858" s="124">
        <v>3852</v>
      </c>
      <c r="G3858" s="238">
        <f t="shared" ca="1" si="122"/>
        <v>-8.301473087442536E-3</v>
      </c>
      <c r="I3858" s="156"/>
    </row>
    <row r="3859" spans="2:9" x14ac:dyDescent="0.2">
      <c r="B3859" s="230">
        <v>40322</v>
      </c>
      <c r="C3859" s="124">
        <v>88.85</v>
      </c>
      <c r="D3859" s="156">
        <f t="shared" si="121"/>
        <v>2.8951939779965258E-2</v>
      </c>
      <c r="E3859" s="156">
        <v>-1.0324729392173148E-2</v>
      </c>
      <c r="F3859" s="124">
        <v>3853</v>
      </c>
      <c r="G3859" s="238">
        <f t="shared" ca="1" si="122"/>
        <v>-3.1975343213086335E-3</v>
      </c>
      <c r="I3859" s="156"/>
    </row>
    <row r="3860" spans="2:9" x14ac:dyDescent="0.2">
      <c r="B3860" s="230">
        <v>40319</v>
      </c>
      <c r="C3860" s="124">
        <v>89.93</v>
      </c>
      <c r="D3860" s="156">
        <f t="shared" si="121"/>
        <v>1.2155317951603968E-2</v>
      </c>
      <c r="E3860" s="156">
        <v>-1.0342823939569991E-2</v>
      </c>
      <c r="F3860" s="124">
        <v>3854</v>
      </c>
      <c r="G3860" s="238">
        <f t="shared" ca="1" si="122"/>
        <v>-3.4888279276394452E-3</v>
      </c>
      <c r="I3860" s="156"/>
    </row>
    <row r="3861" spans="2:9" x14ac:dyDescent="0.2">
      <c r="B3861" s="230">
        <v>40318</v>
      </c>
      <c r="C3861" s="124">
        <v>86.98</v>
      </c>
      <c r="D3861" s="156">
        <f t="shared" si="121"/>
        <v>-3.2803291448904731E-2</v>
      </c>
      <c r="E3861" s="156">
        <v>-1.0364484366902746E-2</v>
      </c>
      <c r="F3861" s="124">
        <v>3855</v>
      </c>
      <c r="G3861" s="238">
        <f t="shared" ca="1" si="122"/>
        <v>4.1183818436341243E-3</v>
      </c>
      <c r="I3861" s="156"/>
    </row>
    <row r="3862" spans="2:9" x14ac:dyDescent="0.2">
      <c r="B3862" s="230">
        <v>40317</v>
      </c>
      <c r="C3862" s="124">
        <v>85.92</v>
      </c>
      <c r="D3862" s="156">
        <f t="shared" si="121"/>
        <v>-1.2186709588411155E-2</v>
      </c>
      <c r="E3862" s="156">
        <v>-1.0377584417657836E-2</v>
      </c>
      <c r="F3862" s="124">
        <v>3856</v>
      </c>
      <c r="G3862" s="238">
        <f t="shared" ca="1" si="122"/>
        <v>-2.0787412629223685E-2</v>
      </c>
      <c r="I3862" s="156"/>
    </row>
    <row r="3863" spans="2:9" x14ac:dyDescent="0.2">
      <c r="B3863" s="230">
        <v>40316</v>
      </c>
      <c r="C3863" s="124">
        <v>89.05</v>
      </c>
      <c r="D3863" s="156">
        <f t="shared" si="121"/>
        <v>3.6429236499068846E-2</v>
      </c>
      <c r="E3863" s="156">
        <v>-1.0391735086496824E-2</v>
      </c>
      <c r="F3863" s="124">
        <v>3857</v>
      </c>
      <c r="G3863" s="238">
        <f t="shared" ca="1" si="122"/>
        <v>1.3028169181353418E-2</v>
      </c>
      <c r="I3863" s="156"/>
    </row>
    <row r="3864" spans="2:9" x14ac:dyDescent="0.2">
      <c r="B3864" s="230">
        <v>40315</v>
      </c>
      <c r="C3864" s="124">
        <v>88.22</v>
      </c>
      <c r="D3864" s="156">
        <f t="shared" si="121"/>
        <v>-9.3206064008983531E-3</v>
      </c>
      <c r="E3864" s="156">
        <v>-1.039290240811159E-2</v>
      </c>
      <c r="F3864" s="124">
        <v>3858</v>
      </c>
      <c r="G3864" s="238">
        <f t="shared" ca="1" si="122"/>
        <v>1.1575433236547212E-2</v>
      </c>
      <c r="I3864" s="156"/>
    </row>
    <row r="3865" spans="2:9" x14ac:dyDescent="0.2">
      <c r="B3865" s="230">
        <v>40312</v>
      </c>
      <c r="C3865" s="124">
        <v>88.89</v>
      </c>
      <c r="D3865" s="156">
        <f t="shared" si="121"/>
        <v>7.594649739288163E-3</v>
      </c>
      <c r="E3865" s="156">
        <v>-1.0397946084724033E-2</v>
      </c>
      <c r="F3865" s="124">
        <v>3859</v>
      </c>
      <c r="G3865" s="238">
        <f t="shared" ca="1" si="122"/>
        <v>-1.4023362812086675E-2</v>
      </c>
      <c r="I3865" s="156"/>
    </row>
    <row r="3866" spans="2:9" x14ac:dyDescent="0.2">
      <c r="B3866" s="230">
        <v>40311</v>
      </c>
      <c r="C3866" s="124">
        <v>88.34</v>
      </c>
      <c r="D3866" s="156">
        <f t="shared" si="121"/>
        <v>-6.187422657216753E-3</v>
      </c>
      <c r="E3866" s="156">
        <v>-1.0406705293356711E-2</v>
      </c>
      <c r="F3866" s="124">
        <v>3860</v>
      </c>
      <c r="G3866" s="238">
        <f t="shared" ca="1" si="122"/>
        <v>2.7283146630008928E-2</v>
      </c>
      <c r="I3866" s="156"/>
    </row>
    <row r="3867" spans="2:9" x14ac:dyDescent="0.2">
      <c r="B3867" s="230">
        <v>40310</v>
      </c>
      <c r="C3867" s="124">
        <v>87.86</v>
      </c>
      <c r="D3867" s="156">
        <f t="shared" si="121"/>
        <v>-5.4335521847408193E-3</v>
      </c>
      <c r="E3867" s="156">
        <v>-1.0414763383884531E-2</v>
      </c>
      <c r="F3867" s="124">
        <v>3861</v>
      </c>
      <c r="G3867" s="238">
        <f t="shared" ca="1" si="122"/>
        <v>2.1913211397788991E-2</v>
      </c>
      <c r="I3867" s="156"/>
    </row>
    <row r="3868" spans="2:9" x14ac:dyDescent="0.2">
      <c r="B3868" s="230">
        <v>40309</v>
      </c>
      <c r="C3868" s="124">
        <v>86.04</v>
      </c>
      <c r="D3868" s="156">
        <f t="shared" si="121"/>
        <v>-2.0714773503300629E-2</v>
      </c>
      <c r="E3868" s="156">
        <v>-1.0424242424242452E-2</v>
      </c>
      <c r="F3868" s="124">
        <v>3862</v>
      </c>
      <c r="G3868" s="238">
        <f t="shared" ca="1" si="122"/>
        <v>8.8995118200687028E-3</v>
      </c>
      <c r="I3868" s="156"/>
    </row>
    <row r="3869" spans="2:9" x14ac:dyDescent="0.2">
      <c r="B3869" s="230">
        <v>40308</v>
      </c>
      <c r="C3869" s="124">
        <v>86.78</v>
      </c>
      <c r="D3869" s="156">
        <f t="shared" si="121"/>
        <v>8.6006508600650258E-3</v>
      </c>
      <c r="E3869" s="156">
        <v>-1.0430038510911423E-2</v>
      </c>
      <c r="F3869" s="124">
        <v>3863</v>
      </c>
      <c r="G3869" s="238">
        <f t="shared" ca="1" si="122"/>
        <v>2.807252509168311E-2</v>
      </c>
      <c r="I3869" s="156"/>
    </row>
    <row r="3870" spans="2:9" x14ac:dyDescent="0.2">
      <c r="B3870" s="230">
        <v>40305</v>
      </c>
      <c r="C3870" s="124">
        <v>85.9</v>
      </c>
      <c r="D3870" s="156">
        <f t="shared" si="121"/>
        <v>-1.0140585388338274E-2</v>
      </c>
      <c r="E3870" s="156">
        <v>-1.0439857343564216E-2</v>
      </c>
      <c r="F3870" s="124">
        <v>3864</v>
      </c>
      <c r="G3870" s="238">
        <f t="shared" ca="1" si="122"/>
        <v>2.3229947278797135E-2</v>
      </c>
      <c r="I3870" s="156"/>
    </row>
    <row r="3871" spans="2:9" x14ac:dyDescent="0.2">
      <c r="B3871" s="230">
        <v>40304</v>
      </c>
      <c r="C3871" s="124">
        <v>85.87</v>
      </c>
      <c r="D3871" s="156">
        <f t="shared" si="121"/>
        <v>-3.4924330616997826E-4</v>
      </c>
      <c r="E3871" s="156">
        <v>-1.0443199184921096E-2</v>
      </c>
      <c r="F3871" s="124">
        <v>3865</v>
      </c>
      <c r="G3871" s="238">
        <f t="shared" ca="1" si="122"/>
        <v>-7.2298525110538851E-3</v>
      </c>
      <c r="I3871" s="156"/>
    </row>
    <row r="3872" spans="2:9" x14ac:dyDescent="0.2">
      <c r="B3872" s="230">
        <v>40303</v>
      </c>
      <c r="C3872" s="124">
        <v>86.9</v>
      </c>
      <c r="D3872" s="156">
        <f t="shared" si="121"/>
        <v>1.199487597531153E-2</v>
      </c>
      <c r="E3872" s="156">
        <v>-1.0461902881958174E-2</v>
      </c>
      <c r="F3872" s="124">
        <v>3866</v>
      </c>
      <c r="G3872" s="238">
        <f t="shared" ca="1" si="122"/>
        <v>-2.7787138472939066E-4</v>
      </c>
      <c r="I3872" s="156"/>
    </row>
    <row r="3873" spans="2:9" x14ac:dyDescent="0.2">
      <c r="B3873" s="230">
        <v>40302</v>
      </c>
      <c r="C3873" s="124">
        <v>86.95</v>
      </c>
      <c r="D3873" s="156">
        <f t="shared" si="121"/>
        <v>5.7537399309547934E-4</v>
      </c>
      <c r="E3873" s="156">
        <v>-1.0470889122912646E-2</v>
      </c>
      <c r="F3873" s="124">
        <v>3867</v>
      </c>
      <c r="G3873" s="238">
        <f t="shared" ca="1" si="122"/>
        <v>-9.4855889306112995E-3</v>
      </c>
      <c r="I3873" s="156"/>
    </row>
    <row r="3874" spans="2:9" x14ac:dyDescent="0.2">
      <c r="B3874" s="230">
        <v>40301</v>
      </c>
      <c r="C3874" s="124">
        <v>87.83</v>
      </c>
      <c r="D3874" s="156">
        <f t="shared" si="121"/>
        <v>1.0120759056929217E-2</v>
      </c>
      <c r="E3874" s="156">
        <v>-1.0523580615824377E-2</v>
      </c>
      <c r="F3874" s="124">
        <v>3868</v>
      </c>
      <c r="G3874" s="238">
        <f t="shared" ca="1" si="122"/>
        <v>1.5448588921715613E-2</v>
      </c>
      <c r="I3874" s="156"/>
    </row>
    <row r="3875" spans="2:9" x14ac:dyDescent="0.2">
      <c r="B3875" s="230">
        <v>40298</v>
      </c>
      <c r="C3875" s="124">
        <v>88.12</v>
      </c>
      <c r="D3875" s="156">
        <f t="shared" si="121"/>
        <v>3.3018330866447258E-3</v>
      </c>
      <c r="E3875" s="156">
        <v>-1.0559533924019824E-2</v>
      </c>
      <c r="F3875" s="124">
        <v>3869</v>
      </c>
      <c r="G3875" s="238">
        <f t="shared" ca="1" si="122"/>
        <v>1.0935285745969869E-2</v>
      </c>
      <c r="I3875" s="156"/>
    </row>
    <row r="3876" spans="2:9" x14ac:dyDescent="0.2">
      <c r="B3876" s="230">
        <v>40297</v>
      </c>
      <c r="C3876" s="124">
        <v>88.55</v>
      </c>
      <c r="D3876" s="156">
        <f t="shared" si="121"/>
        <v>4.8797094870630118E-3</v>
      </c>
      <c r="E3876" s="156">
        <v>-1.056736696439808E-2</v>
      </c>
      <c r="F3876" s="124">
        <v>3870</v>
      </c>
      <c r="G3876" s="238">
        <f t="shared" ca="1" si="122"/>
        <v>8.2232983282451502E-3</v>
      </c>
      <c r="I3876" s="156"/>
    </row>
    <row r="3877" spans="2:9" x14ac:dyDescent="0.2">
      <c r="B3877" s="230">
        <v>40296</v>
      </c>
      <c r="C3877" s="124">
        <v>89.48</v>
      </c>
      <c r="D3877" s="156">
        <f t="shared" si="121"/>
        <v>1.0502540937323623E-2</v>
      </c>
      <c r="E3877" s="156">
        <v>-1.0574889444337626E-2</v>
      </c>
      <c r="F3877" s="124">
        <v>3871</v>
      </c>
      <c r="G3877" s="238">
        <f t="shared" ca="1" si="122"/>
        <v>7.7628156207601765E-4</v>
      </c>
      <c r="I3877" s="156"/>
    </row>
    <row r="3878" spans="2:9" x14ac:dyDescent="0.2">
      <c r="B3878" s="230">
        <v>40295</v>
      </c>
      <c r="C3878" s="124">
        <v>89.35</v>
      </c>
      <c r="D3878" s="156">
        <f t="shared" si="121"/>
        <v>-1.4528386231561204E-3</v>
      </c>
      <c r="E3878" s="156">
        <v>-1.0593900481540876E-2</v>
      </c>
      <c r="F3878" s="124">
        <v>3872</v>
      </c>
      <c r="G3878" s="238">
        <f t="shared" ca="1" si="122"/>
        <v>2.8359506234955732E-2</v>
      </c>
      <c r="I3878" s="156"/>
    </row>
    <row r="3879" spans="2:9" x14ac:dyDescent="0.2">
      <c r="B3879" s="230">
        <v>40294</v>
      </c>
      <c r="C3879" s="124">
        <v>88.64</v>
      </c>
      <c r="D3879" s="156">
        <f t="shared" si="121"/>
        <v>-7.9462786793507972E-3</v>
      </c>
      <c r="E3879" s="156">
        <v>-1.0603549141965735E-2</v>
      </c>
      <c r="F3879" s="124">
        <v>3873</v>
      </c>
      <c r="G3879" s="238">
        <f t="shared" ca="1" si="122"/>
        <v>-1.5885243618410913E-2</v>
      </c>
      <c r="I3879" s="156"/>
    </row>
    <row r="3880" spans="2:9" x14ac:dyDescent="0.2">
      <c r="B3880" s="230">
        <v>40291</v>
      </c>
      <c r="C3880" s="124">
        <v>88.49</v>
      </c>
      <c r="D3880" s="156">
        <f t="shared" si="121"/>
        <v>-1.6922382671480786E-3</v>
      </c>
      <c r="E3880" s="156">
        <v>-1.0625933919973398E-2</v>
      </c>
      <c r="F3880" s="124">
        <v>3874</v>
      </c>
      <c r="G3880" s="238">
        <f t="shared" ca="1" si="122"/>
        <v>-1.920496251640803E-4</v>
      </c>
      <c r="I3880" s="156"/>
    </row>
    <row r="3881" spans="2:9" x14ac:dyDescent="0.2">
      <c r="B3881" s="230">
        <v>40290</v>
      </c>
      <c r="C3881" s="124">
        <v>87.59</v>
      </c>
      <c r="D3881" s="156">
        <f t="shared" si="121"/>
        <v>-1.0170640750367178E-2</v>
      </c>
      <c r="E3881" s="156">
        <v>-1.0648596321393998E-2</v>
      </c>
      <c r="F3881" s="124">
        <v>3875</v>
      </c>
      <c r="G3881" s="238">
        <f t="shared" ca="1" si="122"/>
        <v>-1.1133095301209225E-3</v>
      </c>
      <c r="I3881" s="156"/>
    </row>
    <row r="3882" spans="2:9" x14ac:dyDescent="0.2">
      <c r="B3882" s="230">
        <v>40289</v>
      </c>
      <c r="C3882" s="124">
        <v>87</v>
      </c>
      <c r="D3882" s="156">
        <f t="shared" si="121"/>
        <v>-6.7359287589907908E-3</v>
      </c>
      <c r="E3882" s="156">
        <v>-1.0661075921134869E-2</v>
      </c>
      <c r="F3882" s="124">
        <v>3876</v>
      </c>
      <c r="G3882" s="238">
        <f t="shared" ca="1" si="122"/>
        <v>-8.3469282556159017E-3</v>
      </c>
      <c r="I3882" s="156"/>
    </row>
    <row r="3883" spans="2:9" x14ac:dyDescent="0.2">
      <c r="B3883" s="230">
        <v>40288</v>
      </c>
      <c r="C3883" s="124">
        <v>87.25</v>
      </c>
      <c r="D3883" s="156">
        <f t="shared" si="121"/>
        <v>2.8735632183908046E-3</v>
      </c>
      <c r="E3883" s="156">
        <v>-1.0665220535068855E-2</v>
      </c>
      <c r="F3883" s="124">
        <v>3877</v>
      </c>
      <c r="G3883" s="238">
        <f t="shared" ca="1" si="122"/>
        <v>-2.0946913561408265E-2</v>
      </c>
      <c r="I3883" s="156"/>
    </row>
    <row r="3884" spans="2:9" x14ac:dyDescent="0.2">
      <c r="B3884" s="230">
        <v>40287</v>
      </c>
      <c r="C3884" s="124">
        <v>87.79</v>
      </c>
      <c r="D3884" s="156">
        <f t="shared" si="121"/>
        <v>6.1891117478510742E-3</v>
      </c>
      <c r="E3884" s="156">
        <v>-1.0673055979089597E-2</v>
      </c>
      <c r="F3884" s="124">
        <v>3878</v>
      </c>
      <c r="G3884" s="238">
        <f t="shared" ca="1" si="122"/>
        <v>8.0161324815337057E-3</v>
      </c>
      <c r="I3884" s="156"/>
    </row>
    <row r="3885" spans="2:9" x14ac:dyDescent="0.2">
      <c r="B3885" s="230">
        <v>40284</v>
      </c>
      <c r="C3885" s="124">
        <v>89.2</v>
      </c>
      <c r="D3885" s="156">
        <f t="shared" si="121"/>
        <v>1.6061054789839348E-2</v>
      </c>
      <c r="E3885" s="156">
        <v>-1.0686782964010683E-2</v>
      </c>
      <c r="F3885" s="124">
        <v>3879</v>
      </c>
      <c r="G3885" s="238">
        <f t="shared" ca="1" si="122"/>
        <v>1.1570870030610858E-2</v>
      </c>
      <c r="I3885" s="156"/>
    </row>
    <row r="3886" spans="2:9" x14ac:dyDescent="0.2">
      <c r="B3886" s="230">
        <v>40283</v>
      </c>
      <c r="C3886" s="124">
        <v>87.1</v>
      </c>
      <c r="D3886" s="156">
        <f t="shared" si="121"/>
        <v>-2.3542600896861082E-2</v>
      </c>
      <c r="E3886" s="156">
        <v>-1.0708619777895324E-2</v>
      </c>
      <c r="F3886" s="124">
        <v>3880</v>
      </c>
      <c r="G3886" s="238">
        <f t="shared" ca="1" si="122"/>
        <v>2.9360344268627048E-2</v>
      </c>
      <c r="I3886" s="156"/>
    </row>
    <row r="3887" spans="2:9" x14ac:dyDescent="0.2">
      <c r="B3887" s="230">
        <v>40281</v>
      </c>
      <c r="C3887" s="124">
        <v>89.04</v>
      </c>
      <c r="D3887" s="156">
        <f t="shared" si="121"/>
        <v>2.2273249138920918E-2</v>
      </c>
      <c r="E3887" s="156">
        <v>-1.0722778051953819E-2</v>
      </c>
      <c r="F3887" s="124">
        <v>3881</v>
      </c>
      <c r="G3887" s="238">
        <f t="shared" ca="1" si="122"/>
        <v>1.0445637976305622E-2</v>
      </c>
      <c r="I3887" s="156"/>
    </row>
    <row r="3888" spans="2:9" x14ac:dyDescent="0.2">
      <c r="B3888" s="230">
        <v>40280</v>
      </c>
      <c r="C3888" s="124">
        <v>89.96</v>
      </c>
      <c r="D3888" s="156">
        <f t="shared" si="121"/>
        <v>1.0332434860736607E-2</v>
      </c>
      <c r="E3888" s="156">
        <v>-1.0724852071005833E-2</v>
      </c>
      <c r="F3888" s="124">
        <v>3882</v>
      </c>
      <c r="G3888" s="238">
        <f t="shared" ca="1" si="122"/>
        <v>8.0093999966924234E-3</v>
      </c>
      <c r="I3888" s="156"/>
    </row>
    <row r="3889" spans="2:9" x14ac:dyDescent="0.2">
      <c r="B3889" s="230">
        <v>40277</v>
      </c>
      <c r="C3889" s="124">
        <v>89.25</v>
      </c>
      <c r="D3889" s="156">
        <f t="shared" si="121"/>
        <v>-7.8923966207202507E-3</v>
      </c>
      <c r="E3889" s="156">
        <v>-1.0751136445631063E-2</v>
      </c>
      <c r="F3889" s="124">
        <v>3883</v>
      </c>
      <c r="G3889" s="238">
        <f t="shared" ca="1" si="122"/>
        <v>9.9538614064076016E-3</v>
      </c>
      <c r="I3889" s="156"/>
    </row>
    <row r="3890" spans="2:9" x14ac:dyDescent="0.2">
      <c r="B3890" s="230">
        <v>40276</v>
      </c>
      <c r="C3890" s="124">
        <v>88.75</v>
      </c>
      <c r="D3890" s="156">
        <f t="shared" si="121"/>
        <v>-5.6022408963585435E-3</v>
      </c>
      <c r="E3890" s="156">
        <v>-1.0782747603833933E-2</v>
      </c>
      <c r="F3890" s="124">
        <v>3884</v>
      </c>
      <c r="G3890" s="238">
        <f t="shared" ca="1" si="122"/>
        <v>2.469977327832175E-3</v>
      </c>
      <c r="I3890" s="156"/>
    </row>
    <row r="3891" spans="2:9" x14ac:dyDescent="0.2">
      <c r="B3891" s="230">
        <v>40275</v>
      </c>
      <c r="C3891" s="124">
        <v>89.32</v>
      </c>
      <c r="D3891" s="156">
        <f t="shared" si="121"/>
        <v>6.4225352112675287E-3</v>
      </c>
      <c r="E3891" s="156">
        <v>-1.0793308148947653E-2</v>
      </c>
      <c r="F3891" s="124">
        <v>3885</v>
      </c>
      <c r="G3891" s="238">
        <f t="shared" ca="1" si="122"/>
        <v>1.021895385525955E-2</v>
      </c>
      <c r="I3891" s="156"/>
    </row>
    <row r="3892" spans="2:9" x14ac:dyDescent="0.2">
      <c r="B3892" s="230">
        <v>40274</v>
      </c>
      <c r="C3892" s="124">
        <v>88.26</v>
      </c>
      <c r="D3892" s="156">
        <f t="shared" si="121"/>
        <v>-1.1867442901925528E-2</v>
      </c>
      <c r="E3892" s="156">
        <v>-1.0793308148947677E-2</v>
      </c>
      <c r="F3892" s="124">
        <v>3886</v>
      </c>
      <c r="G3892" s="238">
        <f t="shared" ca="1" si="122"/>
        <v>-6.9247690133656722E-3</v>
      </c>
      <c r="I3892" s="156"/>
    </row>
    <row r="3893" spans="2:9" x14ac:dyDescent="0.2">
      <c r="B3893" s="230">
        <v>40273</v>
      </c>
      <c r="C3893" s="124">
        <v>87.78</v>
      </c>
      <c r="D3893" s="156">
        <f t="shared" si="121"/>
        <v>-5.4384772263766593E-3</v>
      </c>
      <c r="E3893" s="156">
        <v>-1.0805618921839356E-2</v>
      </c>
      <c r="F3893" s="124">
        <v>3887</v>
      </c>
      <c r="G3893" s="238">
        <f t="shared" ca="1" si="122"/>
        <v>1.3530581162576836E-2</v>
      </c>
      <c r="I3893" s="156"/>
    </row>
    <row r="3894" spans="2:9" x14ac:dyDescent="0.2">
      <c r="B3894" s="230">
        <v>40269</v>
      </c>
      <c r="C3894" s="124">
        <v>87.51</v>
      </c>
      <c r="D3894" s="156">
        <f t="shared" si="121"/>
        <v>-3.075871496924083E-3</v>
      </c>
      <c r="E3894" s="156">
        <v>-1.0814766628720142E-2</v>
      </c>
      <c r="F3894" s="124">
        <v>3888</v>
      </c>
      <c r="G3894" s="238">
        <f t="shared" ca="1" si="122"/>
        <v>5.4994130321098737E-3</v>
      </c>
      <c r="I3894" s="156"/>
    </row>
    <row r="3895" spans="2:9" x14ac:dyDescent="0.2">
      <c r="B3895" s="230">
        <v>40268</v>
      </c>
      <c r="C3895" s="124">
        <v>87.2</v>
      </c>
      <c r="D3895" s="156">
        <f t="shared" si="121"/>
        <v>-3.5424522911667498E-3</v>
      </c>
      <c r="E3895" s="156">
        <v>-1.0814842438933533E-2</v>
      </c>
      <c r="F3895" s="124">
        <v>3889</v>
      </c>
      <c r="G3895" s="238">
        <f t="shared" ca="1" si="122"/>
        <v>-1.4397631696503366E-2</v>
      </c>
      <c r="I3895" s="156"/>
    </row>
    <row r="3896" spans="2:9" x14ac:dyDescent="0.2">
      <c r="B3896" s="230">
        <v>40267</v>
      </c>
      <c r="C3896" s="124">
        <v>89.12</v>
      </c>
      <c r="D3896" s="156">
        <f t="shared" si="121"/>
        <v>2.201834862385323E-2</v>
      </c>
      <c r="E3896" s="156">
        <v>-1.0836192884233339E-2</v>
      </c>
      <c r="F3896" s="124">
        <v>3890</v>
      </c>
      <c r="G3896" s="238">
        <f t="shared" ca="1" si="122"/>
        <v>1.6079584160188214E-2</v>
      </c>
      <c r="I3896" s="156"/>
    </row>
    <row r="3897" spans="2:9" x14ac:dyDescent="0.2">
      <c r="B3897" s="230">
        <v>40266</v>
      </c>
      <c r="C3897" s="124">
        <v>89.23</v>
      </c>
      <c r="D3897" s="156">
        <f t="shared" si="121"/>
        <v>1.2342908438060978E-3</v>
      </c>
      <c r="E3897" s="156">
        <v>-1.0836945648549494E-2</v>
      </c>
      <c r="F3897" s="124">
        <v>3891</v>
      </c>
      <c r="G3897" s="238">
        <f t="shared" ca="1" si="122"/>
        <v>1.5845920480117661E-3</v>
      </c>
      <c r="I3897" s="156"/>
    </row>
    <row r="3898" spans="2:9" x14ac:dyDescent="0.2">
      <c r="B3898" s="230">
        <v>40263</v>
      </c>
      <c r="C3898" s="124">
        <v>87.64</v>
      </c>
      <c r="D3898" s="156">
        <f t="shared" si="121"/>
        <v>-1.7819119130337367E-2</v>
      </c>
      <c r="E3898" s="156">
        <v>-1.0851298794833722E-2</v>
      </c>
      <c r="F3898" s="124">
        <v>3892</v>
      </c>
      <c r="G3898" s="238">
        <f t="shared" ca="1" si="122"/>
        <v>5.6510538231080605E-3</v>
      </c>
      <c r="I3898" s="156"/>
    </row>
    <row r="3899" spans="2:9" x14ac:dyDescent="0.2">
      <c r="B3899" s="230">
        <v>40262</v>
      </c>
      <c r="C3899" s="124">
        <v>87.76</v>
      </c>
      <c r="D3899" s="156">
        <f t="shared" si="121"/>
        <v>1.3692377909630825E-3</v>
      </c>
      <c r="E3899" s="156">
        <v>-1.0855608731177855E-2</v>
      </c>
      <c r="F3899" s="124">
        <v>3893</v>
      </c>
      <c r="G3899" s="238">
        <f t="shared" ca="1" si="122"/>
        <v>3.3101069651291734E-3</v>
      </c>
      <c r="I3899" s="156"/>
    </row>
    <row r="3900" spans="2:9" x14ac:dyDescent="0.2">
      <c r="B3900" s="230">
        <v>40260</v>
      </c>
      <c r="C3900" s="124">
        <v>86.5</v>
      </c>
      <c r="D3900" s="156">
        <f t="shared" si="121"/>
        <v>-1.4357338195077542E-2</v>
      </c>
      <c r="E3900" s="156">
        <v>-1.0858189429617917E-2</v>
      </c>
      <c r="F3900" s="124">
        <v>3894</v>
      </c>
      <c r="G3900" s="238">
        <f t="shared" ca="1" si="122"/>
        <v>-6.0309332741818114E-3</v>
      </c>
      <c r="I3900" s="156"/>
    </row>
    <row r="3901" spans="2:9" x14ac:dyDescent="0.2">
      <c r="B3901" s="230">
        <v>40259</v>
      </c>
      <c r="C3901" s="124">
        <v>86.71</v>
      </c>
      <c r="D3901" s="156">
        <f t="shared" si="121"/>
        <v>2.4277456647398121E-3</v>
      </c>
      <c r="E3901" s="156">
        <v>-1.0873440285204981E-2</v>
      </c>
      <c r="F3901" s="124">
        <v>3895</v>
      </c>
      <c r="G3901" s="238">
        <f t="shared" ca="1" si="122"/>
        <v>-3.820765403838447E-2</v>
      </c>
      <c r="I3901" s="156"/>
    </row>
    <row r="3902" spans="2:9" x14ac:dyDescent="0.2">
      <c r="B3902" s="230">
        <v>40256</v>
      </c>
      <c r="C3902" s="124">
        <v>86.62</v>
      </c>
      <c r="D3902" s="156">
        <f t="shared" ref="D3902:D3965" si="123">(C3902-C3901)/C3901</f>
        <v>-1.0379425671778249E-3</v>
      </c>
      <c r="E3902" s="156">
        <v>-1.0876132930513578E-2</v>
      </c>
      <c r="F3902" s="124">
        <v>3896</v>
      </c>
      <c r="G3902" s="238">
        <f t="shared" ca="1" si="122"/>
        <v>2.9837447589874991E-3</v>
      </c>
      <c r="I3902" s="156"/>
    </row>
    <row r="3903" spans="2:9" x14ac:dyDescent="0.2">
      <c r="B3903" s="230">
        <v>40255</v>
      </c>
      <c r="C3903" s="124">
        <v>86.6</v>
      </c>
      <c r="D3903" s="156">
        <f t="shared" si="123"/>
        <v>-2.3089355806984796E-4</v>
      </c>
      <c r="E3903" s="156">
        <v>-1.0884505367955745E-2</v>
      </c>
      <c r="F3903" s="124">
        <v>3897</v>
      </c>
      <c r="G3903" s="238">
        <f t="shared" ca="1" si="122"/>
        <v>-2.1042879341376173E-3</v>
      </c>
      <c r="I3903" s="156"/>
    </row>
    <row r="3904" spans="2:9" x14ac:dyDescent="0.2">
      <c r="B3904" s="230">
        <v>40254</v>
      </c>
      <c r="C3904" s="124">
        <v>87.13</v>
      </c>
      <c r="D3904" s="156">
        <f t="shared" si="123"/>
        <v>6.1200923787529003E-3</v>
      </c>
      <c r="E3904" s="156">
        <v>-1.0897203051216853E-2</v>
      </c>
      <c r="F3904" s="124">
        <v>3898</v>
      </c>
      <c r="G3904" s="238">
        <f t="shared" ca="1" si="122"/>
        <v>-1.7760428073459268E-2</v>
      </c>
      <c r="I3904" s="156"/>
    </row>
    <row r="3905" spans="2:9" x14ac:dyDescent="0.2">
      <c r="B3905" s="230">
        <v>40253</v>
      </c>
      <c r="C3905" s="124">
        <v>86.12</v>
      </c>
      <c r="D3905" s="156">
        <f t="shared" si="123"/>
        <v>-1.1591874210949052E-2</v>
      </c>
      <c r="E3905" s="156">
        <v>-1.0917030567685615E-2</v>
      </c>
      <c r="F3905" s="124">
        <v>3899</v>
      </c>
      <c r="G3905" s="238">
        <f t="shared" ca="1" si="122"/>
        <v>2.1295767411306545E-2</v>
      </c>
      <c r="I3905" s="156"/>
    </row>
    <row r="3906" spans="2:9" x14ac:dyDescent="0.2">
      <c r="B3906" s="230">
        <v>40252</v>
      </c>
      <c r="C3906" s="124">
        <v>85.97</v>
      </c>
      <c r="D3906" s="156">
        <f t="shared" si="123"/>
        <v>-1.741755689735319E-3</v>
      </c>
      <c r="E3906" s="156">
        <v>-1.093926820067909E-2</v>
      </c>
      <c r="F3906" s="124">
        <v>3900</v>
      </c>
      <c r="G3906" s="238">
        <f t="shared" ca="1" si="122"/>
        <v>-8.1510585148533415E-3</v>
      </c>
      <c r="I3906" s="156"/>
    </row>
    <row r="3907" spans="2:9" x14ac:dyDescent="0.2">
      <c r="B3907" s="230">
        <v>40249</v>
      </c>
      <c r="C3907" s="124">
        <v>85.67</v>
      </c>
      <c r="D3907" s="156">
        <f t="shared" si="123"/>
        <v>-3.4895893916482164E-3</v>
      </c>
      <c r="E3907" s="156">
        <v>-1.0944428719690506E-2</v>
      </c>
      <c r="F3907" s="124">
        <v>3901</v>
      </c>
      <c r="G3907" s="238">
        <f t="shared" ca="1" si="122"/>
        <v>-1.0778727261415872E-2</v>
      </c>
      <c r="I3907" s="156"/>
    </row>
    <row r="3908" spans="2:9" x14ac:dyDescent="0.2">
      <c r="B3908" s="230">
        <v>40248</v>
      </c>
      <c r="C3908" s="124">
        <v>84.74</v>
      </c>
      <c r="D3908" s="156">
        <f t="shared" si="123"/>
        <v>-1.0855608731177855E-2</v>
      </c>
      <c r="E3908" s="156">
        <v>-1.0947953775306326E-2</v>
      </c>
      <c r="F3908" s="124">
        <v>3902</v>
      </c>
      <c r="G3908" s="238">
        <f t="shared" ca="1" si="122"/>
        <v>1.0312988649912825E-3</v>
      </c>
      <c r="I3908" s="156"/>
    </row>
    <row r="3909" spans="2:9" x14ac:dyDescent="0.2">
      <c r="B3909" s="230">
        <v>40247</v>
      </c>
      <c r="C3909" s="124">
        <v>84.28</v>
      </c>
      <c r="D3909" s="156">
        <f t="shared" si="123"/>
        <v>-5.4283691291007055E-3</v>
      </c>
      <c r="E3909" s="156">
        <v>-1.0962884691586357E-2</v>
      </c>
      <c r="F3909" s="124">
        <v>3903</v>
      </c>
      <c r="G3909" s="238">
        <f t="shared" ca="1" si="122"/>
        <v>-1.7756534932697118E-2</v>
      </c>
      <c r="I3909" s="156"/>
    </row>
    <row r="3910" spans="2:9" x14ac:dyDescent="0.2">
      <c r="B3910" s="230">
        <v>40246</v>
      </c>
      <c r="C3910" s="124">
        <v>83.22</v>
      </c>
      <c r="D3910" s="156">
        <f t="shared" si="123"/>
        <v>-1.2577123872804963E-2</v>
      </c>
      <c r="E3910" s="156">
        <v>-1.099608925695876E-2</v>
      </c>
      <c r="F3910" s="124">
        <v>3904</v>
      </c>
      <c r="G3910" s="238">
        <f t="shared" ca="1" si="122"/>
        <v>8.2585064112475782E-3</v>
      </c>
      <c r="I3910" s="156"/>
    </row>
    <row r="3911" spans="2:9" x14ac:dyDescent="0.2">
      <c r="B3911" s="230">
        <v>40245</v>
      </c>
      <c r="C3911" s="124">
        <v>83.28</v>
      </c>
      <c r="D3911" s="156">
        <f t="shared" si="123"/>
        <v>7.2098053352562209E-4</v>
      </c>
      <c r="E3911" s="156">
        <v>-1.1011288704893247E-2</v>
      </c>
      <c r="F3911" s="124">
        <v>3905</v>
      </c>
      <c r="G3911" s="238">
        <f t="shared" ref="G3911:G3974" ca="1" si="124">_xlfn.NORM.INV(RAND(),$L$8,$L$9)</f>
        <v>2.7085867833372536E-5</v>
      </c>
      <c r="I3911" s="156"/>
    </row>
    <row r="3912" spans="2:9" x14ac:dyDescent="0.2">
      <c r="B3912" s="230">
        <v>40242</v>
      </c>
      <c r="C3912" s="124">
        <v>81.13</v>
      </c>
      <c r="D3912" s="156">
        <f t="shared" si="123"/>
        <v>-2.5816522574447713E-2</v>
      </c>
      <c r="E3912" s="156">
        <v>-1.1017661900756957E-2</v>
      </c>
      <c r="F3912" s="124">
        <v>3906</v>
      </c>
      <c r="G3912" s="238">
        <f t="shared" ca="1" si="124"/>
        <v>-4.1503423871745097E-2</v>
      </c>
      <c r="I3912" s="156"/>
    </row>
    <row r="3913" spans="2:9" x14ac:dyDescent="0.2">
      <c r="B3913" s="230">
        <v>40241</v>
      </c>
      <c r="C3913" s="124">
        <v>81.56</v>
      </c>
      <c r="D3913" s="156">
        <f t="shared" si="123"/>
        <v>5.3001355848638831E-3</v>
      </c>
      <c r="E3913" s="156">
        <v>-1.1024007839294464E-2</v>
      </c>
      <c r="F3913" s="124">
        <v>3907</v>
      </c>
      <c r="G3913" s="238">
        <f t="shared" ca="1" si="124"/>
        <v>1.6780595104230883E-2</v>
      </c>
      <c r="I3913" s="156"/>
    </row>
    <row r="3914" spans="2:9" x14ac:dyDescent="0.2">
      <c r="B3914" s="230">
        <v>40240</v>
      </c>
      <c r="C3914" s="124">
        <v>80.78</v>
      </c>
      <c r="D3914" s="156">
        <f t="shared" si="123"/>
        <v>-9.5635115252574922E-3</v>
      </c>
      <c r="E3914" s="156">
        <v>-1.1034901082493378E-2</v>
      </c>
      <c r="F3914" s="124">
        <v>3908</v>
      </c>
      <c r="G3914" s="238">
        <f t="shared" ca="1" si="124"/>
        <v>-1.0824722328358328E-4</v>
      </c>
      <c r="I3914" s="156"/>
    </row>
    <row r="3915" spans="2:9" x14ac:dyDescent="0.2">
      <c r="B3915" s="230">
        <v>40239</v>
      </c>
      <c r="C3915" s="124">
        <v>80.2</v>
      </c>
      <c r="D3915" s="156">
        <f t="shared" si="123"/>
        <v>-7.1799950482792562E-3</v>
      </c>
      <c r="E3915" s="156">
        <v>-1.1052631578947413E-2</v>
      </c>
      <c r="F3915" s="124">
        <v>3909</v>
      </c>
      <c r="G3915" s="238">
        <f t="shared" ca="1" si="124"/>
        <v>8.1338966160884301E-3</v>
      </c>
      <c r="I3915" s="156"/>
    </row>
    <row r="3916" spans="2:9" x14ac:dyDescent="0.2">
      <c r="B3916" s="230">
        <v>40235</v>
      </c>
      <c r="C3916" s="124">
        <v>76.989999999999995</v>
      </c>
      <c r="D3916" s="156">
        <f t="shared" si="123"/>
        <v>-4.0024937655860446E-2</v>
      </c>
      <c r="E3916" s="156">
        <v>-1.1082589740455522E-2</v>
      </c>
      <c r="F3916" s="124">
        <v>3910</v>
      </c>
      <c r="G3916" s="238">
        <f t="shared" ca="1" si="124"/>
        <v>-5.933323172227354E-5</v>
      </c>
      <c r="I3916" s="156"/>
    </row>
    <row r="3917" spans="2:9" x14ac:dyDescent="0.2">
      <c r="B3917" s="230">
        <v>40234</v>
      </c>
      <c r="C3917" s="124">
        <v>82.07</v>
      </c>
      <c r="D3917" s="156">
        <f t="shared" si="123"/>
        <v>6.598259514222625E-2</v>
      </c>
      <c r="E3917" s="156">
        <v>-1.1083530566299068E-2</v>
      </c>
      <c r="F3917" s="124">
        <v>3911</v>
      </c>
      <c r="G3917" s="238">
        <f t="shared" ca="1" si="124"/>
        <v>4.0218063282497503E-2</v>
      </c>
      <c r="I3917" s="156"/>
    </row>
    <row r="3918" spans="2:9" x14ac:dyDescent="0.2">
      <c r="B3918" s="230">
        <v>40233</v>
      </c>
      <c r="C3918" s="124">
        <v>82.09</v>
      </c>
      <c r="D3918" s="156">
        <f t="shared" si="123"/>
        <v>2.4369440721347914E-4</v>
      </c>
      <c r="E3918" s="156">
        <v>-1.1087866108786634E-2</v>
      </c>
      <c r="F3918" s="124">
        <v>3912</v>
      </c>
      <c r="G3918" s="238">
        <f t="shared" ca="1" si="124"/>
        <v>4.98041353220844E-3</v>
      </c>
      <c r="I3918" s="156"/>
    </row>
    <row r="3919" spans="2:9" x14ac:dyDescent="0.2">
      <c r="B3919" s="230">
        <v>40232</v>
      </c>
      <c r="C3919" s="124">
        <v>82.62</v>
      </c>
      <c r="D3919" s="156">
        <f t="shared" si="123"/>
        <v>6.4563284200268136E-3</v>
      </c>
      <c r="E3919" s="156">
        <v>-1.1096574114454581E-2</v>
      </c>
      <c r="F3919" s="124">
        <v>3913</v>
      </c>
      <c r="G3919" s="238">
        <f t="shared" ca="1" si="124"/>
        <v>-1.8708711429392153E-2</v>
      </c>
      <c r="I3919" s="156"/>
    </row>
    <row r="3920" spans="2:9" x14ac:dyDescent="0.2">
      <c r="B3920" s="230">
        <v>40231</v>
      </c>
      <c r="C3920" s="124">
        <v>82.07</v>
      </c>
      <c r="D3920" s="156">
        <f t="shared" si="123"/>
        <v>-6.6569837811669245E-3</v>
      </c>
      <c r="E3920" s="156">
        <v>-1.1101321585903129E-2</v>
      </c>
      <c r="F3920" s="124">
        <v>3914</v>
      </c>
      <c r="G3920" s="238">
        <f t="shared" ca="1" si="124"/>
        <v>4.3204951898388258E-3</v>
      </c>
      <c r="I3920" s="156"/>
    </row>
    <row r="3921" spans="2:9" x14ac:dyDescent="0.2">
      <c r="B3921" s="230">
        <v>40228</v>
      </c>
      <c r="C3921" s="124">
        <v>82.37</v>
      </c>
      <c r="D3921" s="156">
        <f t="shared" si="123"/>
        <v>3.6554161082004558E-3</v>
      </c>
      <c r="E3921" s="156">
        <v>-1.110719322990119E-2</v>
      </c>
      <c r="F3921" s="124">
        <v>3915</v>
      </c>
      <c r="G3921" s="238">
        <f t="shared" ca="1" si="124"/>
        <v>1.3385774927513781E-2</v>
      </c>
      <c r="I3921" s="156"/>
    </row>
    <row r="3922" spans="2:9" x14ac:dyDescent="0.2">
      <c r="B3922" s="230">
        <v>40227</v>
      </c>
      <c r="C3922" s="124">
        <v>82.29</v>
      </c>
      <c r="D3922" s="156">
        <f t="shared" si="123"/>
        <v>-9.7122738861233813E-4</v>
      </c>
      <c r="E3922" s="156">
        <v>-1.1122994652406393E-2</v>
      </c>
      <c r="F3922" s="124">
        <v>3916</v>
      </c>
      <c r="G3922" s="238">
        <f t="shared" ca="1" si="124"/>
        <v>2.6521124657463792E-2</v>
      </c>
      <c r="I3922" s="156"/>
    </row>
    <row r="3923" spans="2:9" x14ac:dyDescent="0.2">
      <c r="B3923" s="230">
        <v>40226</v>
      </c>
      <c r="C3923" s="124">
        <v>83.45</v>
      </c>
      <c r="D3923" s="156">
        <f t="shared" si="123"/>
        <v>1.4096488030137277E-2</v>
      </c>
      <c r="E3923" s="156">
        <v>-1.1129493156865618E-2</v>
      </c>
      <c r="F3923" s="124">
        <v>3917</v>
      </c>
      <c r="G3923" s="238">
        <f t="shared" ca="1" si="124"/>
        <v>2.4513852923265567E-2</v>
      </c>
      <c r="I3923" s="156"/>
    </row>
    <row r="3924" spans="2:9" x14ac:dyDescent="0.2">
      <c r="B3924" s="230">
        <v>40225</v>
      </c>
      <c r="C3924" s="124">
        <v>82.92</v>
      </c>
      <c r="D3924" s="156">
        <f t="shared" si="123"/>
        <v>-6.3511084481725722E-3</v>
      </c>
      <c r="E3924" s="156">
        <v>-1.112984822934227E-2</v>
      </c>
      <c r="F3924" s="124">
        <v>3918</v>
      </c>
      <c r="G3924" s="238">
        <f t="shared" ca="1" si="124"/>
        <v>-2.980504188710097E-2</v>
      </c>
      <c r="I3924" s="156"/>
    </row>
    <row r="3925" spans="2:9" x14ac:dyDescent="0.2">
      <c r="B3925" s="230">
        <v>40224</v>
      </c>
      <c r="C3925" s="124">
        <v>82.65</v>
      </c>
      <c r="D3925" s="156">
        <f t="shared" si="123"/>
        <v>-3.2561505065122529E-3</v>
      </c>
      <c r="E3925" s="156">
        <v>-1.1137629276054143E-2</v>
      </c>
      <c r="F3925" s="124">
        <v>3919</v>
      </c>
      <c r="G3925" s="238">
        <f t="shared" ca="1" si="124"/>
        <v>-1.3386728228457122E-2</v>
      </c>
      <c r="I3925" s="156"/>
    </row>
    <row r="3926" spans="2:9" x14ac:dyDescent="0.2">
      <c r="B3926" s="230">
        <v>40220</v>
      </c>
      <c r="C3926" s="124">
        <v>81.92</v>
      </c>
      <c r="D3926" s="156">
        <f t="shared" si="123"/>
        <v>-8.8324258923170463E-3</v>
      </c>
      <c r="E3926" s="156">
        <v>-1.117030417597523E-2</v>
      </c>
      <c r="F3926" s="124">
        <v>3920</v>
      </c>
      <c r="G3926" s="238">
        <f t="shared" ca="1" si="124"/>
        <v>3.6846735379637797E-3</v>
      </c>
      <c r="I3926" s="156"/>
    </row>
    <row r="3927" spans="2:9" x14ac:dyDescent="0.2">
      <c r="B3927" s="230">
        <v>40219</v>
      </c>
      <c r="C3927" s="124">
        <v>80.849999999999994</v>
      </c>
      <c r="D3927" s="156">
        <f t="shared" si="123"/>
        <v>-1.306152343750009E-2</v>
      </c>
      <c r="E3927" s="156">
        <v>-1.1183048852266017E-2</v>
      </c>
      <c r="F3927" s="124">
        <v>3921</v>
      </c>
      <c r="G3927" s="238">
        <f t="shared" ca="1" si="124"/>
        <v>-1.3712941064032214E-3</v>
      </c>
      <c r="I3927" s="156"/>
    </row>
    <row r="3928" spans="2:9" x14ac:dyDescent="0.2">
      <c r="B3928" s="230">
        <v>40218</v>
      </c>
      <c r="C3928" s="124">
        <v>80.849999999999994</v>
      </c>
      <c r="D3928" s="156">
        <f t="shared" si="123"/>
        <v>0</v>
      </c>
      <c r="E3928" s="156">
        <v>-1.1198600174978087E-2</v>
      </c>
      <c r="F3928" s="124">
        <v>3922</v>
      </c>
      <c r="G3928" s="238">
        <f t="shared" ca="1" si="124"/>
        <v>-2.4864991378512166E-2</v>
      </c>
      <c r="I3928" s="156"/>
    </row>
    <row r="3929" spans="2:9" x14ac:dyDescent="0.2">
      <c r="B3929" s="230">
        <v>40217</v>
      </c>
      <c r="C3929" s="124">
        <v>81.33</v>
      </c>
      <c r="D3929" s="156">
        <f t="shared" si="123"/>
        <v>5.9369202226345584E-3</v>
      </c>
      <c r="E3929" s="156">
        <v>-1.122456548075264E-2</v>
      </c>
      <c r="F3929" s="124">
        <v>3923</v>
      </c>
      <c r="G3929" s="238">
        <f t="shared" ca="1" si="124"/>
        <v>-7.8671772216235246E-3</v>
      </c>
      <c r="I3929" s="156"/>
    </row>
    <row r="3930" spans="2:9" x14ac:dyDescent="0.2">
      <c r="B3930" s="230">
        <v>40215</v>
      </c>
      <c r="C3930" s="124">
        <v>82.22</v>
      </c>
      <c r="D3930" s="156">
        <f t="shared" si="123"/>
        <v>1.0943071437353997E-2</v>
      </c>
      <c r="E3930" s="156">
        <v>-1.1227691704255836E-2</v>
      </c>
      <c r="F3930" s="124">
        <v>3924</v>
      </c>
      <c r="G3930" s="238">
        <f t="shared" ca="1" si="124"/>
        <v>-7.955328409659311E-3</v>
      </c>
      <c r="I3930" s="156"/>
    </row>
    <row r="3931" spans="2:9" x14ac:dyDescent="0.2">
      <c r="B3931" s="230">
        <v>40214</v>
      </c>
      <c r="C3931" s="124">
        <v>82.32</v>
      </c>
      <c r="D3931" s="156">
        <f t="shared" si="123"/>
        <v>1.216249087813115E-3</v>
      </c>
      <c r="E3931" s="156">
        <v>-1.1240310077519402E-2</v>
      </c>
      <c r="F3931" s="124">
        <v>3925</v>
      </c>
      <c r="G3931" s="238">
        <f t="shared" ca="1" si="124"/>
        <v>3.3190806880009305E-2</v>
      </c>
      <c r="I3931" s="156"/>
    </row>
    <row r="3932" spans="2:9" x14ac:dyDescent="0.2">
      <c r="B3932" s="230">
        <v>40213</v>
      </c>
      <c r="C3932" s="124">
        <v>83.98</v>
      </c>
      <c r="D3932" s="156">
        <f t="shared" si="123"/>
        <v>2.0165208940719277E-2</v>
      </c>
      <c r="E3932" s="156">
        <v>-1.1243386243386199E-2</v>
      </c>
      <c r="F3932" s="124">
        <v>3926</v>
      </c>
      <c r="G3932" s="238">
        <f t="shared" ca="1" si="124"/>
        <v>8.12068297882719E-3</v>
      </c>
      <c r="I3932" s="156"/>
    </row>
    <row r="3933" spans="2:9" x14ac:dyDescent="0.2">
      <c r="B3933" s="230">
        <v>40212</v>
      </c>
      <c r="C3933" s="124">
        <v>83.73</v>
      </c>
      <c r="D3933" s="156">
        <f t="shared" si="123"/>
        <v>-2.976899261728983E-3</v>
      </c>
      <c r="E3933" s="156">
        <v>-1.1250522793810112E-2</v>
      </c>
      <c r="F3933" s="124">
        <v>3927</v>
      </c>
      <c r="G3933" s="238">
        <f t="shared" ca="1" si="124"/>
        <v>1.4822478845335076E-2</v>
      </c>
      <c r="I3933" s="156"/>
    </row>
    <row r="3934" spans="2:9" x14ac:dyDescent="0.2">
      <c r="B3934" s="230">
        <v>40211</v>
      </c>
      <c r="C3934" s="124">
        <v>81.010000000000005</v>
      </c>
      <c r="D3934" s="156">
        <f t="shared" si="123"/>
        <v>-3.2485369640511151E-2</v>
      </c>
      <c r="E3934" s="156">
        <v>-1.1253701875616957E-2</v>
      </c>
      <c r="F3934" s="124">
        <v>3928</v>
      </c>
      <c r="G3934" s="238">
        <f t="shared" ca="1" si="124"/>
        <v>-3.2917289239941389E-2</v>
      </c>
      <c r="I3934" s="156"/>
    </row>
    <row r="3935" spans="2:9" x14ac:dyDescent="0.2">
      <c r="B3935" s="230">
        <v>40210</v>
      </c>
      <c r="C3935" s="124">
        <v>81.709999999999994</v>
      </c>
      <c r="D3935" s="156">
        <f t="shared" si="123"/>
        <v>8.6409085298109929E-3</v>
      </c>
      <c r="E3935" s="156">
        <v>-1.1297408768941012E-2</v>
      </c>
      <c r="F3935" s="124">
        <v>3929</v>
      </c>
      <c r="G3935" s="238">
        <f t="shared" ca="1" si="124"/>
        <v>-8.7180059055706662E-3</v>
      </c>
      <c r="I3935" s="156"/>
    </row>
    <row r="3936" spans="2:9" x14ac:dyDescent="0.2">
      <c r="B3936" s="230">
        <v>40207</v>
      </c>
      <c r="C3936" s="124">
        <v>82.92</v>
      </c>
      <c r="D3936" s="156">
        <f t="shared" si="123"/>
        <v>1.4808468975645674E-2</v>
      </c>
      <c r="E3936" s="156">
        <v>-1.129876308277834E-2</v>
      </c>
      <c r="F3936" s="124">
        <v>3930</v>
      </c>
      <c r="G3936" s="238">
        <f t="shared" ca="1" si="124"/>
        <v>1.653754674140985E-2</v>
      </c>
      <c r="I3936" s="156"/>
    </row>
    <row r="3937" spans="2:9" x14ac:dyDescent="0.2">
      <c r="B3937" s="230">
        <v>40206</v>
      </c>
      <c r="C3937" s="124">
        <v>84.28</v>
      </c>
      <c r="D3937" s="156">
        <f t="shared" si="123"/>
        <v>1.6401350699469359E-2</v>
      </c>
      <c r="E3937" s="156">
        <v>-1.1304503857886157E-2</v>
      </c>
      <c r="F3937" s="124">
        <v>3931</v>
      </c>
      <c r="G3937" s="238">
        <f t="shared" ca="1" si="124"/>
        <v>-2.0865590802412546E-2</v>
      </c>
      <c r="I3937" s="156"/>
    </row>
    <row r="3938" spans="2:9" x14ac:dyDescent="0.2">
      <c r="B3938" s="230">
        <v>40205</v>
      </c>
      <c r="C3938" s="124">
        <v>84.83</v>
      </c>
      <c r="D3938" s="156">
        <f t="shared" si="123"/>
        <v>6.5258661604176219E-3</v>
      </c>
      <c r="E3938" s="156">
        <v>-1.1309836927932698E-2</v>
      </c>
      <c r="F3938" s="124">
        <v>3932</v>
      </c>
      <c r="G3938" s="238">
        <f t="shared" ca="1" si="124"/>
        <v>3.9286256845966238E-5</v>
      </c>
      <c r="I3938" s="156"/>
    </row>
    <row r="3939" spans="2:9" x14ac:dyDescent="0.2">
      <c r="B3939" s="230">
        <v>40203</v>
      </c>
      <c r="C3939" s="124">
        <v>84.56</v>
      </c>
      <c r="D3939" s="156">
        <f t="shared" si="123"/>
        <v>-3.1828362607567609E-3</v>
      </c>
      <c r="E3939" s="156">
        <v>-1.1326938834530266E-2</v>
      </c>
      <c r="F3939" s="124">
        <v>3933</v>
      </c>
      <c r="G3939" s="238">
        <f t="shared" ca="1" si="124"/>
        <v>-8.3107996140233918E-3</v>
      </c>
      <c r="I3939" s="156"/>
    </row>
    <row r="3940" spans="2:9" x14ac:dyDescent="0.2">
      <c r="B3940" s="230">
        <v>40200</v>
      </c>
      <c r="C3940" s="124">
        <v>82.57</v>
      </c>
      <c r="D3940" s="156">
        <f t="shared" si="123"/>
        <v>-2.3533585619678443E-2</v>
      </c>
      <c r="E3940" s="156">
        <v>-1.1336227689339231E-2</v>
      </c>
      <c r="F3940" s="124">
        <v>3934</v>
      </c>
      <c r="G3940" s="238">
        <f t="shared" ca="1" si="124"/>
        <v>-3.3848716507211378E-2</v>
      </c>
      <c r="I3940" s="156"/>
    </row>
    <row r="3941" spans="2:9" x14ac:dyDescent="0.2">
      <c r="B3941" s="230">
        <v>40199</v>
      </c>
      <c r="C3941" s="124">
        <v>81.05</v>
      </c>
      <c r="D3941" s="156">
        <f t="shared" si="123"/>
        <v>-1.8408622986556815E-2</v>
      </c>
      <c r="E3941" s="156">
        <v>-1.1344976862218107E-2</v>
      </c>
      <c r="F3941" s="124">
        <v>3935</v>
      </c>
      <c r="G3941" s="238">
        <f t="shared" ca="1" si="124"/>
        <v>-4.0534311346877724E-2</v>
      </c>
      <c r="I3941" s="156"/>
    </row>
    <row r="3942" spans="2:9" x14ac:dyDescent="0.2">
      <c r="B3942" s="230">
        <v>40198</v>
      </c>
      <c r="C3942" s="124">
        <v>81.91</v>
      </c>
      <c r="D3942" s="156">
        <f t="shared" si="123"/>
        <v>1.0610734114743978E-2</v>
      </c>
      <c r="E3942" s="156">
        <v>-1.1361054305839582E-2</v>
      </c>
      <c r="F3942" s="124">
        <v>3936</v>
      </c>
      <c r="G3942" s="238">
        <f t="shared" ca="1" si="124"/>
        <v>1.3474516390850967E-2</v>
      </c>
      <c r="I3942" s="156"/>
    </row>
    <row r="3943" spans="2:9" x14ac:dyDescent="0.2">
      <c r="B3943" s="230">
        <v>40197</v>
      </c>
      <c r="C3943" s="124">
        <v>82.84</v>
      </c>
      <c r="D3943" s="156">
        <f t="shared" si="123"/>
        <v>1.1353925039677779E-2</v>
      </c>
      <c r="E3943" s="156">
        <v>-1.1364810414299086E-2</v>
      </c>
      <c r="F3943" s="124">
        <v>3937</v>
      </c>
      <c r="G3943" s="238">
        <f t="shared" ca="1" si="124"/>
        <v>-2.0312520779516334E-2</v>
      </c>
      <c r="I3943" s="156"/>
    </row>
    <row r="3944" spans="2:9" x14ac:dyDescent="0.2">
      <c r="B3944" s="230">
        <v>40196</v>
      </c>
      <c r="C3944" s="124">
        <v>83.05</v>
      </c>
      <c r="D3944" s="156">
        <f t="shared" si="123"/>
        <v>2.535007242877761E-3</v>
      </c>
      <c r="E3944" s="156">
        <v>-1.1376019987773515E-2</v>
      </c>
      <c r="F3944" s="124">
        <v>3938</v>
      </c>
      <c r="G3944" s="238">
        <f t="shared" ca="1" si="124"/>
        <v>-2.6501505974593598E-2</v>
      </c>
      <c r="I3944" s="156"/>
    </row>
    <row r="3945" spans="2:9" x14ac:dyDescent="0.2">
      <c r="B3945" s="230">
        <v>40193</v>
      </c>
      <c r="C3945" s="124">
        <v>83.78</v>
      </c>
      <c r="D3945" s="156">
        <f t="shared" si="123"/>
        <v>8.7898856110777118E-3</v>
      </c>
      <c r="E3945" s="156">
        <v>-1.1378580822231006E-2</v>
      </c>
      <c r="F3945" s="124">
        <v>3939</v>
      </c>
      <c r="G3945" s="238">
        <f t="shared" ca="1" si="124"/>
        <v>6.5985026308831409E-3</v>
      </c>
      <c r="I3945" s="156"/>
    </row>
    <row r="3946" spans="2:9" x14ac:dyDescent="0.2">
      <c r="B3946" s="230">
        <v>40192</v>
      </c>
      <c r="C3946" s="124">
        <v>82.26</v>
      </c>
      <c r="D3946" s="156">
        <f t="shared" si="123"/>
        <v>-1.8142754834089232E-2</v>
      </c>
      <c r="E3946" s="156">
        <v>-1.138178913738017E-2</v>
      </c>
      <c r="F3946" s="124">
        <v>3940</v>
      </c>
      <c r="G3946" s="238">
        <f t="shared" ca="1" si="124"/>
        <v>-1.510539389738779E-3</v>
      </c>
      <c r="I3946" s="156"/>
    </row>
    <row r="3947" spans="2:9" x14ac:dyDescent="0.2">
      <c r="B3947" s="230">
        <v>40191</v>
      </c>
      <c r="C3947" s="124">
        <v>82.52</v>
      </c>
      <c r="D3947" s="156">
        <f t="shared" si="123"/>
        <v>3.1607099440796363E-3</v>
      </c>
      <c r="E3947" s="156">
        <v>-1.1406237536890858E-2</v>
      </c>
      <c r="F3947" s="124">
        <v>3941</v>
      </c>
      <c r="G3947" s="238">
        <f t="shared" ca="1" si="124"/>
        <v>4.7279401123728582E-2</v>
      </c>
      <c r="I3947" s="156"/>
    </row>
    <row r="3948" spans="2:9" x14ac:dyDescent="0.2">
      <c r="B3948" s="230">
        <v>40190</v>
      </c>
      <c r="C3948" s="124">
        <v>82.89</v>
      </c>
      <c r="D3948" s="156">
        <f t="shared" si="123"/>
        <v>4.4837615123606948E-3</v>
      </c>
      <c r="E3948" s="156">
        <v>-1.1413307430791619E-2</v>
      </c>
      <c r="F3948" s="124">
        <v>3942</v>
      </c>
      <c r="G3948" s="238">
        <f t="shared" ca="1" si="124"/>
        <v>2.2733412600464142E-2</v>
      </c>
      <c r="I3948" s="156"/>
    </row>
    <row r="3949" spans="2:9" x14ac:dyDescent="0.2">
      <c r="B3949" s="230">
        <v>40189</v>
      </c>
      <c r="C3949" s="124">
        <v>85.06</v>
      </c>
      <c r="D3949" s="156">
        <f t="shared" si="123"/>
        <v>2.6179273736277014E-2</v>
      </c>
      <c r="E3949" s="156">
        <v>-1.144238517324728E-2</v>
      </c>
      <c r="F3949" s="124">
        <v>3943</v>
      </c>
      <c r="G3949" s="238">
        <f t="shared" ca="1" si="124"/>
        <v>-1.0927334659924433E-2</v>
      </c>
      <c r="I3949" s="156"/>
    </row>
    <row r="3950" spans="2:9" x14ac:dyDescent="0.2">
      <c r="B3950" s="230">
        <v>40186</v>
      </c>
      <c r="C3950" s="124">
        <v>85.02</v>
      </c>
      <c r="D3950" s="156">
        <f t="shared" si="123"/>
        <v>-4.7025628967794792E-4</v>
      </c>
      <c r="E3950" s="156">
        <v>-1.146110618160316E-2</v>
      </c>
      <c r="F3950" s="124">
        <v>3944</v>
      </c>
      <c r="G3950" s="238">
        <f t="shared" ca="1" si="124"/>
        <v>-5.3801930233688903E-3</v>
      </c>
      <c r="I3950" s="156"/>
    </row>
    <row r="3951" spans="2:9" x14ac:dyDescent="0.2">
      <c r="B3951" s="230">
        <v>40185</v>
      </c>
      <c r="C3951" s="124">
        <v>84.84</v>
      </c>
      <c r="D3951" s="156">
        <f t="shared" si="123"/>
        <v>-2.1171489061396452E-3</v>
      </c>
      <c r="E3951" s="156">
        <v>-1.1462608869756693E-2</v>
      </c>
      <c r="F3951" s="124">
        <v>3945</v>
      </c>
      <c r="G3951" s="238">
        <f t="shared" ca="1" si="124"/>
        <v>-7.4527594020878142E-3</v>
      </c>
      <c r="I3951" s="156"/>
    </row>
    <row r="3952" spans="2:9" x14ac:dyDescent="0.2">
      <c r="B3952" s="230">
        <v>40184</v>
      </c>
      <c r="C3952" s="124">
        <v>85.11</v>
      </c>
      <c r="D3952" s="156">
        <f t="shared" si="123"/>
        <v>3.1824611032531354E-3</v>
      </c>
      <c r="E3952" s="156">
        <v>-1.1466617347882457E-2</v>
      </c>
      <c r="F3952" s="124">
        <v>3946</v>
      </c>
      <c r="G3952" s="238">
        <f t="shared" ca="1" si="124"/>
        <v>-6.5942728229617682E-3</v>
      </c>
      <c r="I3952" s="156"/>
    </row>
    <row r="3953" spans="2:9" x14ac:dyDescent="0.2">
      <c r="B3953" s="230">
        <v>40183</v>
      </c>
      <c r="C3953" s="124">
        <v>84.91</v>
      </c>
      <c r="D3953" s="156">
        <f t="shared" si="123"/>
        <v>-2.3499001292445407E-3</v>
      </c>
      <c r="E3953" s="156">
        <v>-1.1483550589695836E-2</v>
      </c>
      <c r="F3953" s="124">
        <v>3947</v>
      </c>
      <c r="G3953" s="238">
        <f t="shared" ca="1" si="124"/>
        <v>5.9969658532671782E-3</v>
      </c>
      <c r="I3953" s="156"/>
    </row>
    <row r="3954" spans="2:9" x14ac:dyDescent="0.2">
      <c r="B3954" s="230">
        <v>40182</v>
      </c>
      <c r="C3954" s="124">
        <v>84.08</v>
      </c>
      <c r="D3954" s="156">
        <f t="shared" si="123"/>
        <v>-9.7750559415851878E-3</v>
      </c>
      <c r="E3954" s="156">
        <v>-1.15086546939534E-2</v>
      </c>
      <c r="F3954" s="124">
        <v>3948</v>
      </c>
      <c r="G3954" s="238">
        <f t="shared" ca="1" si="124"/>
        <v>1.7217782393219996E-2</v>
      </c>
      <c r="I3954" s="156"/>
    </row>
    <row r="3955" spans="2:9" x14ac:dyDescent="0.2">
      <c r="B3955" s="230">
        <v>40178</v>
      </c>
      <c r="C3955" s="124">
        <v>83.13</v>
      </c>
      <c r="D3955" s="156">
        <f t="shared" si="123"/>
        <v>-1.129876308277834E-2</v>
      </c>
      <c r="E3955" s="156">
        <v>-1.1521580102413963E-2</v>
      </c>
      <c r="F3955" s="124">
        <v>3949</v>
      </c>
      <c r="G3955" s="238">
        <f t="shared" ca="1" si="124"/>
        <v>-2.0168838332910364E-2</v>
      </c>
      <c r="I3955" s="156"/>
    </row>
    <row r="3956" spans="2:9" x14ac:dyDescent="0.2">
      <c r="B3956" s="230">
        <v>40177</v>
      </c>
      <c r="C3956" s="124">
        <v>83.1</v>
      </c>
      <c r="D3956" s="156">
        <f t="shared" si="123"/>
        <v>-3.6088054853844747E-4</v>
      </c>
      <c r="E3956" s="156">
        <v>-1.1528608027326987E-2</v>
      </c>
      <c r="F3956" s="124">
        <v>3950</v>
      </c>
      <c r="G3956" s="238">
        <f t="shared" ca="1" si="124"/>
        <v>2.3019814241095907E-2</v>
      </c>
      <c r="I3956" s="156"/>
    </row>
    <row r="3957" spans="2:9" x14ac:dyDescent="0.2">
      <c r="B3957" s="230">
        <v>40176</v>
      </c>
      <c r="C3957" s="124">
        <v>84.92</v>
      </c>
      <c r="D3957" s="156">
        <f t="shared" si="123"/>
        <v>2.190132370637795E-2</v>
      </c>
      <c r="E3957" s="156">
        <v>-1.1543469551282085E-2</v>
      </c>
      <c r="F3957" s="124">
        <v>3951</v>
      </c>
      <c r="G3957" s="238">
        <f t="shared" ca="1" si="124"/>
        <v>1.714462454309832E-2</v>
      </c>
      <c r="I3957" s="156"/>
    </row>
    <row r="3958" spans="2:9" x14ac:dyDescent="0.2">
      <c r="B3958" s="230">
        <v>40171</v>
      </c>
      <c r="C3958" s="124">
        <v>84.81</v>
      </c>
      <c r="D3958" s="156">
        <f t="shared" si="123"/>
        <v>-1.2953367875647602E-3</v>
      </c>
      <c r="E3958" s="156">
        <v>-1.1546788549434715E-2</v>
      </c>
      <c r="F3958" s="124">
        <v>3952</v>
      </c>
      <c r="G3958" s="238">
        <f t="shared" ca="1" si="124"/>
        <v>-1.2272779493579319E-2</v>
      </c>
      <c r="I3958" s="156"/>
    </row>
    <row r="3959" spans="2:9" x14ac:dyDescent="0.2">
      <c r="B3959" s="230">
        <v>40170</v>
      </c>
      <c r="C3959" s="124">
        <v>84.06</v>
      </c>
      <c r="D3959" s="156">
        <f t="shared" si="123"/>
        <v>-8.843296781039971E-3</v>
      </c>
      <c r="E3959" s="156">
        <v>-1.1549357158422339E-2</v>
      </c>
      <c r="F3959" s="124">
        <v>3953</v>
      </c>
      <c r="G3959" s="238">
        <f t="shared" ca="1" si="124"/>
        <v>-4.6159886833466194E-3</v>
      </c>
      <c r="I3959" s="156"/>
    </row>
    <row r="3960" spans="2:9" x14ac:dyDescent="0.2">
      <c r="B3960" s="230">
        <v>40169</v>
      </c>
      <c r="C3960" s="124">
        <v>81.63</v>
      </c>
      <c r="D3960" s="156">
        <f t="shared" si="123"/>
        <v>-2.8907922912205647E-2</v>
      </c>
      <c r="E3960" s="156">
        <v>-1.1551448373911598E-2</v>
      </c>
      <c r="F3960" s="124">
        <v>3954</v>
      </c>
      <c r="G3960" s="238">
        <f t="shared" ca="1" si="124"/>
        <v>2.6203740131278521E-3</v>
      </c>
      <c r="I3960" s="156"/>
    </row>
    <row r="3961" spans="2:9" x14ac:dyDescent="0.2">
      <c r="B3961" s="230">
        <v>40168</v>
      </c>
      <c r="C3961" s="124">
        <v>81.150000000000006</v>
      </c>
      <c r="D3961" s="156">
        <f t="shared" si="123"/>
        <v>-5.8801911062108265E-3</v>
      </c>
      <c r="E3961" s="156">
        <v>-1.1551483768173693E-2</v>
      </c>
      <c r="F3961" s="124">
        <v>3955</v>
      </c>
      <c r="G3961" s="238">
        <f t="shared" ca="1" si="124"/>
        <v>-1.8304261280409004E-2</v>
      </c>
      <c r="I3961" s="156"/>
    </row>
    <row r="3962" spans="2:9" x14ac:dyDescent="0.2">
      <c r="B3962" s="230">
        <v>40165</v>
      </c>
      <c r="C3962" s="124">
        <v>81.88</v>
      </c>
      <c r="D3962" s="156">
        <f t="shared" si="123"/>
        <v>8.9956869993837296E-3</v>
      </c>
      <c r="E3962" s="156">
        <v>-1.1570247933884243E-2</v>
      </c>
      <c r="F3962" s="124">
        <v>3956</v>
      </c>
      <c r="G3962" s="238">
        <f t="shared" ca="1" si="124"/>
        <v>4.1048285993507551E-2</v>
      </c>
      <c r="I3962" s="156"/>
    </row>
    <row r="3963" spans="2:9" x14ac:dyDescent="0.2">
      <c r="B3963" s="230">
        <v>40164</v>
      </c>
      <c r="C3963" s="124">
        <v>82.62</v>
      </c>
      <c r="D3963" s="156">
        <f t="shared" si="123"/>
        <v>9.0376160234490605E-3</v>
      </c>
      <c r="E3963" s="156">
        <v>-1.1582362129039995E-2</v>
      </c>
      <c r="F3963" s="124">
        <v>3957</v>
      </c>
      <c r="G3963" s="238">
        <f t="shared" ca="1" si="124"/>
        <v>-1.9260248998804269E-2</v>
      </c>
      <c r="I3963" s="156"/>
    </row>
    <row r="3964" spans="2:9" x14ac:dyDescent="0.2">
      <c r="B3964" s="230">
        <v>40163</v>
      </c>
      <c r="C3964" s="124">
        <v>82.67</v>
      </c>
      <c r="D3964" s="156">
        <f t="shared" si="123"/>
        <v>6.0518034374240084E-4</v>
      </c>
      <c r="E3964" s="156">
        <v>-1.1583924349881742E-2</v>
      </c>
      <c r="F3964" s="124">
        <v>3958</v>
      </c>
      <c r="G3964" s="238">
        <f t="shared" ca="1" si="124"/>
        <v>-8.1907991622252735E-3</v>
      </c>
      <c r="I3964" s="156"/>
    </row>
    <row r="3965" spans="2:9" x14ac:dyDescent="0.2">
      <c r="B3965" s="230">
        <v>40162</v>
      </c>
      <c r="C3965" s="124">
        <v>83.35</v>
      </c>
      <c r="D3965" s="156">
        <f t="shared" si="123"/>
        <v>8.2254747792426825E-3</v>
      </c>
      <c r="E3965" s="156">
        <v>-1.1591874210949052E-2</v>
      </c>
      <c r="F3965" s="124">
        <v>3959</v>
      </c>
      <c r="G3965" s="238">
        <f t="shared" ca="1" si="124"/>
        <v>-2.6405514824688048E-2</v>
      </c>
      <c r="I3965" s="156"/>
    </row>
    <row r="3966" spans="2:9" x14ac:dyDescent="0.2">
      <c r="B3966" s="230">
        <v>40161</v>
      </c>
      <c r="C3966" s="124">
        <v>83.1</v>
      </c>
      <c r="D3966" s="156">
        <f t="shared" ref="D3966:D4029" si="125">(C3966-C3965)/C3965</f>
        <v>-2.999400119976005E-3</v>
      </c>
      <c r="E3966" s="156">
        <v>-1.1603053435114582E-2</v>
      </c>
      <c r="F3966" s="124">
        <v>3960</v>
      </c>
      <c r="G3966" s="238">
        <f t="shared" ca="1" si="124"/>
        <v>-1.8742384860337011E-2</v>
      </c>
      <c r="I3966" s="156"/>
    </row>
    <row r="3967" spans="2:9" x14ac:dyDescent="0.2">
      <c r="B3967" s="230">
        <v>40158</v>
      </c>
      <c r="C3967" s="124">
        <v>83.78</v>
      </c>
      <c r="D3967" s="156">
        <f t="shared" si="125"/>
        <v>8.1829121540313698E-3</v>
      </c>
      <c r="E3967" s="156">
        <v>-1.1632323615990965E-2</v>
      </c>
      <c r="F3967" s="124">
        <v>3961</v>
      </c>
      <c r="G3967" s="238">
        <f t="shared" ca="1" si="124"/>
        <v>-9.2796800497823503E-3</v>
      </c>
      <c r="I3967" s="156"/>
    </row>
    <row r="3968" spans="2:9" x14ac:dyDescent="0.2">
      <c r="B3968" s="230">
        <v>40157</v>
      </c>
      <c r="C3968" s="124">
        <v>84.26</v>
      </c>
      <c r="D3968" s="156">
        <f t="shared" si="125"/>
        <v>5.7292910002387683E-3</v>
      </c>
      <c r="E3968" s="156">
        <v>-1.163743648582201E-2</v>
      </c>
      <c r="F3968" s="124">
        <v>3962</v>
      </c>
      <c r="G3968" s="238">
        <f t="shared" ca="1" si="124"/>
        <v>-7.3006984208607018E-3</v>
      </c>
      <c r="I3968" s="156"/>
    </row>
    <row r="3969" spans="2:9" x14ac:dyDescent="0.2">
      <c r="B3969" s="230">
        <v>40156</v>
      </c>
      <c r="C3969" s="124">
        <v>85.04</v>
      </c>
      <c r="D3969" s="156">
        <f t="shared" si="125"/>
        <v>9.2570614763826387E-3</v>
      </c>
      <c r="E3969" s="156">
        <v>-1.1661058741941191E-2</v>
      </c>
      <c r="F3969" s="124">
        <v>3963</v>
      </c>
      <c r="G3969" s="238">
        <f t="shared" ca="1" si="124"/>
        <v>-3.2524481869012918E-2</v>
      </c>
      <c r="I3969" s="156"/>
    </row>
    <row r="3970" spans="2:9" x14ac:dyDescent="0.2">
      <c r="B3970" s="230">
        <v>40155</v>
      </c>
      <c r="C3970" s="124">
        <v>85.72</v>
      </c>
      <c r="D3970" s="156">
        <f t="shared" si="125"/>
        <v>7.996237064910542E-3</v>
      </c>
      <c r="E3970" s="156">
        <v>-1.1661250238960089E-2</v>
      </c>
      <c r="F3970" s="124">
        <v>3964</v>
      </c>
      <c r="G3970" s="238">
        <f t="shared" ca="1" si="124"/>
        <v>-9.2397042858264767E-3</v>
      </c>
      <c r="I3970" s="156"/>
    </row>
    <row r="3971" spans="2:9" x14ac:dyDescent="0.2">
      <c r="B3971" s="230">
        <v>40154</v>
      </c>
      <c r="C3971" s="124">
        <v>84.46</v>
      </c>
      <c r="D3971" s="156">
        <f t="shared" si="125"/>
        <v>-1.4699020065329037E-2</v>
      </c>
      <c r="E3971" s="156">
        <v>-1.1664899257688169E-2</v>
      </c>
      <c r="F3971" s="124">
        <v>3965</v>
      </c>
      <c r="G3971" s="238">
        <f t="shared" ca="1" si="124"/>
        <v>-3.2535951690850694E-4</v>
      </c>
      <c r="I3971" s="156"/>
    </row>
    <row r="3972" spans="2:9" x14ac:dyDescent="0.2">
      <c r="B3972" s="230">
        <v>40151</v>
      </c>
      <c r="C3972" s="124">
        <v>85.09</v>
      </c>
      <c r="D3972" s="156">
        <f t="shared" si="125"/>
        <v>7.4591522614256417E-3</v>
      </c>
      <c r="E3972" s="156">
        <v>-1.1665888940737284E-2</v>
      </c>
      <c r="F3972" s="124">
        <v>3966</v>
      </c>
      <c r="G3972" s="238">
        <f t="shared" ca="1" si="124"/>
        <v>2.0476100568969535E-2</v>
      </c>
      <c r="I3972" s="156"/>
    </row>
    <row r="3973" spans="2:9" x14ac:dyDescent="0.2">
      <c r="B3973" s="230">
        <v>40150</v>
      </c>
      <c r="C3973" s="124">
        <v>84.68</v>
      </c>
      <c r="D3973" s="156">
        <f t="shared" si="125"/>
        <v>-4.8184275473028152E-3</v>
      </c>
      <c r="E3973" s="156">
        <v>-1.1666666666666652E-2</v>
      </c>
      <c r="F3973" s="124">
        <v>3967</v>
      </c>
      <c r="G3973" s="238">
        <f t="shared" ca="1" si="124"/>
        <v>-2.552505357559329E-3</v>
      </c>
      <c r="I3973" s="156"/>
    </row>
    <row r="3974" spans="2:9" x14ac:dyDescent="0.2">
      <c r="B3974" s="230">
        <v>40149</v>
      </c>
      <c r="C3974" s="124">
        <v>85.19</v>
      </c>
      <c r="D3974" s="156">
        <f t="shared" si="125"/>
        <v>6.0226735947093869E-3</v>
      </c>
      <c r="E3974" s="156">
        <v>-1.1684106799305564E-2</v>
      </c>
      <c r="F3974" s="124">
        <v>3968</v>
      </c>
      <c r="G3974" s="238">
        <f t="shared" ca="1" si="124"/>
        <v>1.9880228593744678E-2</v>
      </c>
      <c r="I3974" s="156"/>
    </row>
    <row r="3975" spans="2:9" x14ac:dyDescent="0.2">
      <c r="B3975" s="230">
        <v>40148</v>
      </c>
      <c r="C3975" s="124">
        <v>85.54</v>
      </c>
      <c r="D3975" s="156">
        <f t="shared" si="125"/>
        <v>4.1084634346755314E-3</v>
      </c>
      <c r="E3975" s="156">
        <v>-1.1685552407931952E-2</v>
      </c>
      <c r="F3975" s="124">
        <v>3969</v>
      </c>
      <c r="G3975" s="238">
        <f t="shared" ref="G3975:G4038" ca="1" si="126">_xlfn.NORM.INV(RAND(),$L$8,$L$9)</f>
        <v>-5.5510337475920147E-3</v>
      </c>
      <c r="I3975" s="156"/>
    </row>
    <row r="3976" spans="2:9" x14ac:dyDescent="0.2">
      <c r="B3976" s="230">
        <v>40147</v>
      </c>
      <c r="C3976" s="124">
        <v>85.22</v>
      </c>
      <c r="D3976" s="156">
        <f t="shared" si="125"/>
        <v>-3.740939911152763E-3</v>
      </c>
      <c r="E3976" s="156">
        <v>-1.169466298107591E-2</v>
      </c>
      <c r="F3976" s="124">
        <v>3970</v>
      </c>
      <c r="G3976" s="238">
        <f t="shared" ca="1" si="126"/>
        <v>1.3023875306886279E-2</v>
      </c>
      <c r="I3976" s="156"/>
    </row>
    <row r="3977" spans="2:9" x14ac:dyDescent="0.2">
      <c r="B3977" s="230">
        <v>40144</v>
      </c>
      <c r="C3977" s="124">
        <v>84.96</v>
      </c>
      <c r="D3977" s="156">
        <f t="shared" si="125"/>
        <v>-3.0509270124384549E-3</v>
      </c>
      <c r="E3977" s="156">
        <v>-1.1702153487581619E-2</v>
      </c>
      <c r="F3977" s="124">
        <v>3971</v>
      </c>
      <c r="G3977" s="238">
        <f t="shared" ca="1" si="126"/>
        <v>-2.2773573129385702E-2</v>
      </c>
      <c r="I3977" s="156"/>
    </row>
    <row r="3978" spans="2:9" x14ac:dyDescent="0.2">
      <c r="B3978" s="230">
        <v>40143</v>
      </c>
      <c r="C3978" s="124">
        <v>86.62</v>
      </c>
      <c r="D3978" s="156">
        <f t="shared" si="125"/>
        <v>1.953860640301331E-2</v>
      </c>
      <c r="E3978" s="156">
        <v>-1.1705685618729145E-2</v>
      </c>
      <c r="F3978" s="124">
        <v>3972</v>
      </c>
      <c r="G3978" s="238">
        <f t="shared" ca="1" si="126"/>
        <v>7.5973798278983371E-3</v>
      </c>
      <c r="I3978" s="156"/>
    </row>
    <row r="3979" spans="2:9" x14ac:dyDescent="0.2">
      <c r="B3979" s="230">
        <v>40142</v>
      </c>
      <c r="C3979" s="124">
        <v>89.13</v>
      </c>
      <c r="D3979" s="156">
        <f t="shared" si="125"/>
        <v>2.8977141537750991E-2</v>
      </c>
      <c r="E3979" s="156">
        <v>-1.1742358832671383E-2</v>
      </c>
      <c r="F3979" s="124">
        <v>3973</v>
      </c>
      <c r="G3979" s="238">
        <f t="shared" ca="1" si="126"/>
        <v>1.7291705146538449E-2</v>
      </c>
      <c r="I3979" s="156"/>
    </row>
    <row r="3980" spans="2:9" x14ac:dyDescent="0.2">
      <c r="B3980" s="230">
        <v>40141</v>
      </c>
      <c r="C3980" s="124">
        <v>87.44</v>
      </c>
      <c r="D3980" s="156">
        <f t="shared" si="125"/>
        <v>-1.8961068102771209E-2</v>
      </c>
      <c r="E3980" s="156">
        <v>-1.1771300448430619E-2</v>
      </c>
      <c r="F3980" s="124">
        <v>3974</v>
      </c>
      <c r="G3980" s="238">
        <f t="shared" ca="1" si="126"/>
        <v>1.1158980227063043E-2</v>
      </c>
      <c r="I3980" s="156"/>
    </row>
    <row r="3981" spans="2:9" x14ac:dyDescent="0.2">
      <c r="B3981" s="230">
        <v>40140</v>
      </c>
      <c r="C3981" s="124">
        <v>89.1</v>
      </c>
      <c r="D3981" s="156">
        <f t="shared" si="125"/>
        <v>1.8984446477584592E-2</v>
      </c>
      <c r="E3981" s="156">
        <v>-1.1785951905712336E-2</v>
      </c>
      <c r="F3981" s="124">
        <v>3975</v>
      </c>
      <c r="G3981" s="238">
        <f t="shared" ca="1" si="126"/>
        <v>-2.7545819437635521E-2</v>
      </c>
      <c r="I3981" s="156"/>
    </row>
    <row r="3982" spans="2:9" x14ac:dyDescent="0.2">
      <c r="B3982" s="230">
        <v>40137</v>
      </c>
      <c r="C3982" s="124">
        <v>86.15</v>
      </c>
      <c r="D3982" s="156">
        <f t="shared" si="125"/>
        <v>-3.3108866442199653E-2</v>
      </c>
      <c r="E3982" s="156">
        <v>-1.1807447774750202E-2</v>
      </c>
      <c r="F3982" s="124">
        <v>3976</v>
      </c>
      <c r="G3982" s="238">
        <f t="shared" ca="1" si="126"/>
        <v>-1.9343487120311073E-2</v>
      </c>
      <c r="I3982" s="156"/>
    </row>
    <row r="3983" spans="2:9" x14ac:dyDescent="0.2">
      <c r="B3983" s="230">
        <v>40136</v>
      </c>
      <c r="C3983" s="124">
        <v>85.07</v>
      </c>
      <c r="D3983" s="156">
        <f t="shared" si="125"/>
        <v>-1.2536273940801073E-2</v>
      </c>
      <c r="E3983" s="156">
        <v>-1.1809243982370909E-2</v>
      </c>
      <c r="F3983" s="124">
        <v>3977</v>
      </c>
      <c r="G3983" s="238">
        <f t="shared" ca="1" si="126"/>
        <v>5.3922049476674457E-3</v>
      </c>
      <c r="I3983" s="156"/>
    </row>
    <row r="3984" spans="2:9" x14ac:dyDescent="0.2">
      <c r="B3984" s="230">
        <v>40135</v>
      </c>
      <c r="C3984" s="124">
        <v>85.77</v>
      </c>
      <c r="D3984" s="156">
        <f t="shared" si="125"/>
        <v>8.2285176913130705E-3</v>
      </c>
      <c r="E3984" s="156">
        <v>-1.1823899371069153E-2</v>
      </c>
      <c r="F3984" s="124">
        <v>3978</v>
      </c>
      <c r="G3984" s="238">
        <f t="shared" ca="1" si="126"/>
        <v>-1.9765362790937418E-2</v>
      </c>
      <c r="I3984" s="156"/>
    </row>
    <row r="3985" spans="2:9" x14ac:dyDescent="0.2">
      <c r="B3985" s="230">
        <v>40134</v>
      </c>
      <c r="C3985" s="124">
        <v>84.41</v>
      </c>
      <c r="D3985" s="156">
        <f t="shared" si="125"/>
        <v>-1.5856360032645442E-2</v>
      </c>
      <c r="E3985" s="156">
        <v>-1.1833804655209916E-2</v>
      </c>
      <c r="F3985" s="124">
        <v>3979</v>
      </c>
      <c r="G3985" s="238">
        <f t="shared" ca="1" si="126"/>
        <v>2.2335956368363327E-2</v>
      </c>
      <c r="I3985" s="156"/>
    </row>
    <row r="3986" spans="2:9" x14ac:dyDescent="0.2">
      <c r="B3986" s="230">
        <v>40133</v>
      </c>
      <c r="C3986" s="124">
        <v>84.73</v>
      </c>
      <c r="D3986" s="156">
        <f t="shared" si="125"/>
        <v>3.7910200213245753E-3</v>
      </c>
      <c r="E3986" s="156">
        <v>-1.1853448275862068E-2</v>
      </c>
      <c r="F3986" s="124">
        <v>3980</v>
      </c>
      <c r="G3986" s="238">
        <f t="shared" ca="1" si="126"/>
        <v>-5.6092874175413367E-3</v>
      </c>
      <c r="I3986" s="156"/>
    </row>
    <row r="3987" spans="2:9" x14ac:dyDescent="0.2">
      <c r="B3987" s="230">
        <v>40130</v>
      </c>
      <c r="C3987" s="124">
        <v>84.36</v>
      </c>
      <c r="D3987" s="156">
        <f t="shared" si="125"/>
        <v>-4.3668122270742894E-3</v>
      </c>
      <c r="E3987" s="156">
        <v>-1.1859219586839963E-2</v>
      </c>
      <c r="F3987" s="124">
        <v>3981</v>
      </c>
      <c r="G3987" s="238">
        <f t="shared" ca="1" si="126"/>
        <v>-3.3735508639100173E-2</v>
      </c>
      <c r="I3987" s="156"/>
    </row>
    <row r="3988" spans="2:9" x14ac:dyDescent="0.2">
      <c r="B3988" s="230">
        <v>40129</v>
      </c>
      <c r="C3988" s="124">
        <v>83.85</v>
      </c>
      <c r="D3988" s="156">
        <f t="shared" si="125"/>
        <v>-6.045519203414001E-3</v>
      </c>
      <c r="E3988" s="156">
        <v>-1.1866808359900895E-2</v>
      </c>
      <c r="F3988" s="124">
        <v>3982</v>
      </c>
      <c r="G3988" s="238">
        <f t="shared" ca="1" si="126"/>
        <v>-1.1953921274479728E-2</v>
      </c>
      <c r="I3988" s="156"/>
    </row>
    <row r="3989" spans="2:9" x14ac:dyDescent="0.2">
      <c r="B3989" s="230">
        <v>40128</v>
      </c>
      <c r="C3989" s="124">
        <v>85.14</v>
      </c>
      <c r="D3989" s="156">
        <f t="shared" si="125"/>
        <v>1.538461538461546E-2</v>
      </c>
      <c r="E3989" s="156">
        <v>-1.1867442901925528E-2</v>
      </c>
      <c r="F3989" s="124">
        <v>3983</v>
      </c>
      <c r="G3989" s="238">
        <f t="shared" ca="1" si="126"/>
        <v>3.2232991315921211E-3</v>
      </c>
      <c r="I3989" s="156"/>
    </row>
    <row r="3990" spans="2:9" x14ac:dyDescent="0.2">
      <c r="B3990" s="230">
        <v>40127</v>
      </c>
      <c r="C3990" s="124">
        <v>85.34</v>
      </c>
      <c r="D3990" s="156">
        <f t="shared" si="125"/>
        <v>2.3490721165140105E-3</v>
      </c>
      <c r="E3990" s="156">
        <v>-1.1870467865302547E-2</v>
      </c>
      <c r="F3990" s="124">
        <v>3984</v>
      </c>
      <c r="G3990" s="238">
        <f t="shared" ca="1" si="126"/>
        <v>-2.0669058453740639E-2</v>
      </c>
      <c r="I3990" s="156"/>
    </row>
    <row r="3991" spans="2:9" x14ac:dyDescent="0.2">
      <c r="B3991" s="230">
        <v>40126</v>
      </c>
      <c r="C3991" s="124">
        <v>85.87</v>
      </c>
      <c r="D3991" s="156">
        <f t="shared" si="125"/>
        <v>6.2104523084134181E-3</v>
      </c>
      <c r="E3991" s="156">
        <v>-1.1875184233797924E-2</v>
      </c>
      <c r="F3991" s="124">
        <v>3985</v>
      </c>
      <c r="G3991" s="238">
        <f t="shared" ca="1" si="126"/>
        <v>8.7733138149726098E-3</v>
      </c>
      <c r="I3991" s="156"/>
    </row>
    <row r="3992" spans="2:9" x14ac:dyDescent="0.2">
      <c r="B3992" s="230">
        <v>40123</v>
      </c>
      <c r="C3992" s="124">
        <v>82.49</v>
      </c>
      <c r="D3992" s="156">
        <f t="shared" si="125"/>
        <v>-3.9361826016070918E-2</v>
      </c>
      <c r="E3992" s="156">
        <v>-1.1890544680409117E-2</v>
      </c>
      <c r="F3992" s="124">
        <v>3986</v>
      </c>
      <c r="G3992" s="238">
        <f t="shared" ca="1" si="126"/>
        <v>3.5945493985385962E-2</v>
      </c>
      <c r="I3992" s="156"/>
    </row>
    <row r="3993" spans="2:9" x14ac:dyDescent="0.2">
      <c r="B3993" s="230">
        <v>40122</v>
      </c>
      <c r="C3993" s="124">
        <v>83.58</v>
      </c>
      <c r="D3993" s="156">
        <f t="shared" si="125"/>
        <v>1.3213722875500104E-2</v>
      </c>
      <c r="E3993" s="156">
        <v>-1.189712486149176E-2</v>
      </c>
      <c r="F3993" s="124">
        <v>3987</v>
      </c>
      <c r="G3993" s="238">
        <f t="shared" ca="1" si="126"/>
        <v>4.6505977573656722E-3</v>
      </c>
      <c r="I3993" s="156"/>
    </row>
    <row r="3994" spans="2:9" x14ac:dyDescent="0.2">
      <c r="B3994" s="230">
        <v>40121</v>
      </c>
      <c r="C3994" s="124">
        <v>84.39</v>
      </c>
      <c r="D3994" s="156">
        <f t="shared" si="125"/>
        <v>9.6913137114142418E-3</v>
      </c>
      <c r="E3994" s="156">
        <v>-1.1911392947426937E-2</v>
      </c>
      <c r="F3994" s="124">
        <v>3988</v>
      </c>
      <c r="G3994" s="238">
        <f t="shared" ca="1" si="126"/>
        <v>3.4194756664807903E-2</v>
      </c>
      <c r="I3994" s="156"/>
    </row>
    <row r="3995" spans="2:9" x14ac:dyDescent="0.2">
      <c r="B3995" s="230">
        <v>40120</v>
      </c>
      <c r="C3995" s="124">
        <v>82.39</v>
      </c>
      <c r="D3995" s="156">
        <f t="shared" si="125"/>
        <v>-2.369949046095509E-2</v>
      </c>
      <c r="E3995" s="156">
        <v>-1.1915508214479214E-2</v>
      </c>
      <c r="F3995" s="124">
        <v>3989</v>
      </c>
      <c r="G3995" s="238">
        <f t="shared" ca="1" si="126"/>
        <v>-1.57467321308268E-2</v>
      </c>
      <c r="I3995" s="156"/>
    </row>
    <row r="3996" spans="2:9" x14ac:dyDescent="0.2">
      <c r="B3996" s="230">
        <v>40116</v>
      </c>
      <c r="C3996" s="124">
        <v>84.46</v>
      </c>
      <c r="D3996" s="156">
        <f t="shared" si="125"/>
        <v>2.5124408301978311E-2</v>
      </c>
      <c r="E3996" s="156">
        <v>-1.1918274687854802E-2</v>
      </c>
      <c r="F3996" s="124">
        <v>3990</v>
      </c>
      <c r="G3996" s="238">
        <f t="shared" ca="1" si="126"/>
        <v>-1.141806921247612E-3</v>
      </c>
      <c r="I3996" s="156"/>
    </row>
    <row r="3997" spans="2:9" x14ac:dyDescent="0.2">
      <c r="B3997" s="230">
        <v>40115</v>
      </c>
      <c r="C3997" s="124">
        <v>85.95</v>
      </c>
      <c r="D3997" s="156">
        <f t="shared" si="125"/>
        <v>1.7641487094482704E-2</v>
      </c>
      <c r="E3997" s="156">
        <v>-1.1959805190802033E-2</v>
      </c>
      <c r="F3997" s="124">
        <v>3991</v>
      </c>
      <c r="G3997" s="238">
        <f t="shared" ca="1" si="126"/>
        <v>-1.502640299398501E-2</v>
      </c>
      <c r="I3997" s="156"/>
    </row>
    <row r="3998" spans="2:9" x14ac:dyDescent="0.2">
      <c r="B3998" s="230">
        <v>40114</v>
      </c>
      <c r="C3998" s="124">
        <v>85.89</v>
      </c>
      <c r="D3998" s="156">
        <f t="shared" si="125"/>
        <v>-6.9808027923213807E-4</v>
      </c>
      <c r="E3998" s="156">
        <v>-1.1967213114754023E-2</v>
      </c>
      <c r="F3998" s="124">
        <v>3992</v>
      </c>
      <c r="G3998" s="238">
        <f t="shared" ca="1" si="126"/>
        <v>7.1716291501312491E-3</v>
      </c>
      <c r="I3998" s="156"/>
    </row>
    <row r="3999" spans="2:9" x14ac:dyDescent="0.2">
      <c r="B3999" s="230">
        <v>40113</v>
      </c>
      <c r="C3999" s="124">
        <v>86.38</v>
      </c>
      <c r="D3999" s="156">
        <f t="shared" si="125"/>
        <v>5.7049714751425647E-3</v>
      </c>
      <c r="E3999" s="156">
        <v>-1.1971449222985207E-2</v>
      </c>
      <c r="F3999" s="124">
        <v>3993</v>
      </c>
      <c r="G3999" s="238">
        <f t="shared" ca="1" si="126"/>
        <v>-1.8844932871386135E-2</v>
      </c>
      <c r="I3999" s="156"/>
    </row>
    <row r="4000" spans="2:9" x14ac:dyDescent="0.2">
      <c r="B4000" s="230">
        <v>40112</v>
      </c>
      <c r="C4000" s="124">
        <v>87.74</v>
      </c>
      <c r="D4000" s="156">
        <f t="shared" si="125"/>
        <v>1.5744385274369062E-2</v>
      </c>
      <c r="E4000" s="156">
        <v>-1.1972507575197728E-2</v>
      </c>
      <c r="F4000" s="124">
        <v>3994</v>
      </c>
      <c r="G4000" s="238">
        <f t="shared" ca="1" si="126"/>
        <v>2.320266495974415E-2</v>
      </c>
      <c r="I4000" s="156"/>
    </row>
    <row r="4001" spans="2:9" x14ac:dyDescent="0.2">
      <c r="B4001" s="230">
        <v>40109</v>
      </c>
      <c r="C4001" s="124">
        <v>86.25</v>
      </c>
      <c r="D4001" s="156">
        <f t="shared" si="125"/>
        <v>-1.6981992249828982E-2</v>
      </c>
      <c r="E4001" s="156">
        <v>-1.1973517396816506E-2</v>
      </c>
      <c r="F4001" s="124">
        <v>3995</v>
      </c>
      <c r="G4001" s="238">
        <f t="shared" ca="1" si="126"/>
        <v>3.8450530357913161E-2</v>
      </c>
      <c r="I4001" s="156"/>
    </row>
    <row r="4002" spans="2:9" x14ac:dyDescent="0.2">
      <c r="B4002" s="230">
        <v>40108</v>
      </c>
      <c r="C4002" s="124">
        <v>82.16</v>
      </c>
      <c r="D4002" s="156">
        <f t="shared" si="125"/>
        <v>-4.7420289855072503E-2</v>
      </c>
      <c r="E4002" s="156">
        <v>-1.1981100236247084E-2</v>
      </c>
      <c r="F4002" s="124">
        <v>3996</v>
      </c>
      <c r="G4002" s="238">
        <f t="shared" ca="1" si="126"/>
        <v>-3.3490796169441131E-2</v>
      </c>
      <c r="I4002" s="156"/>
    </row>
    <row r="4003" spans="2:9" x14ac:dyDescent="0.2">
      <c r="B4003" s="230">
        <v>40107</v>
      </c>
      <c r="C4003" s="124">
        <v>80.78</v>
      </c>
      <c r="D4003" s="156">
        <f t="shared" si="125"/>
        <v>-1.6796494644595854E-2</v>
      </c>
      <c r="E4003" s="156">
        <v>-1.1995637949836423E-2</v>
      </c>
      <c r="F4003" s="124">
        <v>3997</v>
      </c>
      <c r="G4003" s="238">
        <f t="shared" ca="1" si="126"/>
        <v>1.5693887574676751E-2</v>
      </c>
      <c r="I4003" s="156"/>
    </row>
    <row r="4004" spans="2:9" x14ac:dyDescent="0.2">
      <c r="B4004" s="230">
        <v>40106</v>
      </c>
      <c r="C4004" s="124">
        <v>83.02</v>
      </c>
      <c r="D4004" s="156">
        <f t="shared" si="125"/>
        <v>2.7729636048526799E-2</v>
      </c>
      <c r="E4004" s="156">
        <v>-1.2024502760341855E-2</v>
      </c>
      <c r="F4004" s="124">
        <v>3998</v>
      </c>
      <c r="G4004" s="238">
        <f t="shared" ca="1" si="126"/>
        <v>2.1949081890689504E-3</v>
      </c>
      <c r="I4004" s="156"/>
    </row>
    <row r="4005" spans="2:9" x14ac:dyDescent="0.2">
      <c r="B4005" s="230">
        <v>40103</v>
      </c>
      <c r="C4005" s="124">
        <v>83.04</v>
      </c>
      <c r="D4005" s="156">
        <f t="shared" si="125"/>
        <v>2.4090580583004375E-4</v>
      </c>
      <c r="E4005" s="156">
        <v>-1.2045753618787304E-2</v>
      </c>
      <c r="F4005" s="124">
        <v>3999</v>
      </c>
      <c r="G4005" s="238">
        <f t="shared" ca="1" si="126"/>
        <v>2.2156785047839272E-2</v>
      </c>
      <c r="I4005" s="156"/>
    </row>
    <row r="4006" spans="2:9" x14ac:dyDescent="0.2">
      <c r="B4006" s="230">
        <v>40102</v>
      </c>
      <c r="C4006" s="124">
        <v>83.67</v>
      </c>
      <c r="D4006" s="156">
        <f t="shared" si="125"/>
        <v>7.5867052023120838E-3</v>
      </c>
      <c r="E4006" s="156">
        <v>-1.2047170611690861E-2</v>
      </c>
      <c r="F4006" s="124">
        <v>4000</v>
      </c>
      <c r="G4006" s="238">
        <f t="shared" ca="1" si="126"/>
        <v>1.5388714899548336E-2</v>
      </c>
      <c r="I4006" s="156"/>
    </row>
    <row r="4007" spans="2:9" x14ac:dyDescent="0.2">
      <c r="B4007" s="230">
        <v>40101</v>
      </c>
      <c r="C4007" s="124">
        <v>84.99</v>
      </c>
      <c r="D4007" s="156">
        <f t="shared" si="125"/>
        <v>1.577626389386869E-2</v>
      </c>
      <c r="E4007" s="156">
        <v>-1.2059588555213918E-2</v>
      </c>
      <c r="F4007" s="124">
        <v>4001</v>
      </c>
      <c r="G4007" s="238">
        <f t="shared" ca="1" si="126"/>
        <v>-1.189783258297015E-2</v>
      </c>
      <c r="I4007" s="156"/>
    </row>
    <row r="4008" spans="2:9" x14ac:dyDescent="0.2">
      <c r="B4008" s="230">
        <v>40100</v>
      </c>
      <c r="C4008" s="124">
        <v>85.75</v>
      </c>
      <c r="D4008" s="156">
        <f t="shared" si="125"/>
        <v>8.9422284974703514E-3</v>
      </c>
      <c r="E4008" s="156">
        <v>-1.2068600465805608E-2</v>
      </c>
      <c r="F4008" s="124">
        <v>4002</v>
      </c>
      <c r="G4008" s="238">
        <f t="shared" ca="1" si="126"/>
        <v>-3.0261509533818683E-3</v>
      </c>
      <c r="I4008" s="156"/>
    </row>
    <row r="4009" spans="2:9" x14ac:dyDescent="0.2">
      <c r="B4009" s="230">
        <v>40098</v>
      </c>
      <c r="C4009" s="124">
        <v>85.64</v>
      </c>
      <c r="D4009" s="156">
        <f t="shared" si="125"/>
        <v>-1.2827988338192354E-3</v>
      </c>
      <c r="E4009" s="156">
        <v>-1.2088007652839383E-2</v>
      </c>
      <c r="F4009" s="124">
        <v>4003</v>
      </c>
      <c r="G4009" s="238">
        <f t="shared" ca="1" si="126"/>
        <v>-4.2041826816365205E-3</v>
      </c>
      <c r="I4009" s="156"/>
    </row>
    <row r="4010" spans="2:9" x14ac:dyDescent="0.2">
      <c r="B4010" s="230">
        <v>40095</v>
      </c>
      <c r="C4010" s="124">
        <v>82.75</v>
      </c>
      <c r="D4010" s="156">
        <f t="shared" si="125"/>
        <v>-3.3745913124708087E-2</v>
      </c>
      <c r="E4010" s="156">
        <v>-1.2099644128113799E-2</v>
      </c>
      <c r="F4010" s="124">
        <v>4004</v>
      </c>
      <c r="G4010" s="238">
        <f t="shared" ca="1" si="126"/>
        <v>-7.3791088528491096E-4</v>
      </c>
      <c r="I4010" s="156"/>
    </row>
    <row r="4011" spans="2:9" x14ac:dyDescent="0.2">
      <c r="B4011" s="230">
        <v>40094</v>
      </c>
      <c r="C4011" s="124">
        <v>83.12</v>
      </c>
      <c r="D4011" s="156">
        <f t="shared" si="125"/>
        <v>4.4712990936556438E-3</v>
      </c>
      <c r="E4011" s="156">
        <v>-1.2100980596703491E-2</v>
      </c>
      <c r="F4011" s="124">
        <v>4005</v>
      </c>
      <c r="G4011" s="238">
        <f t="shared" ca="1" si="126"/>
        <v>8.5316666591621279E-3</v>
      </c>
      <c r="I4011" s="156"/>
    </row>
    <row r="4012" spans="2:9" x14ac:dyDescent="0.2">
      <c r="B4012" s="230">
        <v>40093</v>
      </c>
      <c r="C4012" s="124">
        <v>81.2</v>
      </c>
      <c r="D4012" s="156">
        <f t="shared" si="125"/>
        <v>-2.3099133782483176E-2</v>
      </c>
      <c r="E4012" s="156">
        <v>-1.2128691803557726E-2</v>
      </c>
      <c r="F4012" s="124">
        <v>4006</v>
      </c>
      <c r="G4012" s="238">
        <f t="shared" ca="1" si="126"/>
        <v>-2.3276823363888182E-2</v>
      </c>
      <c r="I4012" s="156"/>
    </row>
    <row r="4013" spans="2:9" x14ac:dyDescent="0.2">
      <c r="B4013" s="230">
        <v>40092</v>
      </c>
      <c r="C4013" s="124">
        <v>82.06</v>
      </c>
      <c r="D4013" s="156">
        <f t="shared" si="125"/>
        <v>1.05911330049261E-2</v>
      </c>
      <c r="E4013" s="156">
        <v>-1.2143290831815421E-2</v>
      </c>
      <c r="F4013" s="124">
        <v>4007</v>
      </c>
      <c r="G4013" s="238">
        <f t="shared" ca="1" si="126"/>
        <v>-2.6010252727096957E-2</v>
      </c>
      <c r="I4013" s="156"/>
    </row>
    <row r="4014" spans="2:9" x14ac:dyDescent="0.2">
      <c r="B4014" s="230">
        <v>40091</v>
      </c>
      <c r="C4014" s="124">
        <v>79.069999999999993</v>
      </c>
      <c r="D4014" s="156">
        <f t="shared" si="125"/>
        <v>-3.6436753594930649E-2</v>
      </c>
      <c r="E4014" s="156">
        <v>-1.2143900657414155E-2</v>
      </c>
      <c r="F4014" s="124">
        <v>4008</v>
      </c>
      <c r="G4014" s="238">
        <f t="shared" ca="1" si="126"/>
        <v>-3.5393992882016227E-3</v>
      </c>
      <c r="I4014" s="156"/>
    </row>
    <row r="4015" spans="2:9" x14ac:dyDescent="0.2">
      <c r="B4015" s="230">
        <v>40087</v>
      </c>
      <c r="C4015" s="124">
        <v>77.09</v>
      </c>
      <c r="D4015" s="156">
        <f t="shared" si="125"/>
        <v>-2.5041102820285696E-2</v>
      </c>
      <c r="E4015" s="156">
        <v>-1.2154166000319815E-2</v>
      </c>
      <c r="F4015" s="124">
        <v>4009</v>
      </c>
      <c r="G4015" s="238">
        <f t="shared" ca="1" si="126"/>
        <v>-1.6896103925276264E-2</v>
      </c>
      <c r="I4015" s="156"/>
    </row>
    <row r="4016" spans="2:9" x14ac:dyDescent="0.2">
      <c r="B4016" s="230">
        <v>40086</v>
      </c>
      <c r="C4016" s="124">
        <v>77.25</v>
      </c>
      <c r="D4016" s="156">
        <f t="shared" si="125"/>
        <v>2.075496173303886E-3</v>
      </c>
      <c r="E4016" s="156">
        <v>-1.2184354582376917E-2</v>
      </c>
      <c r="F4016" s="124">
        <v>4010</v>
      </c>
      <c r="G4016" s="238">
        <f t="shared" ca="1" si="126"/>
        <v>-1.052020898034579E-2</v>
      </c>
      <c r="I4016" s="156"/>
    </row>
    <row r="4017" spans="2:9" x14ac:dyDescent="0.2">
      <c r="B4017" s="230">
        <v>40085</v>
      </c>
      <c r="C4017" s="124">
        <v>77.650000000000006</v>
      </c>
      <c r="D4017" s="156">
        <f t="shared" si="125"/>
        <v>5.1779935275081644E-3</v>
      </c>
      <c r="E4017" s="156">
        <v>-1.2186709588411155E-2</v>
      </c>
      <c r="F4017" s="124">
        <v>4011</v>
      </c>
      <c r="G4017" s="238">
        <f t="shared" ca="1" si="126"/>
        <v>6.3201374852037574E-6</v>
      </c>
      <c r="I4017" s="156"/>
    </row>
    <row r="4018" spans="2:9" x14ac:dyDescent="0.2">
      <c r="B4018" s="230">
        <v>40081</v>
      </c>
      <c r="C4018" s="124">
        <v>77.900000000000006</v>
      </c>
      <c r="D4018" s="156">
        <f t="shared" si="125"/>
        <v>3.2195750160978749E-3</v>
      </c>
      <c r="E4018" s="156">
        <v>-1.2201409176834523E-2</v>
      </c>
      <c r="F4018" s="124">
        <v>4012</v>
      </c>
      <c r="G4018" s="238">
        <f t="shared" ca="1" si="126"/>
        <v>-2.2336583621654603E-2</v>
      </c>
      <c r="I4018" s="156"/>
    </row>
    <row r="4019" spans="2:9" x14ac:dyDescent="0.2">
      <c r="B4019" s="230">
        <v>40080</v>
      </c>
      <c r="C4019" s="124">
        <v>77.09</v>
      </c>
      <c r="D4019" s="156">
        <f t="shared" si="125"/>
        <v>-1.0397946084724033E-2</v>
      </c>
      <c r="E4019" s="156">
        <v>-1.2219959266802444E-2</v>
      </c>
      <c r="F4019" s="124">
        <v>4013</v>
      </c>
      <c r="G4019" s="238">
        <f t="shared" ca="1" si="126"/>
        <v>3.7312132261256813E-2</v>
      </c>
      <c r="I4019" s="156"/>
    </row>
    <row r="4020" spans="2:9" x14ac:dyDescent="0.2">
      <c r="B4020" s="230">
        <v>40079</v>
      </c>
      <c r="C4020" s="124">
        <v>76.41</v>
      </c>
      <c r="D4020" s="156">
        <f t="shared" si="125"/>
        <v>-8.820858736541792E-3</v>
      </c>
      <c r="E4020" s="156">
        <v>-1.2228547332911623E-2</v>
      </c>
      <c r="F4020" s="124">
        <v>4014</v>
      </c>
      <c r="G4020" s="238">
        <f t="shared" ca="1" si="126"/>
        <v>-2.329161837865901E-2</v>
      </c>
      <c r="I4020" s="156"/>
    </row>
    <row r="4021" spans="2:9" x14ac:dyDescent="0.2">
      <c r="B4021" s="230">
        <v>40078</v>
      </c>
      <c r="C4021" s="124">
        <v>77.349999999999994</v>
      </c>
      <c r="D4021" s="156">
        <f t="shared" si="125"/>
        <v>1.2302054704881531E-2</v>
      </c>
      <c r="E4021" s="156">
        <v>-1.2243931320307912E-2</v>
      </c>
      <c r="F4021" s="124">
        <v>4015</v>
      </c>
      <c r="G4021" s="238">
        <f t="shared" ca="1" si="126"/>
        <v>-3.7504884970258213E-3</v>
      </c>
      <c r="I4021" s="156"/>
    </row>
    <row r="4022" spans="2:9" x14ac:dyDescent="0.2">
      <c r="B4022" s="230">
        <v>40074</v>
      </c>
      <c r="C4022" s="124">
        <v>75.209999999999994</v>
      </c>
      <c r="D4022" s="156">
        <f t="shared" si="125"/>
        <v>-2.766645119586297E-2</v>
      </c>
      <c r="E4022" s="156">
        <v>-1.2314509480626621E-2</v>
      </c>
      <c r="F4022" s="124">
        <v>4016</v>
      </c>
      <c r="G4022" s="238">
        <f t="shared" ca="1" si="126"/>
        <v>-3.5487841605018333E-3</v>
      </c>
      <c r="I4022" s="156"/>
    </row>
    <row r="4023" spans="2:9" x14ac:dyDescent="0.2">
      <c r="B4023" s="230">
        <v>40073</v>
      </c>
      <c r="C4023" s="124">
        <v>75.84</v>
      </c>
      <c r="D4023" s="156">
        <f t="shared" si="125"/>
        <v>8.3765456721181988E-3</v>
      </c>
      <c r="E4023" s="156">
        <v>-1.2317757764226046E-2</v>
      </c>
      <c r="F4023" s="124">
        <v>4017</v>
      </c>
      <c r="G4023" s="238">
        <f t="shared" ca="1" si="126"/>
        <v>1.1986861136016318E-3</v>
      </c>
      <c r="I4023" s="156"/>
    </row>
    <row r="4024" spans="2:9" x14ac:dyDescent="0.2">
      <c r="B4024" s="230">
        <v>40072</v>
      </c>
      <c r="C4024" s="124">
        <v>76.59</v>
      </c>
      <c r="D4024" s="156">
        <f t="shared" si="125"/>
        <v>9.8892405063291128E-3</v>
      </c>
      <c r="E4024" s="156">
        <v>-1.2339150361360834E-2</v>
      </c>
      <c r="F4024" s="124">
        <v>4018</v>
      </c>
      <c r="G4024" s="238">
        <f t="shared" ca="1" si="126"/>
        <v>4.2496244376330391E-4</v>
      </c>
      <c r="I4024" s="156"/>
    </row>
    <row r="4025" spans="2:9" x14ac:dyDescent="0.2">
      <c r="B4025" s="230">
        <v>40071</v>
      </c>
      <c r="C4025" s="124">
        <v>75.930000000000007</v>
      </c>
      <c r="D4025" s="156">
        <f t="shared" si="125"/>
        <v>-8.6173129651390071E-3</v>
      </c>
      <c r="E4025" s="156">
        <v>-1.2341493185054541E-2</v>
      </c>
      <c r="F4025" s="124">
        <v>4019</v>
      </c>
      <c r="G4025" s="238">
        <f t="shared" ca="1" si="126"/>
        <v>1.0259915348393029E-2</v>
      </c>
      <c r="I4025" s="156"/>
    </row>
    <row r="4026" spans="2:9" x14ac:dyDescent="0.2">
      <c r="B4026" s="230">
        <v>40070</v>
      </c>
      <c r="C4026" s="124">
        <v>74.22</v>
      </c>
      <c r="D4026" s="156">
        <f t="shared" si="125"/>
        <v>-2.2520742789411404E-2</v>
      </c>
      <c r="E4026" s="156">
        <v>-1.2342631449024932E-2</v>
      </c>
      <c r="F4026" s="124">
        <v>4020</v>
      </c>
      <c r="G4026" s="238">
        <f t="shared" ca="1" si="126"/>
        <v>-2.9011239796369936E-2</v>
      </c>
      <c r="I4026" s="156"/>
    </row>
    <row r="4027" spans="2:9" x14ac:dyDescent="0.2">
      <c r="B4027" s="230">
        <v>40067</v>
      </c>
      <c r="C4027" s="124">
        <v>75.28</v>
      </c>
      <c r="D4027" s="156">
        <f t="shared" si="125"/>
        <v>1.4281864726488848E-2</v>
      </c>
      <c r="E4027" s="156">
        <v>-1.2375059495478362E-2</v>
      </c>
      <c r="F4027" s="124">
        <v>4021</v>
      </c>
      <c r="G4027" s="238">
        <f t="shared" ca="1" si="126"/>
        <v>4.7474649921201385E-3</v>
      </c>
      <c r="I4027" s="156"/>
    </row>
    <row r="4028" spans="2:9" x14ac:dyDescent="0.2">
      <c r="B4028" s="230">
        <v>40066</v>
      </c>
      <c r="C4028" s="124">
        <v>75.930000000000007</v>
      </c>
      <c r="D4028" s="156">
        <f t="shared" si="125"/>
        <v>8.6344314558980569E-3</v>
      </c>
      <c r="E4028" s="156">
        <v>-1.2386850881372055E-2</v>
      </c>
      <c r="F4028" s="124">
        <v>4022</v>
      </c>
      <c r="G4028" s="238">
        <f t="shared" ca="1" si="126"/>
        <v>1.2129950617874209E-2</v>
      </c>
      <c r="I4028" s="156"/>
    </row>
    <row r="4029" spans="2:9" x14ac:dyDescent="0.2">
      <c r="B4029" s="230">
        <v>40065</v>
      </c>
      <c r="C4029" s="124">
        <v>75.25</v>
      </c>
      <c r="D4029" s="156">
        <f t="shared" si="125"/>
        <v>-8.955617015672419E-3</v>
      </c>
      <c r="E4029" s="156">
        <v>-1.2396694214876056E-2</v>
      </c>
      <c r="F4029" s="124">
        <v>4023</v>
      </c>
      <c r="G4029" s="238">
        <f t="shared" ca="1" si="126"/>
        <v>1.0992005705495914E-2</v>
      </c>
      <c r="I4029" s="156"/>
    </row>
    <row r="4030" spans="2:9" x14ac:dyDescent="0.2">
      <c r="B4030" s="230">
        <v>40064</v>
      </c>
      <c r="C4030" s="124">
        <v>75.790000000000006</v>
      </c>
      <c r="D4030" s="156">
        <f t="shared" ref="D4030:D4093" si="127">(C4030-C4029)/C4029</f>
        <v>7.1760797342193521E-3</v>
      </c>
      <c r="E4030" s="156">
        <v>-1.2412304371289887E-2</v>
      </c>
      <c r="F4030" s="124">
        <v>4024</v>
      </c>
      <c r="G4030" s="238">
        <f t="shared" ca="1" si="126"/>
        <v>-6.9698271617298002E-3</v>
      </c>
      <c r="I4030" s="156"/>
    </row>
    <row r="4031" spans="2:9" x14ac:dyDescent="0.2">
      <c r="B4031" s="230">
        <v>40063</v>
      </c>
      <c r="C4031" s="124">
        <v>76.59</v>
      </c>
      <c r="D4031" s="156">
        <f t="shared" si="127"/>
        <v>1.0555482253595422E-2</v>
      </c>
      <c r="E4031" s="156">
        <v>-1.2413481793559866E-2</v>
      </c>
      <c r="F4031" s="124">
        <v>4025</v>
      </c>
      <c r="G4031" s="238">
        <f t="shared" ca="1" si="126"/>
        <v>3.8927507608944997E-3</v>
      </c>
      <c r="I4031" s="156"/>
    </row>
    <row r="4032" spans="2:9" x14ac:dyDescent="0.2">
      <c r="B4032" s="230">
        <v>40060</v>
      </c>
      <c r="C4032" s="124">
        <v>77.319999999999993</v>
      </c>
      <c r="D4032" s="156">
        <f t="shared" si="127"/>
        <v>9.5312704008354843E-3</v>
      </c>
      <c r="E4032" s="156">
        <v>-1.242943213624937E-2</v>
      </c>
      <c r="F4032" s="124">
        <v>4026</v>
      </c>
      <c r="G4032" s="238">
        <f t="shared" ca="1" si="126"/>
        <v>-1.5740520888774121E-2</v>
      </c>
      <c r="I4032" s="156"/>
    </row>
    <row r="4033" spans="2:9" x14ac:dyDescent="0.2">
      <c r="B4033" s="230">
        <v>40059</v>
      </c>
      <c r="C4033" s="124">
        <v>75.180000000000007</v>
      </c>
      <c r="D4033" s="156">
        <f t="shared" si="127"/>
        <v>-2.7677185721675976E-2</v>
      </c>
      <c r="E4033" s="156">
        <v>-1.2451696006869925E-2</v>
      </c>
      <c r="F4033" s="124">
        <v>4027</v>
      </c>
      <c r="G4033" s="238">
        <f t="shared" ca="1" si="126"/>
        <v>4.298976506123083E-3</v>
      </c>
      <c r="I4033" s="156"/>
    </row>
    <row r="4034" spans="2:9" x14ac:dyDescent="0.2">
      <c r="B4034" s="230">
        <v>40058</v>
      </c>
      <c r="C4034" s="124">
        <v>75.59</v>
      </c>
      <c r="D4034" s="156">
        <f t="shared" si="127"/>
        <v>5.4535780792763578E-3</v>
      </c>
      <c r="E4034" s="156">
        <v>-1.2452299658565955E-2</v>
      </c>
      <c r="F4034" s="124">
        <v>4028</v>
      </c>
      <c r="G4034" s="238">
        <f t="shared" ca="1" si="126"/>
        <v>9.3393787919965887E-3</v>
      </c>
      <c r="I4034" s="156"/>
    </row>
    <row r="4035" spans="2:9" x14ac:dyDescent="0.2">
      <c r="B4035" s="230">
        <v>40057</v>
      </c>
      <c r="C4035" s="124">
        <v>76.290000000000006</v>
      </c>
      <c r="D4035" s="156">
        <f t="shared" si="127"/>
        <v>9.260484191030597E-3</v>
      </c>
      <c r="E4035" s="156">
        <v>-1.2454038666824813E-2</v>
      </c>
      <c r="F4035" s="124">
        <v>4029</v>
      </c>
      <c r="G4035" s="238">
        <f t="shared" ca="1" si="126"/>
        <v>-2.0098262609130908E-2</v>
      </c>
      <c r="I4035" s="156"/>
    </row>
    <row r="4036" spans="2:9" x14ac:dyDescent="0.2">
      <c r="B4036" s="230">
        <v>40056</v>
      </c>
      <c r="C4036" s="124">
        <v>76.55</v>
      </c>
      <c r="D4036" s="156">
        <f t="shared" si="127"/>
        <v>3.4080482369903118E-3</v>
      </c>
      <c r="E4036" s="156">
        <v>-1.2463176977113074E-2</v>
      </c>
      <c r="F4036" s="124">
        <v>4030</v>
      </c>
      <c r="G4036" s="238">
        <f t="shared" ca="1" si="126"/>
        <v>-1.9035666890453405E-3</v>
      </c>
      <c r="I4036" s="156"/>
    </row>
    <row r="4037" spans="2:9" x14ac:dyDescent="0.2">
      <c r="B4037" s="230">
        <v>40053</v>
      </c>
      <c r="C4037" s="124">
        <v>78.430000000000007</v>
      </c>
      <c r="D4037" s="156">
        <f t="shared" si="127"/>
        <v>2.4559111691704896E-2</v>
      </c>
      <c r="E4037" s="156">
        <v>-1.2476530797650064E-2</v>
      </c>
      <c r="F4037" s="124">
        <v>4031</v>
      </c>
      <c r="G4037" s="238">
        <f t="shared" ca="1" si="126"/>
        <v>1.4806469950057754E-2</v>
      </c>
      <c r="I4037" s="156"/>
    </row>
    <row r="4038" spans="2:9" x14ac:dyDescent="0.2">
      <c r="B4038" s="230">
        <v>40052</v>
      </c>
      <c r="C4038" s="124">
        <v>79.52</v>
      </c>
      <c r="D4038" s="156">
        <f t="shared" si="127"/>
        <v>1.3897743210506045E-2</v>
      </c>
      <c r="E4038" s="156">
        <v>-1.2484394506866416E-2</v>
      </c>
      <c r="F4038" s="124">
        <v>4032</v>
      </c>
      <c r="G4038" s="238">
        <f t="shared" ca="1" si="126"/>
        <v>3.9606230869888752E-3</v>
      </c>
      <c r="I4038" s="156"/>
    </row>
    <row r="4039" spans="2:9" x14ac:dyDescent="0.2">
      <c r="B4039" s="230">
        <v>40051</v>
      </c>
      <c r="C4039" s="124">
        <v>79.22</v>
      </c>
      <c r="D4039" s="156">
        <f t="shared" si="127"/>
        <v>-3.7726358148893004E-3</v>
      </c>
      <c r="E4039" s="156">
        <v>-1.2502385951517486E-2</v>
      </c>
      <c r="F4039" s="124">
        <v>4033</v>
      </c>
      <c r="G4039" s="238">
        <f t="shared" ref="G4039:G4102" ca="1" si="128">_xlfn.NORM.INV(RAND(),$L$8,$L$9)</f>
        <v>1.2016335132850388E-2</v>
      </c>
      <c r="I4039" s="156"/>
    </row>
    <row r="4040" spans="2:9" x14ac:dyDescent="0.2">
      <c r="B4040" s="230">
        <v>40050</v>
      </c>
      <c r="C4040" s="124">
        <v>79.72</v>
      </c>
      <c r="D4040" s="156">
        <f t="shared" si="127"/>
        <v>6.3115374905326942E-3</v>
      </c>
      <c r="E4040" s="156">
        <v>-1.2502480650922713E-2</v>
      </c>
      <c r="F4040" s="124">
        <v>4034</v>
      </c>
      <c r="G4040" s="238">
        <f t="shared" ca="1" si="128"/>
        <v>-5.2553740994228503E-3</v>
      </c>
      <c r="I4040" s="156"/>
    </row>
    <row r="4041" spans="2:9" x14ac:dyDescent="0.2">
      <c r="B4041" s="230">
        <v>40049</v>
      </c>
      <c r="C4041" s="124">
        <v>79.540000000000006</v>
      </c>
      <c r="D4041" s="156">
        <f t="shared" si="127"/>
        <v>-2.257902659307484E-3</v>
      </c>
      <c r="E4041" s="156">
        <v>-1.2505484861781491E-2</v>
      </c>
      <c r="F4041" s="124">
        <v>4035</v>
      </c>
      <c r="G4041" s="238">
        <f t="shared" ca="1" si="128"/>
        <v>-3.2901608099882855E-3</v>
      </c>
      <c r="I4041" s="156"/>
    </row>
    <row r="4042" spans="2:9" x14ac:dyDescent="0.2">
      <c r="B4042" s="230">
        <v>40046</v>
      </c>
      <c r="C4042" s="124">
        <v>75.89</v>
      </c>
      <c r="D4042" s="156">
        <f t="shared" si="127"/>
        <v>-4.5888860950465245E-2</v>
      </c>
      <c r="E4042" s="156">
        <v>-1.2511663415047877E-2</v>
      </c>
      <c r="F4042" s="124">
        <v>4036</v>
      </c>
      <c r="G4042" s="238">
        <f t="shared" ca="1" si="128"/>
        <v>-1.2157202285862475E-2</v>
      </c>
      <c r="I4042" s="156"/>
    </row>
    <row r="4043" spans="2:9" x14ac:dyDescent="0.2">
      <c r="B4043" s="230">
        <v>40045</v>
      </c>
      <c r="C4043" s="124">
        <v>74.63</v>
      </c>
      <c r="D4043" s="156">
        <f t="shared" si="127"/>
        <v>-1.660297799446574E-2</v>
      </c>
      <c r="E4043" s="156">
        <v>-1.2529247490376606E-2</v>
      </c>
      <c r="F4043" s="124">
        <v>4037</v>
      </c>
      <c r="G4043" s="238">
        <f t="shared" ca="1" si="128"/>
        <v>-1.5225208806645475E-2</v>
      </c>
      <c r="I4043" s="156"/>
    </row>
    <row r="4044" spans="2:9" x14ac:dyDescent="0.2">
      <c r="B4044" s="230">
        <v>40044</v>
      </c>
      <c r="C4044" s="124">
        <v>73.87</v>
      </c>
      <c r="D4044" s="156">
        <f t="shared" si="127"/>
        <v>-1.0183572289963701E-2</v>
      </c>
      <c r="E4044" s="156">
        <v>-1.2536273940801073E-2</v>
      </c>
      <c r="F4044" s="124">
        <v>4038</v>
      </c>
      <c r="G4044" s="238">
        <f t="shared" ca="1" si="128"/>
        <v>-1.124339862493523E-2</v>
      </c>
      <c r="I4044" s="156"/>
    </row>
    <row r="4045" spans="2:9" x14ac:dyDescent="0.2">
      <c r="B4045" s="230">
        <v>40043</v>
      </c>
      <c r="C4045" s="124">
        <v>74.48</v>
      </c>
      <c r="D4045" s="156">
        <f t="shared" si="127"/>
        <v>8.257750101529706E-3</v>
      </c>
      <c r="E4045" s="156">
        <v>-1.2569700406388794E-2</v>
      </c>
      <c r="F4045" s="124">
        <v>4039</v>
      </c>
      <c r="G4045" s="238">
        <f t="shared" ca="1" si="128"/>
        <v>4.6068411648175588E-4</v>
      </c>
      <c r="I4045" s="156"/>
    </row>
    <row r="4046" spans="2:9" x14ac:dyDescent="0.2">
      <c r="B4046" s="230">
        <v>40042</v>
      </c>
      <c r="C4046" s="124">
        <v>73.77</v>
      </c>
      <c r="D4046" s="156">
        <f t="shared" si="127"/>
        <v>-9.5327604726102022E-3</v>
      </c>
      <c r="E4046" s="156">
        <v>-1.2569832402234563E-2</v>
      </c>
      <c r="F4046" s="124">
        <v>4040</v>
      </c>
      <c r="G4046" s="238">
        <f t="shared" ca="1" si="128"/>
        <v>-1.5423528272783444E-2</v>
      </c>
      <c r="I4046" s="156"/>
    </row>
    <row r="4047" spans="2:9" x14ac:dyDescent="0.2">
      <c r="B4047" s="230">
        <v>40039</v>
      </c>
      <c r="C4047" s="124">
        <v>77.88</v>
      </c>
      <c r="D4047" s="156">
        <f t="shared" si="127"/>
        <v>5.5713704758031717E-2</v>
      </c>
      <c r="E4047" s="156">
        <v>-1.2577123872804963E-2</v>
      </c>
      <c r="F4047" s="124">
        <v>4041</v>
      </c>
      <c r="G4047" s="238">
        <f t="shared" ca="1" si="128"/>
        <v>7.5439308474092451E-3</v>
      </c>
      <c r="I4047" s="156"/>
    </row>
    <row r="4048" spans="2:9" x14ac:dyDescent="0.2">
      <c r="B4048" s="230">
        <v>40038</v>
      </c>
      <c r="C4048" s="124">
        <v>79.34</v>
      </c>
      <c r="D4048" s="156">
        <f t="shared" si="127"/>
        <v>1.8746789933230715E-2</v>
      </c>
      <c r="E4048" s="156">
        <v>-1.2582213325707685E-2</v>
      </c>
      <c r="F4048" s="124">
        <v>4042</v>
      </c>
      <c r="G4048" s="238">
        <f t="shared" ca="1" si="128"/>
        <v>-1.3469346435217806E-2</v>
      </c>
      <c r="I4048" s="156"/>
    </row>
    <row r="4049" spans="2:9" x14ac:dyDescent="0.2">
      <c r="B4049" s="230">
        <v>40037</v>
      </c>
      <c r="C4049" s="124">
        <v>75.53</v>
      </c>
      <c r="D4049" s="156">
        <f t="shared" si="127"/>
        <v>-4.8021174691202449E-2</v>
      </c>
      <c r="E4049" s="156">
        <v>-1.2589368977308085E-2</v>
      </c>
      <c r="F4049" s="124">
        <v>4043</v>
      </c>
      <c r="G4049" s="238">
        <f t="shared" ca="1" si="128"/>
        <v>5.9830385907806314E-4</v>
      </c>
      <c r="I4049" s="156"/>
    </row>
    <row r="4050" spans="2:9" x14ac:dyDescent="0.2">
      <c r="B4050" s="230">
        <v>40036</v>
      </c>
      <c r="C4050" s="124">
        <v>74.81</v>
      </c>
      <c r="D4050" s="156">
        <f t="shared" si="127"/>
        <v>-9.5326360386601191E-3</v>
      </c>
      <c r="E4050" s="156">
        <v>-1.2595035266098745E-2</v>
      </c>
      <c r="F4050" s="124">
        <v>4044</v>
      </c>
      <c r="G4050" s="238">
        <f t="shared" ca="1" si="128"/>
        <v>8.6099366508100503E-3</v>
      </c>
      <c r="I4050" s="156"/>
    </row>
    <row r="4051" spans="2:9" x14ac:dyDescent="0.2">
      <c r="B4051" s="230">
        <v>40035</v>
      </c>
      <c r="C4051" s="124">
        <v>74.37</v>
      </c>
      <c r="D4051" s="156">
        <f t="shared" si="127"/>
        <v>-5.8815666354765104E-3</v>
      </c>
      <c r="E4051" s="156">
        <v>-1.2603765944523228E-2</v>
      </c>
      <c r="F4051" s="124">
        <v>4045</v>
      </c>
      <c r="G4051" s="238">
        <f t="shared" ca="1" si="128"/>
        <v>6.5210284457370275E-4</v>
      </c>
      <c r="I4051" s="156"/>
    </row>
    <row r="4052" spans="2:9" x14ac:dyDescent="0.2">
      <c r="B4052" s="230">
        <v>40032</v>
      </c>
      <c r="C4052" s="124">
        <v>76.11</v>
      </c>
      <c r="D4052" s="156">
        <f t="shared" si="127"/>
        <v>2.3396530859217356E-2</v>
      </c>
      <c r="E4052" s="156">
        <v>-1.2618296529968433E-2</v>
      </c>
      <c r="F4052" s="124">
        <v>4046</v>
      </c>
      <c r="G4052" s="238">
        <f t="shared" ca="1" si="128"/>
        <v>5.0953236867895451E-3</v>
      </c>
      <c r="I4052" s="156"/>
    </row>
    <row r="4053" spans="2:9" x14ac:dyDescent="0.2">
      <c r="B4053" s="230">
        <v>40031</v>
      </c>
      <c r="C4053" s="124">
        <v>77.599999999999994</v>
      </c>
      <c r="D4053" s="156">
        <f t="shared" si="127"/>
        <v>1.9576928130337602E-2</v>
      </c>
      <c r="E4053" s="156">
        <v>-1.2624172185430393E-2</v>
      </c>
      <c r="F4053" s="124">
        <v>4047</v>
      </c>
      <c r="G4053" s="238">
        <f t="shared" ca="1" si="128"/>
        <v>-2.1459547124730166E-2</v>
      </c>
      <c r="I4053" s="156"/>
    </row>
    <row r="4054" spans="2:9" x14ac:dyDescent="0.2">
      <c r="B4054" s="230">
        <v>40030</v>
      </c>
      <c r="C4054" s="124">
        <v>80.8</v>
      </c>
      <c r="D4054" s="156">
        <f t="shared" si="127"/>
        <v>4.1237113402061897E-2</v>
      </c>
      <c r="E4054" s="156">
        <v>-1.2625764450581925E-2</v>
      </c>
      <c r="F4054" s="124">
        <v>4048</v>
      </c>
      <c r="G4054" s="238">
        <f t="shared" ca="1" si="128"/>
        <v>8.3908397461823613E-3</v>
      </c>
      <c r="I4054" s="156"/>
    </row>
    <row r="4055" spans="2:9" x14ac:dyDescent="0.2">
      <c r="B4055" s="230">
        <v>40029</v>
      </c>
      <c r="C4055" s="124">
        <v>81.709999999999994</v>
      </c>
      <c r="D4055" s="156">
        <f t="shared" si="127"/>
        <v>1.126237623762372E-2</v>
      </c>
      <c r="E4055" s="156">
        <v>-1.2643733002528773E-2</v>
      </c>
      <c r="F4055" s="124">
        <v>4049</v>
      </c>
      <c r="G4055" s="238">
        <f t="shared" ca="1" si="128"/>
        <v>1.3485283398417279E-2</v>
      </c>
      <c r="I4055" s="156"/>
    </row>
    <row r="4056" spans="2:9" x14ac:dyDescent="0.2">
      <c r="B4056" s="230">
        <v>40028</v>
      </c>
      <c r="C4056" s="124">
        <v>82.26</v>
      </c>
      <c r="D4056" s="156">
        <f t="shared" si="127"/>
        <v>6.7311222616572193E-3</v>
      </c>
      <c r="E4056" s="156">
        <v>-1.2648776845711255E-2</v>
      </c>
      <c r="F4056" s="124">
        <v>4050</v>
      </c>
      <c r="G4056" s="238">
        <f t="shared" ca="1" si="128"/>
        <v>5.3720752548155658E-3</v>
      </c>
      <c r="I4056" s="156"/>
    </row>
    <row r="4057" spans="2:9" x14ac:dyDescent="0.2">
      <c r="B4057" s="230">
        <v>40025</v>
      </c>
      <c r="C4057" s="124">
        <v>82.6</v>
      </c>
      <c r="D4057" s="156">
        <f t="shared" si="127"/>
        <v>4.133236080719538E-3</v>
      </c>
      <c r="E4057" s="156">
        <v>-1.2661309958607229E-2</v>
      </c>
      <c r="F4057" s="124">
        <v>4051</v>
      </c>
      <c r="G4057" s="238">
        <f t="shared" ca="1" si="128"/>
        <v>-9.5107084527064536E-3</v>
      </c>
      <c r="I4057" s="156"/>
    </row>
    <row r="4058" spans="2:9" x14ac:dyDescent="0.2">
      <c r="B4058" s="230">
        <v>40024</v>
      </c>
      <c r="C4058" s="124">
        <v>80.45</v>
      </c>
      <c r="D4058" s="156">
        <f t="shared" si="127"/>
        <v>-2.6029055690072536E-2</v>
      </c>
      <c r="E4058" s="156">
        <v>-1.2684051800603093E-2</v>
      </c>
      <c r="F4058" s="124">
        <v>4052</v>
      </c>
      <c r="G4058" s="238">
        <f t="shared" ca="1" si="128"/>
        <v>1.6056071864556886E-2</v>
      </c>
      <c r="I4058" s="156"/>
    </row>
    <row r="4059" spans="2:9" x14ac:dyDescent="0.2">
      <c r="B4059" s="230">
        <v>40023</v>
      </c>
      <c r="C4059" s="124">
        <v>78.790000000000006</v>
      </c>
      <c r="D4059" s="156">
        <f t="shared" si="127"/>
        <v>-2.063393412057174E-2</v>
      </c>
      <c r="E4059" s="156">
        <v>-1.2684071065548915E-2</v>
      </c>
      <c r="F4059" s="124">
        <v>4053</v>
      </c>
      <c r="G4059" s="238">
        <f t="shared" ca="1" si="128"/>
        <v>-1.929791004321077E-2</v>
      </c>
      <c r="I4059" s="156"/>
    </row>
    <row r="4060" spans="2:9" x14ac:dyDescent="0.2">
      <c r="B4060" s="230">
        <v>40022</v>
      </c>
      <c r="C4060" s="124">
        <v>79.89</v>
      </c>
      <c r="D4060" s="156">
        <f t="shared" si="127"/>
        <v>1.3961162584084202E-2</v>
      </c>
      <c r="E4060" s="156">
        <v>-1.2691697514542601E-2</v>
      </c>
      <c r="F4060" s="124">
        <v>4054</v>
      </c>
      <c r="G4060" s="238">
        <f t="shared" ca="1" si="128"/>
        <v>8.753778962719437E-4</v>
      </c>
      <c r="I4060" s="156"/>
    </row>
    <row r="4061" spans="2:9" x14ac:dyDescent="0.2">
      <c r="B4061" s="230">
        <v>40021</v>
      </c>
      <c r="C4061" s="124">
        <v>79.17</v>
      </c>
      <c r="D4061" s="156">
        <f t="shared" si="127"/>
        <v>-9.0123920390536849E-3</v>
      </c>
      <c r="E4061" s="156">
        <v>-1.2715118117349464E-2</v>
      </c>
      <c r="F4061" s="124">
        <v>4055</v>
      </c>
      <c r="G4061" s="238">
        <f t="shared" ca="1" si="128"/>
        <v>7.217674302141752E-3</v>
      </c>
      <c r="I4061" s="156"/>
    </row>
    <row r="4062" spans="2:9" x14ac:dyDescent="0.2">
      <c r="B4062" s="230">
        <v>40018</v>
      </c>
      <c r="C4062" s="124">
        <v>76.97</v>
      </c>
      <c r="D4062" s="156">
        <f t="shared" si="127"/>
        <v>-2.7788303650372652E-2</v>
      </c>
      <c r="E4062" s="156">
        <v>-1.2722646310432597E-2</v>
      </c>
      <c r="F4062" s="124">
        <v>4056</v>
      </c>
      <c r="G4062" s="238">
        <f t="shared" ca="1" si="128"/>
        <v>1.0493788326120381E-2</v>
      </c>
      <c r="I4062" s="156"/>
    </row>
    <row r="4063" spans="2:9" x14ac:dyDescent="0.2">
      <c r="B4063" s="230">
        <v>40017</v>
      </c>
      <c r="C4063" s="124">
        <v>76.16</v>
      </c>
      <c r="D4063" s="156">
        <f t="shared" si="127"/>
        <v>-1.0523580615824377E-2</v>
      </c>
      <c r="E4063" s="156">
        <v>-1.2729498164014707E-2</v>
      </c>
      <c r="F4063" s="124">
        <v>4057</v>
      </c>
      <c r="G4063" s="238">
        <f t="shared" ca="1" si="128"/>
        <v>5.0587122113631361E-3</v>
      </c>
      <c r="I4063" s="156"/>
    </row>
    <row r="4064" spans="2:9" x14ac:dyDescent="0.2">
      <c r="B4064" s="230">
        <v>40016</v>
      </c>
      <c r="C4064" s="124">
        <v>72.260000000000005</v>
      </c>
      <c r="D4064" s="156">
        <f t="shared" si="127"/>
        <v>-5.1207983193277198E-2</v>
      </c>
      <c r="E4064" s="156">
        <v>-1.2733998430669222E-2</v>
      </c>
      <c r="F4064" s="124">
        <v>4058</v>
      </c>
      <c r="G4064" s="238">
        <f t="shared" ca="1" si="128"/>
        <v>-1.7128723179415349E-2</v>
      </c>
      <c r="I4064" s="156"/>
    </row>
    <row r="4065" spans="2:9" x14ac:dyDescent="0.2">
      <c r="B4065" s="230">
        <v>40015</v>
      </c>
      <c r="C4065" s="124">
        <v>72.81</v>
      </c>
      <c r="D4065" s="156">
        <f t="shared" si="127"/>
        <v>7.6114032659839069E-3</v>
      </c>
      <c r="E4065" s="156">
        <v>-1.273885350318475E-2</v>
      </c>
      <c r="F4065" s="124">
        <v>4059</v>
      </c>
      <c r="G4065" s="238">
        <f t="shared" ca="1" si="128"/>
        <v>1.1633339265180906E-2</v>
      </c>
      <c r="I4065" s="156"/>
    </row>
    <row r="4066" spans="2:9" x14ac:dyDescent="0.2">
      <c r="B4066" s="230">
        <v>40014</v>
      </c>
      <c r="C4066" s="124">
        <v>74.73</v>
      </c>
      <c r="D4066" s="156">
        <f t="shared" si="127"/>
        <v>2.6370004120313168E-2</v>
      </c>
      <c r="E4066" s="156">
        <v>-1.2751708637218482E-2</v>
      </c>
      <c r="F4066" s="124">
        <v>4060</v>
      </c>
      <c r="G4066" s="238">
        <f t="shared" ca="1" si="128"/>
        <v>1.1137288351694889E-2</v>
      </c>
      <c r="I4066" s="156"/>
    </row>
    <row r="4067" spans="2:9" x14ac:dyDescent="0.2">
      <c r="B4067" s="230">
        <v>40011</v>
      </c>
      <c r="C4067" s="124">
        <v>75.989999999999995</v>
      </c>
      <c r="D4067" s="156">
        <f t="shared" si="127"/>
        <v>1.6860698514652626E-2</v>
      </c>
      <c r="E4067" s="156">
        <v>-1.2768976117285356E-2</v>
      </c>
      <c r="F4067" s="124">
        <v>4061</v>
      </c>
      <c r="G4067" s="238">
        <f t="shared" ca="1" si="128"/>
        <v>-2.0321167074200418E-2</v>
      </c>
      <c r="I4067" s="156"/>
    </row>
    <row r="4068" spans="2:9" x14ac:dyDescent="0.2">
      <c r="B4068" s="230">
        <v>40010</v>
      </c>
      <c r="C4068" s="124">
        <v>72.05</v>
      </c>
      <c r="D4068" s="156">
        <f t="shared" si="127"/>
        <v>-5.1848927490459246E-2</v>
      </c>
      <c r="E4068" s="156">
        <v>-1.2783579402232667E-2</v>
      </c>
      <c r="F4068" s="124">
        <v>4062</v>
      </c>
      <c r="G4068" s="238">
        <f t="shared" ca="1" si="128"/>
        <v>-1.2553719239494495E-2</v>
      </c>
      <c r="I4068" s="156"/>
    </row>
    <row r="4069" spans="2:9" x14ac:dyDescent="0.2">
      <c r="B4069" s="230">
        <v>40009</v>
      </c>
      <c r="C4069" s="124">
        <v>72.010000000000005</v>
      </c>
      <c r="D4069" s="156">
        <f t="shared" si="127"/>
        <v>-5.5517002081876534E-4</v>
      </c>
      <c r="E4069" s="156">
        <v>-1.2812690665039681E-2</v>
      </c>
      <c r="F4069" s="124">
        <v>4063</v>
      </c>
      <c r="G4069" s="238">
        <f t="shared" ca="1" si="128"/>
        <v>2.5487131015451636E-2</v>
      </c>
      <c r="I4069" s="156"/>
    </row>
    <row r="4070" spans="2:9" x14ac:dyDescent="0.2">
      <c r="B4070" s="230">
        <v>40008</v>
      </c>
      <c r="C4070" s="124">
        <v>70.41</v>
      </c>
      <c r="D4070" s="156">
        <f t="shared" si="127"/>
        <v>-2.2219136231079132E-2</v>
      </c>
      <c r="E4070" s="156">
        <v>-1.2828875842574423E-2</v>
      </c>
      <c r="F4070" s="124">
        <v>4064</v>
      </c>
      <c r="G4070" s="238">
        <f t="shared" ca="1" si="128"/>
        <v>-1.2434929896416754E-2</v>
      </c>
      <c r="I4070" s="156"/>
    </row>
    <row r="4071" spans="2:9" x14ac:dyDescent="0.2">
      <c r="B4071" s="230">
        <v>40007</v>
      </c>
      <c r="C4071" s="124">
        <v>69.89</v>
      </c>
      <c r="D4071" s="156">
        <f t="shared" si="127"/>
        <v>-7.3853145859962511E-3</v>
      </c>
      <c r="E4071" s="156">
        <v>-1.2831659421376193E-2</v>
      </c>
      <c r="F4071" s="124">
        <v>4065</v>
      </c>
      <c r="G4071" s="238">
        <f t="shared" ca="1" si="128"/>
        <v>4.0950202478927424E-2</v>
      </c>
      <c r="I4071" s="156"/>
    </row>
    <row r="4072" spans="2:9" x14ac:dyDescent="0.2">
      <c r="B4072" s="230">
        <v>40004</v>
      </c>
      <c r="C4072" s="124">
        <v>69.81</v>
      </c>
      <c r="D4072" s="156">
        <f t="shared" si="127"/>
        <v>-1.1446558878236985E-3</v>
      </c>
      <c r="E4072" s="156">
        <v>-1.2835570469798666E-2</v>
      </c>
      <c r="F4072" s="124">
        <v>4066</v>
      </c>
      <c r="G4072" s="238">
        <f t="shared" ca="1" si="128"/>
        <v>-1.3478869071906376E-2</v>
      </c>
      <c r="I4072" s="156"/>
    </row>
    <row r="4073" spans="2:9" x14ac:dyDescent="0.2">
      <c r="B4073" s="230">
        <v>40003</v>
      </c>
      <c r="C4073" s="124">
        <v>70.739999999999995</v>
      </c>
      <c r="D4073" s="156">
        <f t="shared" si="127"/>
        <v>1.3321873657069081E-2</v>
      </c>
      <c r="E4073" s="156">
        <v>-1.284189459639765E-2</v>
      </c>
      <c r="F4073" s="124">
        <v>4067</v>
      </c>
      <c r="G4073" s="238">
        <f t="shared" ca="1" si="128"/>
        <v>-1.6248251154296123E-2</v>
      </c>
      <c r="I4073" s="156"/>
    </row>
    <row r="4074" spans="2:9" x14ac:dyDescent="0.2">
      <c r="B4074" s="230">
        <v>40002</v>
      </c>
      <c r="C4074" s="124">
        <v>69.430000000000007</v>
      </c>
      <c r="D4074" s="156">
        <f t="shared" si="127"/>
        <v>-1.8518518518518351E-2</v>
      </c>
      <c r="E4074" s="156">
        <v>-1.2874155133569359E-2</v>
      </c>
      <c r="F4074" s="124">
        <v>4068</v>
      </c>
      <c r="G4074" s="238">
        <f t="shared" ca="1" si="128"/>
        <v>3.1375897267851456E-2</v>
      </c>
      <c r="I4074" s="156"/>
    </row>
    <row r="4075" spans="2:9" x14ac:dyDescent="0.2">
      <c r="B4075" s="230">
        <v>40001</v>
      </c>
      <c r="C4075" s="124">
        <v>70.010000000000005</v>
      </c>
      <c r="D4075" s="156">
        <f t="shared" si="127"/>
        <v>8.3537375774160767E-3</v>
      </c>
      <c r="E4075" s="156">
        <v>-1.2884333821376215E-2</v>
      </c>
      <c r="F4075" s="124">
        <v>4069</v>
      </c>
      <c r="G4075" s="238">
        <f t="shared" ca="1" si="128"/>
        <v>9.2384992935895614E-3</v>
      </c>
      <c r="I4075" s="156"/>
    </row>
    <row r="4076" spans="2:9" x14ac:dyDescent="0.2">
      <c r="B4076" s="230">
        <v>40000</v>
      </c>
      <c r="C4076" s="124">
        <v>65.53</v>
      </c>
      <c r="D4076" s="156">
        <f t="shared" si="127"/>
        <v>-6.3990858448793084E-2</v>
      </c>
      <c r="E4076" s="156">
        <v>-1.2886172146043302E-2</v>
      </c>
      <c r="F4076" s="124">
        <v>4070</v>
      </c>
      <c r="G4076" s="238">
        <f t="shared" ca="1" si="128"/>
        <v>-1.3758803674761587E-2</v>
      </c>
      <c r="I4076" s="156"/>
    </row>
    <row r="4077" spans="2:9" x14ac:dyDescent="0.2">
      <c r="B4077" s="230">
        <v>39997</v>
      </c>
      <c r="C4077" s="124">
        <v>63.54</v>
      </c>
      <c r="D4077" s="156">
        <f t="shared" si="127"/>
        <v>-3.0367770486799967E-2</v>
      </c>
      <c r="E4077" s="156">
        <v>-1.2900049236829171E-2</v>
      </c>
      <c r="F4077" s="124">
        <v>4071</v>
      </c>
      <c r="G4077" s="238">
        <f t="shared" ca="1" si="128"/>
        <v>1.0852758522355207E-2</v>
      </c>
      <c r="I4077" s="156"/>
    </row>
    <row r="4078" spans="2:9" x14ac:dyDescent="0.2">
      <c r="B4078" s="230">
        <v>39996</v>
      </c>
      <c r="C4078" s="124">
        <v>63.54</v>
      </c>
      <c r="D4078" s="156">
        <f t="shared" si="127"/>
        <v>0</v>
      </c>
      <c r="E4078" s="156">
        <v>-1.2909154559776023E-2</v>
      </c>
      <c r="F4078" s="124">
        <v>4072</v>
      </c>
      <c r="G4078" s="238">
        <f t="shared" ca="1" si="128"/>
        <v>1.9279944059631816E-3</v>
      </c>
      <c r="I4078" s="156"/>
    </row>
    <row r="4079" spans="2:9" x14ac:dyDescent="0.2">
      <c r="B4079" s="230">
        <v>39995</v>
      </c>
      <c r="C4079" s="124">
        <v>63.41</v>
      </c>
      <c r="D4079" s="156">
        <f t="shared" si="127"/>
        <v>-2.0459553037457125E-3</v>
      </c>
      <c r="E4079" s="156">
        <v>-1.291567695962002E-2</v>
      </c>
      <c r="F4079" s="124">
        <v>4073</v>
      </c>
      <c r="G4079" s="238">
        <f t="shared" ca="1" si="128"/>
        <v>8.6661750898120674E-3</v>
      </c>
      <c r="I4079" s="156"/>
    </row>
    <row r="4080" spans="2:9" x14ac:dyDescent="0.2">
      <c r="B4080" s="230">
        <v>39994</v>
      </c>
      <c r="C4080" s="124">
        <v>63.23</v>
      </c>
      <c r="D4080" s="156">
        <f t="shared" si="127"/>
        <v>-2.8386689796562011E-3</v>
      </c>
      <c r="E4080" s="156">
        <v>-1.2931034482758733E-2</v>
      </c>
      <c r="F4080" s="124">
        <v>4074</v>
      </c>
      <c r="G4080" s="238">
        <f t="shared" ca="1" si="128"/>
        <v>3.3706883190223699E-3</v>
      </c>
      <c r="I4080" s="156"/>
    </row>
    <row r="4081" spans="2:9" x14ac:dyDescent="0.2">
      <c r="B4081" s="230">
        <v>39993</v>
      </c>
      <c r="C4081" s="124">
        <v>64.209999999999994</v>
      </c>
      <c r="D4081" s="156">
        <f t="shared" si="127"/>
        <v>1.5498972006958673E-2</v>
      </c>
      <c r="E4081" s="156">
        <v>-1.2936423968452427E-2</v>
      </c>
      <c r="F4081" s="124">
        <v>4075</v>
      </c>
      <c r="G4081" s="238">
        <f t="shared" ca="1" si="128"/>
        <v>9.9720499507864914E-3</v>
      </c>
      <c r="I4081" s="156"/>
    </row>
    <row r="4082" spans="2:9" x14ac:dyDescent="0.2">
      <c r="B4082" s="230">
        <v>39990</v>
      </c>
      <c r="C4082" s="124">
        <v>65.2</v>
      </c>
      <c r="D4082" s="156">
        <f t="shared" si="127"/>
        <v>1.5418159165239203E-2</v>
      </c>
      <c r="E4082" s="156">
        <v>-1.2942779291553099E-2</v>
      </c>
      <c r="F4082" s="124">
        <v>4076</v>
      </c>
      <c r="G4082" s="238">
        <f t="shared" ca="1" si="128"/>
        <v>6.0766935323525303E-4</v>
      </c>
      <c r="I4082" s="156"/>
    </row>
    <row r="4083" spans="2:9" x14ac:dyDescent="0.2">
      <c r="B4083" s="230">
        <v>39989</v>
      </c>
      <c r="C4083" s="124">
        <v>64.03</v>
      </c>
      <c r="D4083" s="156">
        <f t="shared" si="127"/>
        <v>-1.7944785276073644E-2</v>
      </c>
      <c r="E4083" s="156">
        <v>-1.295816364309515E-2</v>
      </c>
      <c r="F4083" s="124">
        <v>4077</v>
      </c>
      <c r="G4083" s="238">
        <f t="shared" ca="1" si="128"/>
        <v>-1.411705279170359E-2</v>
      </c>
      <c r="I4083" s="156"/>
    </row>
    <row r="4084" spans="2:9" x14ac:dyDescent="0.2">
      <c r="B4084" s="230">
        <v>39988</v>
      </c>
      <c r="C4084" s="124">
        <v>65.88</v>
      </c>
      <c r="D4084" s="156">
        <f t="shared" si="127"/>
        <v>2.88927065438075E-2</v>
      </c>
      <c r="E4084" s="156">
        <v>-1.2984457997245765E-2</v>
      </c>
      <c r="F4084" s="124">
        <v>4078</v>
      </c>
      <c r="G4084" s="238">
        <f t="shared" ca="1" si="128"/>
        <v>-5.3822038069999958E-4</v>
      </c>
      <c r="I4084" s="156"/>
    </row>
    <row r="4085" spans="2:9" x14ac:dyDescent="0.2">
      <c r="B4085" s="230">
        <v>39987</v>
      </c>
      <c r="C4085" s="124">
        <v>65.430000000000007</v>
      </c>
      <c r="D4085" s="156">
        <f t="shared" si="127"/>
        <v>-6.8306010928960029E-3</v>
      </c>
      <c r="E4085" s="156">
        <v>-1.3019577587038233E-2</v>
      </c>
      <c r="F4085" s="124">
        <v>4079</v>
      </c>
      <c r="G4085" s="238">
        <f t="shared" ca="1" si="128"/>
        <v>1.7799796762338352E-2</v>
      </c>
      <c r="I4085" s="156"/>
    </row>
    <row r="4086" spans="2:9" x14ac:dyDescent="0.2">
      <c r="B4086" s="230">
        <v>39986</v>
      </c>
      <c r="C4086" s="124">
        <v>67.36</v>
      </c>
      <c r="D4086" s="156">
        <f t="shared" si="127"/>
        <v>2.9497172550817553E-2</v>
      </c>
      <c r="E4086" s="156">
        <v>-1.3020199561937128E-2</v>
      </c>
      <c r="F4086" s="124">
        <v>4080</v>
      </c>
      <c r="G4086" s="238">
        <f t="shared" ca="1" si="128"/>
        <v>1.9712843300242529E-2</v>
      </c>
      <c r="I4086" s="156"/>
    </row>
    <row r="4087" spans="2:9" x14ac:dyDescent="0.2">
      <c r="B4087" s="230">
        <v>39983</v>
      </c>
      <c r="C4087" s="124">
        <v>66.489999999999995</v>
      </c>
      <c r="D4087" s="156">
        <f t="shared" si="127"/>
        <v>-1.291567695962002E-2</v>
      </c>
      <c r="E4087" s="156">
        <v>-1.3035019455252952E-2</v>
      </c>
      <c r="F4087" s="124">
        <v>4081</v>
      </c>
      <c r="G4087" s="238">
        <f t="shared" ca="1" si="128"/>
        <v>-2.9147714467654885E-2</v>
      </c>
      <c r="I4087" s="156"/>
    </row>
    <row r="4088" spans="2:9" x14ac:dyDescent="0.2">
      <c r="B4088" s="230">
        <v>39982</v>
      </c>
      <c r="C4088" s="124">
        <v>64.09</v>
      </c>
      <c r="D4088" s="156">
        <f t="shared" si="127"/>
        <v>-3.6095653481726449E-2</v>
      </c>
      <c r="E4088" s="156">
        <v>-1.304141296368261E-2</v>
      </c>
      <c r="F4088" s="124">
        <v>4082</v>
      </c>
      <c r="G4088" s="238">
        <f t="shared" ca="1" si="128"/>
        <v>-1.353139055787248E-2</v>
      </c>
      <c r="I4088" s="156"/>
    </row>
    <row r="4089" spans="2:9" x14ac:dyDescent="0.2">
      <c r="B4089" s="230">
        <v>39981</v>
      </c>
      <c r="C4089" s="124">
        <v>64.239999999999995</v>
      </c>
      <c r="D4089" s="156">
        <f t="shared" si="127"/>
        <v>2.3404587299109296E-3</v>
      </c>
      <c r="E4089" s="156">
        <v>-1.304713804713801E-2</v>
      </c>
      <c r="F4089" s="124">
        <v>4083</v>
      </c>
      <c r="G4089" s="238">
        <f t="shared" ca="1" si="128"/>
        <v>2.5959030569937369E-2</v>
      </c>
      <c r="I4089" s="156"/>
    </row>
    <row r="4090" spans="2:9" x14ac:dyDescent="0.2">
      <c r="B4090" s="230">
        <v>39980</v>
      </c>
      <c r="C4090" s="124">
        <v>65.86</v>
      </c>
      <c r="D4090" s="156">
        <f t="shared" si="127"/>
        <v>2.5217932752179401E-2</v>
      </c>
      <c r="E4090" s="156">
        <v>-1.3051389847524648E-2</v>
      </c>
      <c r="F4090" s="124">
        <v>4084</v>
      </c>
      <c r="G4090" s="238">
        <f t="shared" ca="1" si="128"/>
        <v>-3.0357441559157362E-2</v>
      </c>
      <c r="I4090" s="156"/>
    </row>
    <row r="4091" spans="2:9" x14ac:dyDescent="0.2">
      <c r="B4091" s="230">
        <v>39979</v>
      </c>
      <c r="C4091" s="124">
        <v>65.47</v>
      </c>
      <c r="D4091" s="156">
        <f t="shared" si="127"/>
        <v>-5.9216519890677279E-3</v>
      </c>
      <c r="E4091" s="156">
        <v>-1.3052666473293853E-2</v>
      </c>
      <c r="F4091" s="124">
        <v>4085</v>
      </c>
      <c r="G4091" s="238">
        <f t="shared" ca="1" si="128"/>
        <v>-8.9217551346526987E-3</v>
      </c>
      <c r="I4091" s="156"/>
    </row>
    <row r="4092" spans="2:9" x14ac:dyDescent="0.2">
      <c r="B4092" s="230">
        <v>39976</v>
      </c>
      <c r="C4092" s="124">
        <v>65.19</v>
      </c>
      <c r="D4092" s="156">
        <f t="shared" si="127"/>
        <v>-4.2767679853368129E-3</v>
      </c>
      <c r="E4092" s="156">
        <v>-1.3053493729203907E-2</v>
      </c>
      <c r="F4092" s="124">
        <v>4086</v>
      </c>
      <c r="G4092" s="238">
        <f t="shared" ca="1" si="128"/>
        <v>-2.5146548228633454E-2</v>
      </c>
      <c r="I4092" s="156"/>
    </row>
    <row r="4093" spans="2:9" x14ac:dyDescent="0.2">
      <c r="B4093" s="230">
        <v>39975</v>
      </c>
      <c r="C4093" s="124">
        <v>65.5</v>
      </c>
      <c r="D4093" s="156">
        <f t="shared" si="127"/>
        <v>4.7553305721736812E-3</v>
      </c>
      <c r="E4093" s="156">
        <v>-1.3057929724596391E-2</v>
      </c>
      <c r="F4093" s="124">
        <v>4087</v>
      </c>
      <c r="G4093" s="238">
        <f t="shared" ca="1" si="128"/>
        <v>7.3927765260234047E-3</v>
      </c>
      <c r="I4093" s="156"/>
    </row>
    <row r="4094" spans="2:9" x14ac:dyDescent="0.2">
      <c r="B4094" s="230">
        <v>39974</v>
      </c>
      <c r="C4094" s="124">
        <v>64.739999999999995</v>
      </c>
      <c r="D4094" s="156">
        <f t="shared" ref="D4094:D4157" si="129">(C4094-C4093)/C4093</f>
        <v>-1.1603053435114582E-2</v>
      </c>
      <c r="E4094" s="156">
        <v>-1.306152343750009E-2</v>
      </c>
      <c r="F4094" s="124">
        <v>4088</v>
      </c>
      <c r="G4094" s="238">
        <f t="shared" ca="1" si="128"/>
        <v>1.623333057089173E-2</v>
      </c>
      <c r="I4094" s="156"/>
    </row>
    <row r="4095" spans="2:9" x14ac:dyDescent="0.2">
      <c r="B4095" s="230">
        <v>39973</v>
      </c>
      <c r="C4095" s="124">
        <v>63.25</v>
      </c>
      <c r="D4095" s="156">
        <f t="shared" si="129"/>
        <v>-2.3015137472968721E-2</v>
      </c>
      <c r="E4095" s="156">
        <v>-1.3081954597922191E-2</v>
      </c>
      <c r="F4095" s="124">
        <v>4089</v>
      </c>
      <c r="G4095" s="238">
        <f t="shared" ca="1" si="128"/>
        <v>7.1376005034952984E-3</v>
      </c>
      <c r="I4095" s="156"/>
    </row>
    <row r="4096" spans="2:9" x14ac:dyDescent="0.2">
      <c r="B4096" s="230">
        <v>39972</v>
      </c>
      <c r="C4096" s="124">
        <v>60.86</v>
      </c>
      <c r="D4096" s="156">
        <f t="shared" si="129"/>
        <v>-3.7786561264822147E-2</v>
      </c>
      <c r="E4096" s="156">
        <v>-1.3101310131012983E-2</v>
      </c>
      <c r="F4096" s="124">
        <v>4090</v>
      </c>
      <c r="G4096" s="238">
        <f t="shared" ca="1" si="128"/>
        <v>-1.2320746535116825E-2</v>
      </c>
      <c r="I4096" s="156"/>
    </row>
    <row r="4097" spans="2:9" x14ac:dyDescent="0.2">
      <c r="B4097" s="230">
        <v>39969</v>
      </c>
      <c r="C4097" s="124">
        <v>63.43</v>
      </c>
      <c r="D4097" s="156">
        <f t="shared" si="129"/>
        <v>4.2228064410121599E-2</v>
      </c>
      <c r="E4097" s="156">
        <v>-1.311827069840356E-2</v>
      </c>
      <c r="F4097" s="124">
        <v>4091</v>
      </c>
      <c r="G4097" s="238">
        <f t="shared" ca="1" si="128"/>
        <v>-3.3013126863559858E-3</v>
      </c>
      <c r="I4097" s="156"/>
    </row>
    <row r="4098" spans="2:9" x14ac:dyDescent="0.2">
      <c r="B4098" s="230">
        <v>39968</v>
      </c>
      <c r="C4098" s="124">
        <v>67.16</v>
      </c>
      <c r="D4098" s="156">
        <f t="shared" si="129"/>
        <v>5.8804981869777659E-2</v>
      </c>
      <c r="E4098" s="156">
        <v>-1.3174073423502547E-2</v>
      </c>
      <c r="F4098" s="124">
        <v>4092</v>
      </c>
      <c r="G4098" s="238">
        <f t="shared" ca="1" si="128"/>
        <v>2.5266906762509098E-4</v>
      </c>
      <c r="I4098" s="156"/>
    </row>
    <row r="4099" spans="2:9" x14ac:dyDescent="0.2">
      <c r="B4099" s="230">
        <v>39967</v>
      </c>
      <c r="C4099" s="124">
        <v>67.31</v>
      </c>
      <c r="D4099" s="156">
        <f t="shared" si="129"/>
        <v>2.2334723049435034E-3</v>
      </c>
      <c r="E4099" s="156">
        <v>-1.3182950051266904E-2</v>
      </c>
      <c r="F4099" s="124">
        <v>4093</v>
      </c>
      <c r="G4099" s="238">
        <f t="shared" ca="1" si="128"/>
        <v>-3.7947899297057913E-2</v>
      </c>
      <c r="I4099" s="156"/>
    </row>
    <row r="4100" spans="2:9" x14ac:dyDescent="0.2">
      <c r="B4100" s="230">
        <v>39966</v>
      </c>
      <c r="C4100" s="124">
        <v>63.71</v>
      </c>
      <c r="D4100" s="156">
        <f t="shared" si="129"/>
        <v>-5.3483880552666785E-2</v>
      </c>
      <c r="E4100" s="156">
        <v>-1.3187520102926878E-2</v>
      </c>
      <c r="F4100" s="124">
        <v>4094</v>
      </c>
      <c r="G4100" s="238">
        <f t="shared" ca="1" si="128"/>
        <v>2.3748189539549817E-3</v>
      </c>
      <c r="I4100" s="156"/>
    </row>
    <row r="4101" spans="2:9" x14ac:dyDescent="0.2">
      <c r="B4101" s="230">
        <v>39965</v>
      </c>
      <c r="C4101" s="124">
        <v>63.78</v>
      </c>
      <c r="D4101" s="156">
        <f t="shared" si="129"/>
        <v>1.0987286140323384E-3</v>
      </c>
      <c r="E4101" s="156">
        <v>-1.3187550951901404E-2</v>
      </c>
      <c r="F4101" s="124">
        <v>4095</v>
      </c>
      <c r="G4101" s="238">
        <f t="shared" ca="1" si="128"/>
        <v>1.4675250156492181E-2</v>
      </c>
      <c r="I4101" s="156"/>
    </row>
    <row r="4102" spans="2:9" x14ac:dyDescent="0.2">
      <c r="B4102" s="230">
        <v>39962</v>
      </c>
      <c r="C4102" s="124">
        <v>60.88</v>
      </c>
      <c r="D4102" s="156">
        <f t="shared" si="129"/>
        <v>-4.5468798996550618E-2</v>
      </c>
      <c r="E4102" s="156">
        <v>-1.3221854948473648E-2</v>
      </c>
      <c r="F4102" s="124">
        <v>4096</v>
      </c>
      <c r="G4102" s="238">
        <f t="shared" ca="1" si="128"/>
        <v>-7.9186595713642612E-3</v>
      </c>
      <c r="I4102" s="156"/>
    </row>
    <row r="4103" spans="2:9" x14ac:dyDescent="0.2">
      <c r="B4103" s="230">
        <v>39961</v>
      </c>
      <c r="C4103" s="124">
        <v>60.96</v>
      </c>
      <c r="D4103" s="156">
        <f t="shared" si="129"/>
        <v>1.3140604467805237E-3</v>
      </c>
      <c r="E4103" s="156">
        <v>-1.3245033112582827E-2</v>
      </c>
      <c r="F4103" s="124">
        <v>4097</v>
      </c>
      <c r="G4103" s="238">
        <f t="shared" ref="G4103:G4166" ca="1" si="130">_xlfn.NORM.INV(RAND(),$L$8,$L$9)</f>
        <v>-7.7709445073144987E-3</v>
      </c>
      <c r="I4103" s="156"/>
    </row>
    <row r="4104" spans="2:9" x14ac:dyDescent="0.2">
      <c r="B4104" s="230">
        <v>39960</v>
      </c>
      <c r="C4104" s="124">
        <v>61.03</v>
      </c>
      <c r="D4104" s="156">
        <f t="shared" si="129"/>
        <v>1.1482939632545979E-3</v>
      </c>
      <c r="E4104" s="156">
        <v>-1.3259534091600309E-2</v>
      </c>
      <c r="F4104" s="124">
        <v>4098</v>
      </c>
      <c r="G4104" s="238">
        <f t="shared" ca="1" si="130"/>
        <v>2.4904067251152115E-2</v>
      </c>
      <c r="I4104" s="156"/>
    </row>
    <row r="4105" spans="2:9" x14ac:dyDescent="0.2">
      <c r="B4105" s="230">
        <v>39959</v>
      </c>
      <c r="C4105" s="124">
        <v>61.01</v>
      </c>
      <c r="D4105" s="156">
        <f t="shared" si="129"/>
        <v>-3.2770768474525849E-4</v>
      </c>
      <c r="E4105" s="156">
        <v>-1.3265840460813446E-2</v>
      </c>
      <c r="F4105" s="124">
        <v>4099</v>
      </c>
      <c r="G4105" s="238">
        <f t="shared" ca="1" si="130"/>
        <v>-3.4651513408690451E-2</v>
      </c>
      <c r="I4105" s="156"/>
    </row>
    <row r="4106" spans="2:9" x14ac:dyDescent="0.2">
      <c r="B4106" s="230">
        <v>39958</v>
      </c>
      <c r="C4106" s="124">
        <v>62.91</v>
      </c>
      <c r="D4106" s="156">
        <f t="shared" si="129"/>
        <v>3.1142435666284194E-2</v>
      </c>
      <c r="E4106" s="156">
        <v>-1.32671081677704E-2</v>
      </c>
      <c r="F4106" s="124">
        <v>4100</v>
      </c>
      <c r="G4106" s="238">
        <f t="shared" ca="1" si="130"/>
        <v>-3.3074589387241331E-2</v>
      </c>
      <c r="I4106" s="156"/>
    </row>
    <row r="4107" spans="2:9" x14ac:dyDescent="0.2">
      <c r="B4107" s="230">
        <v>39955</v>
      </c>
      <c r="C4107" s="124">
        <v>60.86</v>
      </c>
      <c r="D4107" s="156">
        <f t="shared" si="129"/>
        <v>-3.2586234302972458E-2</v>
      </c>
      <c r="E4107" s="156">
        <v>-1.3287843418926158E-2</v>
      </c>
      <c r="F4107" s="124">
        <v>4101</v>
      </c>
      <c r="G4107" s="238">
        <f t="shared" ca="1" si="130"/>
        <v>-1.4071390705907436E-2</v>
      </c>
      <c r="I4107" s="156"/>
    </row>
    <row r="4108" spans="2:9" x14ac:dyDescent="0.2">
      <c r="B4108" s="230">
        <v>39954</v>
      </c>
      <c r="C4108" s="124">
        <v>60.38</v>
      </c>
      <c r="D4108" s="156">
        <f t="shared" si="129"/>
        <v>-7.8869536641471717E-3</v>
      </c>
      <c r="E4108" s="156">
        <v>-1.3319313003855679E-2</v>
      </c>
      <c r="F4108" s="124">
        <v>4102</v>
      </c>
      <c r="G4108" s="238">
        <f t="shared" ca="1" si="130"/>
        <v>1.2062283896079237E-2</v>
      </c>
      <c r="I4108" s="156"/>
    </row>
    <row r="4109" spans="2:9" x14ac:dyDescent="0.2">
      <c r="B4109" s="230">
        <v>39953</v>
      </c>
      <c r="C4109" s="124">
        <v>61.8</v>
      </c>
      <c r="D4109" s="156">
        <f t="shared" si="129"/>
        <v>2.3517721099701797E-2</v>
      </c>
      <c r="E4109" s="156">
        <v>-1.3337567481740177E-2</v>
      </c>
      <c r="F4109" s="124">
        <v>4103</v>
      </c>
      <c r="G4109" s="238">
        <f t="shared" ca="1" si="130"/>
        <v>-6.859834295885478E-3</v>
      </c>
      <c r="I4109" s="156"/>
    </row>
    <row r="4110" spans="2:9" x14ac:dyDescent="0.2">
      <c r="B4110" s="230">
        <v>39952</v>
      </c>
      <c r="C4110" s="124">
        <v>63.13</v>
      </c>
      <c r="D4110" s="156">
        <f t="shared" si="129"/>
        <v>2.1521035598705589E-2</v>
      </c>
      <c r="E4110" s="156">
        <v>-1.3348011559102778E-2</v>
      </c>
      <c r="F4110" s="124">
        <v>4104</v>
      </c>
      <c r="G4110" s="238">
        <f t="shared" ca="1" si="130"/>
        <v>-2.7407303610883602E-2</v>
      </c>
      <c r="I4110" s="156"/>
    </row>
    <row r="4111" spans="2:9" x14ac:dyDescent="0.2">
      <c r="B4111" s="230">
        <v>39951</v>
      </c>
      <c r="C4111" s="124">
        <v>68.53</v>
      </c>
      <c r="D4111" s="156">
        <f t="shared" si="129"/>
        <v>8.5537779185807045E-2</v>
      </c>
      <c r="E4111" s="156">
        <v>-1.3353394771487696E-2</v>
      </c>
      <c r="F4111" s="124">
        <v>4105</v>
      </c>
      <c r="G4111" s="238">
        <f t="shared" ca="1" si="130"/>
        <v>6.240459773813053E-3</v>
      </c>
      <c r="I4111" s="156"/>
    </row>
    <row r="4112" spans="2:9" x14ac:dyDescent="0.2">
      <c r="B4112" s="230">
        <v>39948</v>
      </c>
      <c r="C4112" s="124">
        <v>61.67</v>
      </c>
      <c r="D4112" s="156">
        <f t="shared" si="129"/>
        <v>-0.10010214504596526</v>
      </c>
      <c r="E4112" s="156">
        <v>-1.3395457192778003E-2</v>
      </c>
      <c r="F4112" s="124">
        <v>4106</v>
      </c>
      <c r="G4112" s="238">
        <f t="shared" ca="1" si="130"/>
        <v>1.6846275786819714E-3</v>
      </c>
      <c r="I4112" s="156"/>
    </row>
    <row r="4113" spans="2:9" x14ac:dyDescent="0.2">
      <c r="B4113" s="230">
        <v>39947</v>
      </c>
      <c r="C4113" s="124">
        <v>61.92</v>
      </c>
      <c r="D4113" s="156">
        <f t="shared" si="129"/>
        <v>4.0538349278417384E-3</v>
      </c>
      <c r="E4113" s="156">
        <v>-1.34056487924683E-2</v>
      </c>
      <c r="F4113" s="124">
        <v>4107</v>
      </c>
      <c r="G4113" s="238">
        <f t="shared" ca="1" si="130"/>
        <v>1.9777241187319081E-3</v>
      </c>
      <c r="I4113" s="156"/>
    </row>
    <row r="4114" spans="2:9" x14ac:dyDescent="0.2">
      <c r="B4114" s="230">
        <v>39946</v>
      </c>
      <c r="C4114" s="124">
        <v>62.33</v>
      </c>
      <c r="D4114" s="156">
        <f t="shared" si="129"/>
        <v>6.6214470284237173E-3</v>
      </c>
      <c r="E4114" s="156">
        <v>-1.3443935926773424E-2</v>
      </c>
      <c r="F4114" s="124">
        <v>4108</v>
      </c>
      <c r="G4114" s="238">
        <f t="shared" ca="1" si="130"/>
        <v>1.9177517134920271E-2</v>
      </c>
      <c r="I4114" s="156"/>
    </row>
    <row r="4115" spans="2:9" x14ac:dyDescent="0.2">
      <c r="B4115" s="230">
        <v>39945</v>
      </c>
      <c r="C4115" s="124">
        <v>63.43</v>
      </c>
      <c r="D4115" s="156">
        <f t="shared" si="129"/>
        <v>1.7648002566982214E-2</v>
      </c>
      <c r="E4115" s="156">
        <v>-1.346600014350976E-2</v>
      </c>
      <c r="F4115" s="124">
        <v>4109</v>
      </c>
      <c r="G4115" s="238">
        <f t="shared" ca="1" si="130"/>
        <v>-2.2639068556100121E-3</v>
      </c>
      <c r="I4115" s="156"/>
    </row>
    <row r="4116" spans="2:9" x14ac:dyDescent="0.2">
      <c r="B4116" s="230">
        <v>39944</v>
      </c>
      <c r="C4116" s="124">
        <v>62.3</v>
      </c>
      <c r="D4116" s="156">
        <f t="shared" si="129"/>
        <v>-1.7814914078511785E-2</v>
      </c>
      <c r="E4116" s="156">
        <v>-1.3468711147948611E-2</v>
      </c>
      <c r="F4116" s="124">
        <v>4110</v>
      </c>
      <c r="G4116" s="238">
        <f t="shared" ca="1" si="130"/>
        <v>2.6967881183340252E-2</v>
      </c>
      <c r="I4116" s="156"/>
    </row>
    <row r="4117" spans="2:9" x14ac:dyDescent="0.2">
      <c r="B4117" s="230">
        <v>39941</v>
      </c>
      <c r="C4117" s="124">
        <v>62.45</v>
      </c>
      <c r="D4117" s="156">
        <f t="shared" si="129"/>
        <v>2.4077046548957575E-3</v>
      </c>
      <c r="E4117" s="156">
        <v>-1.3478728880984675E-2</v>
      </c>
      <c r="F4117" s="124">
        <v>4111</v>
      </c>
      <c r="G4117" s="238">
        <f t="shared" ca="1" si="130"/>
        <v>3.6767957666128288E-3</v>
      </c>
      <c r="I4117" s="156"/>
    </row>
    <row r="4118" spans="2:9" x14ac:dyDescent="0.2">
      <c r="B4118" s="230">
        <v>39940</v>
      </c>
      <c r="C4118" s="124">
        <v>63.13</v>
      </c>
      <c r="D4118" s="156">
        <f t="shared" si="129"/>
        <v>1.0888710968775014E-2</v>
      </c>
      <c r="E4118" s="156">
        <v>-1.3495575221238988E-2</v>
      </c>
      <c r="F4118" s="124">
        <v>4112</v>
      </c>
      <c r="G4118" s="238">
        <f t="shared" ca="1" si="130"/>
        <v>-1.2400071787156138E-2</v>
      </c>
      <c r="I4118" s="156"/>
    </row>
    <row r="4119" spans="2:9" x14ac:dyDescent="0.2">
      <c r="B4119" s="230">
        <v>39939</v>
      </c>
      <c r="C4119" s="124">
        <v>63.83</v>
      </c>
      <c r="D4119" s="156">
        <f t="shared" si="129"/>
        <v>1.1088230635197144E-2</v>
      </c>
      <c r="E4119" s="156">
        <v>-1.3497701629753523E-2</v>
      </c>
      <c r="F4119" s="124">
        <v>4113</v>
      </c>
      <c r="G4119" s="238">
        <f t="shared" ca="1" si="130"/>
        <v>4.7976007353207235E-3</v>
      </c>
      <c r="I4119" s="156"/>
    </row>
    <row r="4120" spans="2:9" x14ac:dyDescent="0.2">
      <c r="B4120" s="230">
        <v>39938</v>
      </c>
      <c r="C4120" s="124">
        <v>65.569999999999993</v>
      </c>
      <c r="D4120" s="156">
        <f t="shared" si="129"/>
        <v>2.7259909133636143E-2</v>
      </c>
      <c r="E4120" s="156">
        <v>-1.3519097939665815E-2</v>
      </c>
      <c r="F4120" s="124">
        <v>4114</v>
      </c>
      <c r="G4120" s="238">
        <f t="shared" ca="1" si="130"/>
        <v>-6.8818225386404492E-3</v>
      </c>
      <c r="I4120" s="156"/>
    </row>
    <row r="4121" spans="2:9" x14ac:dyDescent="0.2">
      <c r="B4121" s="230">
        <v>39937</v>
      </c>
      <c r="C4121" s="124">
        <v>68.17</v>
      </c>
      <c r="D4121" s="156">
        <f t="shared" si="129"/>
        <v>3.9652280006100486E-2</v>
      </c>
      <c r="E4121" s="156">
        <v>-1.3529551388559194E-2</v>
      </c>
      <c r="F4121" s="124">
        <v>4115</v>
      </c>
      <c r="G4121" s="238">
        <f t="shared" ca="1" si="130"/>
        <v>1.8395095069267085E-2</v>
      </c>
      <c r="I4121" s="156"/>
    </row>
    <row r="4122" spans="2:9" x14ac:dyDescent="0.2">
      <c r="B4122" s="230">
        <v>39932</v>
      </c>
      <c r="C4122" s="124">
        <v>62.62</v>
      </c>
      <c r="D4122" s="156">
        <f t="shared" si="129"/>
        <v>-8.1414111779375159E-2</v>
      </c>
      <c r="E4122" s="156">
        <v>-1.3530899250255015E-2</v>
      </c>
      <c r="F4122" s="124">
        <v>4116</v>
      </c>
      <c r="G4122" s="238">
        <f t="shared" ca="1" si="130"/>
        <v>-1.8534804606569116E-2</v>
      </c>
      <c r="I4122" s="156"/>
    </row>
    <row r="4123" spans="2:9" x14ac:dyDescent="0.2">
      <c r="B4123" s="230">
        <v>39931</v>
      </c>
      <c r="C4123" s="124">
        <v>62.17</v>
      </c>
      <c r="D4123" s="156">
        <f t="shared" si="129"/>
        <v>-7.1862024912167956E-3</v>
      </c>
      <c r="E4123" s="156">
        <v>-1.3531130591144037E-2</v>
      </c>
      <c r="F4123" s="124">
        <v>4117</v>
      </c>
      <c r="G4123" s="238">
        <f t="shared" ca="1" si="130"/>
        <v>-1.5262370246425721E-2</v>
      </c>
      <c r="I4123" s="156"/>
    </row>
    <row r="4124" spans="2:9" x14ac:dyDescent="0.2">
      <c r="B4124" s="230">
        <v>39930</v>
      </c>
      <c r="C4124" s="124">
        <v>64.14</v>
      </c>
      <c r="D4124" s="156">
        <f t="shared" si="129"/>
        <v>3.1687308991474969E-2</v>
      </c>
      <c r="E4124" s="156">
        <v>-1.3541909876254988E-2</v>
      </c>
      <c r="F4124" s="124">
        <v>4118</v>
      </c>
      <c r="G4124" s="238">
        <f t="shared" ca="1" si="130"/>
        <v>1.8660713202828642E-2</v>
      </c>
      <c r="I4124" s="156"/>
    </row>
    <row r="4125" spans="2:9" x14ac:dyDescent="0.2">
      <c r="B4125" s="230">
        <v>39927</v>
      </c>
      <c r="C4125" s="124">
        <v>63.16</v>
      </c>
      <c r="D4125" s="156">
        <f t="shared" si="129"/>
        <v>-1.5279077019020953E-2</v>
      </c>
      <c r="E4125" s="156">
        <v>-1.3547687861271676E-2</v>
      </c>
      <c r="F4125" s="124">
        <v>4119</v>
      </c>
      <c r="G4125" s="238">
        <f t="shared" ca="1" si="130"/>
        <v>1.4956599181268434E-2</v>
      </c>
      <c r="I4125" s="156"/>
    </row>
    <row r="4126" spans="2:9" x14ac:dyDescent="0.2">
      <c r="B4126" s="230">
        <v>39926</v>
      </c>
      <c r="C4126" s="124">
        <v>62.98</v>
      </c>
      <c r="D4126" s="156">
        <f t="shared" si="129"/>
        <v>-2.8499050031665567E-3</v>
      </c>
      <c r="E4126" s="156">
        <v>-1.3591509960901122E-2</v>
      </c>
      <c r="F4126" s="124">
        <v>4120</v>
      </c>
      <c r="G4126" s="238">
        <f t="shared" ca="1" si="130"/>
        <v>9.649930106676325E-4</v>
      </c>
      <c r="I4126" s="156"/>
    </row>
    <row r="4127" spans="2:9" x14ac:dyDescent="0.2">
      <c r="B4127" s="230">
        <v>39925</v>
      </c>
      <c r="C4127" s="124">
        <v>63.15</v>
      </c>
      <c r="D4127" s="156">
        <f t="shared" si="129"/>
        <v>2.6992696093998368E-3</v>
      </c>
      <c r="E4127" s="156">
        <v>-1.3604569081691616E-2</v>
      </c>
      <c r="F4127" s="124">
        <v>4121</v>
      </c>
      <c r="G4127" s="238">
        <f t="shared" ca="1" si="130"/>
        <v>-1.8129392252668027E-2</v>
      </c>
      <c r="I4127" s="156"/>
    </row>
    <row r="4128" spans="2:9" x14ac:dyDescent="0.2">
      <c r="B4128" s="230">
        <v>39924</v>
      </c>
      <c r="C4128" s="124">
        <v>62.53</v>
      </c>
      <c r="D4128" s="156">
        <f t="shared" si="129"/>
        <v>-9.817893903404552E-3</v>
      </c>
      <c r="E4128" s="156">
        <v>-1.3625483336402093E-2</v>
      </c>
      <c r="F4128" s="124">
        <v>4122</v>
      </c>
      <c r="G4128" s="238">
        <f t="shared" ca="1" si="130"/>
        <v>2.0334687858259613E-2</v>
      </c>
      <c r="I4128" s="156"/>
    </row>
    <row r="4129" spans="2:9" x14ac:dyDescent="0.2">
      <c r="B4129" s="230">
        <v>39923</v>
      </c>
      <c r="C4129" s="124">
        <v>61.22</v>
      </c>
      <c r="D4129" s="156">
        <f t="shared" si="129"/>
        <v>-2.0949944026867139E-2</v>
      </c>
      <c r="E4129" s="156">
        <v>-1.3637913399249867E-2</v>
      </c>
      <c r="F4129" s="124">
        <v>4123</v>
      </c>
      <c r="G4129" s="238">
        <f t="shared" ca="1" si="130"/>
        <v>1.8623955183983833E-2</v>
      </c>
      <c r="I4129" s="156"/>
    </row>
    <row r="4130" spans="2:9" x14ac:dyDescent="0.2">
      <c r="B4130" s="230">
        <v>39920</v>
      </c>
      <c r="C4130" s="124">
        <v>62.47</v>
      </c>
      <c r="D4130" s="156">
        <f t="shared" si="129"/>
        <v>2.0418163998693239E-2</v>
      </c>
      <c r="E4130" s="156">
        <v>-1.3665293897416825E-2</v>
      </c>
      <c r="F4130" s="124">
        <v>4124</v>
      </c>
      <c r="G4130" s="238">
        <f t="shared" ca="1" si="130"/>
        <v>3.8159670436224502E-3</v>
      </c>
      <c r="I4130" s="156"/>
    </row>
    <row r="4131" spans="2:9" x14ac:dyDescent="0.2">
      <c r="B4131" s="230">
        <v>39919</v>
      </c>
      <c r="C4131" s="124">
        <v>63.54</v>
      </c>
      <c r="D4131" s="156">
        <f t="shared" si="129"/>
        <v>1.7128221546342248E-2</v>
      </c>
      <c r="E4131" s="156">
        <v>-1.368041041231224E-2</v>
      </c>
      <c r="F4131" s="124">
        <v>4125</v>
      </c>
      <c r="G4131" s="238">
        <f t="shared" ca="1" si="130"/>
        <v>-2.2023156297643113E-3</v>
      </c>
      <c r="I4131" s="156"/>
    </row>
    <row r="4132" spans="2:9" x14ac:dyDescent="0.2">
      <c r="B4132" s="230">
        <v>39918</v>
      </c>
      <c r="C4132" s="124">
        <v>61.37</v>
      </c>
      <c r="D4132" s="156">
        <f t="shared" si="129"/>
        <v>-3.415171545483163E-2</v>
      </c>
      <c r="E4132" s="156">
        <v>-1.3712255772646585E-2</v>
      </c>
      <c r="F4132" s="124">
        <v>4126</v>
      </c>
      <c r="G4132" s="238">
        <f t="shared" ca="1" si="130"/>
        <v>-9.0672831690875016E-3</v>
      </c>
      <c r="I4132" s="156"/>
    </row>
    <row r="4133" spans="2:9" x14ac:dyDescent="0.2">
      <c r="B4133" s="230">
        <v>39916</v>
      </c>
      <c r="C4133" s="124">
        <v>61.99</v>
      </c>
      <c r="D4133" s="156">
        <f t="shared" si="129"/>
        <v>1.0102656020857172E-2</v>
      </c>
      <c r="E4133" s="156">
        <v>-1.3736200419461107E-2</v>
      </c>
      <c r="F4133" s="124">
        <v>4127</v>
      </c>
      <c r="G4133" s="238">
        <f t="shared" ca="1" si="130"/>
        <v>3.1818994976354729E-3</v>
      </c>
      <c r="I4133" s="156"/>
    </row>
    <row r="4134" spans="2:9" x14ac:dyDescent="0.2">
      <c r="B4134" s="230">
        <v>39912</v>
      </c>
      <c r="C4134" s="124">
        <v>62.04</v>
      </c>
      <c r="D4134" s="156">
        <f t="shared" si="129"/>
        <v>8.0658170672684556E-4</v>
      </c>
      <c r="E4134" s="156">
        <v>-1.3738403795765157E-2</v>
      </c>
      <c r="F4134" s="124">
        <v>4128</v>
      </c>
      <c r="G4134" s="238">
        <f t="shared" ca="1" si="130"/>
        <v>8.8113982533100411E-3</v>
      </c>
      <c r="I4134" s="156"/>
    </row>
    <row r="4135" spans="2:9" x14ac:dyDescent="0.2">
      <c r="B4135" s="230">
        <v>39911</v>
      </c>
      <c r="C4135" s="124">
        <v>62.93</v>
      </c>
      <c r="D4135" s="156">
        <f t="shared" si="129"/>
        <v>1.4345583494519674E-2</v>
      </c>
      <c r="E4135" s="156">
        <v>-1.374743191852083E-2</v>
      </c>
      <c r="F4135" s="124">
        <v>4129</v>
      </c>
      <c r="G4135" s="238">
        <f t="shared" ca="1" si="130"/>
        <v>-2.0202106875484797E-2</v>
      </c>
      <c r="I4135" s="156"/>
    </row>
    <row r="4136" spans="2:9" x14ac:dyDescent="0.2">
      <c r="B4136" s="230">
        <v>39909</v>
      </c>
      <c r="C4136" s="124">
        <v>59.6</v>
      </c>
      <c r="D4136" s="156">
        <f t="shared" si="129"/>
        <v>-5.2915938344191935E-2</v>
      </c>
      <c r="E4136" s="156">
        <v>-1.3755731554814554E-2</v>
      </c>
      <c r="F4136" s="124">
        <v>4130</v>
      </c>
      <c r="G4136" s="238">
        <f t="shared" ca="1" si="130"/>
        <v>-2.016621987994156E-2</v>
      </c>
      <c r="I4136" s="156"/>
    </row>
    <row r="4137" spans="2:9" x14ac:dyDescent="0.2">
      <c r="B4137" s="230">
        <v>39905</v>
      </c>
      <c r="C4137" s="124">
        <v>61.42</v>
      </c>
      <c r="D4137" s="156">
        <f t="shared" si="129"/>
        <v>3.0536912751677855E-2</v>
      </c>
      <c r="E4137" s="156">
        <v>-1.3761293027865502E-2</v>
      </c>
      <c r="F4137" s="124">
        <v>4131</v>
      </c>
      <c r="G4137" s="238">
        <f t="shared" ca="1" si="130"/>
        <v>9.5593707771833205E-3</v>
      </c>
      <c r="I4137" s="156"/>
    </row>
    <row r="4138" spans="2:9" x14ac:dyDescent="0.2">
      <c r="B4138" s="230">
        <v>39904</v>
      </c>
      <c r="C4138" s="124">
        <v>61.11</v>
      </c>
      <c r="D4138" s="156">
        <f t="shared" si="129"/>
        <v>-5.0472158905894215E-3</v>
      </c>
      <c r="E4138" s="156">
        <v>-1.3765477057538344E-2</v>
      </c>
      <c r="F4138" s="124">
        <v>4132</v>
      </c>
      <c r="G4138" s="238">
        <f t="shared" ca="1" si="130"/>
        <v>-1.0907601534591515E-2</v>
      </c>
      <c r="I4138" s="156"/>
    </row>
    <row r="4139" spans="2:9" x14ac:dyDescent="0.2">
      <c r="B4139" s="230">
        <v>39903</v>
      </c>
      <c r="C4139" s="124">
        <v>61.27</v>
      </c>
      <c r="D4139" s="156">
        <f t="shared" si="129"/>
        <v>2.6182294223531942E-3</v>
      </c>
      <c r="E4139" s="156">
        <v>-1.3775428479897477E-2</v>
      </c>
      <c r="F4139" s="124">
        <v>4133</v>
      </c>
      <c r="G4139" s="238">
        <f t="shared" ca="1" si="130"/>
        <v>-1.0928345356727341E-2</v>
      </c>
      <c r="I4139" s="156"/>
    </row>
    <row r="4140" spans="2:9" x14ac:dyDescent="0.2">
      <c r="B4140" s="230">
        <v>39902</v>
      </c>
      <c r="C4140" s="124">
        <v>59.28</v>
      </c>
      <c r="D4140" s="156">
        <f t="shared" si="129"/>
        <v>-3.2479190468418503E-2</v>
      </c>
      <c r="E4140" s="156">
        <v>-1.3777414242625742E-2</v>
      </c>
      <c r="F4140" s="124">
        <v>4134</v>
      </c>
      <c r="G4140" s="238">
        <f t="shared" ca="1" si="130"/>
        <v>1.3195253814738546E-2</v>
      </c>
      <c r="I4140" s="156"/>
    </row>
    <row r="4141" spans="2:9" x14ac:dyDescent="0.2">
      <c r="B4141" s="230">
        <v>39899</v>
      </c>
      <c r="C4141" s="124">
        <v>61.75</v>
      </c>
      <c r="D4141" s="156">
        <f t="shared" si="129"/>
        <v>4.1666666666666644E-2</v>
      </c>
      <c r="E4141" s="156">
        <v>-1.3786764705882353E-2</v>
      </c>
      <c r="F4141" s="124">
        <v>4135</v>
      </c>
      <c r="G4141" s="238">
        <f t="shared" ca="1" si="130"/>
        <v>-1.0949866902873431E-2</v>
      </c>
      <c r="I4141" s="156"/>
    </row>
    <row r="4142" spans="2:9" x14ac:dyDescent="0.2">
      <c r="B4142" s="230">
        <v>39898</v>
      </c>
      <c r="C4142" s="124">
        <v>61.36</v>
      </c>
      <c r="D4142" s="156">
        <f t="shared" si="129"/>
        <v>-6.3157894736842199E-3</v>
      </c>
      <c r="E4142" s="156">
        <v>-1.3787820758330228E-2</v>
      </c>
      <c r="F4142" s="124">
        <v>4136</v>
      </c>
      <c r="G4142" s="238">
        <f t="shared" ca="1" si="130"/>
        <v>3.1356865483827191E-2</v>
      </c>
      <c r="I4142" s="156"/>
    </row>
    <row r="4143" spans="2:9" x14ac:dyDescent="0.2">
      <c r="B4143" s="230">
        <v>39897</v>
      </c>
      <c r="C4143" s="124">
        <v>58.92</v>
      </c>
      <c r="D4143" s="156">
        <f t="shared" si="129"/>
        <v>-3.9765319426336342E-2</v>
      </c>
      <c r="E4143" s="156">
        <v>-1.3788098693759044E-2</v>
      </c>
      <c r="F4143" s="124">
        <v>4137</v>
      </c>
      <c r="G4143" s="238">
        <f t="shared" ca="1" si="130"/>
        <v>-1.7303369228857595E-2</v>
      </c>
      <c r="I4143" s="156"/>
    </row>
    <row r="4144" spans="2:9" x14ac:dyDescent="0.2">
      <c r="B4144" s="230">
        <v>39896</v>
      </c>
      <c r="C4144" s="124">
        <v>57.99</v>
      </c>
      <c r="D4144" s="156">
        <f t="shared" si="129"/>
        <v>-1.5784114052953151E-2</v>
      </c>
      <c r="E4144" s="156">
        <v>-1.3794587357750746E-2</v>
      </c>
      <c r="F4144" s="124">
        <v>4138</v>
      </c>
      <c r="G4144" s="238">
        <f t="shared" ca="1" si="130"/>
        <v>-1.6397969620531366E-3</v>
      </c>
      <c r="I4144" s="156"/>
    </row>
    <row r="4145" spans="2:9" x14ac:dyDescent="0.2">
      <c r="B4145" s="230">
        <v>39895</v>
      </c>
      <c r="C4145" s="124">
        <v>57.81</v>
      </c>
      <c r="D4145" s="156">
        <f t="shared" si="129"/>
        <v>-3.1039834454216196E-3</v>
      </c>
      <c r="E4145" s="156">
        <v>-1.3794940079893493E-2</v>
      </c>
      <c r="F4145" s="124">
        <v>4139</v>
      </c>
      <c r="G4145" s="238">
        <f t="shared" ca="1" si="130"/>
        <v>2.3561623275478462E-3</v>
      </c>
      <c r="I4145" s="156"/>
    </row>
    <row r="4146" spans="2:9" x14ac:dyDescent="0.2">
      <c r="B4146" s="230">
        <v>39892</v>
      </c>
      <c r="C4146" s="124">
        <v>56.09</v>
      </c>
      <c r="D4146" s="156">
        <f t="shared" si="129"/>
        <v>-2.9752637951911413E-2</v>
      </c>
      <c r="E4146" s="156">
        <v>-1.3805697589481481E-2</v>
      </c>
      <c r="F4146" s="124">
        <v>4140</v>
      </c>
      <c r="G4146" s="238">
        <f t="shared" ca="1" si="130"/>
        <v>-7.0039945313795965E-4</v>
      </c>
      <c r="I4146" s="156"/>
    </row>
    <row r="4147" spans="2:9" x14ac:dyDescent="0.2">
      <c r="B4147" s="230">
        <v>39891</v>
      </c>
      <c r="C4147" s="124">
        <v>56.27</v>
      </c>
      <c r="D4147" s="156">
        <f t="shared" si="129"/>
        <v>3.2091281868425691E-3</v>
      </c>
      <c r="E4147" s="156">
        <v>-1.381796335235806E-2</v>
      </c>
      <c r="F4147" s="124">
        <v>4141</v>
      </c>
      <c r="G4147" s="238">
        <f t="shared" ca="1" si="130"/>
        <v>-7.6394342934863824E-3</v>
      </c>
      <c r="I4147" s="156"/>
    </row>
    <row r="4148" spans="2:9" x14ac:dyDescent="0.2">
      <c r="B4148" s="230">
        <v>39890</v>
      </c>
      <c r="C4148" s="124">
        <v>56.22</v>
      </c>
      <c r="D4148" s="156">
        <f t="shared" si="129"/>
        <v>-8.8857295183942175E-4</v>
      </c>
      <c r="E4148" s="156">
        <v>-1.3826875990206076E-2</v>
      </c>
      <c r="F4148" s="124">
        <v>4142</v>
      </c>
      <c r="G4148" s="238">
        <f t="shared" ca="1" si="130"/>
        <v>-5.7785411798168783E-3</v>
      </c>
      <c r="I4148" s="156"/>
    </row>
    <row r="4149" spans="2:9" x14ac:dyDescent="0.2">
      <c r="B4149" s="230">
        <v>39889</v>
      </c>
      <c r="C4149" s="124">
        <v>57.48</v>
      </c>
      <c r="D4149" s="156">
        <f t="shared" si="129"/>
        <v>2.2411953041622162E-2</v>
      </c>
      <c r="E4149" s="156">
        <v>-1.3841486537732347E-2</v>
      </c>
      <c r="F4149" s="124">
        <v>4143</v>
      </c>
      <c r="G4149" s="238">
        <f t="shared" ca="1" si="130"/>
        <v>-1.8815702712640776E-2</v>
      </c>
      <c r="I4149" s="156"/>
    </row>
    <row r="4150" spans="2:9" x14ac:dyDescent="0.2">
      <c r="B4150" s="230">
        <v>39888</v>
      </c>
      <c r="C4150" s="124">
        <v>56.38</v>
      </c>
      <c r="D4150" s="156">
        <f t="shared" si="129"/>
        <v>-1.9137091162143256E-2</v>
      </c>
      <c r="E4150" s="156">
        <v>-1.3886814991787328E-2</v>
      </c>
      <c r="F4150" s="124">
        <v>4144</v>
      </c>
      <c r="G4150" s="238">
        <f t="shared" ca="1" si="130"/>
        <v>9.7098744980645187E-3</v>
      </c>
      <c r="I4150" s="156"/>
    </row>
    <row r="4151" spans="2:9" x14ac:dyDescent="0.2">
      <c r="B4151" s="230">
        <v>39885</v>
      </c>
      <c r="C4151" s="124">
        <v>54.81</v>
      </c>
      <c r="D4151" s="156">
        <f t="shared" si="129"/>
        <v>-2.7846754168144736E-2</v>
      </c>
      <c r="E4151" s="156">
        <v>-1.3886920787870056E-2</v>
      </c>
      <c r="F4151" s="124">
        <v>4145</v>
      </c>
      <c r="G4151" s="238">
        <f t="shared" ca="1" si="130"/>
        <v>2.4424674335145072E-2</v>
      </c>
      <c r="I4151" s="156"/>
    </row>
    <row r="4152" spans="2:9" x14ac:dyDescent="0.2">
      <c r="B4152" s="230">
        <v>39884</v>
      </c>
      <c r="C4152" s="124">
        <v>53.65</v>
      </c>
      <c r="D4152" s="156">
        <f t="shared" si="129"/>
        <v>-2.1164021164021232E-2</v>
      </c>
      <c r="E4152" s="156">
        <v>-1.3888888888888781E-2</v>
      </c>
      <c r="F4152" s="124">
        <v>4146</v>
      </c>
      <c r="G4152" s="238">
        <f t="shared" ca="1" si="130"/>
        <v>1.4440825094528683E-2</v>
      </c>
      <c r="I4152" s="156"/>
    </row>
    <row r="4153" spans="2:9" x14ac:dyDescent="0.2">
      <c r="B4153" s="230">
        <v>39881</v>
      </c>
      <c r="C4153" s="124">
        <v>52.49</v>
      </c>
      <c r="D4153" s="156">
        <f t="shared" si="129"/>
        <v>-2.1621621621621557E-2</v>
      </c>
      <c r="E4153" s="156">
        <v>-1.3896384241770117E-2</v>
      </c>
      <c r="F4153" s="124">
        <v>4147</v>
      </c>
      <c r="G4153" s="238">
        <f t="shared" ca="1" si="130"/>
        <v>9.1823953173238194E-3</v>
      </c>
      <c r="I4153" s="156"/>
    </row>
    <row r="4154" spans="2:9" x14ac:dyDescent="0.2">
      <c r="B4154" s="230">
        <v>39878</v>
      </c>
      <c r="C4154" s="124">
        <v>54.54</v>
      </c>
      <c r="D4154" s="156">
        <f t="shared" si="129"/>
        <v>3.9055058106305905E-2</v>
      </c>
      <c r="E4154" s="156">
        <v>-1.3925570228091195E-2</v>
      </c>
      <c r="F4154" s="124">
        <v>4148</v>
      </c>
      <c r="G4154" s="238">
        <f t="shared" ca="1" si="130"/>
        <v>7.235994389072159E-3</v>
      </c>
      <c r="I4154" s="156"/>
    </row>
    <row r="4155" spans="2:9" x14ac:dyDescent="0.2">
      <c r="B4155" s="230">
        <v>39877</v>
      </c>
      <c r="C4155" s="124">
        <v>55.37</v>
      </c>
      <c r="D4155" s="156">
        <f t="shared" si="129"/>
        <v>1.5218188485515188E-2</v>
      </c>
      <c r="E4155" s="156">
        <v>-1.3941698352344668E-2</v>
      </c>
      <c r="F4155" s="124">
        <v>4149</v>
      </c>
      <c r="G4155" s="238">
        <f t="shared" ca="1" si="130"/>
        <v>-2.6212559607807089E-2</v>
      </c>
      <c r="I4155" s="156"/>
    </row>
    <row r="4156" spans="2:9" x14ac:dyDescent="0.2">
      <c r="B4156" s="230">
        <v>39876</v>
      </c>
      <c r="C4156" s="124">
        <v>57.58</v>
      </c>
      <c r="D4156" s="156">
        <f t="shared" si="129"/>
        <v>3.991331045692615E-2</v>
      </c>
      <c r="E4156" s="156">
        <v>-1.3948400036466416E-2</v>
      </c>
      <c r="F4156" s="124">
        <v>4150</v>
      </c>
      <c r="G4156" s="238">
        <f t="shared" ca="1" si="130"/>
        <v>5.9975643520314165E-3</v>
      </c>
      <c r="I4156" s="156"/>
    </row>
    <row r="4157" spans="2:9" x14ac:dyDescent="0.2">
      <c r="B4157" s="230">
        <v>39875</v>
      </c>
      <c r="C4157" s="124">
        <v>57.03</v>
      </c>
      <c r="D4157" s="156">
        <f t="shared" si="129"/>
        <v>-9.5519277526918585E-3</v>
      </c>
      <c r="E4157" s="156">
        <v>-1.3956259041783683E-2</v>
      </c>
      <c r="F4157" s="124">
        <v>4151</v>
      </c>
      <c r="G4157" s="238">
        <f t="shared" ca="1" si="130"/>
        <v>5.2667789314277558E-3</v>
      </c>
      <c r="I4157" s="156"/>
    </row>
    <row r="4158" spans="2:9" x14ac:dyDescent="0.2">
      <c r="B4158" s="230">
        <v>39874</v>
      </c>
      <c r="C4158" s="124">
        <v>59.32</v>
      </c>
      <c r="D4158" s="156">
        <f t="shared" ref="D4158:D4221" si="131">(C4158-C4157)/C4157</f>
        <v>4.0154304751884959E-2</v>
      </c>
      <c r="E4158" s="156">
        <v>-1.3965980304386668E-2</v>
      </c>
      <c r="F4158" s="124">
        <v>4152</v>
      </c>
      <c r="G4158" s="238">
        <f t="shared" ca="1" si="130"/>
        <v>7.1713251578543009E-4</v>
      </c>
      <c r="I4158" s="156"/>
    </row>
    <row r="4159" spans="2:9" x14ac:dyDescent="0.2">
      <c r="B4159" s="230">
        <v>39871</v>
      </c>
      <c r="C4159" s="124">
        <v>60.68</v>
      </c>
      <c r="D4159" s="156">
        <f t="shared" si="131"/>
        <v>2.2926500337154408E-2</v>
      </c>
      <c r="E4159" s="156">
        <v>-1.3967611336032342E-2</v>
      </c>
      <c r="F4159" s="124">
        <v>4153</v>
      </c>
      <c r="G4159" s="238">
        <f t="shared" ca="1" si="130"/>
        <v>3.3332327375861635E-2</v>
      </c>
      <c r="I4159" s="156"/>
    </row>
    <row r="4160" spans="2:9" x14ac:dyDescent="0.2">
      <c r="B4160" s="230">
        <v>39870</v>
      </c>
      <c r="C4160" s="124">
        <v>61.01</v>
      </c>
      <c r="D4160" s="156">
        <f t="shared" si="131"/>
        <v>5.4383651944627277E-3</v>
      </c>
      <c r="E4160" s="156">
        <v>-1.3968618446230516E-2</v>
      </c>
      <c r="F4160" s="124">
        <v>4154</v>
      </c>
      <c r="G4160" s="238">
        <f t="shared" ca="1" si="130"/>
        <v>-2.4638512940889815E-2</v>
      </c>
      <c r="I4160" s="156"/>
    </row>
    <row r="4161" spans="2:9" x14ac:dyDescent="0.2">
      <c r="B4161" s="230">
        <v>39869</v>
      </c>
      <c r="C4161" s="124">
        <v>60.3</v>
      </c>
      <c r="D4161" s="156">
        <f t="shared" si="131"/>
        <v>-1.163743648582201E-2</v>
      </c>
      <c r="E4161" s="156">
        <v>-1.3978656245302973E-2</v>
      </c>
      <c r="F4161" s="124">
        <v>4155</v>
      </c>
      <c r="G4161" s="238">
        <f t="shared" ca="1" si="130"/>
        <v>-1.3452204734323603E-2</v>
      </c>
      <c r="I4161" s="156"/>
    </row>
    <row r="4162" spans="2:9" x14ac:dyDescent="0.2">
      <c r="B4162" s="230">
        <v>39868</v>
      </c>
      <c r="C4162" s="124">
        <v>59.86</v>
      </c>
      <c r="D4162" s="156">
        <f t="shared" si="131"/>
        <v>-7.296849087893827E-3</v>
      </c>
      <c r="E4162" s="156">
        <v>-1.3991302703724669E-2</v>
      </c>
      <c r="F4162" s="124">
        <v>4156</v>
      </c>
      <c r="G4162" s="238">
        <f t="shared" ca="1" si="130"/>
        <v>5.4521132844587436E-3</v>
      </c>
      <c r="I4162" s="156"/>
    </row>
    <row r="4163" spans="2:9" x14ac:dyDescent="0.2">
      <c r="B4163" s="230">
        <v>39864</v>
      </c>
      <c r="C4163" s="124">
        <v>59.73</v>
      </c>
      <c r="D4163" s="156">
        <f t="shared" si="131"/>
        <v>-2.1717340461076271E-3</v>
      </c>
      <c r="E4163" s="156">
        <v>-1.3993353157250305E-2</v>
      </c>
      <c r="F4163" s="124">
        <v>4157</v>
      </c>
      <c r="G4163" s="238">
        <f t="shared" ca="1" si="130"/>
        <v>1.228649167404332E-2</v>
      </c>
      <c r="I4163" s="156"/>
    </row>
    <row r="4164" spans="2:9" x14ac:dyDescent="0.2">
      <c r="B4164" s="230">
        <v>39863</v>
      </c>
      <c r="C4164" s="124">
        <v>60.01</v>
      </c>
      <c r="D4164" s="156">
        <f t="shared" si="131"/>
        <v>4.687761593838961E-3</v>
      </c>
      <c r="E4164" s="156">
        <v>-1.4021109271523219E-2</v>
      </c>
      <c r="F4164" s="124">
        <v>4158</v>
      </c>
      <c r="G4164" s="238">
        <f t="shared" ca="1" si="130"/>
        <v>1.069439302454472E-2</v>
      </c>
      <c r="I4164" s="156"/>
    </row>
    <row r="4165" spans="2:9" x14ac:dyDescent="0.2">
      <c r="B4165" s="230">
        <v>39862</v>
      </c>
      <c r="C4165" s="124">
        <v>59.68</v>
      </c>
      <c r="D4165" s="156">
        <f t="shared" si="131"/>
        <v>-5.4990834860856241E-3</v>
      </c>
      <c r="E4165" s="156">
        <v>-1.4024787997390728E-2</v>
      </c>
      <c r="F4165" s="124">
        <v>4159</v>
      </c>
      <c r="G4165" s="238">
        <f t="shared" ca="1" si="130"/>
        <v>3.3582083957177142E-2</v>
      </c>
      <c r="I4165" s="156"/>
    </row>
    <row r="4166" spans="2:9" x14ac:dyDescent="0.2">
      <c r="B4166" s="230">
        <v>39861</v>
      </c>
      <c r="C4166" s="124">
        <v>59.85</v>
      </c>
      <c r="D4166" s="156">
        <f t="shared" si="131"/>
        <v>2.8485254691689296E-3</v>
      </c>
      <c r="E4166" s="156">
        <v>-1.4026939154667952E-2</v>
      </c>
      <c r="F4166" s="124">
        <v>4160</v>
      </c>
      <c r="G4166" s="238">
        <f t="shared" ca="1" si="130"/>
        <v>2.9626564651921341E-2</v>
      </c>
      <c r="I4166" s="156"/>
    </row>
    <row r="4167" spans="2:9" x14ac:dyDescent="0.2">
      <c r="B4167" s="230">
        <v>39860</v>
      </c>
      <c r="C4167" s="124">
        <v>60.05</v>
      </c>
      <c r="D4167" s="156">
        <f t="shared" si="131"/>
        <v>3.3416875522137967E-3</v>
      </c>
      <c r="E4167" s="156">
        <v>-1.4028680858644366E-2</v>
      </c>
      <c r="F4167" s="124">
        <v>4161</v>
      </c>
      <c r="G4167" s="238">
        <f t="shared" ref="G4167:G4230" ca="1" si="132">_xlfn.NORM.INV(RAND(),$L$8,$L$9)</f>
        <v>1.4679276749198495E-2</v>
      </c>
      <c r="I4167" s="156"/>
    </row>
    <row r="4168" spans="2:9" x14ac:dyDescent="0.2">
      <c r="B4168" s="230">
        <v>39857</v>
      </c>
      <c r="C4168" s="124">
        <v>59.43</v>
      </c>
      <c r="D4168" s="156">
        <f t="shared" si="131"/>
        <v>-1.0324729392173148E-2</v>
      </c>
      <c r="E4168" s="156">
        <v>-1.4046941678520585E-2</v>
      </c>
      <c r="F4168" s="124">
        <v>4162</v>
      </c>
      <c r="G4168" s="238">
        <f t="shared" ca="1" si="132"/>
        <v>1.1606591540130901E-2</v>
      </c>
      <c r="I4168" s="156"/>
    </row>
    <row r="4169" spans="2:9" x14ac:dyDescent="0.2">
      <c r="B4169" s="230">
        <v>39856</v>
      </c>
      <c r="C4169" s="124">
        <v>59.1</v>
      </c>
      <c r="D4169" s="156">
        <f t="shared" si="131"/>
        <v>-5.5527511357899764E-3</v>
      </c>
      <c r="E4169" s="156">
        <v>-1.4051522248243581E-2</v>
      </c>
      <c r="F4169" s="124">
        <v>4163</v>
      </c>
      <c r="G4169" s="238">
        <f t="shared" ca="1" si="132"/>
        <v>4.2228927712207364E-3</v>
      </c>
      <c r="I4169" s="156"/>
    </row>
    <row r="4170" spans="2:9" x14ac:dyDescent="0.2">
      <c r="B4170" s="230">
        <v>39855</v>
      </c>
      <c r="C4170" s="124">
        <v>59.73</v>
      </c>
      <c r="D4170" s="156">
        <f t="shared" si="131"/>
        <v>1.0659898477157283E-2</v>
      </c>
      <c r="E4170" s="156">
        <v>-1.4065738821439189E-2</v>
      </c>
      <c r="F4170" s="124">
        <v>4164</v>
      </c>
      <c r="G4170" s="238">
        <f t="shared" ca="1" si="132"/>
        <v>-8.9239861692847876E-3</v>
      </c>
      <c r="I4170" s="156"/>
    </row>
    <row r="4171" spans="2:9" x14ac:dyDescent="0.2">
      <c r="B4171" s="230">
        <v>39854</v>
      </c>
      <c r="C4171" s="124">
        <v>59.78</v>
      </c>
      <c r="D4171" s="156">
        <f t="shared" si="131"/>
        <v>8.3710028461416819E-4</v>
      </c>
      <c r="E4171" s="156">
        <v>-1.4080965551923475E-2</v>
      </c>
      <c r="F4171" s="124">
        <v>4165</v>
      </c>
      <c r="G4171" s="238">
        <f t="shared" ca="1" si="132"/>
        <v>1.2641227592350167E-2</v>
      </c>
      <c r="I4171" s="156"/>
    </row>
    <row r="4172" spans="2:9" x14ac:dyDescent="0.2">
      <c r="B4172" s="230">
        <v>39853</v>
      </c>
      <c r="C4172" s="124">
        <v>60.71</v>
      </c>
      <c r="D4172" s="156">
        <f t="shared" si="131"/>
        <v>1.5557042489126793E-2</v>
      </c>
      <c r="E4172" s="156">
        <v>-1.4091595369904293E-2</v>
      </c>
      <c r="F4172" s="124">
        <v>4166</v>
      </c>
      <c r="G4172" s="238">
        <f t="shared" ca="1" si="132"/>
        <v>1.4102957035507195E-2</v>
      </c>
      <c r="I4172" s="156"/>
    </row>
    <row r="4173" spans="2:9" x14ac:dyDescent="0.2">
      <c r="B4173" s="230">
        <v>39850</v>
      </c>
      <c r="C4173" s="124">
        <v>60.51</v>
      </c>
      <c r="D4173" s="156">
        <f t="shared" si="131"/>
        <v>-3.2943501894251827E-3</v>
      </c>
      <c r="E4173" s="156">
        <v>-1.4096062052506075E-2</v>
      </c>
      <c r="F4173" s="124">
        <v>4167</v>
      </c>
      <c r="G4173" s="238">
        <f t="shared" ca="1" si="132"/>
        <v>1.830306843128628E-2</v>
      </c>
      <c r="I4173" s="156"/>
    </row>
    <row r="4174" spans="2:9" x14ac:dyDescent="0.2">
      <c r="B4174" s="230">
        <v>39849</v>
      </c>
      <c r="C4174" s="124">
        <v>60.1</v>
      </c>
      <c r="D4174" s="156">
        <f t="shared" si="131"/>
        <v>-6.7757395471822277E-3</v>
      </c>
      <c r="E4174" s="156">
        <v>-1.4109347442680796E-2</v>
      </c>
      <c r="F4174" s="124">
        <v>4168</v>
      </c>
      <c r="G4174" s="238">
        <f t="shared" ca="1" si="132"/>
        <v>-8.8868097190105723E-3</v>
      </c>
      <c r="I4174" s="156"/>
    </row>
    <row r="4175" spans="2:9" x14ac:dyDescent="0.2">
      <c r="B4175" s="230">
        <v>39848</v>
      </c>
      <c r="C4175" s="124">
        <v>59.96</v>
      </c>
      <c r="D4175" s="156">
        <f t="shared" si="131"/>
        <v>-2.3294509151414403E-3</v>
      </c>
      <c r="E4175" s="156">
        <v>-1.4120020171457444E-2</v>
      </c>
      <c r="F4175" s="124">
        <v>4169</v>
      </c>
      <c r="G4175" s="238">
        <f t="shared" ca="1" si="132"/>
        <v>2.561233890650351E-2</v>
      </c>
      <c r="I4175" s="156"/>
    </row>
    <row r="4176" spans="2:9" x14ac:dyDescent="0.2">
      <c r="B4176" s="230">
        <v>39847</v>
      </c>
      <c r="C4176" s="124">
        <v>59.96</v>
      </c>
      <c r="D4176" s="156">
        <f t="shared" si="131"/>
        <v>0</v>
      </c>
      <c r="E4176" s="156">
        <v>-1.4135702746365105E-2</v>
      </c>
      <c r="F4176" s="124">
        <v>4170</v>
      </c>
      <c r="G4176" s="238">
        <f t="shared" ca="1" si="132"/>
        <v>2.6507350344527763E-2</v>
      </c>
      <c r="I4176" s="156"/>
    </row>
    <row r="4177" spans="2:9" x14ac:dyDescent="0.2">
      <c r="B4177" s="230">
        <v>39846</v>
      </c>
      <c r="C4177" s="124">
        <v>59.07</v>
      </c>
      <c r="D4177" s="156">
        <f t="shared" si="131"/>
        <v>-1.4843228819212817E-2</v>
      </c>
      <c r="E4177" s="156">
        <v>-1.4137688795223037E-2</v>
      </c>
      <c r="F4177" s="124">
        <v>4171</v>
      </c>
      <c r="G4177" s="238">
        <f t="shared" ca="1" si="132"/>
        <v>3.4822638984373242E-4</v>
      </c>
      <c r="I4177" s="156"/>
    </row>
    <row r="4178" spans="2:9" x14ac:dyDescent="0.2">
      <c r="B4178" s="230">
        <v>39843</v>
      </c>
      <c r="C4178" s="124">
        <v>59.7</v>
      </c>
      <c r="D4178" s="156">
        <f t="shared" si="131"/>
        <v>1.0665312341290038E-2</v>
      </c>
      <c r="E4178" s="156">
        <v>-1.4138817480719835E-2</v>
      </c>
      <c r="F4178" s="124">
        <v>4172</v>
      </c>
      <c r="G4178" s="238">
        <f t="shared" ca="1" si="132"/>
        <v>-4.0189021853677349E-2</v>
      </c>
      <c r="I4178" s="156"/>
    </row>
    <row r="4179" spans="2:9" x14ac:dyDescent="0.2">
      <c r="B4179" s="230">
        <v>39842</v>
      </c>
      <c r="C4179" s="124">
        <v>58.16</v>
      </c>
      <c r="D4179" s="156">
        <f t="shared" si="131"/>
        <v>-2.579564489112238E-2</v>
      </c>
      <c r="E4179" s="156">
        <v>-1.4142732811140122E-2</v>
      </c>
      <c r="F4179" s="124">
        <v>4173</v>
      </c>
      <c r="G4179" s="238">
        <f t="shared" ca="1" si="132"/>
        <v>7.0500398386358432E-3</v>
      </c>
      <c r="I4179" s="156"/>
    </row>
    <row r="4180" spans="2:9" x14ac:dyDescent="0.2">
      <c r="B4180" s="230">
        <v>39841</v>
      </c>
      <c r="C4180" s="124">
        <v>58.22</v>
      </c>
      <c r="D4180" s="156">
        <f t="shared" si="131"/>
        <v>1.0316368638239731E-3</v>
      </c>
      <c r="E4180" s="156">
        <v>-1.4147063661786516E-2</v>
      </c>
      <c r="F4180" s="124">
        <v>4174</v>
      </c>
      <c r="G4180" s="238">
        <f t="shared" ca="1" si="132"/>
        <v>2.0078660355424926E-3</v>
      </c>
      <c r="I4180" s="156"/>
    </row>
    <row r="4181" spans="2:9" x14ac:dyDescent="0.2">
      <c r="B4181" s="230">
        <v>39840</v>
      </c>
      <c r="C4181" s="124">
        <v>56.62</v>
      </c>
      <c r="D4181" s="156">
        <f t="shared" si="131"/>
        <v>-2.7481964960494699E-2</v>
      </c>
      <c r="E4181" s="156">
        <v>-1.4152655134873557E-2</v>
      </c>
      <c r="F4181" s="124">
        <v>4175</v>
      </c>
      <c r="G4181" s="238">
        <f t="shared" ca="1" si="132"/>
        <v>-1.3638990908638132E-2</v>
      </c>
      <c r="I4181" s="156"/>
    </row>
    <row r="4182" spans="2:9" x14ac:dyDescent="0.2">
      <c r="B4182" s="230">
        <v>39836</v>
      </c>
      <c r="C4182" s="124">
        <v>56.48</v>
      </c>
      <c r="D4182" s="156">
        <f t="shared" si="131"/>
        <v>-2.4726245143059091E-3</v>
      </c>
      <c r="E4182" s="156">
        <v>-1.4160360276707289E-2</v>
      </c>
      <c r="F4182" s="124">
        <v>4176</v>
      </c>
      <c r="G4182" s="238">
        <f t="shared" ca="1" si="132"/>
        <v>2.5647575340005235E-3</v>
      </c>
      <c r="I4182" s="156"/>
    </row>
    <row r="4183" spans="2:9" x14ac:dyDescent="0.2">
      <c r="B4183" s="230">
        <v>39835</v>
      </c>
      <c r="C4183" s="124">
        <v>56.55</v>
      </c>
      <c r="D4183" s="156">
        <f t="shared" si="131"/>
        <v>1.2393767705382488E-3</v>
      </c>
      <c r="E4183" s="156">
        <v>-1.4166363966582034E-2</v>
      </c>
      <c r="F4183" s="124">
        <v>4177</v>
      </c>
      <c r="G4183" s="238">
        <f t="shared" ca="1" si="132"/>
        <v>-1.3016749375849073E-2</v>
      </c>
      <c r="I4183" s="156"/>
    </row>
    <row r="4184" spans="2:9" x14ac:dyDescent="0.2">
      <c r="B4184" s="230">
        <v>39834</v>
      </c>
      <c r="C4184" s="124">
        <v>56.77</v>
      </c>
      <c r="D4184" s="156">
        <f t="shared" si="131"/>
        <v>3.8903625110522718E-3</v>
      </c>
      <c r="E4184" s="156">
        <v>-1.4194959625811609E-2</v>
      </c>
      <c r="F4184" s="124">
        <v>4178</v>
      </c>
      <c r="G4184" s="238">
        <f t="shared" ca="1" si="132"/>
        <v>8.9962101887456798E-3</v>
      </c>
      <c r="I4184" s="156"/>
    </row>
    <row r="4185" spans="2:9" x14ac:dyDescent="0.2">
      <c r="B4185" s="230">
        <v>39833</v>
      </c>
      <c r="C4185" s="124">
        <v>56.57</v>
      </c>
      <c r="D4185" s="156">
        <f t="shared" si="131"/>
        <v>-3.5229874933944481E-3</v>
      </c>
      <c r="E4185" s="156">
        <v>-1.4215998302567343E-2</v>
      </c>
      <c r="F4185" s="124">
        <v>4179</v>
      </c>
      <c r="G4185" s="238">
        <f t="shared" ca="1" si="132"/>
        <v>-2.9953047393507112E-2</v>
      </c>
      <c r="I4185" s="156"/>
    </row>
    <row r="4186" spans="2:9" x14ac:dyDescent="0.2">
      <c r="B4186" s="230">
        <v>39832</v>
      </c>
      <c r="C4186" s="124">
        <v>56.57</v>
      </c>
      <c r="D4186" s="156">
        <f t="shared" si="131"/>
        <v>0</v>
      </c>
      <c r="E4186" s="156">
        <v>-1.4285714285714138E-2</v>
      </c>
      <c r="F4186" s="124">
        <v>4180</v>
      </c>
      <c r="G4186" s="238">
        <f t="shared" ca="1" si="132"/>
        <v>1.0107094443967377E-2</v>
      </c>
      <c r="I4186" s="156"/>
    </row>
    <row r="4187" spans="2:9" x14ac:dyDescent="0.2">
      <c r="B4187" s="230">
        <v>39829</v>
      </c>
      <c r="C4187" s="124">
        <v>56.93</v>
      </c>
      <c r="D4187" s="156">
        <f t="shared" si="131"/>
        <v>6.3637970655824544E-3</v>
      </c>
      <c r="E4187" s="156">
        <v>-1.4288472678123146E-2</v>
      </c>
      <c r="F4187" s="124">
        <v>4181</v>
      </c>
      <c r="G4187" s="238">
        <f t="shared" ca="1" si="132"/>
        <v>-2.3026033297663451E-2</v>
      </c>
      <c r="I4187" s="156"/>
    </row>
    <row r="4188" spans="2:9" x14ac:dyDescent="0.2">
      <c r="B4188" s="230">
        <v>39828</v>
      </c>
      <c r="C4188" s="124">
        <v>55.85</v>
      </c>
      <c r="D4188" s="156">
        <f t="shared" si="131"/>
        <v>-1.8970665729843638E-2</v>
      </c>
      <c r="E4188" s="156">
        <v>-1.4292520247737018E-2</v>
      </c>
      <c r="F4188" s="124">
        <v>4182</v>
      </c>
      <c r="G4188" s="238">
        <f t="shared" ca="1" si="132"/>
        <v>-2.8294371109280608E-2</v>
      </c>
      <c r="I4188" s="156"/>
    </row>
    <row r="4189" spans="2:9" x14ac:dyDescent="0.2">
      <c r="B4189" s="230">
        <v>39827</v>
      </c>
      <c r="C4189" s="124">
        <v>56.58</v>
      </c>
      <c r="D4189" s="156">
        <f t="shared" si="131"/>
        <v>1.3070725156669594E-2</v>
      </c>
      <c r="E4189" s="156">
        <v>-1.4322087842138792E-2</v>
      </c>
      <c r="F4189" s="124">
        <v>4183</v>
      </c>
      <c r="G4189" s="238">
        <f t="shared" ca="1" si="132"/>
        <v>-9.613438013990663E-3</v>
      </c>
      <c r="I4189" s="156"/>
    </row>
    <row r="4190" spans="2:9" x14ac:dyDescent="0.2">
      <c r="B4190" s="230">
        <v>39826</v>
      </c>
      <c r="C4190" s="124">
        <v>55.92</v>
      </c>
      <c r="D4190" s="156">
        <f t="shared" si="131"/>
        <v>-1.1664899257688169E-2</v>
      </c>
      <c r="E4190" s="156">
        <v>-1.4330110497237458E-2</v>
      </c>
      <c r="F4190" s="124">
        <v>4184</v>
      </c>
      <c r="G4190" s="238">
        <f t="shared" ca="1" si="132"/>
        <v>3.4900915552760654E-2</v>
      </c>
      <c r="I4190" s="156"/>
    </row>
    <row r="4191" spans="2:9" x14ac:dyDescent="0.2">
      <c r="B4191" s="230">
        <v>39825</v>
      </c>
      <c r="C4191" s="124">
        <v>54.73</v>
      </c>
      <c r="D4191" s="156">
        <f t="shared" si="131"/>
        <v>-2.1280400572246151E-2</v>
      </c>
      <c r="E4191" s="156">
        <v>-1.4330823415108034E-2</v>
      </c>
      <c r="F4191" s="124">
        <v>4185</v>
      </c>
      <c r="G4191" s="238">
        <f t="shared" ca="1" si="132"/>
        <v>-1.5234109620844857E-2</v>
      </c>
      <c r="I4191" s="156"/>
    </row>
    <row r="4192" spans="2:9" x14ac:dyDescent="0.2">
      <c r="B4192" s="230">
        <v>39822</v>
      </c>
      <c r="C4192" s="124">
        <v>56.24</v>
      </c>
      <c r="D4192" s="156">
        <f t="shared" si="131"/>
        <v>2.7589987209939798E-2</v>
      </c>
      <c r="E4192" s="156">
        <v>-1.4331723027375211E-2</v>
      </c>
      <c r="F4192" s="124">
        <v>4186</v>
      </c>
      <c r="G4192" s="238">
        <f t="shared" ca="1" si="132"/>
        <v>-1.198286782689063E-2</v>
      </c>
      <c r="I4192" s="156"/>
    </row>
    <row r="4193" spans="2:9" x14ac:dyDescent="0.2">
      <c r="B4193" s="230">
        <v>39820</v>
      </c>
      <c r="C4193" s="124">
        <v>55.72</v>
      </c>
      <c r="D4193" s="156">
        <f t="shared" si="131"/>
        <v>-9.2460881934566704E-3</v>
      </c>
      <c r="E4193" s="156">
        <v>-1.4357338195077542E-2</v>
      </c>
      <c r="F4193" s="124">
        <v>4187</v>
      </c>
      <c r="G4193" s="238">
        <f t="shared" ca="1" si="132"/>
        <v>-2.1309793283935289E-2</v>
      </c>
      <c r="I4193" s="156"/>
    </row>
    <row r="4194" spans="2:9" x14ac:dyDescent="0.2">
      <c r="B4194" s="230">
        <v>39819</v>
      </c>
      <c r="C4194" s="124">
        <v>57.81</v>
      </c>
      <c r="D4194" s="156">
        <f t="shared" si="131"/>
        <v>3.7508973438621744E-2</v>
      </c>
      <c r="E4194" s="156">
        <v>-1.4361702127659514E-2</v>
      </c>
      <c r="F4194" s="124">
        <v>4188</v>
      </c>
      <c r="G4194" s="238">
        <f t="shared" ca="1" si="132"/>
        <v>-1.6193772508081709E-3</v>
      </c>
      <c r="I4194" s="156"/>
    </row>
    <row r="4195" spans="2:9" x14ac:dyDescent="0.2">
      <c r="B4195" s="230">
        <v>39818</v>
      </c>
      <c r="C4195" s="124">
        <v>57.33</v>
      </c>
      <c r="D4195" s="156">
        <f t="shared" si="131"/>
        <v>-8.3030617540218645E-3</v>
      </c>
      <c r="E4195" s="156">
        <v>-1.4362220058422673E-2</v>
      </c>
      <c r="F4195" s="124">
        <v>4189</v>
      </c>
      <c r="G4195" s="238">
        <f t="shared" ca="1" si="132"/>
        <v>-1.9996122137794736E-2</v>
      </c>
      <c r="I4195" s="156"/>
    </row>
    <row r="4196" spans="2:9" x14ac:dyDescent="0.2">
      <c r="B4196" s="230">
        <v>39815</v>
      </c>
      <c r="C4196" s="124">
        <v>57.84</v>
      </c>
      <c r="D4196" s="156">
        <f t="shared" si="131"/>
        <v>8.8958660387232717E-3</v>
      </c>
      <c r="E4196" s="156">
        <v>-1.4383890043151647E-2</v>
      </c>
      <c r="F4196" s="124">
        <v>4190</v>
      </c>
      <c r="G4196" s="238">
        <f t="shared" ca="1" si="132"/>
        <v>-3.1444348252264269E-3</v>
      </c>
      <c r="I4196" s="156"/>
    </row>
    <row r="4197" spans="2:9" x14ac:dyDescent="0.2">
      <c r="B4197" s="230">
        <v>39814</v>
      </c>
      <c r="C4197" s="124">
        <v>56.9</v>
      </c>
      <c r="D4197" s="156">
        <f t="shared" si="131"/>
        <v>-1.6251728907330648E-2</v>
      </c>
      <c r="E4197" s="156">
        <v>-1.4393353941267339E-2</v>
      </c>
      <c r="F4197" s="124">
        <v>4191</v>
      </c>
      <c r="G4197" s="238">
        <f t="shared" ca="1" si="132"/>
        <v>2.9765615043573179E-2</v>
      </c>
      <c r="I4197" s="156"/>
    </row>
    <row r="4198" spans="2:9" x14ac:dyDescent="0.2">
      <c r="B4198" s="230">
        <v>39813</v>
      </c>
      <c r="C4198" s="124">
        <v>56.91</v>
      </c>
      <c r="D4198" s="156">
        <f t="shared" si="131"/>
        <v>1.7574692442878754E-4</v>
      </c>
      <c r="E4198" s="156">
        <v>-1.4394086753549959E-2</v>
      </c>
      <c r="F4198" s="124">
        <v>4192</v>
      </c>
      <c r="G4198" s="238">
        <f t="shared" ca="1" si="132"/>
        <v>-2.954006475157759E-3</v>
      </c>
      <c r="I4198" s="156"/>
    </row>
    <row r="4199" spans="2:9" x14ac:dyDescent="0.2">
      <c r="B4199" s="230">
        <v>39812</v>
      </c>
      <c r="C4199" s="124">
        <v>57</v>
      </c>
      <c r="D4199" s="156">
        <f t="shared" si="131"/>
        <v>1.5814443858724902E-3</v>
      </c>
      <c r="E4199" s="156">
        <v>-1.4434008897676796E-2</v>
      </c>
      <c r="F4199" s="124">
        <v>4193</v>
      </c>
      <c r="G4199" s="238">
        <f t="shared" ca="1" si="132"/>
        <v>1.0695442238378367E-2</v>
      </c>
      <c r="I4199" s="156"/>
    </row>
    <row r="4200" spans="2:9" x14ac:dyDescent="0.2">
      <c r="B4200" s="230">
        <v>39811</v>
      </c>
      <c r="C4200" s="124">
        <v>56.75</v>
      </c>
      <c r="D4200" s="156">
        <f t="shared" si="131"/>
        <v>-4.3859649122807015E-3</v>
      </c>
      <c r="E4200" s="156">
        <v>-1.4441392752724458E-2</v>
      </c>
      <c r="F4200" s="124">
        <v>4194</v>
      </c>
      <c r="G4200" s="238">
        <f t="shared" ca="1" si="132"/>
        <v>1.1849641630536055E-2</v>
      </c>
      <c r="I4200" s="156"/>
    </row>
    <row r="4201" spans="2:9" x14ac:dyDescent="0.2">
      <c r="B4201" s="230">
        <v>39808</v>
      </c>
      <c r="C4201" s="124">
        <v>56.57</v>
      </c>
      <c r="D4201" s="156">
        <f t="shared" si="131"/>
        <v>-3.1718061674008763E-3</v>
      </c>
      <c r="E4201" s="156">
        <v>-1.4443374564846964E-2</v>
      </c>
      <c r="F4201" s="124">
        <v>4195</v>
      </c>
      <c r="G4201" s="238">
        <f t="shared" ca="1" si="132"/>
        <v>-1.5167288144486762E-2</v>
      </c>
      <c r="I4201" s="156"/>
    </row>
    <row r="4202" spans="2:9" x14ac:dyDescent="0.2">
      <c r="B4202" s="230">
        <v>39806</v>
      </c>
      <c r="C4202" s="124">
        <v>57.13</v>
      </c>
      <c r="D4202" s="156">
        <f t="shared" si="131"/>
        <v>9.899239879794984E-3</v>
      </c>
      <c r="E4202" s="156">
        <v>-1.4495124664616213E-2</v>
      </c>
      <c r="F4202" s="124">
        <v>4196</v>
      </c>
      <c r="G4202" s="238">
        <f t="shared" ca="1" si="132"/>
        <v>1.2073665117066394E-2</v>
      </c>
      <c r="I4202" s="156"/>
    </row>
    <row r="4203" spans="2:9" x14ac:dyDescent="0.2">
      <c r="B4203" s="230">
        <v>39805</v>
      </c>
      <c r="C4203" s="124">
        <v>58.94</v>
      </c>
      <c r="D4203" s="156">
        <f t="shared" si="131"/>
        <v>3.1682128478907667E-2</v>
      </c>
      <c r="E4203" s="156">
        <v>-1.4513924885726462E-2</v>
      </c>
      <c r="F4203" s="124">
        <v>4197</v>
      </c>
      <c r="G4203" s="238">
        <f t="shared" ca="1" si="132"/>
        <v>-4.9402274152867938E-3</v>
      </c>
      <c r="I4203" s="156"/>
    </row>
    <row r="4204" spans="2:9" x14ac:dyDescent="0.2">
      <c r="B4204" s="230">
        <v>39804</v>
      </c>
      <c r="C4204" s="124">
        <v>59.65</v>
      </c>
      <c r="D4204" s="156">
        <f t="shared" si="131"/>
        <v>1.2046148625721087E-2</v>
      </c>
      <c r="E4204" s="156">
        <v>-1.45192704951898E-2</v>
      </c>
      <c r="F4204" s="124">
        <v>4198</v>
      </c>
      <c r="G4204" s="238">
        <f t="shared" ca="1" si="132"/>
        <v>-1.7496735926203062E-2</v>
      </c>
      <c r="I4204" s="156"/>
    </row>
    <row r="4205" spans="2:9" x14ac:dyDescent="0.2">
      <c r="B4205" s="230">
        <v>39801</v>
      </c>
      <c r="C4205" s="124">
        <v>59.35</v>
      </c>
      <c r="D4205" s="156">
        <f t="shared" si="131"/>
        <v>-5.029337803855778E-3</v>
      </c>
      <c r="E4205" s="156">
        <v>-1.4525646845211088E-2</v>
      </c>
      <c r="F4205" s="124">
        <v>4199</v>
      </c>
      <c r="G4205" s="238">
        <f t="shared" ca="1" si="132"/>
        <v>-1.8118084874112959E-4</v>
      </c>
      <c r="I4205" s="156"/>
    </row>
    <row r="4206" spans="2:9" x14ac:dyDescent="0.2">
      <c r="B4206" s="230">
        <v>39800</v>
      </c>
      <c r="C4206" s="124">
        <v>59.68</v>
      </c>
      <c r="D4206" s="156">
        <f t="shared" si="131"/>
        <v>5.5602358887952537E-3</v>
      </c>
      <c r="E4206" s="156">
        <v>-1.4537524986371148E-2</v>
      </c>
      <c r="F4206" s="124">
        <v>4200</v>
      </c>
      <c r="G4206" s="238">
        <f t="shared" ca="1" si="132"/>
        <v>2.9608730444838405E-2</v>
      </c>
      <c r="I4206" s="156"/>
    </row>
    <row r="4207" spans="2:9" x14ac:dyDescent="0.2">
      <c r="B4207" s="230">
        <v>39799</v>
      </c>
      <c r="C4207" s="124">
        <v>57.13</v>
      </c>
      <c r="D4207" s="156">
        <f t="shared" si="131"/>
        <v>-4.2727882037533464E-2</v>
      </c>
      <c r="E4207" s="156">
        <v>-1.4537954625484111E-2</v>
      </c>
      <c r="F4207" s="124">
        <v>4201</v>
      </c>
      <c r="G4207" s="238">
        <f t="shared" ca="1" si="132"/>
        <v>-6.5023176587047987E-3</v>
      </c>
      <c r="I4207" s="156"/>
    </row>
    <row r="4208" spans="2:9" x14ac:dyDescent="0.2">
      <c r="B4208" s="230">
        <v>39798</v>
      </c>
      <c r="C4208" s="124">
        <v>58.52</v>
      </c>
      <c r="D4208" s="156">
        <f t="shared" si="131"/>
        <v>2.4330474356730272E-2</v>
      </c>
      <c r="E4208" s="156">
        <v>-1.4540466392318275E-2</v>
      </c>
      <c r="F4208" s="124">
        <v>4202</v>
      </c>
      <c r="G4208" s="238">
        <f t="shared" ca="1" si="132"/>
        <v>2.1760786785885181E-2</v>
      </c>
      <c r="I4208" s="156"/>
    </row>
    <row r="4209" spans="2:9" x14ac:dyDescent="0.2">
      <c r="B4209" s="230">
        <v>39797</v>
      </c>
      <c r="C4209" s="124">
        <v>57.51</v>
      </c>
      <c r="D4209" s="156">
        <f t="shared" si="131"/>
        <v>-1.7259056732741029E-2</v>
      </c>
      <c r="E4209" s="156">
        <v>-1.4576210185351849E-2</v>
      </c>
      <c r="F4209" s="124">
        <v>4203</v>
      </c>
      <c r="G4209" s="238">
        <f t="shared" ca="1" si="132"/>
        <v>-5.1650783403555979E-3</v>
      </c>
      <c r="I4209" s="156"/>
    </row>
    <row r="4210" spans="2:9" x14ac:dyDescent="0.2">
      <c r="B4210" s="230">
        <v>39794</v>
      </c>
      <c r="C4210" s="124">
        <v>57.15</v>
      </c>
      <c r="D4210" s="156">
        <f t="shared" si="131"/>
        <v>-6.2597809076682222E-3</v>
      </c>
      <c r="E4210" s="156">
        <v>-1.4585865601667015E-2</v>
      </c>
      <c r="F4210" s="124">
        <v>4204</v>
      </c>
      <c r="G4210" s="238">
        <f t="shared" ca="1" si="132"/>
        <v>-3.7871660180850572E-2</v>
      </c>
      <c r="I4210" s="156"/>
    </row>
    <row r="4211" spans="2:9" x14ac:dyDescent="0.2">
      <c r="B4211" s="230">
        <v>39793</v>
      </c>
      <c r="C4211" s="124">
        <v>56.73</v>
      </c>
      <c r="D4211" s="156">
        <f t="shared" si="131"/>
        <v>-7.3490813648294266E-3</v>
      </c>
      <c r="E4211" s="156">
        <v>-1.4586709886547649E-2</v>
      </c>
      <c r="F4211" s="124">
        <v>4205</v>
      </c>
      <c r="G4211" s="238">
        <f t="shared" ca="1" si="132"/>
        <v>-2.0661240855409432E-2</v>
      </c>
      <c r="I4211" s="156"/>
    </row>
    <row r="4212" spans="2:9" x14ac:dyDescent="0.2">
      <c r="B4212" s="230">
        <v>39792</v>
      </c>
      <c r="C4212" s="124">
        <v>56.47</v>
      </c>
      <c r="D4212" s="156">
        <f t="shared" si="131"/>
        <v>-4.58311299136256E-3</v>
      </c>
      <c r="E4212" s="156">
        <v>-1.4603739982190642E-2</v>
      </c>
      <c r="F4212" s="124">
        <v>4206</v>
      </c>
      <c r="G4212" s="238">
        <f t="shared" ca="1" si="132"/>
        <v>-7.6865450707149421E-3</v>
      </c>
      <c r="I4212" s="156"/>
    </row>
    <row r="4213" spans="2:9" x14ac:dyDescent="0.2">
      <c r="B4213" s="230">
        <v>39790</v>
      </c>
      <c r="C4213" s="124">
        <v>56.32</v>
      </c>
      <c r="D4213" s="156">
        <f t="shared" si="131"/>
        <v>-2.6562776695590326E-3</v>
      </c>
      <c r="E4213" s="156">
        <v>-1.4604936468526362E-2</v>
      </c>
      <c r="F4213" s="124">
        <v>4207</v>
      </c>
      <c r="G4213" s="238">
        <f t="shared" ca="1" si="132"/>
        <v>9.4151740518605941E-3</v>
      </c>
      <c r="I4213" s="156"/>
    </row>
    <row r="4214" spans="2:9" x14ac:dyDescent="0.2">
      <c r="B4214" s="230">
        <v>39787</v>
      </c>
      <c r="C4214" s="124">
        <v>56.14</v>
      </c>
      <c r="D4214" s="156">
        <f t="shared" si="131"/>
        <v>-3.1960227272727223E-3</v>
      </c>
      <c r="E4214" s="156">
        <v>-1.4614630960156812E-2</v>
      </c>
      <c r="F4214" s="124">
        <v>4208</v>
      </c>
      <c r="G4214" s="238">
        <f t="shared" ca="1" si="132"/>
        <v>-8.166416666322807E-3</v>
      </c>
      <c r="I4214" s="156"/>
    </row>
    <row r="4215" spans="2:9" x14ac:dyDescent="0.2">
      <c r="B4215" s="230">
        <v>39786</v>
      </c>
      <c r="C4215" s="124">
        <v>57.69</v>
      </c>
      <c r="D4215" s="156">
        <f t="shared" si="131"/>
        <v>2.7609547559672196E-2</v>
      </c>
      <c r="E4215" s="156">
        <v>-1.4650705735215375E-2</v>
      </c>
      <c r="F4215" s="124">
        <v>4209</v>
      </c>
      <c r="G4215" s="238">
        <f t="shared" ca="1" si="132"/>
        <v>1.9287724881938247E-2</v>
      </c>
      <c r="I4215" s="156"/>
    </row>
    <row r="4216" spans="2:9" x14ac:dyDescent="0.2">
      <c r="B4216" s="230">
        <v>39785</v>
      </c>
      <c r="C4216" s="124">
        <v>55.92</v>
      </c>
      <c r="D4216" s="156">
        <f t="shared" si="131"/>
        <v>-3.0681227249089896E-2</v>
      </c>
      <c r="E4216" s="156">
        <v>-1.4689517026485568E-2</v>
      </c>
      <c r="F4216" s="124">
        <v>4210</v>
      </c>
      <c r="G4216" s="238">
        <f t="shared" ca="1" si="132"/>
        <v>-4.0777968400725426E-3</v>
      </c>
      <c r="I4216" s="156"/>
    </row>
    <row r="4217" spans="2:9" x14ac:dyDescent="0.2">
      <c r="B4217" s="230">
        <v>39784</v>
      </c>
      <c r="C4217" s="124">
        <v>56.22</v>
      </c>
      <c r="D4217" s="156">
        <f t="shared" si="131"/>
        <v>5.3648068669527385E-3</v>
      </c>
      <c r="E4217" s="156">
        <v>-1.4699020065329037E-2</v>
      </c>
      <c r="F4217" s="124">
        <v>4211</v>
      </c>
      <c r="G4217" s="238">
        <f t="shared" ca="1" si="132"/>
        <v>2.865105249003453E-2</v>
      </c>
      <c r="I4217" s="156"/>
    </row>
    <row r="4218" spans="2:9" x14ac:dyDescent="0.2">
      <c r="B4218" s="230">
        <v>39783</v>
      </c>
      <c r="C4218" s="124">
        <v>54.78</v>
      </c>
      <c r="D4218" s="156">
        <f t="shared" si="131"/>
        <v>-2.561366061899676E-2</v>
      </c>
      <c r="E4218" s="156">
        <v>-1.471436814772078E-2</v>
      </c>
      <c r="F4218" s="124">
        <v>4212</v>
      </c>
      <c r="G4218" s="238">
        <f t="shared" ca="1" si="132"/>
        <v>-3.1023549394488401E-2</v>
      </c>
      <c r="I4218" s="156"/>
    </row>
    <row r="4219" spans="2:9" x14ac:dyDescent="0.2">
      <c r="B4219" s="230">
        <v>39780</v>
      </c>
      <c r="C4219" s="124">
        <v>57.54</v>
      </c>
      <c r="D4219" s="156">
        <f t="shared" si="131"/>
        <v>5.0383351588170831E-2</v>
      </c>
      <c r="E4219" s="156">
        <v>-1.4741420976317116E-2</v>
      </c>
      <c r="F4219" s="124">
        <v>4213</v>
      </c>
      <c r="G4219" s="238">
        <f t="shared" ca="1" si="132"/>
        <v>-5.9716695054277593E-3</v>
      </c>
      <c r="I4219" s="156"/>
    </row>
    <row r="4220" spans="2:9" x14ac:dyDescent="0.2">
      <c r="B4220" s="230">
        <v>39778</v>
      </c>
      <c r="C4220" s="124">
        <v>57.15</v>
      </c>
      <c r="D4220" s="156">
        <f t="shared" si="131"/>
        <v>-6.7778936392075178E-3</v>
      </c>
      <c r="E4220" s="156">
        <v>-1.4749262536873184E-2</v>
      </c>
      <c r="F4220" s="124">
        <v>4214</v>
      </c>
      <c r="G4220" s="238">
        <f t="shared" ca="1" si="132"/>
        <v>2.2148306454782712E-3</v>
      </c>
      <c r="I4220" s="156"/>
    </row>
    <row r="4221" spans="2:9" x14ac:dyDescent="0.2">
      <c r="B4221" s="230">
        <v>39777</v>
      </c>
      <c r="C4221" s="124">
        <v>55.9</v>
      </c>
      <c r="D4221" s="156">
        <f t="shared" si="131"/>
        <v>-2.1872265966754158E-2</v>
      </c>
      <c r="E4221" s="156">
        <v>-1.4751936706774405E-2</v>
      </c>
      <c r="F4221" s="124">
        <v>4215</v>
      </c>
      <c r="G4221" s="238">
        <f t="shared" ca="1" si="132"/>
        <v>6.4721449802483191E-3</v>
      </c>
      <c r="I4221" s="156"/>
    </row>
    <row r="4222" spans="2:9" x14ac:dyDescent="0.2">
      <c r="B4222" s="230">
        <v>39776</v>
      </c>
      <c r="C4222" s="124">
        <v>57.06</v>
      </c>
      <c r="D4222" s="156">
        <f t="shared" ref="D4222:D4285" si="133">(C4222-C4221)/C4221</f>
        <v>2.0751341681574307E-2</v>
      </c>
      <c r="E4222" s="156">
        <v>-1.4776392642315346E-2</v>
      </c>
      <c r="F4222" s="124">
        <v>4216</v>
      </c>
      <c r="G4222" s="238">
        <f t="shared" ca="1" si="132"/>
        <v>2.3621006951548808E-2</v>
      </c>
      <c r="I4222" s="156"/>
    </row>
    <row r="4223" spans="2:9" x14ac:dyDescent="0.2">
      <c r="B4223" s="230">
        <v>39773</v>
      </c>
      <c r="C4223" s="124">
        <v>56.3</v>
      </c>
      <c r="D4223" s="156">
        <f t="shared" si="133"/>
        <v>-1.3319313003855679E-2</v>
      </c>
      <c r="E4223" s="156">
        <v>-1.4792899408284084E-2</v>
      </c>
      <c r="F4223" s="124">
        <v>4217</v>
      </c>
      <c r="G4223" s="238">
        <f t="shared" ca="1" si="132"/>
        <v>7.6793297726077013E-3</v>
      </c>
      <c r="I4223" s="156"/>
    </row>
    <row r="4224" spans="2:9" x14ac:dyDescent="0.2">
      <c r="B4224" s="230">
        <v>39772</v>
      </c>
      <c r="C4224" s="124">
        <v>54.58</v>
      </c>
      <c r="D4224" s="156">
        <f t="shared" si="133"/>
        <v>-3.0550621669626979E-2</v>
      </c>
      <c r="E4224" s="156">
        <v>-1.4799369373951059E-2</v>
      </c>
      <c r="F4224" s="124">
        <v>4218</v>
      </c>
      <c r="G4224" s="238">
        <f t="shared" ca="1" si="132"/>
        <v>8.2733604715737666E-3</v>
      </c>
      <c r="I4224" s="156"/>
    </row>
    <row r="4225" spans="2:9" x14ac:dyDescent="0.2">
      <c r="B4225" s="230">
        <v>39771</v>
      </c>
      <c r="C4225" s="124">
        <v>54.73</v>
      </c>
      <c r="D4225" s="156">
        <f t="shared" si="133"/>
        <v>2.7482594356907034E-3</v>
      </c>
      <c r="E4225" s="156">
        <v>-1.4813826237822148E-2</v>
      </c>
      <c r="F4225" s="124">
        <v>4219</v>
      </c>
      <c r="G4225" s="238">
        <f t="shared" ca="1" si="132"/>
        <v>-5.744810238212196E-3</v>
      </c>
      <c r="I4225" s="156"/>
    </row>
    <row r="4226" spans="2:9" x14ac:dyDescent="0.2">
      <c r="B4226" s="230">
        <v>39770</v>
      </c>
      <c r="C4226" s="124">
        <v>53.27</v>
      </c>
      <c r="D4226" s="156">
        <f t="shared" si="133"/>
        <v>-2.6676411474511125E-2</v>
      </c>
      <c r="E4226" s="156">
        <v>-1.4822948119681675E-2</v>
      </c>
      <c r="F4226" s="124">
        <v>4220</v>
      </c>
      <c r="G4226" s="238">
        <f t="shared" ca="1" si="132"/>
        <v>3.2356493272666195E-2</v>
      </c>
      <c r="I4226" s="156"/>
    </row>
    <row r="4227" spans="2:9" x14ac:dyDescent="0.2">
      <c r="B4227" s="230">
        <v>39769</v>
      </c>
      <c r="C4227" s="124">
        <v>54.76</v>
      </c>
      <c r="D4227" s="156">
        <f t="shared" si="133"/>
        <v>2.7970715224328792E-2</v>
      </c>
      <c r="E4227" s="156">
        <v>-1.4833759590792917E-2</v>
      </c>
      <c r="F4227" s="124">
        <v>4221</v>
      </c>
      <c r="G4227" s="238">
        <f t="shared" ca="1" si="132"/>
        <v>-1.932321572788525E-2</v>
      </c>
      <c r="I4227" s="156"/>
    </row>
    <row r="4228" spans="2:9" x14ac:dyDescent="0.2">
      <c r="B4228" s="230">
        <v>39766</v>
      </c>
      <c r="C4228" s="124">
        <v>56.2</v>
      </c>
      <c r="D4228" s="156">
        <f t="shared" si="133"/>
        <v>2.6296566837107467E-2</v>
      </c>
      <c r="E4228" s="156">
        <v>-1.4843228819212817E-2</v>
      </c>
      <c r="F4228" s="124">
        <v>4222</v>
      </c>
      <c r="G4228" s="238">
        <f t="shared" ca="1" si="132"/>
        <v>-3.0452139558732029E-2</v>
      </c>
      <c r="I4228" s="156"/>
    </row>
    <row r="4229" spans="2:9" x14ac:dyDescent="0.2">
      <c r="B4229" s="230">
        <v>39764</v>
      </c>
      <c r="C4229" s="124">
        <v>56.35</v>
      </c>
      <c r="D4229" s="156">
        <f t="shared" si="133"/>
        <v>2.6690391459074478E-3</v>
      </c>
      <c r="E4229" s="156">
        <v>-1.485325697924115E-2</v>
      </c>
      <c r="F4229" s="124">
        <v>4223</v>
      </c>
      <c r="G4229" s="238">
        <f t="shared" ca="1" si="132"/>
        <v>-3.9424537090973925E-2</v>
      </c>
      <c r="I4229" s="156"/>
    </row>
    <row r="4230" spans="2:9" x14ac:dyDescent="0.2">
      <c r="B4230" s="230">
        <v>39763</v>
      </c>
      <c r="C4230" s="124">
        <v>57.2</v>
      </c>
      <c r="D4230" s="156">
        <f t="shared" si="133"/>
        <v>1.5084294587400203E-2</v>
      </c>
      <c r="E4230" s="156">
        <v>-1.4900286194521425E-2</v>
      </c>
      <c r="F4230" s="124">
        <v>4224</v>
      </c>
      <c r="G4230" s="238">
        <f t="shared" ca="1" si="132"/>
        <v>1.8437017703289305E-2</v>
      </c>
      <c r="I4230" s="156"/>
    </row>
    <row r="4231" spans="2:9" x14ac:dyDescent="0.2">
      <c r="B4231" s="230">
        <v>39762</v>
      </c>
      <c r="C4231" s="124">
        <v>57.11</v>
      </c>
      <c r="D4231" s="156">
        <f t="shared" si="133"/>
        <v>-1.5734265734266329E-3</v>
      </c>
      <c r="E4231" s="156">
        <v>-1.4901783698351696E-2</v>
      </c>
      <c r="F4231" s="124">
        <v>4225</v>
      </c>
      <c r="G4231" s="238">
        <f t="shared" ref="G4231:G4294" ca="1" si="134">_xlfn.NORM.INV(RAND(),$L$8,$L$9)</f>
        <v>2.1408707360967182E-2</v>
      </c>
      <c r="I4231" s="156"/>
    </row>
    <row r="4232" spans="2:9" x14ac:dyDescent="0.2">
      <c r="B4232" s="230">
        <v>39759</v>
      </c>
      <c r="C4232" s="124">
        <v>57.89</v>
      </c>
      <c r="D4232" s="156">
        <f t="shared" si="133"/>
        <v>1.3657853265627755E-2</v>
      </c>
      <c r="E4232" s="156">
        <v>-1.4914645103324266E-2</v>
      </c>
      <c r="F4232" s="124">
        <v>4226</v>
      </c>
      <c r="G4232" s="238">
        <f t="shared" ca="1" si="134"/>
        <v>-6.1019359205200406E-3</v>
      </c>
      <c r="I4232" s="156"/>
    </row>
    <row r="4233" spans="2:9" x14ac:dyDescent="0.2">
      <c r="B4233" s="230">
        <v>39758</v>
      </c>
      <c r="C4233" s="124">
        <v>55.92</v>
      </c>
      <c r="D4233" s="156">
        <f t="shared" si="133"/>
        <v>-3.4030057004664001E-2</v>
      </c>
      <c r="E4233" s="156">
        <v>-1.4921157919510415E-2</v>
      </c>
      <c r="F4233" s="124">
        <v>4227</v>
      </c>
      <c r="G4233" s="238">
        <f t="shared" ca="1" si="134"/>
        <v>8.0078506225972363E-3</v>
      </c>
      <c r="I4233" s="156"/>
    </row>
    <row r="4234" spans="2:9" x14ac:dyDescent="0.2">
      <c r="B4234" s="230">
        <v>39757</v>
      </c>
      <c r="C4234" s="124">
        <v>56.28</v>
      </c>
      <c r="D4234" s="156">
        <f t="shared" si="133"/>
        <v>6.4377682403433372E-3</v>
      </c>
      <c r="E4234" s="156">
        <v>-1.4945424013434051E-2</v>
      </c>
      <c r="F4234" s="124">
        <v>4228</v>
      </c>
      <c r="G4234" s="238">
        <f t="shared" ca="1" si="134"/>
        <v>-1.2102714461895077E-2</v>
      </c>
      <c r="I4234" s="156"/>
    </row>
    <row r="4235" spans="2:9" x14ac:dyDescent="0.2">
      <c r="B4235" s="230">
        <v>39756</v>
      </c>
      <c r="C4235" s="124">
        <v>56.6</v>
      </c>
      <c r="D4235" s="156">
        <f t="shared" si="133"/>
        <v>5.6858564321250939E-3</v>
      </c>
      <c r="E4235" s="156">
        <v>-1.4959006568538163E-2</v>
      </c>
      <c r="F4235" s="124">
        <v>4229</v>
      </c>
      <c r="G4235" s="238">
        <f t="shared" ca="1" si="134"/>
        <v>-2.431213300532194E-3</v>
      </c>
      <c r="I4235" s="156"/>
    </row>
    <row r="4236" spans="2:9" x14ac:dyDescent="0.2">
      <c r="B4236" s="230">
        <v>39755</v>
      </c>
      <c r="C4236" s="124">
        <v>52.97</v>
      </c>
      <c r="D4236" s="156">
        <f t="shared" si="133"/>
        <v>-6.4134275618374606E-2</v>
      </c>
      <c r="E4236" s="156">
        <v>-1.4994829369183118E-2</v>
      </c>
      <c r="F4236" s="124">
        <v>4230</v>
      </c>
      <c r="G4236" s="238">
        <f t="shared" ca="1" si="134"/>
        <v>-2.6615716128063935E-3</v>
      </c>
      <c r="I4236" s="156"/>
    </row>
    <row r="4237" spans="2:9" x14ac:dyDescent="0.2">
      <c r="B4237" s="230">
        <v>39752</v>
      </c>
      <c r="C4237" s="124">
        <v>51.43</v>
      </c>
      <c r="D4237" s="156">
        <f t="shared" si="133"/>
        <v>-2.907306022276759E-2</v>
      </c>
      <c r="E4237" s="156">
        <v>-1.5033947623666317E-2</v>
      </c>
      <c r="F4237" s="124">
        <v>4231</v>
      </c>
      <c r="G4237" s="238">
        <f t="shared" ca="1" si="134"/>
        <v>-1.7365591795178617E-2</v>
      </c>
      <c r="I4237" s="156"/>
    </row>
    <row r="4238" spans="2:9" x14ac:dyDescent="0.2">
      <c r="B4238" s="230">
        <v>39750</v>
      </c>
      <c r="C4238" s="124">
        <v>50.75</v>
      </c>
      <c r="D4238" s="156">
        <f t="shared" si="133"/>
        <v>-1.3221854948473648E-2</v>
      </c>
      <c r="E4238" s="156">
        <v>-1.5049199305421593E-2</v>
      </c>
      <c r="F4238" s="124">
        <v>4232</v>
      </c>
      <c r="G4238" s="238">
        <f t="shared" ca="1" si="134"/>
        <v>-1.946476862585678E-2</v>
      </c>
      <c r="I4238" s="156"/>
    </row>
    <row r="4239" spans="2:9" x14ac:dyDescent="0.2">
      <c r="B4239" s="230">
        <v>39749</v>
      </c>
      <c r="C4239" s="124">
        <v>51.48</v>
      </c>
      <c r="D4239" s="156">
        <f t="shared" si="133"/>
        <v>1.4384236453201908E-2</v>
      </c>
      <c r="E4239" s="156">
        <v>-1.5100785787495718E-2</v>
      </c>
      <c r="F4239" s="124">
        <v>4233</v>
      </c>
      <c r="G4239" s="238">
        <f t="shared" ca="1" si="134"/>
        <v>1.7170640059652843E-2</v>
      </c>
      <c r="I4239" s="156"/>
    </row>
    <row r="4240" spans="2:9" x14ac:dyDescent="0.2">
      <c r="B4240" s="230">
        <v>39748</v>
      </c>
      <c r="C4240" s="124">
        <v>49.39</v>
      </c>
      <c r="D4240" s="156">
        <f t="shared" si="133"/>
        <v>-4.059829059829053E-2</v>
      </c>
      <c r="E4240" s="156">
        <v>-1.5106270858949578E-2</v>
      </c>
      <c r="F4240" s="124">
        <v>4234</v>
      </c>
      <c r="G4240" s="238">
        <f t="shared" ca="1" si="134"/>
        <v>-1.223537527333061E-2</v>
      </c>
      <c r="I4240" s="156"/>
    </row>
    <row r="4241" spans="2:9" x14ac:dyDescent="0.2">
      <c r="B4241" s="230">
        <v>39745</v>
      </c>
      <c r="C4241" s="124">
        <v>52.67</v>
      </c>
      <c r="D4241" s="156">
        <f t="shared" si="133"/>
        <v>6.6410204494837033E-2</v>
      </c>
      <c r="E4241" s="156">
        <v>-1.514004542013626E-2</v>
      </c>
      <c r="F4241" s="124">
        <v>4235</v>
      </c>
      <c r="G4241" s="238">
        <f t="shared" ca="1" si="134"/>
        <v>9.2191839370025334E-3</v>
      </c>
      <c r="I4241" s="156"/>
    </row>
    <row r="4242" spans="2:9" x14ac:dyDescent="0.2">
      <c r="B4242" s="230">
        <v>39744</v>
      </c>
      <c r="C4242" s="124">
        <v>55.9</v>
      </c>
      <c r="D4242" s="156">
        <f t="shared" si="133"/>
        <v>6.1325232580216382E-2</v>
      </c>
      <c r="E4242" s="156">
        <v>-1.515601783060928E-2</v>
      </c>
      <c r="F4242" s="124">
        <v>4236</v>
      </c>
      <c r="G4242" s="238">
        <f t="shared" ca="1" si="134"/>
        <v>5.1479719590195429E-3</v>
      </c>
      <c r="I4242" s="156"/>
    </row>
    <row r="4243" spans="2:9" x14ac:dyDescent="0.2">
      <c r="B4243" s="230">
        <v>39743</v>
      </c>
      <c r="C4243" s="124">
        <v>56.63</v>
      </c>
      <c r="D4243" s="156">
        <f t="shared" si="133"/>
        <v>1.3059033989266619E-2</v>
      </c>
      <c r="E4243" s="156">
        <v>-1.5173916426737131E-2</v>
      </c>
      <c r="F4243" s="124">
        <v>4237</v>
      </c>
      <c r="G4243" s="238">
        <f t="shared" ca="1" si="134"/>
        <v>3.0818189192366546E-2</v>
      </c>
      <c r="I4243" s="156"/>
    </row>
    <row r="4244" spans="2:9" x14ac:dyDescent="0.2">
      <c r="B4244" s="230">
        <v>39742</v>
      </c>
      <c r="C4244" s="124">
        <v>56.05</v>
      </c>
      <c r="D4244" s="156">
        <f t="shared" si="133"/>
        <v>-1.0241921243157433E-2</v>
      </c>
      <c r="E4244" s="156">
        <v>-1.5195993783457011E-2</v>
      </c>
      <c r="F4244" s="124">
        <v>4238</v>
      </c>
      <c r="G4244" s="238">
        <f t="shared" ca="1" si="134"/>
        <v>-5.3612969434170136E-3</v>
      </c>
      <c r="I4244" s="156"/>
    </row>
    <row r="4245" spans="2:9" x14ac:dyDescent="0.2">
      <c r="B4245" s="230">
        <v>39741</v>
      </c>
      <c r="C4245" s="124">
        <v>54.76</v>
      </c>
      <c r="D4245" s="156">
        <f t="shared" si="133"/>
        <v>-2.3015165031222109E-2</v>
      </c>
      <c r="E4245" s="156">
        <v>-1.52068579947819E-2</v>
      </c>
      <c r="F4245" s="124">
        <v>4239</v>
      </c>
      <c r="G4245" s="238">
        <f t="shared" ca="1" si="134"/>
        <v>-1.0161934774613546E-2</v>
      </c>
      <c r="I4245" s="156"/>
    </row>
    <row r="4246" spans="2:9" x14ac:dyDescent="0.2">
      <c r="B4246" s="230">
        <v>39738</v>
      </c>
      <c r="C4246" s="124">
        <v>52.67</v>
      </c>
      <c r="D4246" s="156">
        <f t="shared" si="133"/>
        <v>-3.8166544923301612E-2</v>
      </c>
      <c r="E4246" s="156">
        <v>-1.5211267605633846E-2</v>
      </c>
      <c r="F4246" s="124">
        <v>4240</v>
      </c>
      <c r="G4246" s="238">
        <f t="shared" ca="1" si="134"/>
        <v>-9.1594413314170248E-3</v>
      </c>
      <c r="I4246" s="156"/>
    </row>
    <row r="4247" spans="2:9" x14ac:dyDescent="0.2">
      <c r="B4247" s="230">
        <v>39737</v>
      </c>
      <c r="C4247" s="124">
        <v>53.6</v>
      </c>
      <c r="D4247" s="156">
        <f t="shared" si="133"/>
        <v>1.7657110309474078E-2</v>
      </c>
      <c r="E4247" s="156">
        <v>-1.5212033653437632E-2</v>
      </c>
      <c r="F4247" s="124">
        <v>4241</v>
      </c>
      <c r="G4247" s="238">
        <f t="shared" ca="1" si="134"/>
        <v>-8.7696006148816445E-3</v>
      </c>
      <c r="I4247" s="156"/>
    </row>
    <row r="4248" spans="2:9" x14ac:dyDescent="0.2">
      <c r="B4248" s="230">
        <v>39736</v>
      </c>
      <c r="C4248" s="124">
        <v>53.25</v>
      </c>
      <c r="D4248" s="156">
        <f t="shared" si="133"/>
        <v>-6.5298507462686834E-3</v>
      </c>
      <c r="E4248" s="156">
        <v>-1.5220354384370778E-2</v>
      </c>
      <c r="F4248" s="124">
        <v>4242</v>
      </c>
      <c r="G4248" s="238">
        <f t="shared" ca="1" si="134"/>
        <v>-1.0017789573043202E-2</v>
      </c>
      <c r="I4248" s="156"/>
    </row>
    <row r="4249" spans="2:9" x14ac:dyDescent="0.2">
      <c r="B4249" s="230">
        <v>39735</v>
      </c>
      <c r="C4249" s="124">
        <v>56</v>
      </c>
      <c r="D4249" s="156">
        <f t="shared" si="133"/>
        <v>5.1643192488262914E-2</v>
      </c>
      <c r="E4249" s="156">
        <v>-1.5231316725978685E-2</v>
      </c>
      <c r="F4249" s="124">
        <v>4243</v>
      </c>
      <c r="G4249" s="238">
        <f t="shared" ca="1" si="134"/>
        <v>-2.6638397604775137E-2</v>
      </c>
      <c r="I4249" s="156"/>
    </row>
    <row r="4250" spans="2:9" x14ac:dyDescent="0.2">
      <c r="B4250" s="230">
        <v>39734</v>
      </c>
      <c r="C4250" s="124">
        <v>56.37</v>
      </c>
      <c r="D4250" s="156">
        <f t="shared" si="133"/>
        <v>6.6071428571428115E-3</v>
      </c>
      <c r="E4250" s="156">
        <v>-1.5235559500036995E-2</v>
      </c>
      <c r="F4250" s="124">
        <v>4244</v>
      </c>
      <c r="G4250" s="238">
        <f t="shared" ca="1" si="134"/>
        <v>-2.1499976002849553E-3</v>
      </c>
      <c r="I4250" s="156"/>
    </row>
    <row r="4251" spans="2:9" x14ac:dyDescent="0.2">
      <c r="B4251" s="230">
        <v>39731</v>
      </c>
      <c r="C4251" s="124">
        <v>54.15</v>
      </c>
      <c r="D4251" s="156">
        <f t="shared" si="133"/>
        <v>-3.9382650345928666E-2</v>
      </c>
      <c r="E4251" s="156">
        <v>-1.5268307144974607E-2</v>
      </c>
      <c r="F4251" s="124">
        <v>4245</v>
      </c>
      <c r="G4251" s="238">
        <f t="shared" ca="1" si="134"/>
        <v>1.2722277556952008E-2</v>
      </c>
      <c r="I4251" s="156"/>
    </row>
    <row r="4252" spans="2:9" x14ac:dyDescent="0.2">
      <c r="B4252" s="230">
        <v>39729</v>
      </c>
      <c r="C4252" s="124">
        <v>54.96</v>
      </c>
      <c r="D4252" s="156">
        <f t="shared" si="133"/>
        <v>1.4958448753462646E-2</v>
      </c>
      <c r="E4252" s="156">
        <v>-1.5279077019020953E-2</v>
      </c>
      <c r="F4252" s="124">
        <v>4246</v>
      </c>
      <c r="G4252" s="238">
        <f t="shared" ca="1" si="134"/>
        <v>3.5653189863023701E-3</v>
      </c>
      <c r="I4252" s="156"/>
    </row>
    <row r="4253" spans="2:9" x14ac:dyDescent="0.2">
      <c r="B4253" s="230">
        <v>39728</v>
      </c>
      <c r="C4253" s="124">
        <v>57.84</v>
      </c>
      <c r="D4253" s="156">
        <f t="shared" si="133"/>
        <v>5.2401746724890876E-2</v>
      </c>
      <c r="E4253" s="156">
        <v>-1.5315997643692613E-2</v>
      </c>
      <c r="F4253" s="124">
        <v>4247</v>
      </c>
      <c r="G4253" s="238">
        <f t="shared" ca="1" si="134"/>
        <v>-1.0276961247437511E-2</v>
      </c>
      <c r="I4253" s="156"/>
    </row>
    <row r="4254" spans="2:9" x14ac:dyDescent="0.2">
      <c r="B4254" s="230">
        <v>39727</v>
      </c>
      <c r="C4254" s="124">
        <v>59.67</v>
      </c>
      <c r="D4254" s="156">
        <f t="shared" si="133"/>
        <v>3.1639004149377564E-2</v>
      </c>
      <c r="E4254" s="156">
        <v>-1.5322735108216898E-2</v>
      </c>
      <c r="F4254" s="124">
        <v>4248</v>
      </c>
      <c r="G4254" s="238">
        <f t="shared" ca="1" si="134"/>
        <v>-1.7343340273646441E-2</v>
      </c>
      <c r="I4254" s="156"/>
    </row>
    <row r="4255" spans="2:9" x14ac:dyDescent="0.2">
      <c r="B4255" s="230">
        <v>39724</v>
      </c>
      <c r="C4255" s="124">
        <v>63.13</v>
      </c>
      <c r="D4255" s="156">
        <f t="shared" si="133"/>
        <v>5.7985587397352115E-2</v>
      </c>
      <c r="E4255" s="156">
        <v>-1.5328620424161809E-2</v>
      </c>
      <c r="F4255" s="124">
        <v>4249</v>
      </c>
      <c r="G4255" s="238">
        <f t="shared" ca="1" si="134"/>
        <v>-1.6120567194202618E-2</v>
      </c>
      <c r="I4255" s="156"/>
    </row>
    <row r="4256" spans="2:9" x14ac:dyDescent="0.2">
      <c r="B4256" s="230">
        <v>39722</v>
      </c>
      <c r="C4256" s="124">
        <v>63.78</v>
      </c>
      <c r="D4256" s="156">
        <f t="shared" si="133"/>
        <v>1.0296214161254532E-2</v>
      </c>
      <c r="E4256" s="156">
        <v>-1.5333562192470509E-2</v>
      </c>
      <c r="F4256" s="124">
        <v>4250</v>
      </c>
      <c r="G4256" s="238">
        <f t="shared" ca="1" si="134"/>
        <v>6.3583463816160911E-3</v>
      </c>
      <c r="I4256" s="156"/>
    </row>
    <row r="4257" spans="2:9" x14ac:dyDescent="0.2">
      <c r="B4257" s="230">
        <v>39721</v>
      </c>
      <c r="C4257" s="124">
        <v>62.33</v>
      </c>
      <c r="D4257" s="156">
        <f t="shared" si="133"/>
        <v>-2.2734399498275364E-2</v>
      </c>
      <c r="E4257" s="156">
        <v>-1.5337198209437171E-2</v>
      </c>
      <c r="F4257" s="124">
        <v>4251</v>
      </c>
      <c r="G4257" s="238">
        <f t="shared" ca="1" si="134"/>
        <v>1.7965422056997648E-2</v>
      </c>
      <c r="I4257" s="156"/>
    </row>
    <row r="4258" spans="2:9" x14ac:dyDescent="0.2">
      <c r="B4258" s="230">
        <v>39720</v>
      </c>
      <c r="C4258" s="124">
        <v>63.43</v>
      </c>
      <c r="D4258" s="156">
        <f t="shared" si="133"/>
        <v>1.7648002566982214E-2</v>
      </c>
      <c r="E4258" s="156">
        <v>-1.536651716785533E-2</v>
      </c>
      <c r="F4258" s="124">
        <v>4252</v>
      </c>
      <c r="G4258" s="238">
        <f t="shared" ca="1" si="134"/>
        <v>5.6241468286791982E-3</v>
      </c>
      <c r="I4258" s="156"/>
    </row>
    <row r="4259" spans="2:9" x14ac:dyDescent="0.2">
      <c r="B4259" s="230">
        <v>39717</v>
      </c>
      <c r="C4259" s="124">
        <v>63.76</v>
      </c>
      <c r="D4259" s="156">
        <f t="shared" si="133"/>
        <v>5.2025855273529608E-3</v>
      </c>
      <c r="E4259" s="156">
        <v>-1.5378914211599162E-2</v>
      </c>
      <c r="F4259" s="124">
        <v>4253</v>
      </c>
      <c r="G4259" s="238">
        <f t="shared" ca="1" si="134"/>
        <v>-9.8447071295834129E-3</v>
      </c>
      <c r="I4259" s="156"/>
    </row>
    <row r="4260" spans="2:9" x14ac:dyDescent="0.2">
      <c r="B4260" s="230">
        <v>39716</v>
      </c>
      <c r="C4260" s="124">
        <v>62.33</v>
      </c>
      <c r="D4260" s="156">
        <f t="shared" si="133"/>
        <v>-2.2427854454203259E-2</v>
      </c>
      <c r="E4260" s="156">
        <v>-1.5387730309779239E-2</v>
      </c>
      <c r="F4260" s="124">
        <v>4254</v>
      </c>
      <c r="G4260" s="238">
        <f t="shared" ca="1" si="134"/>
        <v>-8.2086776829874593E-3</v>
      </c>
      <c r="I4260" s="156"/>
    </row>
    <row r="4261" spans="2:9" x14ac:dyDescent="0.2">
      <c r="B4261" s="230">
        <v>39715</v>
      </c>
      <c r="C4261" s="124">
        <v>63.98</v>
      </c>
      <c r="D4261" s="156">
        <f t="shared" si="133"/>
        <v>2.6472003850473266E-2</v>
      </c>
      <c r="E4261" s="156">
        <v>-1.5395505220315069E-2</v>
      </c>
      <c r="F4261" s="124">
        <v>4255</v>
      </c>
      <c r="G4261" s="238">
        <f t="shared" ca="1" si="134"/>
        <v>-7.4361682461137456E-3</v>
      </c>
      <c r="I4261" s="156"/>
    </row>
    <row r="4262" spans="2:9" x14ac:dyDescent="0.2">
      <c r="B4262" s="230">
        <v>39714</v>
      </c>
      <c r="C4262" s="124">
        <v>64.22</v>
      </c>
      <c r="D4262" s="156">
        <f t="shared" si="133"/>
        <v>3.7511722413254454E-3</v>
      </c>
      <c r="E4262" s="156">
        <v>-1.5405754257400961E-2</v>
      </c>
      <c r="F4262" s="124">
        <v>4256</v>
      </c>
      <c r="G4262" s="238">
        <f t="shared" ca="1" si="134"/>
        <v>1.1167620624801792E-2</v>
      </c>
      <c r="I4262" s="156"/>
    </row>
    <row r="4263" spans="2:9" x14ac:dyDescent="0.2">
      <c r="B4263" s="230">
        <v>39713</v>
      </c>
      <c r="C4263" s="124">
        <v>64.64</v>
      </c>
      <c r="D4263" s="156">
        <f t="shared" si="133"/>
        <v>6.5400186857677003E-3</v>
      </c>
      <c r="E4263" s="156">
        <v>-1.5417228753131625E-2</v>
      </c>
      <c r="F4263" s="124">
        <v>4257</v>
      </c>
      <c r="G4263" s="238">
        <f t="shared" ca="1" si="134"/>
        <v>-7.2907415100412071E-3</v>
      </c>
      <c r="I4263" s="156"/>
    </row>
    <row r="4264" spans="2:9" x14ac:dyDescent="0.2">
      <c r="B4264" s="230">
        <v>39710</v>
      </c>
      <c r="C4264" s="124">
        <v>63.33</v>
      </c>
      <c r="D4264" s="156">
        <f t="shared" si="133"/>
        <v>-2.0266089108910926E-2</v>
      </c>
      <c r="E4264" s="156">
        <v>-1.543754607805908E-2</v>
      </c>
      <c r="F4264" s="124">
        <v>4258</v>
      </c>
      <c r="G4264" s="238">
        <f t="shared" ca="1" si="134"/>
        <v>1.0506010584573407E-2</v>
      </c>
      <c r="I4264" s="156"/>
    </row>
    <row r="4265" spans="2:9" x14ac:dyDescent="0.2">
      <c r="B4265" s="230">
        <v>39709</v>
      </c>
      <c r="C4265" s="124">
        <v>61.54</v>
      </c>
      <c r="D4265" s="156">
        <f t="shared" si="133"/>
        <v>-2.8264645507658285E-2</v>
      </c>
      <c r="E4265" s="156">
        <v>-1.5444823472783198E-2</v>
      </c>
      <c r="F4265" s="124">
        <v>4259</v>
      </c>
      <c r="G4265" s="238">
        <f t="shared" ca="1" si="134"/>
        <v>1.4075961149619566E-2</v>
      </c>
      <c r="I4265" s="156"/>
    </row>
    <row r="4266" spans="2:9" x14ac:dyDescent="0.2">
      <c r="B4266" s="230">
        <v>39708</v>
      </c>
      <c r="C4266" s="124">
        <v>61.24</v>
      </c>
      <c r="D4266" s="156">
        <f t="shared" si="133"/>
        <v>-4.8748781280467529E-3</v>
      </c>
      <c r="E4266" s="156">
        <v>-1.5446224256292815E-2</v>
      </c>
      <c r="F4266" s="124">
        <v>4260</v>
      </c>
      <c r="G4266" s="238">
        <f t="shared" ca="1" si="134"/>
        <v>4.2206408945924138E-2</v>
      </c>
      <c r="I4266" s="156"/>
    </row>
    <row r="4267" spans="2:9" x14ac:dyDescent="0.2">
      <c r="B4267" s="230">
        <v>39707</v>
      </c>
      <c r="C4267" s="124">
        <v>64.44</v>
      </c>
      <c r="D4267" s="156">
        <f t="shared" si="133"/>
        <v>5.2253429131286666E-2</v>
      </c>
      <c r="E4267" s="156">
        <v>-1.544979885303426E-2</v>
      </c>
      <c r="F4267" s="124">
        <v>4261</v>
      </c>
      <c r="G4267" s="238">
        <f t="shared" ca="1" si="134"/>
        <v>-1.5790950938847807E-2</v>
      </c>
      <c r="I4267" s="156"/>
    </row>
    <row r="4268" spans="2:9" x14ac:dyDescent="0.2">
      <c r="B4268" s="230">
        <v>39706</v>
      </c>
      <c r="C4268" s="124">
        <v>63.03</v>
      </c>
      <c r="D4268" s="156">
        <f t="shared" si="133"/>
        <v>-2.1880819366852836E-2</v>
      </c>
      <c r="E4268" s="156">
        <v>-1.5471423370950128E-2</v>
      </c>
      <c r="F4268" s="124">
        <v>4262</v>
      </c>
      <c r="G4268" s="238">
        <f t="shared" ca="1" si="134"/>
        <v>1.9938115105708303E-2</v>
      </c>
      <c r="I4268" s="156"/>
    </row>
    <row r="4269" spans="2:9" x14ac:dyDescent="0.2">
      <c r="B4269" s="230">
        <v>39703</v>
      </c>
      <c r="C4269" s="124">
        <v>63.44</v>
      </c>
      <c r="D4269" s="156">
        <f t="shared" si="133"/>
        <v>6.5048389655718956E-3</v>
      </c>
      <c r="E4269" s="156">
        <v>-1.5559308634877433E-2</v>
      </c>
      <c r="F4269" s="124">
        <v>4263</v>
      </c>
      <c r="G4269" s="238">
        <f t="shared" ca="1" si="134"/>
        <v>1.7272069504768024E-2</v>
      </c>
      <c r="I4269" s="156"/>
    </row>
    <row r="4270" spans="2:9" x14ac:dyDescent="0.2">
      <c r="B4270" s="230">
        <v>39702</v>
      </c>
      <c r="C4270" s="124">
        <v>63.53</v>
      </c>
      <c r="D4270" s="156">
        <f t="shared" si="133"/>
        <v>1.4186633039092594E-3</v>
      </c>
      <c r="E4270" s="156">
        <v>-1.5564202334630448E-2</v>
      </c>
      <c r="F4270" s="124">
        <v>4264</v>
      </c>
      <c r="G4270" s="238">
        <f t="shared" ca="1" si="134"/>
        <v>-2.2751036048127012E-2</v>
      </c>
      <c r="I4270" s="156"/>
    </row>
    <row r="4271" spans="2:9" x14ac:dyDescent="0.2">
      <c r="B4271" s="230">
        <v>39701</v>
      </c>
      <c r="C4271" s="124">
        <v>64.650000000000006</v>
      </c>
      <c r="D4271" s="156">
        <f t="shared" si="133"/>
        <v>1.7629466393829757E-2</v>
      </c>
      <c r="E4271" s="156">
        <v>-1.5592151366503163E-2</v>
      </c>
      <c r="F4271" s="124">
        <v>4265</v>
      </c>
      <c r="G4271" s="238">
        <f t="shared" ca="1" si="134"/>
        <v>3.2722579667084787E-3</v>
      </c>
      <c r="I4271" s="156"/>
    </row>
    <row r="4272" spans="2:9" x14ac:dyDescent="0.2">
      <c r="B4272" s="230">
        <v>39700</v>
      </c>
      <c r="C4272" s="124">
        <v>64.510000000000005</v>
      </c>
      <c r="D4272" s="156">
        <f t="shared" si="133"/>
        <v>-2.1655065738592507E-3</v>
      </c>
      <c r="E4272" s="156">
        <v>-1.5609198434683249E-2</v>
      </c>
      <c r="F4272" s="124">
        <v>4266</v>
      </c>
      <c r="G4272" s="238">
        <f t="shared" ca="1" si="134"/>
        <v>-1.8179773811914456E-2</v>
      </c>
      <c r="I4272" s="156"/>
    </row>
    <row r="4273" spans="2:9" x14ac:dyDescent="0.2">
      <c r="B4273" s="230">
        <v>39699</v>
      </c>
      <c r="C4273" s="124">
        <v>65.14</v>
      </c>
      <c r="D4273" s="156">
        <f t="shared" si="133"/>
        <v>9.7659277631374272E-3</v>
      </c>
      <c r="E4273" s="156">
        <v>-1.5617605300520639E-2</v>
      </c>
      <c r="F4273" s="124">
        <v>4267</v>
      </c>
      <c r="G4273" s="238">
        <f t="shared" ca="1" si="134"/>
        <v>-1.2645165646662852E-2</v>
      </c>
      <c r="I4273" s="156"/>
    </row>
    <row r="4274" spans="2:9" x14ac:dyDescent="0.2">
      <c r="B4274" s="230">
        <v>39696</v>
      </c>
      <c r="C4274" s="124">
        <v>62.95</v>
      </c>
      <c r="D4274" s="156">
        <f t="shared" si="133"/>
        <v>-3.3619895609456517E-2</v>
      </c>
      <c r="E4274" s="156">
        <v>-1.5619324373410813E-2</v>
      </c>
      <c r="F4274" s="124">
        <v>4268</v>
      </c>
      <c r="G4274" s="238">
        <f t="shared" ca="1" si="134"/>
        <v>8.2426513109424421E-3</v>
      </c>
      <c r="I4274" s="156"/>
    </row>
    <row r="4275" spans="2:9" x14ac:dyDescent="0.2">
      <c r="B4275" s="230">
        <v>39695</v>
      </c>
      <c r="C4275" s="124">
        <v>62.7</v>
      </c>
      <c r="D4275" s="156">
        <f t="shared" si="133"/>
        <v>-3.9714058776806989E-3</v>
      </c>
      <c r="E4275" s="156">
        <v>-1.5622877326450287E-2</v>
      </c>
      <c r="F4275" s="124">
        <v>4269</v>
      </c>
      <c r="G4275" s="238">
        <f t="shared" ca="1" si="134"/>
        <v>5.5752716745122747E-3</v>
      </c>
      <c r="I4275" s="156"/>
    </row>
    <row r="4276" spans="2:9" x14ac:dyDescent="0.2">
      <c r="B4276" s="230">
        <v>39693</v>
      </c>
      <c r="C4276" s="124">
        <v>64.44</v>
      </c>
      <c r="D4276" s="156">
        <f t="shared" si="133"/>
        <v>2.7751196172248721E-2</v>
      </c>
      <c r="E4276" s="156">
        <v>-1.5627570324066458E-2</v>
      </c>
      <c r="F4276" s="124">
        <v>4270</v>
      </c>
      <c r="G4276" s="238">
        <f t="shared" ca="1" si="134"/>
        <v>-1.8305130532943255E-3</v>
      </c>
      <c r="I4276" s="156"/>
    </row>
    <row r="4277" spans="2:9" x14ac:dyDescent="0.2">
      <c r="B4277" s="230">
        <v>39692</v>
      </c>
      <c r="C4277" s="124">
        <v>63.63</v>
      </c>
      <c r="D4277" s="156">
        <f t="shared" si="133"/>
        <v>-1.2569832402234563E-2</v>
      </c>
      <c r="E4277" s="156">
        <v>-1.5664160401002505E-2</v>
      </c>
      <c r="F4277" s="124">
        <v>4271</v>
      </c>
      <c r="G4277" s="238">
        <f t="shared" ca="1" si="134"/>
        <v>2.6948390177001503E-2</v>
      </c>
      <c r="I4277" s="156"/>
    </row>
    <row r="4278" spans="2:9" x14ac:dyDescent="0.2">
      <c r="B4278" s="230">
        <v>39689</v>
      </c>
      <c r="C4278" s="124">
        <v>62.55</v>
      </c>
      <c r="D4278" s="156">
        <f t="shared" si="133"/>
        <v>-1.6973125884017056E-2</v>
      </c>
      <c r="E4278" s="156">
        <v>-1.5695222291364178E-2</v>
      </c>
      <c r="F4278" s="124">
        <v>4272</v>
      </c>
      <c r="G4278" s="238">
        <f t="shared" ca="1" si="134"/>
        <v>-7.7179547314953452E-3</v>
      </c>
      <c r="I4278" s="156"/>
    </row>
    <row r="4279" spans="2:9" x14ac:dyDescent="0.2">
      <c r="B4279" s="230">
        <v>39688</v>
      </c>
      <c r="C4279" s="124">
        <v>60.83</v>
      </c>
      <c r="D4279" s="156">
        <f t="shared" si="133"/>
        <v>-2.7498001598721008E-2</v>
      </c>
      <c r="E4279" s="156">
        <v>-1.5746285207362976E-2</v>
      </c>
      <c r="F4279" s="124">
        <v>4273</v>
      </c>
      <c r="G4279" s="238">
        <f t="shared" ca="1" si="134"/>
        <v>5.4166658660025407E-3</v>
      </c>
      <c r="I4279" s="156"/>
    </row>
    <row r="4280" spans="2:9" x14ac:dyDescent="0.2">
      <c r="B4280" s="230">
        <v>39687</v>
      </c>
      <c r="C4280" s="124">
        <v>60.98</v>
      </c>
      <c r="D4280" s="156">
        <f t="shared" si="133"/>
        <v>2.4658885418378856E-3</v>
      </c>
      <c r="E4280" s="156">
        <v>-1.5755665979881227E-2</v>
      </c>
      <c r="F4280" s="124">
        <v>4274</v>
      </c>
      <c r="G4280" s="238">
        <f t="shared" ca="1" si="134"/>
        <v>-9.4777975576377845E-3</v>
      </c>
      <c r="I4280" s="156"/>
    </row>
    <row r="4281" spans="2:9" x14ac:dyDescent="0.2">
      <c r="B4281" s="230">
        <v>39686</v>
      </c>
      <c r="C4281" s="124">
        <v>61.29</v>
      </c>
      <c r="D4281" s="156">
        <f t="shared" si="133"/>
        <v>5.0836339783535958E-3</v>
      </c>
      <c r="E4281" s="156">
        <v>-1.5765231017617138E-2</v>
      </c>
      <c r="F4281" s="124">
        <v>4275</v>
      </c>
      <c r="G4281" s="238">
        <f t="shared" ca="1" si="134"/>
        <v>3.9558662221321601E-2</v>
      </c>
      <c r="I4281" s="156"/>
    </row>
    <row r="4282" spans="2:9" x14ac:dyDescent="0.2">
      <c r="B4282" s="230">
        <v>39685</v>
      </c>
      <c r="C4282" s="124">
        <v>60.98</v>
      </c>
      <c r="D4282" s="156">
        <f t="shared" si="133"/>
        <v>-5.057921357480866E-3</v>
      </c>
      <c r="E4282" s="156">
        <v>-1.577881399839854E-2</v>
      </c>
      <c r="F4282" s="124">
        <v>4276</v>
      </c>
      <c r="G4282" s="238">
        <f t="shared" ca="1" si="134"/>
        <v>2.5948296614632219E-2</v>
      </c>
      <c r="I4282" s="156"/>
    </row>
    <row r="4283" spans="2:9" x14ac:dyDescent="0.2">
      <c r="B4283" s="230">
        <v>39682</v>
      </c>
      <c r="C4283" s="124">
        <v>60.4</v>
      </c>
      <c r="D4283" s="156">
        <f t="shared" si="133"/>
        <v>-9.5113151853066305E-3</v>
      </c>
      <c r="E4283" s="156">
        <v>-1.5784114052953151E-2</v>
      </c>
      <c r="F4283" s="124">
        <v>4277</v>
      </c>
      <c r="G4283" s="238">
        <f t="shared" ca="1" si="134"/>
        <v>2.0665696922509781E-2</v>
      </c>
      <c r="I4283" s="156"/>
    </row>
    <row r="4284" spans="2:9" x14ac:dyDescent="0.2">
      <c r="B4284" s="230">
        <v>39681</v>
      </c>
      <c r="C4284" s="124">
        <v>60.41</v>
      </c>
      <c r="D4284" s="156">
        <f t="shared" si="133"/>
        <v>1.6556291390725184E-4</v>
      </c>
      <c r="E4284" s="156">
        <v>-1.5821501014198661E-2</v>
      </c>
      <c r="F4284" s="124">
        <v>4278</v>
      </c>
      <c r="G4284" s="238">
        <f t="shared" ca="1" si="134"/>
        <v>1.6506431873135659E-2</v>
      </c>
      <c r="I4284" s="156"/>
    </row>
    <row r="4285" spans="2:9" x14ac:dyDescent="0.2">
      <c r="B4285" s="230">
        <v>39680</v>
      </c>
      <c r="C4285" s="124">
        <v>60.66</v>
      </c>
      <c r="D4285" s="156">
        <f t="shared" si="133"/>
        <v>4.1383876841582521E-3</v>
      </c>
      <c r="E4285" s="156">
        <v>-1.5826494724501802E-2</v>
      </c>
      <c r="F4285" s="124">
        <v>4279</v>
      </c>
      <c r="G4285" s="238">
        <f t="shared" ca="1" si="134"/>
        <v>-1.756578623403546E-3</v>
      </c>
      <c r="I4285" s="156"/>
    </row>
    <row r="4286" spans="2:9" x14ac:dyDescent="0.2">
      <c r="B4286" s="230">
        <v>39679</v>
      </c>
      <c r="C4286" s="124">
        <v>60.83</v>
      </c>
      <c r="D4286" s="156">
        <f t="shared" ref="D4286:D4349" si="135">(C4286-C4285)/C4285</f>
        <v>2.8025057698648488E-3</v>
      </c>
      <c r="E4286" s="156">
        <v>-1.5827534452176432E-2</v>
      </c>
      <c r="F4286" s="124">
        <v>4280</v>
      </c>
      <c r="G4286" s="238">
        <f t="shared" ca="1" si="134"/>
        <v>-1.3256339450551536E-3</v>
      </c>
      <c r="I4286" s="156"/>
    </row>
    <row r="4287" spans="2:9" x14ac:dyDescent="0.2">
      <c r="B4287" s="230">
        <v>39678</v>
      </c>
      <c r="C4287" s="124">
        <v>62.14</v>
      </c>
      <c r="D4287" s="156">
        <f t="shared" si="135"/>
        <v>2.1535426598717777E-2</v>
      </c>
      <c r="E4287" s="156">
        <v>-1.5856360032645442E-2</v>
      </c>
      <c r="F4287" s="124">
        <v>4281</v>
      </c>
      <c r="G4287" s="238">
        <f t="shared" ca="1" si="134"/>
        <v>-1.305611670458816E-2</v>
      </c>
      <c r="I4287" s="156"/>
    </row>
    <row r="4288" spans="2:9" x14ac:dyDescent="0.2">
      <c r="B4288" s="230">
        <v>39674</v>
      </c>
      <c r="C4288" s="124">
        <v>63.36</v>
      </c>
      <c r="D4288" s="156">
        <f t="shared" si="135"/>
        <v>1.9633086578693254E-2</v>
      </c>
      <c r="E4288" s="156">
        <v>-1.5867346938775579E-2</v>
      </c>
      <c r="F4288" s="124">
        <v>4282</v>
      </c>
      <c r="G4288" s="238">
        <f t="shared" ca="1" si="134"/>
        <v>1.0784879779148348E-3</v>
      </c>
      <c r="I4288" s="156"/>
    </row>
    <row r="4289" spans="2:9" x14ac:dyDescent="0.2">
      <c r="B4289" s="230">
        <v>39673</v>
      </c>
      <c r="C4289" s="124">
        <v>64.62</v>
      </c>
      <c r="D4289" s="156">
        <f t="shared" si="135"/>
        <v>1.9886363636363716E-2</v>
      </c>
      <c r="E4289" s="156">
        <v>-1.5881458966565377E-2</v>
      </c>
      <c r="F4289" s="124">
        <v>4283</v>
      </c>
      <c r="G4289" s="238">
        <f t="shared" ca="1" si="134"/>
        <v>-1.0142594648184384E-2</v>
      </c>
      <c r="I4289" s="156"/>
    </row>
    <row r="4290" spans="2:9" x14ac:dyDescent="0.2">
      <c r="B4290" s="230">
        <v>39672</v>
      </c>
      <c r="C4290" s="124">
        <v>64.87</v>
      </c>
      <c r="D4290" s="156">
        <f t="shared" si="135"/>
        <v>3.8687712782420301E-3</v>
      </c>
      <c r="E4290" s="156">
        <v>-1.5891726697227743E-2</v>
      </c>
      <c r="F4290" s="124">
        <v>4284</v>
      </c>
      <c r="G4290" s="238">
        <f t="shared" ca="1" si="134"/>
        <v>-1.4766966519011129E-2</v>
      </c>
      <c r="I4290" s="156"/>
    </row>
    <row r="4291" spans="2:9" x14ac:dyDescent="0.2">
      <c r="B4291" s="230">
        <v>39671</v>
      </c>
      <c r="C4291" s="124">
        <v>64.239999999999995</v>
      </c>
      <c r="D4291" s="156">
        <f t="shared" si="135"/>
        <v>-9.7117311546170738E-3</v>
      </c>
      <c r="E4291" s="156">
        <v>-1.5906886517943721E-2</v>
      </c>
      <c r="F4291" s="124">
        <v>4285</v>
      </c>
      <c r="G4291" s="238">
        <f t="shared" ca="1" si="134"/>
        <v>1.7530553127095075E-2</v>
      </c>
      <c r="I4291" s="156"/>
    </row>
    <row r="4292" spans="2:9" x14ac:dyDescent="0.2">
      <c r="B4292" s="230">
        <v>39668</v>
      </c>
      <c r="C4292" s="124">
        <v>63.01</v>
      </c>
      <c r="D4292" s="156">
        <f t="shared" si="135"/>
        <v>-1.9146948941469441E-2</v>
      </c>
      <c r="E4292" s="156">
        <v>-1.5919282511210813E-2</v>
      </c>
      <c r="F4292" s="124">
        <v>4286</v>
      </c>
      <c r="G4292" s="238">
        <f t="shared" ca="1" si="134"/>
        <v>-2.6974876087006196E-3</v>
      </c>
      <c r="I4292" s="156"/>
    </row>
    <row r="4293" spans="2:9" x14ac:dyDescent="0.2">
      <c r="B4293" s="230">
        <v>39667</v>
      </c>
      <c r="C4293" s="124">
        <v>63.63</v>
      </c>
      <c r="D4293" s="156">
        <f t="shared" si="135"/>
        <v>9.8397079828599354E-3</v>
      </c>
      <c r="E4293" s="156">
        <v>-1.5921552087726751E-2</v>
      </c>
      <c r="F4293" s="124">
        <v>4287</v>
      </c>
      <c r="G4293" s="238">
        <f t="shared" ca="1" si="134"/>
        <v>-1.3778041810578437E-2</v>
      </c>
      <c r="I4293" s="156"/>
    </row>
    <row r="4294" spans="2:9" x14ac:dyDescent="0.2">
      <c r="B4294" s="230">
        <v>39666</v>
      </c>
      <c r="C4294" s="124">
        <v>62.95</v>
      </c>
      <c r="D4294" s="156">
        <f t="shared" si="135"/>
        <v>-1.0686782964010683E-2</v>
      </c>
      <c r="E4294" s="156">
        <v>-1.5922330097087385E-2</v>
      </c>
      <c r="F4294" s="124">
        <v>4288</v>
      </c>
      <c r="G4294" s="238">
        <f t="shared" ca="1" si="134"/>
        <v>-8.1700653005048799E-4</v>
      </c>
      <c r="I4294" s="156"/>
    </row>
    <row r="4295" spans="2:9" x14ac:dyDescent="0.2">
      <c r="B4295" s="230">
        <v>39665</v>
      </c>
      <c r="C4295" s="124">
        <v>63.03</v>
      </c>
      <c r="D4295" s="156">
        <f t="shared" si="135"/>
        <v>1.2708498808577965E-3</v>
      </c>
      <c r="E4295" s="156">
        <v>-1.5956120668162637E-2</v>
      </c>
      <c r="F4295" s="124">
        <v>4289</v>
      </c>
      <c r="G4295" s="238">
        <f t="shared" ref="G4295:G4358" ca="1" si="136">_xlfn.NORM.INV(RAND(),$L$8,$L$9)</f>
        <v>5.1935754713325778E-4</v>
      </c>
      <c r="I4295" s="156"/>
    </row>
    <row r="4296" spans="2:9" x14ac:dyDescent="0.2">
      <c r="B4296" s="230">
        <v>39664</v>
      </c>
      <c r="C4296" s="124">
        <v>62.25</v>
      </c>
      <c r="D4296" s="156">
        <f t="shared" si="135"/>
        <v>-1.2375059495478362E-2</v>
      </c>
      <c r="E4296" s="156">
        <v>-1.5971316818774558E-2</v>
      </c>
      <c r="F4296" s="124">
        <v>4290</v>
      </c>
      <c r="G4296" s="238">
        <f t="shared" ca="1" si="136"/>
        <v>-3.9314011424342954E-3</v>
      </c>
      <c r="I4296" s="156"/>
    </row>
    <row r="4297" spans="2:9" x14ac:dyDescent="0.2">
      <c r="B4297" s="230">
        <v>39661</v>
      </c>
      <c r="C4297" s="124">
        <v>62.02</v>
      </c>
      <c r="D4297" s="156">
        <f t="shared" si="135"/>
        <v>-3.6947791164658132E-3</v>
      </c>
      <c r="E4297" s="156">
        <v>-1.5978943441586662E-2</v>
      </c>
      <c r="F4297" s="124">
        <v>4291</v>
      </c>
      <c r="G4297" s="238">
        <f t="shared" ca="1" si="136"/>
        <v>-1.6692007110847108E-2</v>
      </c>
      <c r="I4297" s="156"/>
    </row>
    <row r="4298" spans="2:9" x14ac:dyDescent="0.2">
      <c r="B4298" s="230">
        <v>39660</v>
      </c>
      <c r="C4298" s="124">
        <v>61.92</v>
      </c>
      <c r="D4298" s="156">
        <f t="shared" si="135"/>
        <v>-1.6123831022251114E-3</v>
      </c>
      <c r="E4298" s="156">
        <v>-1.6029684601113148E-2</v>
      </c>
      <c r="F4298" s="124">
        <v>4292</v>
      </c>
      <c r="G4298" s="238">
        <f t="shared" ca="1" si="136"/>
        <v>-1.3351739158395727E-2</v>
      </c>
      <c r="I4298" s="156"/>
    </row>
    <row r="4299" spans="2:9" x14ac:dyDescent="0.2">
      <c r="B4299" s="230">
        <v>39659</v>
      </c>
      <c r="C4299" s="124">
        <v>62.42</v>
      </c>
      <c r="D4299" s="156">
        <f t="shared" si="135"/>
        <v>8.0749354005167952E-3</v>
      </c>
      <c r="E4299" s="156">
        <v>-1.604917193102267E-2</v>
      </c>
      <c r="F4299" s="124">
        <v>4293</v>
      </c>
      <c r="G4299" s="238">
        <f t="shared" ca="1" si="136"/>
        <v>-2.3018521787658713E-2</v>
      </c>
      <c r="I4299" s="156"/>
    </row>
    <row r="4300" spans="2:9" x14ac:dyDescent="0.2">
      <c r="B4300" s="230">
        <v>39658</v>
      </c>
      <c r="C4300" s="124">
        <v>62.85</v>
      </c>
      <c r="D4300" s="156">
        <f t="shared" si="135"/>
        <v>6.8888176866388926E-3</v>
      </c>
      <c r="E4300" s="156">
        <v>-1.6089927264712391E-2</v>
      </c>
      <c r="F4300" s="124">
        <v>4294</v>
      </c>
      <c r="G4300" s="238">
        <f t="shared" ca="1" si="136"/>
        <v>-2.1428697698364446E-4</v>
      </c>
      <c r="I4300" s="156"/>
    </row>
    <row r="4301" spans="2:9" x14ac:dyDescent="0.2">
      <c r="B4301" s="230">
        <v>39657</v>
      </c>
      <c r="C4301" s="124">
        <v>63.2</v>
      </c>
      <c r="D4301" s="156">
        <f t="shared" si="135"/>
        <v>5.5688146380270713E-3</v>
      </c>
      <c r="E4301" s="156">
        <v>-1.6098206409879433E-2</v>
      </c>
      <c r="F4301" s="124">
        <v>4295</v>
      </c>
      <c r="G4301" s="238">
        <f t="shared" ca="1" si="136"/>
        <v>1.047874168968972E-2</v>
      </c>
      <c r="I4301" s="156"/>
    </row>
    <row r="4302" spans="2:9" x14ac:dyDescent="0.2">
      <c r="B4302" s="230">
        <v>39654</v>
      </c>
      <c r="C4302" s="124">
        <v>62.7</v>
      </c>
      <c r="D4302" s="156">
        <f t="shared" si="135"/>
        <v>-7.9113924050632899E-3</v>
      </c>
      <c r="E4302" s="156">
        <v>-1.6118086189345026E-2</v>
      </c>
      <c r="F4302" s="124">
        <v>4296</v>
      </c>
      <c r="G4302" s="238">
        <f t="shared" ca="1" si="136"/>
        <v>1.6569180394636836E-2</v>
      </c>
      <c r="I4302" s="156"/>
    </row>
    <row r="4303" spans="2:9" x14ac:dyDescent="0.2">
      <c r="B4303" s="230">
        <v>39653</v>
      </c>
      <c r="C4303" s="124">
        <v>63.15</v>
      </c>
      <c r="D4303" s="156">
        <f t="shared" si="135"/>
        <v>7.1770334928228981E-3</v>
      </c>
      <c r="E4303" s="156">
        <v>-1.6145679740489517E-2</v>
      </c>
      <c r="F4303" s="124">
        <v>4297</v>
      </c>
      <c r="G4303" s="238">
        <f t="shared" ca="1" si="136"/>
        <v>-1.6347209507802857E-2</v>
      </c>
      <c r="I4303" s="156"/>
    </row>
    <row r="4304" spans="2:9" x14ac:dyDescent="0.2">
      <c r="B4304" s="230">
        <v>39652</v>
      </c>
      <c r="C4304" s="124">
        <v>63.51</v>
      </c>
      <c r="D4304" s="156">
        <f t="shared" si="135"/>
        <v>5.7007125890736251E-3</v>
      </c>
      <c r="E4304" s="156">
        <v>-1.6151297625621227E-2</v>
      </c>
      <c r="F4304" s="124">
        <v>4298</v>
      </c>
      <c r="G4304" s="238">
        <f t="shared" ca="1" si="136"/>
        <v>4.3602179275198218E-3</v>
      </c>
      <c r="I4304" s="156"/>
    </row>
    <row r="4305" spans="2:9" x14ac:dyDescent="0.2">
      <c r="B4305" s="230">
        <v>39651</v>
      </c>
      <c r="C4305" s="124">
        <v>62.93</v>
      </c>
      <c r="D4305" s="156">
        <f t="shared" si="135"/>
        <v>-9.1324200913241744E-3</v>
      </c>
      <c r="E4305" s="156">
        <v>-1.6174902239601888E-2</v>
      </c>
      <c r="F4305" s="124">
        <v>4299</v>
      </c>
      <c r="G4305" s="238">
        <f t="shared" ca="1" si="136"/>
        <v>-5.8409996132381611E-3</v>
      </c>
      <c r="I4305" s="156"/>
    </row>
    <row r="4306" spans="2:9" x14ac:dyDescent="0.2">
      <c r="B4306" s="230">
        <v>39650</v>
      </c>
      <c r="C4306" s="124">
        <v>59.4</v>
      </c>
      <c r="D4306" s="156">
        <f t="shared" si="135"/>
        <v>-5.6094072779278581E-2</v>
      </c>
      <c r="E4306" s="156">
        <v>-1.6191415137266942E-2</v>
      </c>
      <c r="F4306" s="124">
        <v>4300</v>
      </c>
      <c r="G4306" s="238">
        <f t="shared" ca="1" si="136"/>
        <v>-2.6171755178937693E-3</v>
      </c>
      <c r="I4306" s="156"/>
    </row>
    <row r="4307" spans="2:9" x14ac:dyDescent="0.2">
      <c r="B4307" s="230">
        <v>39647</v>
      </c>
      <c r="C4307" s="124">
        <v>58.42</v>
      </c>
      <c r="D4307" s="156">
        <f t="shared" si="135"/>
        <v>-1.6498316498316446E-2</v>
      </c>
      <c r="E4307" s="156">
        <v>-1.6193807488016583E-2</v>
      </c>
      <c r="F4307" s="124">
        <v>4301</v>
      </c>
      <c r="G4307" s="238">
        <f t="shared" ca="1" si="136"/>
        <v>7.3325411137931491E-3</v>
      </c>
      <c r="I4307" s="156"/>
    </row>
    <row r="4308" spans="2:9" x14ac:dyDescent="0.2">
      <c r="B4308" s="230">
        <v>39646</v>
      </c>
      <c r="C4308" s="124">
        <v>55.44</v>
      </c>
      <c r="D4308" s="156">
        <f t="shared" si="135"/>
        <v>-5.1009928106812805E-2</v>
      </c>
      <c r="E4308" s="156">
        <v>-1.6196422703159425E-2</v>
      </c>
      <c r="F4308" s="124">
        <v>4302</v>
      </c>
      <c r="G4308" s="238">
        <f t="shared" ca="1" si="136"/>
        <v>-5.5877281421389128E-3</v>
      </c>
      <c r="I4308" s="156"/>
    </row>
    <row r="4309" spans="2:9" x14ac:dyDescent="0.2">
      <c r="B4309" s="230">
        <v>39645</v>
      </c>
      <c r="C4309" s="124">
        <v>53.82</v>
      </c>
      <c r="D4309" s="156">
        <f t="shared" si="135"/>
        <v>-2.9220779220779175E-2</v>
      </c>
      <c r="E4309" s="156">
        <v>-1.619843077701856E-2</v>
      </c>
      <c r="F4309" s="124">
        <v>4303</v>
      </c>
      <c r="G4309" s="238">
        <f t="shared" ca="1" si="136"/>
        <v>-2.8543925756449231E-2</v>
      </c>
      <c r="I4309" s="156"/>
    </row>
    <row r="4310" spans="2:9" x14ac:dyDescent="0.2">
      <c r="B4310" s="230">
        <v>39644</v>
      </c>
      <c r="C4310" s="124">
        <v>53.19</v>
      </c>
      <c r="D4310" s="156">
        <f t="shared" si="135"/>
        <v>-1.1705685618729145E-2</v>
      </c>
      <c r="E4310" s="156">
        <v>-1.6200826081725916E-2</v>
      </c>
      <c r="F4310" s="124">
        <v>4304</v>
      </c>
      <c r="G4310" s="238">
        <f t="shared" ca="1" si="136"/>
        <v>-1.4749989721258556E-2</v>
      </c>
      <c r="I4310" s="156"/>
    </row>
    <row r="4311" spans="2:9" x14ac:dyDescent="0.2">
      <c r="B4311" s="230">
        <v>39643</v>
      </c>
      <c r="C4311" s="124">
        <v>55.89</v>
      </c>
      <c r="D4311" s="156">
        <f t="shared" si="135"/>
        <v>5.0761421319797009E-2</v>
      </c>
      <c r="E4311" s="156">
        <v>-1.6201878270843927E-2</v>
      </c>
      <c r="F4311" s="124">
        <v>4305</v>
      </c>
      <c r="G4311" s="238">
        <f t="shared" ca="1" si="136"/>
        <v>-2.9460926902428355E-3</v>
      </c>
      <c r="I4311" s="156"/>
    </row>
    <row r="4312" spans="2:9" x14ac:dyDescent="0.2">
      <c r="B4312" s="230">
        <v>39640</v>
      </c>
      <c r="C4312" s="124">
        <v>57.86</v>
      </c>
      <c r="D4312" s="156">
        <f t="shared" si="135"/>
        <v>3.5247808194668079E-2</v>
      </c>
      <c r="E4312" s="156">
        <v>-1.6216710063496335E-2</v>
      </c>
      <c r="F4312" s="124">
        <v>4306</v>
      </c>
      <c r="G4312" s="238">
        <f t="shared" ca="1" si="136"/>
        <v>-2.6225944446709878E-2</v>
      </c>
      <c r="I4312" s="156"/>
    </row>
    <row r="4313" spans="2:9" x14ac:dyDescent="0.2">
      <c r="B4313" s="230">
        <v>39639</v>
      </c>
      <c r="C4313" s="124">
        <v>59.38</v>
      </c>
      <c r="D4313" s="156">
        <f t="shared" si="135"/>
        <v>2.6270307639128986E-2</v>
      </c>
      <c r="E4313" s="156">
        <v>-1.6217235527059986E-2</v>
      </c>
      <c r="F4313" s="124">
        <v>4307</v>
      </c>
      <c r="G4313" s="238">
        <f t="shared" ca="1" si="136"/>
        <v>-4.9181181304060297E-3</v>
      </c>
      <c r="I4313" s="156"/>
    </row>
    <row r="4314" spans="2:9" x14ac:dyDescent="0.2">
      <c r="B4314" s="230">
        <v>39638</v>
      </c>
      <c r="C4314" s="124">
        <v>60.94</v>
      </c>
      <c r="D4314" s="156">
        <f t="shared" si="135"/>
        <v>2.6271471876052461E-2</v>
      </c>
      <c r="E4314" s="156">
        <v>-1.6228831958315291E-2</v>
      </c>
      <c r="F4314" s="124">
        <v>4308</v>
      </c>
      <c r="G4314" s="238">
        <f t="shared" ca="1" si="136"/>
        <v>6.5033899934045557E-3</v>
      </c>
      <c r="I4314" s="156"/>
    </row>
    <row r="4315" spans="2:9" x14ac:dyDescent="0.2">
      <c r="B4315" s="230">
        <v>39637</v>
      </c>
      <c r="C4315" s="124">
        <v>56.95</v>
      </c>
      <c r="D4315" s="156">
        <f t="shared" si="135"/>
        <v>-6.5474236954381274E-2</v>
      </c>
      <c r="E4315" s="156">
        <v>-1.6232722597235585E-2</v>
      </c>
      <c r="F4315" s="124">
        <v>4309</v>
      </c>
      <c r="G4315" s="238">
        <f t="shared" ca="1" si="136"/>
        <v>1.1176204592279072E-2</v>
      </c>
      <c r="I4315" s="156"/>
    </row>
    <row r="4316" spans="2:9" x14ac:dyDescent="0.2">
      <c r="B4316" s="230">
        <v>39636</v>
      </c>
      <c r="C4316" s="124">
        <v>58.95</v>
      </c>
      <c r="D4316" s="156">
        <f t="shared" si="135"/>
        <v>3.5118525021949079E-2</v>
      </c>
      <c r="E4316" s="156">
        <v>-1.6251728907330648E-2</v>
      </c>
      <c r="F4316" s="124">
        <v>4310</v>
      </c>
      <c r="G4316" s="238">
        <f t="shared" ca="1" si="136"/>
        <v>5.5322218085804417E-6</v>
      </c>
      <c r="I4316" s="156"/>
    </row>
    <row r="4317" spans="2:9" x14ac:dyDescent="0.2">
      <c r="B4317" s="230">
        <v>39633</v>
      </c>
      <c r="C4317" s="124">
        <v>56.75</v>
      </c>
      <c r="D4317" s="156">
        <f t="shared" si="135"/>
        <v>-3.7319762510602254E-2</v>
      </c>
      <c r="E4317" s="156">
        <v>-1.6254968767745542E-2</v>
      </c>
      <c r="F4317" s="124">
        <v>4311</v>
      </c>
      <c r="G4317" s="238">
        <f t="shared" ca="1" si="136"/>
        <v>1.9385247120009289E-2</v>
      </c>
      <c r="I4317" s="156"/>
    </row>
    <row r="4318" spans="2:9" x14ac:dyDescent="0.2">
      <c r="B4318" s="230">
        <v>39632</v>
      </c>
      <c r="C4318" s="124">
        <v>56.12</v>
      </c>
      <c r="D4318" s="156">
        <f t="shared" si="135"/>
        <v>-1.1101321585903129E-2</v>
      </c>
      <c r="E4318" s="156">
        <v>-1.6258741258741254E-2</v>
      </c>
      <c r="F4318" s="124">
        <v>4312</v>
      </c>
      <c r="G4318" s="238">
        <f t="shared" ca="1" si="136"/>
        <v>3.4648221727152351E-3</v>
      </c>
      <c r="I4318" s="156"/>
    </row>
    <row r="4319" spans="2:9" x14ac:dyDescent="0.2">
      <c r="B4319" s="230">
        <v>39631</v>
      </c>
      <c r="C4319" s="124">
        <v>59.63</v>
      </c>
      <c r="D4319" s="156">
        <f t="shared" si="135"/>
        <v>6.2544547398432029E-2</v>
      </c>
      <c r="E4319" s="156">
        <v>-1.6288458861200145E-2</v>
      </c>
      <c r="F4319" s="124">
        <v>4313</v>
      </c>
      <c r="G4319" s="238">
        <f t="shared" ca="1" si="136"/>
        <v>2.014705063524895E-2</v>
      </c>
      <c r="I4319" s="156"/>
    </row>
    <row r="4320" spans="2:9" x14ac:dyDescent="0.2">
      <c r="B4320" s="230">
        <v>39630</v>
      </c>
      <c r="C4320" s="124">
        <v>60.66</v>
      </c>
      <c r="D4320" s="156">
        <f t="shared" si="135"/>
        <v>1.7273184638604628E-2</v>
      </c>
      <c r="E4320" s="156">
        <v>-1.6291327264015224E-2</v>
      </c>
      <c r="F4320" s="124">
        <v>4314</v>
      </c>
      <c r="G4320" s="238">
        <f t="shared" ca="1" si="136"/>
        <v>1.3480179685891158E-4</v>
      </c>
      <c r="I4320" s="156"/>
    </row>
    <row r="4321" spans="2:9" x14ac:dyDescent="0.2">
      <c r="B4321" s="230">
        <v>39629</v>
      </c>
      <c r="C4321" s="124">
        <v>62.25</v>
      </c>
      <c r="D4321" s="156">
        <f t="shared" si="135"/>
        <v>2.621167161226514E-2</v>
      </c>
      <c r="E4321" s="156">
        <v>-1.6302627413738544E-2</v>
      </c>
      <c r="F4321" s="124">
        <v>4315</v>
      </c>
      <c r="G4321" s="238">
        <f t="shared" ca="1" si="136"/>
        <v>-4.0522631748360722E-3</v>
      </c>
      <c r="I4321" s="156"/>
    </row>
    <row r="4322" spans="2:9" x14ac:dyDescent="0.2">
      <c r="B4322" s="230">
        <v>39626</v>
      </c>
      <c r="C4322" s="124">
        <v>60.89</v>
      </c>
      <c r="D4322" s="156">
        <f t="shared" si="135"/>
        <v>-2.1847389558232923E-2</v>
      </c>
      <c r="E4322" s="156">
        <v>-1.6330551091295439E-2</v>
      </c>
      <c r="F4322" s="124">
        <v>4316</v>
      </c>
      <c r="G4322" s="238">
        <f t="shared" ca="1" si="136"/>
        <v>8.672190369256403E-3</v>
      </c>
      <c r="I4322" s="156"/>
    </row>
    <row r="4323" spans="2:9" x14ac:dyDescent="0.2">
      <c r="B4323" s="230">
        <v>39625</v>
      </c>
      <c r="C4323" s="124">
        <v>63.56</v>
      </c>
      <c r="D4323" s="156">
        <f t="shared" si="135"/>
        <v>4.3849564788963735E-2</v>
      </c>
      <c r="E4323" s="156">
        <v>-1.6336310172075801E-2</v>
      </c>
      <c r="F4323" s="124">
        <v>4317</v>
      </c>
      <c r="G4323" s="238">
        <f t="shared" ca="1" si="136"/>
        <v>-5.3840860798827023E-2</v>
      </c>
      <c r="I4323" s="156"/>
    </row>
    <row r="4324" spans="2:9" x14ac:dyDescent="0.2">
      <c r="B4324" s="230">
        <v>39624</v>
      </c>
      <c r="C4324" s="124">
        <v>61.8</v>
      </c>
      <c r="D4324" s="156">
        <f t="shared" si="135"/>
        <v>-2.7690371302706185E-2</v>
      </c>
      <c r="E4324" s="156">
        <v>-1.6350310092088038E-2</v>
      </c>
      <c r="F4324" s="124">
        <v>4318</v>
      </c>
      <c r="G4324" s="238">
        <f t="shared" ca="1" si="136"/>
        <v>-7.8807411996640493E-3</v>
      </c>
      <c r="I4324" s="156"/>
    </row>
    <row r="4325" spans="2:9" x14ac:dyDescent="0.2">
      <c r="B4325" s="230">
        <v>39623</v>
      </c>
      <c r="C4325" s="124">
        <v>63.48</v>
      </c>
      <c r="D4325" s="156">
        <f t="shared" si="135"/>
        <v>2.7184466019417472E-2</v>
      </c>
      <c r="E4325" s="156">
        <v>-1.6368187945310888E-2</v>
      </c>
      <c r="F4325" s="124">
        <v>4319</v>
      </c>
      <c r="G4325" s="238">
        <f t="shared" ca="1" si="136"/>
        <v>-1.5365839463518093E-2</v>
      </c>
      <c r="I4325" s="156"/>
    </row>
    <row r="4326" spans="2:9" x14ac:dyDescent="0.2">
      <c r="B4326" s="230">
        <v>39622</v>
      </c>
      <c r="C4326" s="124">
        <v>64.77</v>
      </c>
      <c r="D4326" s="156">
        <f t="shared" si="135"/>
        <v>2.032136105860112E-2</v>
      </c>
      <c r="E4326" s="156">
        <v>-1.6428192898781117E-2</v>
      </c>
      <c r="F4326" s="124">
        <v>4320</v>
      </c>
      <c r="G4326" s="238">
        <f t="shared" ca="1" si="136"/>
        <v>-6.6226554449847295E-3</v>
      </c>
      <c r="I4326" s="156"/>
    </row>
    <row r="4327" spans="2:9" x14ac:dyDescent="0.2">
      <c r="B4327" s="230">
        <v>39619</v>
      </c>
      <c r="C4327" s="124">
        <v>65.77</v>
      </c>
      <c r="D4327" s="156">
        <f t="shared" si="135"/>
        <v>1.5439246564767641E-2</v>
      </c>
      <c r="E4327" s="156">
        <v>-1.644398766700925E-2</v>
      </c>
      <c r="F4327" s="124">
        <v>4321</v>
      </c>
      <c r="G4327" s="238">
        <f t="shared" ca="1" si="136"/>
        <v>-4.3756956292164292E-2</v>
      </c>
      <c r="I4327" s="156"/>
    </row>
    <row r="4328" spans="2:9" x14ac:dyDescent="0.2">
      <c r="B4328" s="230">
        <v>39618</v>
      </c>
      <c r="C4328" s="124">
        <v>68.22</v>
      </c>
      <c r="D4328" s="156">
        <f t="shared" si="135"/>
        <v>3.7251026303785968E-2</v>
      </c>
      <c r="E4328" s="156">
        <v>-1.6469776666379207E-2</v>
      </c>
      <c r="F4328" s="124">
        <v>4322</v>
      </c>
      <c r="G4328" s="238">
        <f t="shared" ca="1" si="136"/>
        <v>-1.5076180902305386E-2</v>
      </c>
      <c r="I4328" s="156"/>
    </row>
    <row r="4329" spans="2:9" x14ac:dyDescent="0.2">
      <c r="B4329" s="230">
        <v>39617</v>
      </c>
      <c r="C4329" s="124">
        <v>68.27</v>
      </c>
      <c r="D4329" s="156">
        <f t="shared" si="135"/>
        <v>7.3292289651124534E-4</v>
      </c>
      <c r="E4329" s="156">
        <v>-1.6498316498316446E-2</v>
      </c>
      <c r="F4329" s="124">
        <v>4323</v>
      </c>
      <c r="G4329" s="238">
        <f t="shared" ca="1" si="136"/>
        <v>-1.1578702953630534E-2</v>
      </c>
      <c r="I4329" s="156"/>
    </row>
    <row r="4330" spans="2:9" x14ac:dyDescent="0.2">
      <c r="B4330" s="230">
        <v>39616</v>
      </c>
      <c r="C4330" s="124">
        <v>67.37</v>
      </c>
      <c r="D4330" s="156">
        <f t="shared" si="135"/>
        <v>-1.3182950051266904E-2</v>
      </c>
      <c r="E4330" s="156">
        <v>-1.6512707605418165E-2</v>
      </c>
      <c r="F4330" s="124">
        <v>4324</v>
      </c>
      <c r="G4330" s="238">
        <f t="shared" ca="1" si="136"/>
        <v>-2.4485487606344399E-2</v>
      </c>
      <c r="I4330" s="156"/>
    </row>
    <row r="4331" spans="2:9" x14ac:dyDescent="0.2">
      <c r="B4331" s="230">
        <v>39615</v>
      </c>
      <c r="C4331" s="124">
        <v>66.790000000000006</v>
      </c>
      <c r="D4331" s="156">
        <f t="shared" si="135"/>
        <v>-8.6091732225025714E-3</v>
      </c>
      <c r="E4331" s="156">
        <v>-1.655457837558201E-2</v>
      </c>
      <c r="F4331" s="124">
        <v>4325</v>
      </c>
      <c r="G4331" s="238">
        <f t="shared" ca="1" si="136"/>
        <v>1.5844446016335736E-2</v>
      </c>
      <c r="I4331" s="156"/>
    </row>
    <row r="4332" spans="2:9" x14ac:dyDescent="0.2">
      <c r="B4332" s="230">
        <v>39612</v>
      </c>
      <c r="C4332" s="124">
        <v>65.680000000000007</v>
      </c>
      <c r="D4332" s="156">
        <f t="shared" si="135"/>
        <v>-1.6619254379398103E-2</v>
      </c>
      <c r="E4332" s="156">
        <v>-1.6601517590250567E-2</v>
      </c>
      <c r="F4332" s="124">
        <v>4326</v>
      </c>
      <c r="G4332" s="238">
        <f t="shared" ca="1" si="136"/>
        <v>1.8237356705156981E-2</v>
      </c>
      <c r="I4332" s="156"/>
    </row>
    <row r="4333" spans="2:9" x14ac:dyDescent="0.2">
      <c r="B4333" s="230">
        <v>39611</v>
      </c>
      <c r="C4333" s="124">
        <v>66.28</v>
      </c>
      <c r="D4333" s="156">
        <f t="shared" si="135"/>
        <v>9.1352009744213505E-3</v>
      </c>
      <c r="E4333" s="156">
        <v>-1.660297799446574E-2</v>
      </c>
      <c r="F4333" s="124">
        <v>4327</v>
      </c>
      <c r="G4333" s="238">
        <f t="shared" ca="1" si="136"/>
        <v>3.3004172613472785E-2</v>
      </c>
      <c r="I4333" s="156"/>
    </row>
    <row r="4334" spans="2:9" x14ac:dyDescent="0.2">
      <c r="B4334" s="230">
        <v>39610</v>
      </c>
      <c r="C4334" s="124">
        <v>66.13</v>
      </c>
      <c r="D4334" s="156">
        <f t="shared" si="135"/>
        <v>-2.2631261315631517E-3</v>
      </c>
      <c r="E4334" s="156">
        <v>-1.6607690493040728E-2</v>
      </c>
      <c r="F4334" s="124">
        <v>4328</v>
      </c>
      <c r="G4334" s="238">
        <f t="shared" ca="1" si="136"/>
        <v>1.2251895827463201E-2</v>
      </c>
      <c r="I4334" s="156"/>
    </row>
    <row r="4335" spans="2:9" x14ac:dyDescent="0.2">
      <c r="B4335" s="230">
        <v>39609</v>
      </c>
      <c r="C4335" s="124">
        <v>66.81</v>
      </c>
      <c r="D4335" s="156">
        <f t="shared" si="135"/>
        <v>1.0282776349614499E-2</v>
      </c>
      <c r="E4335" s="156">
        <v>-1.6619254379398103E-2</v>
      </c>
      <c r="F4335" s="124">
        <v>4329</v>
      </c>
      <c r="G4335" s="238">
        <f t="shared" ca="1" si="136"/>
        <v>-2.5134349399198682E-3</v>
      </c>
      <c r="I4335" s="156"/>
    </row>
    <row r="4336" spans="2:9" x14ac:dyDescent="0.2">
      <c r="B4336" s="230">
        <v>39608</v>
      </c>
      <c r="C4336" s="124">
        <v>68.73</v>
      </c>
      <c r="D4336" s="156">
        <f t="shared" si="135"/>
        <v>2.8738212842388887E-2</v>
      </c>
      <c r="E4336" s="156">
        <v>-1.6643550624133252E-2</v>
      </c>
      <c r="F4336" s="124">
        <v>4330</v>
      </c>
      <c r="G4336" s="238">
        <f t="shared" ca="1" si="136"/>
        <v>-3.3266615230922926E-2</v>
      </c>
      <c r="I4336" s="156"/>
    </row>
    <row r="4337" spans="2:9" x14ac:dyDescent="0.2">
      <c r="B4337" s="230">
        <v>39605</v>
      </c>
      <c r="C4337" s="124">
        <v>70.75</v>
      </c>
      <c r="D4337" s="156">
        <f t="shared" si="135"/>
        <v>2.9390368107085639E-2</v>
      </c>
      <c r="E4337" s="156">
        <v>-1.6665905666407823E-2</v>
      </c>
      <c r="F4337" s="124">
        <v>4331</v>
      </c>
      <c r="G4337" s="238">
        <f t="shared" ca="1" si="136"/>
        <v>6.2546197588252859E-3</v>
      </c>
      <c r="I4337" s="156"/>
    </row>
    <row r="4338" spans="2:9" x14ac:dyDescent="0.2">
      <c r="B4338" s="230">
        <v>39604</v>
      </c>
      <c r="C4338" s="124">
        <v>73.75</v>
      </c>
      <c r="D4338" s="156">
        <f t="shared" si="135"/>
        <v>4.2402826855123678E-2</v>
      </c>
      <c r="E4338" s="156">
        <v>-1.6696113074204953E-2</v>
      </c>
      <c r="F4338" s="124">
        <v>4332</v>
      </c>
      <c r="G4338" s="238">
        <f t="shared" ca="1" si="136"/>
        <v>-6.3023193790540033E-3</v>
      </c>
      <c r="I4338" s="156"/>
    </row>
    <row r="4339" spans="2:9" x14ac:dyDescent="0.2">
      <c r="B4339" s="230">
        <v>39603</v>
      </c>
      <c r="C4339" s="124">
        <v>71.53</v>
      </c>
      <c r="D4339" s="156">
        <f t="shared" si="135"/>
        <v>-3.0101694915254221E-2</v>
      </c>
      <c r="E4339" s="156">
        <v>-1.6696955929123049E-2</v>
      </c>
      <c r="F4339" s="124">
        <v>4333</v>
      </c>
      <c r="G4339" s="238">
        <f t="shared" ca="1" si="136"/>
        <v>-9.2380273446782402E-3</v>
      </c>
      <c r="I4339" s="156"/>
    </row>
    <row r="4340" spans="2:9" x14ac:dyDescent="0.2">
      <c r="B4340" s="230">
        <v>39602</v>
      </c>
      <c r="C4340" s="124">
        <v>72.89</v>
      </c>
      <c r="D4340" s="156">
        <f t="shared" si="135"/>
        <v>1.9013001537816293E-2</v>
      </c>
      <c r="E4340" s="156">
        <v>-1.6724454415663857E-2</v>
      </c>
      <c r="F4340" s="124">
        <v>4334</v>
      </c>
      <c r="G4340" s="238">
        <f t="shared" ca="1" si="136"/>
        <v>1.1491263052423711E-2</v>
      </c>
      <c r="I4340" s="156"/>
    </row>
    <row r="4341" spans="2:9" x14ac:dyDescent="0.2">
      <c r="B4341" s="230">
        <v>39601</v>
      </c>
      <c r="C4341" s="124">
        <v>72.91</v>
      </c>
      <c r="D4341" s="156">
        <f t="shared" si="135"/>
        <v>2.7438606118803706E-4</v>
      </c>
      <c r="E4341" s="156">
        <v>-1.6742493175614225E-2</v>
      </c>
      <c r="F4341" s="124">
        <v>4335</v>
      </c>
      <c r="G4341" s="238">
        <f t="shared" ca="1" si="136"/>
        <v>8.0514336121626246E-3</v>
      </c>
      <c r="I4341" s="156"/>
    </row>
    <row r="4342" spans="2:9" x14ac:dyDescent="0.2">
      <c r="B4342" s="230">
        <v>39598</v>
      </c>
      <c r="C4342" s="124">
        <v>72.180000000000007</v>
      </c>
      <c r="D4342" s="156">
        <f t="shared" si="135"/>
        <v>-1.00123439857357E-2</v>
      </c>
      <c r="E4342" s="156">
        <v>-1.6746912288046978E-2</v>
      </c>
      <c r="F4342" s="124">
        <v>4336</v>
      </c>
      <c r="G4342" s="238">
        <f t="shared" ca="1" si="136"/>
        <v>1.7437224571260065E-2</v>
      </c>
      <c r="I4342" s="156"/>
    </row>
    <row r="4343" spans="2:9" x14ac:dyDescent="0.2">
      <c r="B4343" s="230">
        <v>39597</v>
      </c>
      <c r="C4343" s="124">
        <v>71.58</v>
      </c>
      <c r="D4343" s="156">
        <f t="shared" si="135"/>
        <v>-8.3125519534498257E-3</v>
      </c>
      <c r="E4343" s="156">
        <v>-1.6758811333794157E-2</v>
      </c>
      <c r="F4343" s="124">
        <v>4337</v>
      </c>
      <c r="G4343" s="238">
        <f t="shared" ca="1" si="136"/>
        <v>-3.0156248995795162E-2</v>
      </c>
      <c r="I4343" s="156"/>
    </row>
    <row r="4344" spans="2:9" x14ac:dyDescent="0.2">
      <c r="B4344" s="230">
        <v>39596</v>
      </c>
      <c r="C4344" s="124">
        <v>73.569999999999993</v>
      </c>
      <c r="D4344" s="156">
        <f t="shared" si="135"/>
        <v>2.7801061749091853E-2</v>
      </c>
      <c r="E4344" s="156">
        <v>-1.6769959897922064E-2</v>
      </c>
      <c r="F4344" s="124">
        <v>4338</v>
      </c>
      <c r="G4344" s="238">
        <f t="shared" ca="1" si="136"/>
        <v>-2.7543806499746328E-2</v>
      </c>
      <c r="I4344" s="156"/>
    </row>
    <row r="4345" spans="2:9" x14ac:dyDescent="0.2">
      <c r="B4345" s="230">
        <v>39595</v>
      </c>
      <c r="C4345" s="124">
        <v>69.31</v>
      </c>
      <c r="D4345" s="156">
        <f t="shared" si="135"/>
        <v>-5.7904036971591563E-2</v>
      </c>
      <c r="E4345" s="156">
        <v>-1.6796494644595854E-2</v>
      </c>
      <c r="F4345" s="124">
        <v>4339</v>
      </c>
      <c r="G4345" s="238">
        <f t="shared" ca="1" si="136"/>
        <v>-2.280386967119475E-2</v>
      </c>
      <c r="I4345" s="156"/>
    </row>
    <row r="4346" spans="2:9" x14ac:dyDescent="0.2">
      <c r="B4346" s="230">
        <v>39594</v>
      </c>
      <c r="C4346" s="124">
        <v>68.12</v>
      </c>
      <c r="D4346" s="156">
        <f t="shared" si="135"/>
        <v>-1.7169239647958415E-2</v>
      </c>
      <c r="E4346" s="156">
        <v>-1.6796729840208243E-2</v>
      </c>
      <c r="F4346" s="124">
        <v>4340</v>
      </c>
      <c r="G4346" s="238">
        <f t="shared" ca="1" si="136"/>
        <v>1.4475685865076349E-2</v>
      </c>
      <c r="I4346" s="156"/>
    </row>
    <row r="4347" spans="2:9" x14ac:dyDescent="0.2">
      <c r="B4347" s="230">
        <v>39591</v>
      </c>
      <c r="C4347" s="124">
        <v>70.8</v>
      </c>
      <c r="D4347" s="156">
        <f t="shared" si="135"/>
        <v>3.9342337052260604E-2</v>
      </c>
      <c r="E4347" s="156">
        <v>-1.6798418972332016E-2</v>
      </c>
      <c r="F4347" s="124">
        <v>4341</v>
      </c>
      <c r="G4347" s="238">
        <f t="shared" ca="1" si="136"/>
        <v>2.9968354743660476E-2</v>
      </c>
      <c r="I4347" s="156"/>
    </row>
    <row r="4348" spans="2:9" x14ac:dyDescent="0.2">
      <c r="B4348" s="230">
        <v>39590</v>
      </c>
      <c r="C4348" s="124">
        <v>74.05</v>
      </c>
      <c r="D4348" s="156">
        <f t="shared" si="135"/>
        <v>4.5903954802259887E-2</v>
      </c>
      <c r="E4348" s="156">
        <v>-1.6819837003641386E-2</v>
      </c>
      <c r="F4348" s="124">
        <v>4342</v>
      </c>
      <c r="G4348" s="238">
        <f t="shared" ca="1" si="136"/>
        <v>-7.2428564187288717E-3</v>
      </c>
      <c r="I4348" s="156"/>
    </row>
    <row r="4349" spans="2:9" x14ac:dyDescent="0.2">
      <c r="B4349" s="230">
        <v>39589</v>
      </c>
      <c r="C4349" s="124">
        <v>75.64</v>
      </c>
      <c r="D4349" s="156">
        <f t="shared" si="135"/>
        <v>2.1471978392977764E-2</v>
      </c>
      <c r="E4349" s="156">
        <v>-1.6910229645093994E-2</v>
      </c>
      <c r="F4349" s="124">
        <v>4343</v>
      </c>
      <c r="G4349" s="238">
        <f t="shared" ca="1" si="136"/>
        <v>-8.6118175300950589E-3</v>
      </c>
      <c r="I4349" s="156"/>
    </row>
    <row r="4350" spans="2:9" x14ac:dyDescent="0.2">
      <c r="B4350" s="230">
        <v>39588</v>
      </c>
      <c r="C4350" s="124">
        <v>74.83</v>
      </c>
      <c r="D4350" s="156">
        <f t="shared" ref="D4350:D4413" si="137">(C4350-C4349)/C4349</f>
        <v>-1.0708619777895324E-2</v>
      </c>
      <c r="E4350" s="156">
        <v>-1.6926838442730862E-2</v>
      </c>
      <c r="F4350" s="124">
        <v>4344</v>
      </c>
      <c r="G4350" s="238">
        <f t="shared" ca="1" si="136"/>
        <v>-1.2315742002428019E-2</v>
      </c>
      <c r="I4350" s="156"/>
    </row>
    <row r="4351" spans="2:9" x14ac:dyDescent="0.2">
      <c r="B4351" s="230">
        <v>39584</v>
      </c>
      <c r="C4351" s="124">
        <v>75.28</v>
      </c>
      <c r="D4351" s="156">
        <f t="shared" si="137"/>
        <v>6.0136308966992225E-3</v>
      </c>
      <c r="E4351" s="156">
        <v>-1.6972351491924439E-2</v>
      </c>
      <c r="F4351" s="124">
        <v>4345</v>
      </c>
      <c r="G4351" s="238">
        <f t="shared" ca="1" si="136"/>
        <v>-2.6647357664332377E-2</v>
      </c>
      <c r="I4351" s="156"/>
    </row>
    <row r="4352" spans="2:9" x14ac:dyDescent="0.2">
      <c r="B4352" s="230">
        <v>39583</v>
      </c>
      <c r="C4352" s="124">
        <v>74.98</v>
      </c>
      <c r="D4352" s="156">
        <f t="shared" si="137"/>
        <v>-3.9851222104144149E-3</v>
      </c>
      <c r="E4352" s="156">
        <v>-1.6973125884017056E-2</v>
      </c>
      <c r="F4352" s="124">
        <v>4346</v>
      </c>
      <c r="G4352" s="238">
        <f t="shared" ca="1" si="136"/>
        <v>6.0656499045235865E-3</v>
      </c>
      <c r="I4352" s="156"/>
    </row>
    <row r="4353" spans="2:9" x14ac:dyDescent="0.2">
      <c r="B4353" s="230">
        <v>39582</v>
      </c>
      <c r="C4353" s="124">
        <v>75.010000000000005</v>
      </c>
      <c r="D4353" s="156">
        <f t="shared" si="137"/>
        <v>4.0010669511871347E-4</v>
      </c>
      <c r="E4353" s="156">
        <v>-1.6981992249828982E-2</v>
      </c>
      <c r="F4353" s="124">
        <v>4347</v>
      </c>
      <c r="G4353" s="238">
        <f t="shared" ca="1" si="136"/>
        <v>-2.8954962806886069E-3</v>
      </c>
      <c r="I4353" s="156"/>
    </row>
    <row r="4354" spans="2:9" x14ac:dyDescent="0.2">
      <c r="B4354" s="230">
        <v>39581</v>
      </c>
      <c r="C4354" s="124">
        <v>74.7</v>
      </c>
      <c r="D4354" s="156">
        <f t="shared" si="137"/>
        <v>-4.1327822956939379E-3</v>
      </c>
      <c r="E4354" s="156">
        <v>-1.6984107727769017E-2</v>
      </c>
      <c r="F4354" s="124">
        <v>4348</v>
      </c>
      <c r="G4354" s="238">
        <f t="shared" ca="1" si="136"/>
        <v>7.6102953489208388E-3</v>
      </c>
      <c r="I4354" s="156"/>
    </row>
    <row r="4355" spans="2:9" x14ac:dyDescent="0.2">
      <c r="B4355" s="230">
        <v>39580</v>
      </c>
      <c r="C4355" s="124">
        <v>74.180000000000007</v>
      </c>
      <c r="D4355" s="156">
        <f t="shared" si="137"/>
        <v>-6.9611780455153417E-3</v>
      </c>
      <c r="E4355" s="156">
        <v>-1.698416341519389E-2</v>
      </c>
      <c r="F4355" s="124">
        <v>4349</v>
      </c>
      <c r="G4355" s="238">
        <f t="shared" ca="1" si="136"/>
        <v>2.9553228033742E-2</v>
      </c>
      <c r="I4355" s="156"/>
    </row>
    <row r="4356" spans="2:9" x14ac:dyDescent="0.2">
      <c r="B4356" s="230">
        <v>39577</v>
      </c>
      <c r="C4356" s="124">
        <v>72.44</v>
      </c>
      <c r="D4356" s="156">
        <f t="shared" si="137"/>
        <v>-2.3456457266109582E-2</v>
      </c>
      <c r="E4356" s="156">
        <v>-1.6995241332426921E-2</v>
      </c>
      <c r="F4356" s="124">
        <v>4350</v>
      </c>
      <c r="G4356" s="238">
        <f t="shared" ca="1" si="136"/>
        <v>-1.4257523313998243E-2</v>
      </c>
      <c r="I4356" s="156"/>
    </row>
    <row r="4357" spans="2:9" x14ac:dyDescent="0.2">
      <c r="B4357" s="230">
        <v>39576</v>
      </c>
      <c r="C4357" s="124">
        <v>71.27</v>
      </c>
      <c r="D4357" s="156">
        <f t="shared" si="137"/>
        <v>-1.6151297625621227E-2</v>
      </c>
      <c r="E4357" s="156">
        <v>-1.7012351433232372E-2</v>
      </c>
      <c r="F4357" s="124">
        <v>4351</v>
      </c>
      <c r="G4357" s="238">
        <f t="shared" ca="1" si="136"/>
        <v>-7.6658592083845437E-3</v>
      </c>
      <c r="I4357" s="156"/>
    </row>
    <row r="4358" spans="2:9" x14ac:dyDescent="0.2">
      <c r="B4358" s="230">
        <v>39575</v>
      </c>
      <c r="C4358" s="124">
        <v>75.13</v>
      </c>
      <c r="D4358" s="156">
        <f t="shared" si="137"/>
        <v>5.4160235723305736E-2</v>
      </c>
      <c r="E4358" s="156">
        <v>-1.7071992269286556E-2</v>
      </c>
      <c r="F4358" s="124">
        <v>4352</v>
      </c>
      <c r="G4358" s="238">
        <f t="shared" ca="1" si="136"/>
        <v>1.1603579806245845E-2</v>
      </c>
      <c r="I4358" s="156"/>
    </row>
    <row r="4359" spans="2:9" x14ac:dyDescent="0.2">
      <c r="B4359" s="230">
        <v>39574</v>
      </c>
      <c r="C4359" s="124">
        <v>74.53</v>
      </c>
      <c r="D4359" s="156">
        <f t="shared" si="137"/>
        <v>-7.9861573272992734E-3</v>
      </c>
      <c r="E4359" s="156">
        <v>-1.7082179132040576E-2</v>
      </c>
      <c r="F4359" s="124">
        <v>4353</v>
      </c>
      <c r="G4359" s="238">
        <f t="shared" ref="G4359:G4422" ca="1" si="138">_xlfn.NORM.INV(RAND(),$L$8,$L$9)</f>
        <v>-8.8013181902972244E-4</v>
      </c>
      <c r="I4359" s="156"/>
    </row>
    <row r="4360" spans="2:9" x14ac:dyDescent="0.2">
      <c r="B4360" s="230">
        <v>39573</v>
      </c>
      <c r="C4360" s="124">
        <v>73.17</v>
      </c>
      <c r="D4360" s="156">
        <f t="shared" si="137"/>
        <v>-1.8247685495773505E-2</v>
      </c>
      <c r="E4360" s="156">
        <v>-1.7092375648165993E-2</v>
      </c>
      <c r="F4360" s="124">
        <v>4354</v>
      </c>
      <c r="G4360" s="238">
        <f t="shared" ca="1" si="138"/>
        <v>2.7586751377979286E-2</v>
      </c>
      <c r="I4360" s="156"/>
    </row>
    <row r="4361" spans="2:9" x14ac:dyDescent="0.2">
      <c r="B4361" s="230">
        <v>39570</v>
      </c>
      <c r="C4361" s="124">
        <v>73.239999999999995</v>
      </c>
      <c r="D4361" s="156">
        <f t="shared" si="137"/>
        <v>9.5667623342890766E-4</v>
      </c>
      <c r="E4361" s="156">
        <v>-1.7120201838169091E-2</v>
      </c>
      <c r="F4361" s="124">
        <v>4355</v>
      </c>
      <c r="G4361" s="238">
        <f t="shared" ca="1" si="138"/>
        <v>9.4264675020645124E-3</v>
      </c>
      <c r="I4361" s="156"/>
    </row>
    <row r="4362" spans="2:9" x14ac:dyDescent="0.2">
      <c r="B4362" s="230">
        <v>39568</v>
      </c>
      <c r="C4362" s="124">
        <v>72.89</v>
      </c>
      <c r="D4362" s="156">
        <f t="shared" si="137"/>
        <v>-4.7788093937738167E-3</v>
      </c>
      <c r="E4362" s="156">
        <v>-1.7138939670932357E-2</v>
      </c>
      <c r="F4362" s="124">
        <v>4356</v>
      </c>
      <c r="G4362" s="238">
        <f t="shared" ca="1" si="138"/>
        <v>2.4264851430790407E-3</v>
      </c>
      <c r="I4362" s="156"/>
    </row>
    <row r="4363" spans="2:9" x14ac:dyDescent="0.2">
      <c r="B4363" s="230">
        <v>39567</v>
      </c>
      <c r="C4363" s="124">
        <v>70.37</v>
      </c>
      <c r="D4363" s="156">
        <f t="shared" si="137"/>
        <v>-3.4572643709699494E-2</v>
      </c>
      <c r="E4363" s="156">
        <v>-1.7141025008632144E-2</v>
      </c>
      <c r="F4363" s="124">
        <v>4357</v>
      </c>
      <c r="G4363" s="238">
        <f t="shared" ca="1" si="138"/>
        <v>-1.5428025442280743E-2</v>
      </c>
      <c r="I4363" s="156"/>
    </row>
    <row r="4364" spans="2:9" x14ac:dyDescent="0.2">
      <c r="B4364" s="230">
        <v>39566</v>
      </c>
      <c r="C4364" s="124">
        <v>70.14</v>
      </c>
      <c r="D4364" s="156">
        <f t="shared" si="137"/>
        <v>-3.26843825493824E-3</v>
      </c>
      <c r="E4364" s="156">
        <v>-1.7156446407338242E-2</v>
      </c>
      <c r="F4364" s="124">
        <v>4358</v>
      </c>
      <c r="G4364" s="238">
        <f t="shared" ca="1" si="138"/>
        <v>-3.3825540852746888E-2</v>
      </c>
      <c r="I4364" s="156"/>
    </row>
    <row r="4365" spans="2:9" x14ac:dyDescent="0.2">
      <c r="B4365" s="230">
        <v>39563</v>
      </c>
      <c r="C4365" s="124">
        <v>70.569999999999993</v>
      </c>
      <c r="D4365" s="156">
        <f t="shared" si="137"/>
        <v>6.1305959509551271E-3</v>
      </c>
      <c r="E4365" s="156">
        <v>-1.7169239647958415E-2</v>
      </c>
      <c r="F4365" s="124">
        <v>4359</v>
      </c>
      <c r="G4365" s="238">
        <f t="shared" ca="1" si="138"/>
        <v>-8.1381153535694303E-3</v>
      </c>
      <c r="I4365" s="156"/>
    </row>
    <row r="4366" spans="2:9" x14ac:dyDescent="0.2">
      <c r="B4366" s="230">
        <v>39562</v>
      </c>
      <c r="C4366" s="124">
        <v>69.59</v>
      </c>
      <c r="D4366" s="156">
        <f t="shared" si="137"/>
        <v>-1.3886920787870056E-2</v>
      </c>
      <c r="E4366" s="156">
        <v>-1.7179225816075443E-2</v>
      </c>
      <c r="F4366" s="124">
        <v>4360</v>
      </c>
      <c r="G4366" s="238">
        <f t="shared" ca="1" si="138"/>
        <v>-2.4021631405695118E-2</v>
      </c>
      <c r="I4366" s="156"/>
    </row>
    <row r="4367" spans="2:9" x14ac:dyDescent="0.2">
      <c r="B4367" s="230">
        <v>39561</v>
      </c>
      <c r="C4367" s="124">
        <v>70.239999999999995</v>
      </c>
      <c r="D4367" s="156">
        <f t="shared" si="137"/>
        <v>9.340422474493338E-3</v>
      </c>
      <c r="E4367" s="156">
        <v>-1.7184516576983198E-2</v>
      </c>
      <c r="F4367" s="124">
        <v>4361</v>
      </c>
      <c r="G4367" s="238">
        <f t="shared" ca="1" si="138"/>
        <v>3.656644903258352E-2</v>
      </c>
      <c r="I4367" s="156"/>
    </row>
    <row r="4368" spans="2:9" x14ac:dyDescent="0.2">
      <c r="B4368" s="230">
        <v>39560</v>
      </c>
      <c r="C4368" s="124">
        <v>70.7</v>
      </c>
      <c r="D4368" s="156">
        <f t="shared" si="137"/>
        <v>6.5489749430525058E-3</v>
      </c>
      <c r="E4368" s="156">
        <v>-1.7187159448267392E-2</v>
      </c>
      <c r="F4368" s="124">
        <v>4362</v>
      </c>
      <c r="G4368" s="238">
        <f t="shared" ca="1" si="138"/>
        <v>-5.779011986748797E-3</v>
      </c>
      <c r="I4368" s="156"/>
    </row>
    <row r="4369" spans="2:9" x14ac:dyDescent="0.2">
      <c r="B4369" s="230">
        <v>39559</v>
      </c>
      <c r="C4369" s="124">
        <v>69.010000000000005</v>
      </c>
      <c r="D4369" s="156">
        <f t="shared" si="137"/>
        <v>-2.3903818953323872E-2</v>
      </c>
      <c r="E4369" s="156">
        <v>-1.7216345156606534E-2</v>
      </c>
      <c r="F4369" s="124">
        <v>4363</v>
      </c>
      <c r="G4369" s="238">
        <f t="shared" ca="1" si="138"/>
        <v>2.8821298037989568E-3</v>
      </c>
      <c r="I4369" s="156"/>
    </row>
    <row r="4370" spans="2:9" x14ac:dyDescent="0.2">
      <c r="B4370" s="230">
        <v>39555</v>
      </c>
      <c r="C4370" s="124">
        <v>70.09</v>
      </c>
      <c r="D4370" s="156">
        <f t="shared" si="137"/>
        <v>1.5649905810752041E-2</v>
      </c>
      <c r="E4370" s="156">
        <v>-1.7230929084769201E-2</v>
      </c>
      <c r="F4370" s="124">
        <v>4364</v>
      </c>
      <c r="G4370" s="238">
        <f t="shared" ca="1" si="138"/>
        <v>2.4424890119150555E-2</v>
      </c>
      <c r="I4370" s="156"/>
    </row>
    <row r="4371" spans="2:9" x14ac:dyDescent="0.2">
      <c r="B4371" s="230">
        <v>39554</v>
      </c>
      <c r="C4371" s="124">
        <v>69.61</v>
      </c>
      <c r="D4371" s="156">
        <f t="shared" si="137"/>
        <v>-6.8483378513340557E-3</v>
      </c>
      <c r="E4371" s="156">
        <v>-1.7232190442351986E-2</v>
      </c>
      <c r="F4371" s="124">
        <v>4365</v>
      </c>
      <c r="G4371" s="238">
        <f t="shared" ca="1" si="138"/>
        <v>-5.3792145718977403E-3</v>
      </c>
      <c r="I4371" s="156"/>
    </row>
    <row r="4372" spans="2:9" x14ac:dyDescent="0.2">
      <c r="B4372" s="230">
        <v>39553</v>
      </c>
      <c r="C4372" s="124">
        <v>68.91</v>
      </c>
      <c r="D4372" s="156">
        <f t="shared" si="137"/>
        <v>-1.0056026432983808E-2</v>
      </c>
      <c r="E4372" s="156">
        <v>-1.7235726663856393E-2</v>
      </c>
      <c r="F4372" s="124">
        <v>4366</v>
      </c>
      <c r="G4372" s="238">
        <f t="shared" ca="1" si="138"/>
        <v>2.5634019488839743E-3</v>
      </c>
      <c r="I4372" s="156"/>
    </row>
    <row r="4373" spans="2:9" x14ac:dyDescent="0.2">
      <c r="B4373" s="230">
        <v>39549</v>
      </c>
      <c r="C4373" s="124">
        <v>67.64</v>
      </c>
      <c r="D4373" s="156">
        <f t="shared" si="137"/>
        <v>-1.842983601799443E-2</v>
      </c>
      <c r="E4373" s="156">
        <v>-1.7237072195853194E-2</v>
      </c>
      <c r="F4373" s="124">
        <v>4367</v>
      </c>
      <c r="G4373" s="238">
        <f t="shared" ca="1" si="138"/>
        <v>1.1522348593235509E-2</v>
      </c>
      <c r="I4373" s="156"/>
    </row>
    <row r="4374" spans="2:9" x14ac:dyDescent="0.2">
      <c r="B4374" s="230">
        <v>39548</v>
      </c>
      <c r="C4374" s="124">
        <v>68.5</v>
      </c>
      <c r="D4374" s="156">
        <f t="shared" si="137"/>
        <v>1.2714370195150791E-2</v>
      </c>
      <c r="E4374" s="156">
        <v>-1.7242981966908384E-2</v>
      </c>
      <c r="F4374" s="124">
        <v>4368</v>
      </c>
      <c r="G4374" s="238">
        <f t="shared" ca="1" si="138"/>
        <v>-2.4555238606374191E-2</v>
      </c>
      <c r="I4374" s="156"/>
    </row>
    <row r="4375" spans="2:9" x14ac:dyDescent="0.2">
      <c r="B4375" s="230">
        <v>39547</v>
      </c>
      <c r="C4375" s="124">
        <v>68.75</v>
      </c>
      <c r="D4375" s="156">
        <f t="shared" si="137"/>
        <v>3.6496350364963502E-3</v>
      </c>
      <c r="E4375" s="156">
        <v>-1.7246944892782941E-2</v>
      </c>
      <c r="F4375" s="124">
        <v>4369</v>
      </c>
      <c r="G4375" s="238">
        <f t="shared" ca="1" si="138"/>
        <v>-4.8521518278824031E-3</v>
      </c>
      <c r="I4375" s="156"/>
    </row>
    <row r="4376" spans="2:9" x14ac:dyDescent="0.2">
      <c r="B4376" s="230">
        <v>39546</v>
      </c>
      <c r="C4376" s="124">
        <v>69.13</v>
      </c>
      <c r="D4376" s="156">
        <f t="shared" si="137"/>
        <v>5.5272727272726611E-3</v>
      </c>
      <c r="E4376" s="156">
        <v>-1.7251078192386898E-2</v>
      </c>
      <c r="F4376" s="124">
        <v>4370</v>
      </c>
      <c r="G4376" s="238">
        <f t="shared" ca="1" si="138"/>
        <v>-2.0709814199351445E-2</v>
      </c>
      <c r="I4376" s="156"/>
    </row>
    <row r="4377" spans="2:9" x14ac:dyDescent="0.2">
      <c r="B4377" s="230">
        <v>39545</v>
      </c>
      <c r="C4377" s="124">
        <v>69.73</v>
      </c>
      <c r="D4377" s="156">
        <f t="shared" si="137"/>
        <v>8.679299869810626E-3</v>
      </c>
      <c r="E4377" s="156">
        <v>-1.7259056732741029E-2</v>
      </c>
      <c r="F4377" s="124">
        <v>4371</v>
      </c>
      <c r="G4377" s="238">
        <f t="shared" ca="1" si="138"/>
        <v>-2.3366769610408039E-2</v>
      </c>
      <c r="I4377" s="156"/>
    </row>
    <row r="4378" spans="2:9" x14ac:dyDescent="0.2">
      <c r="B4378" s="230">
        <v>39542</v>
      </c>
      <c r="C4378" s="124">
        <v>66.489999999999995</v>
      </c>
      <c r="D4378" s="156">
        <f t="shared" si="137"/>
        <v>-4.6464936182418023E-2</v>
      </c>
      <c r="E4378" s="156">
        <v>-1.7314654493939895E-2</v>
      </c>
      <c r="F4378" s="124">
        <v>4372</v>
      </c>
      <c r="G4378" s="238">
        <f t="shared" ca="1" si="138"/>
        <v>1.3262853063334338E-3</v>
      </c>
      <c r="I4378" s="156"/>
    </row>
    <row r="4379" spans="2:9" x14ac:dyDescent="0.2">
      <c r="B4379" s="230">
        <v>39541</v>
      </c>
      <c r="C4379" s="124">
        <v>68.959999999999994</v>
      </c>
      <c r="D4379" s="156">
        <f t="shared" si="137"/>
        <v>3.7148443374943586E-2</v>
      </c>
      <c r="E4379" s="156">
        <v>-1.7319277108433635E-2</v>
      </c>
      <c r="F4379" s="124">
        <v>4373</v>
      </c>
      <c r="G4379" s="238">
        <f t="shared" ca="1" si="138"/>
        <v>-7.9720523403568368E-3</v>
      </c>
      <c r="I4379" s="156"/>
    </row>
    <row r="4380" spans="2:9" x14ac:dyDescent="0.2">
      <c r="B4380" s="230">
        <v>39540</v>
      </c>
      <c r="C4380" s="124">
        <v>68.95</v>
      </c>
      <c r="D4380" s="156">
        <f t="shared" si="137"/>
        <v>-1.4501160092794237E-4</v>
      </c>
      <c r="E4380" s="156">
        <v>-1.7334490573315972E-2</v>
      </c>
      <c r="F4380" s="124">
        <v>4374</v>
      </c>
      <c r="G4380" s="238">
        <f t="shared" ca="1" si="138"/>
        <v>-2.3043439987041756E-2</v>
      </c>
      <c r="I4380" s="156"/>
    </row>
    <row r="4381" spans="2:9" x14ac:dyDescent="0.2">
      <c r="B4381" s="230">
        <v>39539</v>
      </c>
      <c r="C4381" s="124">
        <v>69.81</v>
      </c>
      <c r="D4381" s="156">
        <f t="shared" si="137"/>
        <v>1.2472806381435815E-2</v>
      </c>
      <c r="E4381" s="156">
        <v>-1.7347937828906985E-2</v>
      </c>
      <c r="F4381" s="124">
        <v>4375</v>
      </c>
      <c r="G4381" s="238">
        <f t="shared" ca="1" si="138"/>
        <v>-8.0778680783653877E-4</v>
      </c>
      <c r="I4381" s="156"/>
    </row>
    <row r="4382" spans="2:9" x14ac:dyDescent="0.2">
      <c r="B4382" s="230">
        <v>39538</v>
      </c>
      <c r="C4382" s="124">
        <v>68.37</v>
      </c>
      <c r="D4382" s="156">
        <f t="shared" si="137"/>
        <v>-2.0627417275461937E-2</v>
      </c>
      <c r="E4382" s="156">
        <v>-1.7380168313208925E-2</v>
      </c>
      <c r="F4382" s="124">
        <v>4376</v>
      </c>
      <c r="G4382" s="238">
        <f t="shared" ca="1" si="138"/>
        <v>-3.2561398572397431E-3</v>
      </c>
      <c r="I4382" s="156"/>
    </row>
    <row r="4383" spans="2:9" x14ac:dyDescent="0.2">
      <c r="B4383" s="230">
        <v>39535</v>
      </c>
      <c r="C4383" s="124">
        <v>68.45</v>
      </c>
      <c r="D4383" s="156">
        <f t="shared" si="137"/>
        <v>1.1701038467163711E-3</v>
      </c>
      <c r="E4383" s="156">
        <v>-1.7396745932415469E-2</v>
      </c>
      <c r="F4383" s="124">
        <v>4377</v>
      </c>
      <c r="G4383" s="238">
        <f t="shared" ca="1" si="138"/>
        <v>-2.763938170562311E-2</v>
      </c>
      <c r="I4383" s="156"/>
    </row>
    <row r="4384" spans="2:9" x14ac:dyDescent="0.2">
      <c r="B4384" s="230">
        <v>39534</v>
      </c>
      <c r="C4384" s="124">
        <v>66.33</v>
      </c>
      <c r="D4384" s="156">
        <f t="shared" si="137"/>
        <v>-3.09715120525932E-2</v>
      </c>
      <c r="E4384" s="156">
        <v>-1.7397220332393878E-2</v>
      </c>
      <c r="F4384" s="124">
        <v>4378</v>
      </c>
      <c r="G4384" s="238">
        <f t="shared" ca="1" si="138"/>
        <v>2.6062953399043059E-2</v>
      </c>
      <c r="I4384" s="156"/>
    </row>
    <row r="4385" spans="2:9" x14ac:dyDescent="0.2">
      <c r="B4385" s="230">
        <v>39533</v>
      </c>
      <c r="C4385" s="124">
        <v>64.739999999999995</v>
      </c>
      <c r="D4385" s="156">
        <f t="shared" si="137"/>
        <v>-2.3971053821800141E-2</v>
      </c>
      <c r="E4385" s="156">
        <v>-1.7415609546334171E-2</v>
      </c>
      <c r="F4385" s="124">
        <v>4379</v>
      </c>
      <c r="G4385" s="238">
        <f t="shared" ca="1" si="138"/>
        <v>1.8549275575876722E-2</v>
      </c>
      <c r="I4385" s="156"/>
    </row>
    <row r="4386" spans="2:9" x14ac:dyDescent="0.2">
      <c r="B4386" s="230">
        <v>39532</v>
      </c>
      <c r="C4386" s="124">
        <v>63.49</v>
      </c>
      <c r="D4386" s="156">
        <f t="shared" si="137"/>
        <v>-1.9308001235711972E-2</v>
      </c>
      <c r="E4386" s="156">
        <v>-1.7459256892194144E-2</v>
      </c>
      <c r="F4386" s="124">
        <v>4380</v>
      </c>
      <c r="G4386" s="238">
        <f t="shared" ca="1" si="138"/>
        <v>3.9101243976698164E-3</v>
      </c>
      <c r="I4386" s="156"/>
    </row>
    <row r="4387" spans="2:9" x14ac:dyDescent="0.2">
      <c r="B4387" s="230">
        <v>39531</v>
      </c>
      <c r="C4387" s="124">
        <v>63.36</v>
      </c>
      <c r="D4387" s="156">
        <f t="shared" si="137"/>
        <v>-2.0475665459127822E-3</v>
      </c>
      <c r="E4387" s="156">
        <v>-1.746699034874764E-2</v>
      </c>
      <c r="F4387" s="124">
        <v>4381</v>
      </c>
      <c r="G4387" s="238">
        <f t="shared" ca="1" si="138"/>
        <v>6.8057361919217014E-3</v>
      </c>
      <c r="I4387" s="156"/>
    </row>
    <row r="4388" spans="2:9" x14ac:dyDescent="0.2">
      <c r="B4388" s="230">
        <v>39526</v>
      </c>
      <c r="C4388" s="124">
        <v>62.09</v>
      </c>
      <c r="D4388" s="156">
        <f t="shared" si="137"/>
        <v>-2.0044191919191857E-2</v>
      </c>
      <c r="E4388" s="156">
        <v>-1.7489312087057909E-2</v>
      </c>
      <c r="F4388" s="124">
        <v>4382</v>
      </c>
      <c r="G4388" s="238">
        <f t="shared" ca="1" si="138"/>
        <v>1.0461820727295835E-2</v>
      </c>
      <c r="I4388" s="156"/>
    </row>
    <row r="4389" spans="2:9" x14ac:dyDescent="0.2">
      <c r="B4389" s="230">
        <v>39525</v>
      </c>
      <c r="C4389" s="124">
        <v>60.68</v>
      </c>
      <c r="D4389" s="156">
        <f t="shared" si="137"/>
        <v>-2.2708970848767975E-2</v>
      </c>
      <c r="E4389" s="156">
        <v>-1.7563291139240496E-2</v>
      </c>
      <c r="F4389" s="124">
        <v>4383</v>
      </c>
      <c r="G4389" s="238">
        <f t="shared" ca="1" si="138"/>
        <v>1.4542377742296454E-2</v>
      </c>
      <c r="I4389" s="156"/>
    </row>
    <row r="4390" spans="2:9" x14ac:dyDescent="0.2">
      <c r="B4390" s="230">
        <v>39524</v>
      </c>
      <c r="C4390" s="124">
        <v>61.57</v>
      </c>
      <c r="D4390" s="156">
        <f t="shared" si="137"/>
        <v>1.4667106130520774E-2</v>
      </c>
      <c r="E4390" s="156">
        <v>-1.7564176799845659E-2</v>
      </c>
      <c r="F4390" s="124">
        <v>4384</v>
      </c>
      <c r="G4390" s="238">
        <f t="shared" ca="1" si="138"/>
        <v>1.1547390235995714E-3</v>
      </c>
      <c r="I4390" s="156"/>
    </row>
    <row r="4391" spans="2:9" x14ac:dyDescent="0.2">
      <c r="B4391" s="230">
        <v>39521</v>
      </c>
      <c r="C4391" s="124">
        <v>63.54</v>
      </c>
      <c r="D4391" s="156">
        <f t="shared" si="137"/>
        <v>3.1996101997726144E-2</v>
      </c>
      <c r="E4391" s="156">
        <v>-1.7567951510559749E-2</v>
      </c>
      <c r="F4391" s="124">
        <v>4385</v>
      </c>
      <c r="G4391" s="238">
        <f t="shared" ca="1" si="138"/>
        <v>-2.4586671986567277E-2</v>
      </c>
      <c r="I4391" s="156"/>
    </row>
    <row r="4392" spans="2:9" x14ac:dyDescent="0.2">
      <c r="B4392" s="230">
        <v>39520</v>
      </c>
      <c r="C4392" s="124">
        <v>61.52</v>
      </c>
      <c r="D4392" s="156">
        <f t="shared" si="137"/>
        <v>-3.1790997796663459E-2</v>
      </c>
      <c r="E4392" s="156">
        <v>-1.7612524461839592E-2</v>
      </c>
      <c r="F4392" s="124">
        <v>4386</v>
      </c>
      <c r="G4392" s="238">
        <f t="shared" ca="1" si="138"/>
        <v>7.4098711105027217E-3</v>
      </c>
      <c r="I4392" s="156"/>
    </row>
    <row r="4393" spans="2:9" x14ac:dyDescent="0.2">
      <c r="B4393" s="230">
        <v>39519</v>
      </c>
      <c r="C4393" s="124">
        <v>63.15</v>
      </c>
      <c r="D4393" s="156">
        <f t="shared" si="137"/>
        <v>2.6495448634590302E-2</v>
      </c>
      <c r="E4393" s="156">
        <v>-1.7626217891939848E-2</v>
      </c>
      <c r="F4393" s="124">
        <v>4387</v>
      </c>
      <c r="G4393" s="238">
        <f t="shared" ca="1" si="138"/>
        <v>-2.0309145582421299E-2</v>
      </c>
      <c r="I4393" s="156"/>
    </row>
    <row r="4394" spans="2:9" x14ac:dyDescent="0.2">
      <c r="B4394" s="230">
        <v>39518</v>
      </c>
      <c r="C4394" s="124">
        <v>63.73</v>
      </c>
      <c r="D4394" s="156">
        <f t="shared" si="137"/>
        <v>9.1844813935074952E-3</v>
      </c>
      <c r="E4394" s="156">
        <v>-1.7645345207873739E-2</v>
      </c>
      <c r="F4394" s="124">
        <v>4388</v>
      </c>
      <c r="G4394" s="238">
        <f t="shared" ca="1" si="138"/>
        <v>3.7469299453778103E-3</v>
      </c>
      <c r="I4394" s="156"/>
    </row>
    <row r="4395" spans="2:9" x14ac:dyDescent="0.2">
      <c r="B4395" s="230">
        <v>39517</v>
      </c>
      <c r="C4395" s="124">
        <v>63.31</v>
      </c>
      <c r="D4395" s="156">
        <f t="shared" si="137"/>
        <v>-6.5903028401066155E-3</v>
      </c>
      <c r="E4395" s="156">
        <v>-1.7666903409090863E-2</v>
      </c>
      <c r="F4395" s="124">
        <v>4389</v>
      </c>
      <c r="G4395" s="238">
        <f t="shared" ca="1" si="138"/>
        <v>-3.1455507206504239E-3</v>
      </c>
      <c r="I4395" s="156"/>
    </row>
    <row r="4396" spans="2:9" x14ac:dyDescent="0.2">
      <c r="B4396" s="230">
        <v>39514</v>
      </c>
      <c r="C4396" s="124">
        <v>63.23</v>
      </c>
      <c r="D4396" s="156">
        <f t="shared" si="137"/>
        <v>-1.2636234402149012E-3</v>
      </c>
      <c r="E4396" s="156">
        <v>-1.7697798929208773E-2</v>
      </c>
      <c r="F4396" s="124">
        <v>4390</v>
      </c>
      <c r="G4396" s="238">
        <f t="shared" ca="1" si="138"/>
        <v>-1.0550544135041655E-2</v>
      </c>
      <c r="I4396" s="156"/>
    </row>
    <row r="4397" spans="2:9" x14ac:dyDescent="0.2">
      <c r="B4397" s="230">
        <v>39512</v>
      </c>
      <c r="C4397" s="124">
        <v>64.489999999999995</v>
      </c>
      <c r="D4397" s="156">
        <f t="shared" si="137"/>
        <v>1.9927249723232614E-2</v>
      </c>
      <c r="E4397" s="156">
        <v>-1.7701993216559041E-2</v>
      </c>
      <c r="F4397" s="124">
        <v>4391</v>
      </c>
      <c r="G4397" s="238">
        <f t="shared" ca="1" si="138"/>
        <v>-1.4543128046736277E-2</v>
      </c>
      <c r="I4397" s="156"/>
    </row>
    <row r="4398" spans="2:9" x14ac:dyDescent="0.2">
      <c r="B4398" s="230">
        <v>39511</v>
      </c>
      <c r="C4398" s="124">
        <v>61.29</v>
      </c>
      <c r="D4398" s="156">
        <f t="shared" si="137"/>
        <v>-4.9620096138936205E-2</v>
      </c>
      <c r="E4398" s="156">
        <v>-1.7756109305405013E-2</v>
      </c>
      <c r="F4398" s="124">
        <v>4392</v>
      </c>
      <c r="G4398" s="238">
        <f t="shared" ca="1" si="138"/>
        <v>1.3290379749314421E-2</v>
      </c>
      <c r="I4398" s="156"/>
    </row>
    <row r="4399" spans="2:9" x14ac:dyDescent="0.2">
      <c r="B4399" s="230">
        <v>39510</v>
      </c>
      <c r="C4399" s="124">
        <v>63.83</v>
      </c>
      <c r="D4399" s="156">
        <f t="shared" si="137"/>
        <v>4.1442323380649355E-2</v>
      </c>
      <c r="E4399" s="156">
        <v>-1.7756680731364365E-2</v>
      </c>
      <c r="F4399" s="124">
        <v>4393</v>
      </c>
      <c r="G4399" s="238">
        <f t="shared" ca="1" si="138"/>
        <v>-3.7580587926118376E-3</v>
      </c>
      <c r="I4399" s="156"/>
    </row>
    <row r="4400" spans="2:9" x14ac:dyDescent="0.2">
      <c r="B4400" s="230">
        <v>39507</v>
      </c>
      <c r="C4400" s="124">
        <v>67.209999999999994</v>
      </c>
      <c r="D4400" s="156">
        <f t="shared" si="137"/>
        <v>5.2953156822810522E-2</v>
      </c>
      <c r="E4400" s="156">
        <v>-1.7814914078511785E-2</v>
      </c>
      <c r="F4400" s="124">
        <v>4394</v>
      </c>
      <c r="G4400" s="238">
        <f t="shared" ca="1" si="138"/>
        <v>7.0883010371471308E-3</v>
      </c>
      <c r="I4400" s="156"/>
    </row>
    <row r="4401" spans="2:9" x14ac:dyDescent="0.2">
      <c r="B4401" s="230">
        <v>39506</v>
      </c>
      <c r="C4401" s="124">
        <v>67.040000000000006</v>
      </c>
      <c r="D4401" s="156">
        <f t="shared" si="137"/>
        <v>-2.5293855081087264E-3</v>
      </c>
      <c r="E4401" s="156">
        <v>-1.7819119130337367E-2</v>
      </c>
      <c r="F4401" s="124">
        <v>4395</v>
      </c>
      <c r="G4401" s="238">
        <f t="shared" ca="1" si="138"/>
        <v>-2.1595147099450606E-2</v>
      </c>
      <c r="I4401" s="156"/>
    </row>
    <row r="4402" spans="2:9" x14ac:dyDescent="0.2">
      <c r="B4402" s="230">
        <v>39505</v>
      </c>
      <c r="C4402" s="124">
        <v>67.069999999999993</v>
      </c>
      <c r="D4402" s="156">
        <f t="shared" si="137"/>
        <v>4.4749403341269275E-4</v>
      </c>
      <c r="E4402" s="156">
        <v>-1.7893870835047284E-2</v>
      </c>
      <c r="F4402" s="124">
        <v>4396</v>
      </c>
      <c r="G4402" s="238">
        <f t="shared" ca="1" si="138"/>
        <v>-8.2172810468782859E-3</v>
      </c>
      <c r="I4402" s="156"/>
    </row>
    <row r="4403" spans="2:9" x14ac:dyDescent="0.2">
      <c r="B4403" s="230">
        <v>39504</v>
      </c>
      <c r="C4403" s="124">
        <v>66.78</v>
      </c>
      <c r="D4403" s="156">
        <f t="shared" si="137"/>
        <v>-4.3238407633814238E-3</v>
      </c>
      <c r="E4403" s="156">
        <v>-1.7936765301986322E-2</v>
      </c>
      <c r="F4403" s="124">
        <v>4397</v>
      </c>
      <c r="G4403" s="238">
        <f t="shared" ca="1" si="138"/>
        <v>3.8729745025542557E-2</v>
      </c>
      <c r="I4403" s="156"/>
    </row>
    <row r="4404" spans="2:9" x14ac:dyDescent="0.2">
      <c r="B4404" s="230">
        <v>39503</v>
      </c>
      <c r="C4404" s="124">
        <v>66.91</v>
      </c>
      <c r="D4404" s="156">
        <f t="shared" si="137"/>
        <v>1.9466906259358408E-3</v>
      </c>
      <c r="E4404" s="156">
        <v>-1.7936765301986322E-2</v>
      </c>
      <c r="F4404" s="124">
        <v>4398</v>
      </c>
      <c r="G4404" s="238">
        <f t="shared" ca="1" si="138"/>
        <v>7.7170229560014634E-3</v>
      </c>
      <c r="I4404" s="156"/>
    </row>
    <row r="4405" spans="2:9" x14ac:dyDescent="0.2">
      <c r="B4405" s="230">
        <v>39500</v>
      </c>
      <c r="C4405" s="124">
        <v>66.349999999999994</v>
      </c>
      <c r="D4405" s="156">
        <f t="shared" si="137"/>
        <v>-8.3694515020176705E-3</v>
      </c>
      <c r="E4405" s="156">
        <v>-1.7944785276073644E-2</v>
      </c>
      <c r="F4405" s="124">
        <v>4399</v>
      </c>
      <c r="G4405" s="238">
        <f t="shared" ca="1" si="138"/>
        <v>-6.3718031230959584E-3</v>
      </c>
      <c r="I4405" s="156"/>
    </row>
    <row r="4406" spans="2:9" x14ac:dyDescent="0.2">
      <c r="B4406" s="230">
        <v>39499</v>
      </c>
      <c r="C4406" s="124">
        <v>66.739999999999995</v>
      </c>
      <c r="D4406" s="156">
        <f t="shared" si="137"/>
        <v>5.8779201205727298E-3</v>
      </c>
      <c r="E4406" s="156">
        <v>-1.7947196677543787E-2</v>
      </c>
      <c r="F4406" s="124">
        <v>4400</v>
      </c>
      <c r="G4406" s="238">
        <f t="shared" ca="1" si="138"/>
        <v>8.478065596332884E-3</v>
      </c>
      <c r="I4406" s="156"/>
    </row>
    <row r="4407" spans="2:9" x14ac:dyDescent="0.2">
      <c r="B4407" s="230">
        <v>39498</v>
      </c>
      <c r="C4407" s="124">
        <v>66.94</v>
      </c>
      <c r="D4407" s="156">
        <f t="shared" si="137"/>
        <v>2.9967036260114305E-3</v>
      </c>
      <c r="E4407" s="156">
        <v>-1.7967259660174716E-2</v>
      </c>
      <c r="F4407" s="124">
        <v>4401</v>
      </c>
      <c r="G4407" s="238">
        <f t="shared" ca="1" si="138"/>
        <v>4.2067055767050819E-3</v>
      </c>
      <c r="I4407" s="156"/>
    </row>
    <row r="4408" spans="2:9" x14ac:dyDescent="0.2">
      <c r="B4408" s="230">
        <v>39497</v>
      </c>
      <c r="C4408" s="124">
        <v>68.09</v>
      </c>
      <c r="D4408" s="156">
        <f t="shared" si="137"/>
        <v>1.717956378846737E-2</v>
      </c>
      <c r="E4408" s="156">
        <v>-1.8028496656004579E-2</v>
      </c>
      <c r="F4408" s="124">
        <v>4402</v>
      </c>
      <c r="G4408" s="238">
        <f t="shared" ca="1" si="138"/>
        <v>3.3729928033971661E-3</v>
      </c>
      <c r="I4408" s="156"/>
    </row>
    <row r="4409" spans="2:9" x14ac:dyDescent="0.2">
      <c r="B4409" s="230">
        <v>39496</v>
      </c>
      <c r="C4409" s="124">
        <v>69.540000000000006</v>
      </c>
      <c r="D4409" s="156">
        <f t="shared" si="137"/>
        <v>2.1295344397121496E-2</v>
      </c>
      <c r="E4409" s="156">
        <v>-1.8029056537720908E-2</v>
      </c>
      <c r="F4409" s="124">
        <v>4403</v>
      </c>
      <c r="G4409" s="238">
        <f t="shared" ca="1" si="138"/>
        <v>2.2167155147548825E-2</v>
      </c>
      <c r="I4409" s="156"/>
    </row>
    <row r="4410" spans="2:9" x14ac:dyDescent="0.2">
      <c r="B4410" s="230">
        <v>39493</v>
      </c>
      <c r="C4410" s="124">
        <v>67.239999999999995</v>
      </c>
      <c r="D4410" s="156">
        <f t="shared" si="137"/>
        <v>-3.30744895024448E-2</v>
      </c>
      <c r="E4410" s="156">
        <v>-1.8069087688219743E-2</v>
      </c>
      <c r="F4410" s="124">
        <v>4404</v>
      </c>
      <c r="G4410" s="238">
        <f t="shared" ca="1" si="138"/>
        <v>6.5783069167189567E-3</v>
      </c>
      <c r="I4410" s="156"/>
    </row>
    <row r="4411" spans="2:9" x14ac:dyDescent="0.2">
      <c r="B4411" s="230">
        <v>39492</v>
      </c>
      <c r="C4411" s="124">
        <v>66.05</v>
      </c>
      <c r="D4411" s="156">
        <f t="shared" si="137"/>
        <v>-1.7697798929208773E-2</v>
      </c>
      <c r="E4411" s="156">
        <v>-1.8077803203661275E-2</v>
      </c>
      <c r="F4411" s="124">
        <v>4405</v>
      </c>
      <c r="G4411" s="238">
        <f t="shared" ca="1" si="138"/>
        <v>1.8175869214558656E-2</v>
      </c>
      <c r="I4411" s="156"/>
    </row>
    <row r="4412" spans="2:9" x14ac:dyDescent="0.2">
      <c r="B4412" s="230">
        <v>39491</v>
      </c>
      <c r="C4412" s="124">
        <v>65.05</v>
      </c>
      <c r="D4412" s="156">
        <f t="shared" si="137"/>
        <v>-1.514004542013626E-2</v>
      </c>
      <c r="E4412" s="156">
        <v>-1.8082110567659685E-2</v>
      </c>
      <c r="F4412" s="124">
        <v>4406</v>
      </c>
      <c r="G4412" s="238">
        <f t="shared" ca="1" si="138"/>
        <v>-1.4012627954248669E-2</v>
      </c>
      <c r="I4412" s="156"/>
    </row>
    <row r="4413" spans="2:9" x14ac:dyDescent="0.2">
      <c r="B4413" s="230">
        <v>39490</v>
      </c>
      <c r="C4413" s="124">
        <v>61.51</v>
      </c>
      <c r="D4413" s="156">
        <f t="shared" si="137"/>
        <v>-5.4419677171406597E-2</v>
      </c>
      <c r="E4413" s="156">
        <v>-1.8095464260270731E-2</v>
      </c>
      <c r="F4413" s="124">
        <v>4407</v>
      </c>
      <c r="G4413" s="238">
        <f t="shared" ca="1" si="138"/>
        <v>-8.515510878925903E-3</v>
      </c>
      <c r="I4413" s="156"/>
    </row>
    <row r="4414" spans="2:9" x14ac:dyDescent="0.2">
      <c r="B4414" s="230">
        <v>39489</v>
      </c>
      <c r="C4414" s="124">
        <v>61.46</v>
      </c>
      <c r="D4414" s="156">
        <f t="shared" ref="D4414:D4477" si="139">(C4414-C4413)/C4413</f>
        <v>-8.1287595512920111E-4</v>
      </c>
      <c r="E4414" s="156">
        <v>-1.809755020966684E-2</v>
      </c>
      <c r="F4414" s="124">
        <v>4408</v>
      </c>
      <c r="G4414" s="238">
        <f t="shared" ca="1" si="138"/>
        <v>4.3048443337197762E-3</v>
      </c>
      <c r="I4414" s="156"/>
    </row>
    <row r="4415" spans="2:9" x14ac:dyDescent="0.2">
      <c r="B4415" s="230">
        <v>39486</v>
      </c>
      <c r="C4415" s="124">
        <v>65.63</v>
      </c>
      <c r="D4415" s="156">
        <f t="shared" si="139"/>
        <v>6.78490074845427E-2</v>
      </c>
      <c r="E4415" s="156">
        <v>-1.8115204559332451E-2</v>
      </c>
      <c r="F4415" s="124">
        <v>4409</v>
      </c>
      <c r="G4415" s="238">
        <f t="shared" ca="1" si="138"/>
        <v>-2.1722449991152561E-2</v>
      </c>
      <c r="I4415" s="156"/>
    </row>
    <row r="4416" spans="2:9" x14ac:dyDescent="0.2">
      <c r="B4416" s="230">
        <v>39485</v>
      </c>
      <c r="C4416" s="124">
        <v>63.68</v>
      </c>
      <c r="D4416" s="156">
        <f t="shared" si="139"/>
        <v>-2.9712021941185371E-2</v>
      </c>
      <c r="E4416" s="156">
        <v>-1.8135725429017154E-2</v>
      </c>
      <c r="F4416" s="124">
        <v>4410</v>
      </c>
      <c r="G4416" s="238">
        <f t="shared" ca="1" si="138"/>
        <v>9.1930279566010322E-3</v>
      </c>
      <c r="I4416" s="156"/>
    </row>
    <row r="4417" spans="2:9" x14ac:dyDescent="0.2">
      <c r="B4417" s="230">
        <v>39484</v>
      </c>
      <c r="C4417" s="124">
        <v>66.3</v>
      </c>
      <c r="D4417" s="156">
        <f t="shared" si="139"/>
        <v>4.1143216080401973E-2</v>
      </c>
      <c r="E4417" s="156">
        <v>-1.8140284869658806E-2</v>
      </c>
      <c r="F4417" s="124">
        <v>4411</v>
      </c>
      <c r="G4417" s="238">
        <f t="shared" ca="1" si="138"/>
        <v>1.2528154556357814E-2</v>
      </c>
      <c r="I4417" s="156"/>
    </row>
    <row r="4418" spans="2:9" x14ac:dyDescent="0.2">
      <c r="B4418" s="230">
        <v>39483</v>
      </c>
      <c r="C4418" s="124">
        <v>68.27</v>
      </c>
      <c r="D4418" s="156">
        <f t="shared" si="139"/>
        <v>2.9713423831070875E-2</v>
      </c>
      <c r="E4418" s="156">
        <v>-1.8142754834089232E-2</v>
      </c>
      <c r="F4418" s="124">
        <v>4412</v>
      </c>
      <c r="G4418" s="238">
        <f t="shared" ca="1" si="138"/>
        <v>-8.2850747641885006E-3</v>
      </c>
      <c r="I4418" s="156"/>
    </row>
    <row r="4419" spans="2:9" x14ac:dyDescent="0.2">
      <c r="B4419" s="230">
        <v>39482</v>
      </c>
      <c r="C4419" s="124">
        <v>67.89</v>
      </c>
      <c r="D4419" s="156">
        <f t="shared" si="139"/>
        <v>-5.5661344660904565E-3</v>
      </c>
      <c r="E4419" s="156">
        <v>-1.8159806295399629E-2</v>
      </c>
      <c r="F4419" s="124">
        <v>4413</v>
      </c>
      <c r="G4419" s="238">
        <f t="shared" ca="1" si="138"/>
        <v>-2.5650164291480638E-2</v>
      </c>
      <c r="I4419" s="156"/>
    </row>
    <row r="4420" spans="2:9" x14ac:dyDescent="0.2">
      <c r="B4420" s="230">
        <v>39479</v>
      </c>
      <c r="C4420" s="124">
        <v>68</v>
      </c>
      <c r="D4420" s="156">
        <f t="shared" si="139"/>
        <v>1.6202680807188014E-3</v>
      </c>
      <c r="E4420" s="156">
        <v>-1.8161180476730893E-2</v>
      </c>
      <c r="F4420" s="124">
        <v>4414</v>
      </c>
      <c r="G4420" s="238">
        <f t="shared" ca="1" si="138"/>
        <v>1.8730910329282879E-2</v>
      </c>
      <c r="I4420" s="156"/>
    </row>
    <row r="4421" spans="2:9" x14ac:dyDescent="0.2">
      <c r="B4421" s="230">
        <v>39478</v>
      </c>
      <c r="C4421" s="124">
        <v>64.819999999999993</v>
      </c>
      <c r="D4421" s="156">
        <f t="shared" si="139"/>
        <v>-4.6764705882353041E-2</v>
      </c>
      <c r="E4421" s="156">
        <v>-1.8161362905817994E-2</v>
      </c>
      <c r="F4421" s="124">
        <v>4415</v>
      </c>
      <c r="G4421" s="238">
        <f t="shared" ca="1" si="138"/>
        <v>1.4971805976842728E-2</v>
      </c>
      <c r="I4421" s="156"/>
    </row>
    <row r="4422" spans="2:9" x14ac:dyDescent="0.2">
      <c r="B4422" s="230">
        <v>39477</v>
      </c>
      <c r="C4422" s="124">
        <v>66.08</v>
      </c>
      <c r="D4422" s="156">
        <f t="shared" si="139"/>
        <v>1.9438444924406127E-2</v>
      </c>
      <c r="E4422" s="156">
        <v>-1.819363222872002E-2</v>
      </c>
      <c r="F4422" s="124">
        <v>4416</v>
      </c>
      <c r="G4422" s="238">
        <f t="shared" ca="1" si="138"/>
        <v>6.958115828855917E-3</v>
      </c>
      <c r="I4422" s="156"/>
    </row>
    <row r="4423" spans="2:9" x14ac:dyDescent="0.2">
      <c r="B4423" s="230">
        <v>39476</v>
      </c>
      <c r="C4423" s="124">
        <v>66.69</v>
      </c>
      <c r="D4423" s="156">
        <f t="shared" si="139"/>
        <v>9.2312348668280794E-3</v>
      </c>
      <c r="E4423" s="156">
        <v>-1.8241042345276948E-2</v>
      </c>
      <c r="F4423" s="124">
        <v>4417</v>
      </c>
      <c r="G4423" s="238">
        <f t="shared" ref="G4423:G4486" ca="1" si="140">_xlfn.NORM.INV(RAND(),$L$8,$L$9)</f>
        <v>-1.2637444170533533E-2</v>
      </c>
      <c r="I4423" s="156"/>
    </row>
    <row r="4424" spans="2:9" x14ac:dyDescent="0.2">
      <c r="B4424" s="230">
        <v>39475</v>
      </c>
      <c r="C4424" s="124">
        <v>65.05</v>
      </c>
      <c r="D4424" s="156">
        <f t="shared" si="139"/>
        <v>-2.4591393012445652E-2</v>
      </c>
      <c r="E4424" s="156">
        <v>-1.8245484703280409E-2</v>
      </c>
      <c r="F4424" s="124">
        <v>4418</v>
      </c>
      <c r="G4424" s="238">
        <f t="shared" ca="1" si="140"/>
        <v>2.8406796187548523E-2</v>
      </c>
      <c r="I4424" s="156"/>
    </row>
    <row r="4425" spans="2:9" x14ac:dyDescent="0.2">
      <c r="B4425" s="230">
        <v>39472</v>
      </c>
      <c r="C4425" s="124">
        <v>65.78</v>
      </c>
      <c r="D4425" s="156">
        <f t="shared" si="139"/>
        <v>1.1222136817832499E-2</v>
      </c>
      <c r="E4425" s="156">
        <v>-1.8247685495773505E-2</v>
      </c>
      <c r="F4425" s="124">
        <v>4419</v>
      </c>
      <c r="G4425" s="238">
        <f t="shared" ca="1" si="140"/>
        <v>-8.7251255614863889E-3</v>
      </c>
      <c r="I4425" s="156"/>
    </row>
    <row r="4426" spans="2:9" x14ac:dyDescent="0.2">
      <c r="B4426" s="230">
        <v>39471</v>
      </c>
      <c r="C4426" s="124">
        <v>62.15</v>
      </c>
      <c r="D4426" s="156">
        <f t="shared" si="139"/>
        <v>-5.5183946488294354E-2</v>
      </c>
      <c r="E4426" s="156">
        <v>-1.8296063574200661E-2</v>
      </c>
      <c r="F4426" s="124">
        <v>4420</v>
      </c>
      <c r="G4426" s="238">
        <f t="shared" ca="1" si="140"/>
        <v>-1.5061039921480883E-2</v>
      </c>
      <c r="I4426" s="156"/>
    </row>
    <row r="4427" spans="2:9" x14ac:dyDescent="0.2">
      <c r="B4427" s="230">
        <v>39470</v>
      </c>
      <c r="C4427" s="124">
        <v>64.59</v>
      </c>
      <c r="D4427" s="156">
        <f t="shared" si="139"/>
        <v>3.9259855189058807E-2</v>
      </c>
      <c r="E4427" s="156">
        <v>-1.8320987654321028E-2</v>
      </c>
      <c r="F4427" s="124">
        <v>4421</v>
      </c>
      <c r="G4427" s="238">
        <f t="shared" ca="1" si="140"/>
        <v>-1.0228469592929529E-2</v>
      </c>
      <c r="I4427" s="156"/>
    </row>
    <row r="4428" spans="2:9" x14ac:dyDescent="0.2">
      <c r="B4428" s="230">
        <v>39469</v>
      </c>
      <c r="C4428" s="124">
        <v>60.63</v>
      </c>
      <c r="D4428" s="156">
        <f t="shared" si="139"/>
        <v>-6.1309800278680923E-2</v>
      </c>
      <c r="E4428" s="156">
        <v>-1.8355158621445371E-2</v>
      </c>
      <c r="F4428" s="124">
        <v>4422</v>
      </c>
      <c r="G4428" s="238">
        <f t="shared" ca="1" si="140"/>
        <v>2.3674474995642875E-2</v>
      </c>
      <c r="I4428" s="156"/>
    </row>
    <row r="4429" spans="2:9" x14ac:dyDescent="0.2">
      <c r="B4429" s="230">
        <v>39468</v>
      </c>
      <c r="C4429" s="124">
        <v>66.91</v>
      </c>
      <c r="D4429" s="156">
        <f t="shared" si="139"/>
        <v>0.10357908626092684</v>
      </c>
      <c r="E4429" s="156">
        <v>-1.8359091380562142E-2</v>
      </c>
      <c r="F4429" s="124">
        <v>4423</v>
      </c>
      <c r="G4429" s="238">
        <f t="shared" ca="1" si="140"/>
        <v>1.0787783482213624E-2</v>
      </c>
      <c r="I4429" s="156"/>
    </row>
    <row r="4430" spans="2:9" x14ac:dyDescent="0.2">
      <c r="B4430" s="230">
        <v>39465</v>
      </c>
      <c r="C4430" s="124">
        <v>70.489999999999995</v>
      </c>
      <c r="D4430" s="156">
        <f t="shared" si="139"/>
        <v>5.3504707816469863E-2</v>
      </c>
      <c r="E4430" s="156">
        <v>-1.838859759249693E-2</v>
      </c>
      <c r="F4430" s="124">
        <v>4424</v>
      </c>
      <c r="G4430" s="238">
        <f t="shared" ca="1" si="140"/>
        <v>-1.8416866527787793E-2</v>
      </c>
      <c r="I4430" s="156"/>
    </row>
    <row r="4431" spans="2:9" x14ac:dyDescent="0.2">
      <c r="B4431" s="230">
        <v>39464</v>
      </c>
      <c r="C4431" s="124">
        <v>72.180000000000007</v>
      </c>
      <c r="D4431" s="156">
        <f t="shared" si="139"/>
        <v>2.3975031919421366E-2</v>
      </c>
      <c r="E4431" s="156">
        <v>-1.84049079754601E-2</v>
      </c>
      <c r="F4431" s="124">
        <v>4425</v>
      </c>
      <c r="G4431" s="238">
        <f t="shared" ca="1" si="140"/>
        <v>2.7672455633963249E-2</v>
      </c>
      <c r="I4431" s="156"/>
    </row>
    <row r="4432" spans="2:9" x14ac:dyDescent="0.2">
      <c r="B4432" s="230">
        <v>39463</v>
      </c>
      <c r="C4432" s="124">
        <v>69.260000000000005</v>
      </c>
      <c r="D4432" s="156">
        <f t="shared" si="139"/>
        <v>-4.0454419506788603E-2</v>
      </c>
      <c r="E4432" s="156">
        <v>-1.8408622986556815E-2</v>
      </c>
      <c r="F4432" s="124">
        <v>4426</v>
      </c>
      <c r="G4432" s="238">
        <f t="shared" ca="1" si="140"/>
        <v>1.7344574199584942E-3</v>
      </c>
      <c r="I4432" s="156"/>
    </row>
    <row r="4433" spans="2:9" x14ac:dyDescent="0.2">
      <c r="B4433" s="230">
        <v>39462</v>
      </c>
      <c r="C4433" s="124">
        <v>71.72</v>
      </c>
      <c r="D4433" s="156">
        <f t="shared" si="139"/>
        <v>3.5518336702281168E-2</v>
      </c>
      <c r="E4433" s="156">
        <v>-1.8422516408944205E-2</v>
      </c>
      <c r="F4433" s="124">
        <v>4427</v>
      </c>
      <c r="G4433" s="238">
        <f t="shared" ca="1" si="140"/>
        <v>-6.4927926021078261E-3</v>
      </c>
      <c r="I4433" s="156"/>
    </row>
    <row r="4434" spans="2:9" x14ac:dyDescent="0.2">
      <c r="B4434" s="230">
        <v>39461</v>
      </c>
      <c r="C4434" s="124">
        <v>74.42</v>
      </c>
      <c r="D4434" s="156">
        <f t="shared" si="139"/>
        <v>3.7646402677077563E-2</v>
      </c>
      <c r="E4434" s="156">
        <v>-1.842983601799443E-2</v>
      </c>
      <c r="F4434" s="124">
        <v>4428</v>
      </c>
      <c r="G4434" s="238">
        <f t="shared" ca="1" si="140"/>
        <v>-3.018066064600756E-3</v>
      </c>
      <c r="I4434" s="156"/>
    </row>
    <row r="4435" spans="2:9" x14ac:dyDescent="0.2">
      <c r="B4435" s="230">
        <v>39458</v>
      </c>
      <c r="C4435" s="124">
        <v>73.069999999999993</v>
      </c>
      <c r="D4435" s="156">
        <f t="shared" si="139"/>
        <v>-1.8140284869658806E-2</v>
      </c>
      <c r="E4435" s="156">
        <v>-1.8450685117351713E-2</v>
      </c>
      <c r="F4435" s="124">
        <v>4429</v>
      </c>
      <c r="G4435" s="238">
        <f t="shared" ca="1" si="140"/>
        <v>2.2909825636732592E-2</v>
      </c>
      <c r="I4435" s="156"/>
    </row>
    <row r="4436" spans="2:9" x14ac:dyDescent="0.2">
      <c r="B4436" s="230">
        <v>39457</v>
      </c>
      <c r="C4436" s="124">
        <v>72.86</v>
      </c>
      <c r="D4436" s="156">
        <f t="shared" si="139"/>
        <v>-2.8739564800875019E-3</v>
      </c>
      <c r="E4436" s="156">
        <v>-1.8456375838926134E-2</v>
      </c>
      <c r="F4436" s="124">
        <v>4430</v>
      </c>
      <c r="G4436" s="238">
        <f t="shared" ca="1" si="140"/>
        <v>1.9292486730846662E-2</v>
      </c>
      <c r="I4436" s="156"/>
    </row>
    <row r="4437" spans="2:9" x14ac:dyDescent="0.2">
      <c r="B4437" s="230">
        <v>39456</v>
      </c>
      <c r="C4437" s="124">
        <v>75.59</v>
      </c>
      <c r="D4437" s="156">
        <f t="shared" si="139"/>
        <v>3.7469118858084051E-2</v>
      </c>
      <c r="E4437" s="156">
        <v>-1.8483521548743911E-2</v>
      </c>
      <c r="F4437" s="124">
        <v>4431</v>
      </c>
      <c r="G4437" s="238">
        <f t="shared" ca="1" si="140"/>
        <v>-8.9388755814541962E-3</v>
      </c>
      <c r="I4437" s="156"/>
    </row>
    <row r="4438" spans="2:9" x14ac:dyDescent="0.2">
      <c r="B4438" s="230">
        <v>39455</v>
      </c>
      <c r="C4438" s="124">
        <v>76.569999999999993</v>
      </c>
      <c r="D4438" s="156">
        <f t="shared" si="139"/>
        <v>1.2964677867442648E-2</v>
      </c>
      <c r="E4438" s="156">
        <v>-1.8505880936132688E-2</v>
      </c>
      <c r="F4438" s="124">
        <v>4432</v>
      </c>
      <c r="G4438" s="238">
        <f t="shared" ca="1" si="140"/>
        <v>-2.6693981885789106E-3</v>
      </c>
      <c r="I4438" s="156"/>
    </row>
    <row r="4439" spans="2:9" x14ac:dyDescent="0.2">
      <c r="B4439" s="230">
        <v>39454</v>
      </c>
      <c r="C4439" s="124">
        <v>76.67</v>
      </c>
      <c r="D4439" s="156">
        <f t="shared" si="139"/>
        <v>1.3059945148231492E-3</v>
      </c>
      <c r="E4439" s="156">
        <v>-1.8518518518518351E-2</v>
      </c>
      <c r="F4439" s="124">
        <v>4433</v>
      </c>
      <c r="G4439" s="238">
        <f t="shared" ca="1" si="140"/>
        <v>5.4645949431434402E-4</v>
      </c>
      <c r="I4439" s="156"/>
    </row>
    <row r="4440" spans="2:9" x14ac:dyDescent="0.2">
      <c r="B4440" s="230">
        <v>39451</v>
      </c>
      <c r="C4440" s="124">
        <v>72.709999999999994</v>
      </c>
      <c r="D4440" s="156">
        <f t="shared" si="139"/>
        <v>-5.1649928263988627E-2</v>
      </c>
      <c r="E4440" s="156">
        <v>-1.8519935715925522E-2</v>
      </c>
      <c r="F4440" s="124">
        <v>4434</v>
      </c>
      <c r="G4440" s="238">
        <f t="shared" ca="1" si="140"/>
        <v>1.3374141399409083E-2</v>
      </c>
      <c r="I4440" s="156"/>
    </row>
    <row r="4441" spans="2:9" x14ac:dyDescent="0.2">
      <c r="B4441" s="230">
        <v>39450</v>
      </c>
      <c r="C4441" s="124">
        <v>71.09</v>
      </c>
      <c r="D4441" s="156">
        <f t="shared" si="139"/>
        <v>-2.2280291569247566E-2</v>
      </c>
      <c r="E4441" s="156">
        <v>-1.852907639680719E-2</v>
      </c>
      <c r="F4441" s="124">
        <v>4435</v>
      </c>
      <c r="G4441" s="238">
        <f t="shared" ca="1" si="140"/>
        <v>-4.468405581464269E-3</v>
      </c>
      <c r="I4441" s="156"/>
    </row>
    <row r="4442" spans="2:9" x14ac:dyDescent="0.2">
      <c r="B4442" s="230">
        <v>39449</v>
      </c>
      <c r="C4442" s="124">
        <v>73.290000000000006</v>
      </c>
      <c r="D4442" s="156">
        <f t="shared" si="139"/>
        <v>3.094668729779157E-2</v>
      </c>
      <c r="E4442" s="156">
        <v>-1.8584220307484276E-2</v>
      </c>
      <c r="F4442" s="124">
        <v>4436</v>
      </c>
      <c r="G4442" s="238">
        <f t="shared" ca="1" si="140"/>
        <v>9.1115389372939636E-3</v>
      </c>
      <c r="I4442" s="156"/>
    </row>
    <row r="4443" spans="2:9" x14ac:dyDescent="0.2">
      <c r="B4443" s="230">
        <v>39448</v>
      </c>
      <c r="C4443" s="124">
        <v>72.13</v>
      </c>
      <c r="D4443" s="156">
        <f t="shared" si="139"/>
        <v>-1.5827534452176432E-2</v>
      </c>
      <c r="E4443" s="156">
        <v>-1.860545992001399E-2</v>
      </c>
      <c r="F4443" s="124">
        <v>4437</v>
      </c>
      <c r="G4443" s="238">
        <f t="shared" ca="1" si="140"/>
        <v>2.006475949797009E-2</v>
      </c>
      <c r="I4443" s="156"/>
    </row>
    <row r="4444" spans="2:9" x14ac:dyDescent="0.2">
      <c r="B4444" s="230">
        <v>39447</v>
      </c>
      <c r="C4444" s="124">
        <v>69.430000000000007</v>
      </c>
      <c r="D4444" s="156">
        <f t="shared" si="139"/>
        <v>-3.7432413697490487E-2</v>
      </c>
      <c r="E4444" s="156">
        <v>-1.862302483069973E-2</v>
      </c>
      <c r="F4444" s="124">
        <v>4438</v>
      </c>
      <c r="G4444" s="238">
        <f t="shared" ca="1" si="140"/>
        <v>-1.7995602040206643E-2</v>
      </c>
      <c r="I4444" s="156"/>
    </row>
    <row r="4445" spans="2:9" x14ac:dyDescent="0.2">
      <c r="B4445" s="230">
        <v>39444</v>
      </c>
      <c r="C4445" s="124">
        <v>68.47</v>
      </c>
      <c r="D4445" s="156">
        <f t="shared" si="139"/>
        <v>-1.3826875990206076E-2</v>
      </c>
      <c r="E4445" s="156">
        <v>-1.8687329079307174E-2</v>
      </c>
      <c r="F4445" s="124">
        <v>4439</v>
      </c>
      <c r="G4445" s="238">
        <f t="shared" ca="1" si="140"/>
        <v>-1.4135059832392036E-3</v>
      </c>
      <c r="I4445" s="156"/>
    </row>
    <row r="4446" spans="2:9" x14ac:dyDescent="0.2">
      <c r="B4446" s="230">
        <v>39443</v>
      </c>
      <c r="C4446" s="124">
        <v>67.47</v>
      </c>
      <c r="D4446" s="156">
        <f t="shared" si="139"/>
        <v>-1.4604936468526362E-2</v>
      </c>
      <c r="E4446" s="156">
        <v>-1.8698183101076068E-2</v>
      </c>
      <c r="F4446" s="124">
        <v>4440</v>
      </c>
      <c r="G4446" s="238">
        <f t="shared" ca="1" si="140"/>
        <v>8.7284927819281048E-3</v>
      </c>
      <c r="I4446" s="156"/>
    </row>
    <row r="4447" spans="2:9" x14ac:dyDescent="0.2">
      <c r="B4447" s="230">
        <v>39442</v>
      </c>
      <c r="C4447" s="124">
        <v>66.25</v>
      </c>
      <c r="D4447" s="156">
        <f t="shared" si="139"/>
        <v>-1.8082110567659685E-2</v>
      </c>
      <c r="E4447" s="156">
        <v>-1.8710375753827134E-2</v>
      </c>
      <c r="F4447" s="124">
        <v>4441</v>
      </c>
      <c r="G4447" s="238">
        <f t="shared" ca="1" si="140"/>
        <v>-6.2552852142092122E-3</v>
      </c>
      <c r="I4447" s="156"/>
    </row>
    <row r="4448" spans="2:9" x14ac:dyDescent="0.2">
      <c r="B4448" s="230">
        <v>39440</v>
      </c>
      <c r="C4448" s="124">
        <v>65.650000000000006</v>
      </c>
      <c r="D4448" s="156">
        <f t="shared" si="139"/>
        <v>-9.0566037735848193E-3</v>
      </c>
      <c r="E4448" s="156">
        <v>-1.8712070128118669E-2</v>
      </c>
      <c r="F4448" s="124">
        <v>4442</v>
      </c>
      <c r="G4448" s="238">
        <f t="shared" ca="1" si="140"/>
        <v>1.5986154738162488E-2</v>
      </c>
      <c r="I4448" s="156"/>
    </row>
    <row r="4449" spans="2:9" x14ac:dyDescent="0.2">
      <c r="B4449" s="230">
        <v>39436</v>
      </c>
      <c r="C4449" s="124">
        <v>65.14</v>
      </c>
      <c r="D4449" s="156">
        <f t="shared" si="139"/>
        <v>-7.7684691546078457E-3</v>
      </c>
      <c r="E4449" s="156">
        <v>-1.8775336035843849E-2</v>
      </c>
      <c r="F4449" s="124">
        <v>4443</v>
      </c>
      <c r="G4449" s="238">
        <f t="shared" ca="1" si="140"/>
        <v>-8.6938215602173456E-3</v>
      </c>
      <c r="I4449" s="156"/>
    </row>
    <row r="4450" spans="2:9" x14ac:dyDescent="0.2">
      <c r="B4450" s="230">
        <v>39435</v>
      </c>
      <c r="C4450" s="124">
        <v>66.2</v>
      </c>
      <c r="D4450" s="156">
        <f t="shared" si="139"/>
        <v>1.6272643536997273E-2</v>
      </c>
      <c r="E4450" s="156">
        <v>-1.8796574352129881E-2</v>
      </c>
      <c r="F4450" s="124">
        <v>4444</v>
      </c>
      <c r="G4450" s="238">
        <f t="shared" ca="1" si="140"/>
        <v>-1.1073529123971854E-3</v>
      </c>
      <c r="I4450" s="156"/>
    </row>
    <row r="4451" spans="2:9" x14ac:dyDescent="0.2">
      <c r="B4451" s="230">
        <v>39434</v>
      </c>
      <c r="C4451" s="124">
        <v>65.48</v>
      </c>
      <c r="D4451" s="156">
        <f t="shared" si="139"/>
        <v>-1.0876132930513578E-2</v>
      </c>
      <c r="E4451" s="156">
        <v>-1.8827384309617789E-2</v>
      </c>
      <c r="F4451" s="124">
        <v>4445</v>
      </c>
      <c r="G4451" s="238">
        <f t="shared" ca="1" si="140"/>
        <v>1.4421867634557797E-2</v>
      </c>
      <c r="I4451" s="156"/>
    </row>
    <row r="4452" spans="2:9" x14ac:dyDescent="0.2">
      <c r="B4452" s="230">
        <v>39433</v>
      </c>
      <c r="C4452" s="124">
        <v>64.14</v>
      </c>
      <c r="D4452" s="156">
        <f t="shared" si="139"/>
        <v>-2.0464263897373294E-2</v>
      </c>
      <c r="E4452" s="156">
        <v>-1.8864966555184017E-2</v>
      </c>
      <c r="F4452" s="124">
        <v>4446</v>
      </c>
      <c r="G4452" s="238">
        <f t="shared" ca="1" si="140"/>
        <v>-8.7327778268698735E-3</v>
      </c>
      <c r="I4452" s="156"/>
    </row>
    <row r="4453" spans="2:9" x14ac:dyDescent="0.2">
      <c r="B4453" s="230">
        <v>39430</v>
      </c>
      <c r="C4453" s="124">
        <v>66.53</v>
      </c>
      <c r="D4453" s="156">
        <f t="shared" si="139"/>
        <v>3.7262238852510142E-2</v>
      </c>
      <c r="E4453" s="156">
        <v>-1.8895966029724005E-2</v>
      </c>
      <c r="F4453" s="124">
        <v>4447</v>
      </c>
      <c r="G4453" s="238">
        <f t="shared" ca="1" si="140"/>
        <v>2.3469041901849803E-2</v>
      </c>
      <c r="I4453" s="156"/>
    </row>
    <row r="4454" spans="2:9" x14ac:dyDescent="0.2">
      <c r="B4454" s="230">
        <v>39429</v>
      </c>
      <c r="C4454" s="124">
        <v>65.09</v>
      </c>
      <c r="D4454" s="156">
        <f t="shared" si="139"/>
        <v>-2.1644370960468926E-2</v>
      </c>
      <c r="E4454" s="156">
        <v>-1.8953262976523822E-2</v>
      </c>
      <c r="F4454" s="124">
        <v>4448</v>
      </c>
      <c r="G4454" s="238">
        <f t="shared" ca="1" si="140"/>
        <v>3.0676953186222999E-2</v>
      </c>
      <c r="I4454" s="156"/>
    </row>
    <row r="4455" spans="2:9" x14ac:dyDescent="0.2">
      <c r="B4455" s="230">
        <v>39428</v>
      </c>
      <c r="C4455" s="124">
        <v>62.85</v>
      </c>
      <c r="D4455" s="156">
        <f t="shared" si="139"/>
        <v>-3.4413888462129387E-2</v>
      </c>
      <c r="E4455" s="156">
        <v>-1.8961068102771209E-2</v>
      </c>
      <c r="F4455" s="124">
        <v>4449</v>
      </c>
      <c r="G4455" s="238">
        <f t="shared" ca="1" si="140"/>
        <v>-1.7777389400222863E-2</v>
      </c>
      <c r="I4455" s="156"/>
    </row>
    <row r="4456" spans="2:9" x14ac:dyDescent="0.2">
      <c r="B4456" s="230">
        <v>39427</v>
      </c>
      <c r="C4456" s="124">
        <v>62.15</v>
      </c>
      <c r="D4456" s="156">
        <f t="shared" si="139"/>
        <v>-1.1137629276054143E-2</v>
      </c>
      <c r="E4456" s="156">
        <v>-1.8962857481903427E-2</v>
      </c>
      <c r="F4456" s="124">
        <v>4450</v>
      </c>
      <c r="G4456" s="238">
        <f t="shared" ca="1" si="140"/>
        <v>-6.454356539027515E-3</v>
      </c>
      <c r="I4456" s="156"/>
    </row>
    <row r="4457" spans="2:9" x14ac:dyDescent="0.2">
      <c r="B4457" s="230">
        <v>39426</v>
      </c>
      <c r="C4457" s="124">
        <v>61.89</v>
      </c>
      <c r="D4457" s="156">
        <f t="shared" si="139"/>
        <v>-4.183427192276718E-3</v>
      </c>
      <c r="E4457" s="156">
        <v>-1.8970503181029504E-2</v>
      </c>
      <c r="F4457" s="124">
        <v>4451</v>
      </c>
      <c r="G4457" s="238">
        <f t="shared" ca="1" si="140"/>
        <v>-2.50445521333367E-2</v>
      </c>
      <c r="I4457" s="156"/>
    </row>
    <row r="4458" spans="2:9" x14ac:dyDescent="0.2">
      <c r="B4458" s="230">
        <v>39423</v>
      </c>
      <c r="C4458" s="124">
        <v>62.37</v>
      </c>
      <c r="D4458" s="156">
        <f t="shared" si="139"/>
        <v>7.755695588948083E-3</v>
      </c>
      <c r="E4458" s="156">
        <v>-1.8970665729843638E-2</v>
      </c>
      <c r="F4458" s="124">
        <v>4452</v>
      </c>
      <c r="G4458" s="238">
        <f t="shared" ca="1" si="140"/>
        <v>-2.5687344847001312E-3</v>
      </c>
      <c r="I4458" s="156"/>
    </row>
    <row r="4459" spans="2:9" x14ac:dyDescent="0.2">
      <c r="B4459" s="230">
        <v>39422</v>
      </c>
      <c r="C4459" s="124">
        <v>64.010000000000005</v>
      </c>
      <c r="D4459" s="156">
        <f t="shared" si="139"/>
        <v>2.6294692961359754E-2</v>
      </c>
      <c r="E4459" s="156">
        <v>-1.9026710574460329E-2</v>
      </c>
      <c r="F4459" s="124">
        <v>4453</v>
      </c>
      <c r="G4459" s="238">
        <f t="shared" ca="1" si="140"/>
        <v>8.6594611140043843E-3</v>
      </c>
      <c r="I4459" s="156"/>
    </row>
    <row r="4460" spans="2:9" x14ac:dyDescent="0.2">
      <c r="B4460" s="230">
        <v>39421</v>
      </c>
      <c r="C4460" s="124">
        <v>63.88</v>
      </c>
      <c r="D4460" s="156">
        <f t="shared" si="139"/>
        <v>-2.0309326667708569E-3</v>
      </c>
      <c r="E4460" s="156">
        <v>-1.9034897311738148E-2</v>
      </c>
      <c r="F4460" s="124">
        <v>4454</v>
      </c>
      <c r="G4460" s="238">
        <f t="shared" ca="1" si="140"/>
        <v>-6.5811047859619203E-4</v>
      </c>
      <c r="I4460" s="156"/>
    </row>
    <row r="4461" spans="2:9" x14ac:dyDescent="0.2">
      <c r="B4461" s="230">
        <v>39420</v>
      </c>
      <c r="C4461" s="124">
        <v>63.73</v>
      </c>
      <c r="D4461" s="156">
        <f t="shared" si="139"/>
        <v>-2.3481527864747287E-3</v>
      </c>
      <c r="E4461" s="156">
        <v>-1.9109367002218009E-2</v>
      </c>
      <c r="F4461" s="124">
        <v>4455</v>
      </c>
      <c r="G4461" s="238">
        <f t="shared" ca="1" si="140"/>
        <v>3.6724766037232792E-2</v>
      </c>
      <c r="I4461" s="156"/>
    </row>
    <row r="4462" spans="2:9" x14ac:dyDescent="0.2">
      <c r="B4462" s="230">
        <v>39419</v>
      </c>
      <c r="C4462" s="124">
        <v>63.53</v>
      </c>
      <c r="D4462" s="156">
        <f t="shared" si="139"/>
        <v>-3.1382394476697903E-3</v>
      </c>
      <c r="E4462" s="156">
        <v>-1.9115358968659627E-2</v>
      </c>
      <c r="F4462" s="124">
        <v>4456</v>
      </c>
      <c r="G4462" s="238">
        <f t="shared" ca="1" si="140"/>
        <v>9.3233299398544616E-3</v>
      </c>
      <c r="I4462" s="156"/>
    </row>
    <row r="4463" spans="2:9" x14ac:dyDescent="0.2">
      <c r="B4463" s="230">
        <v>39416</v>
      </c>
      <c r="C4463" s="124">
        <v>62.43</v>
      </c>
      <c r="D4463" s="156">
        <f t="shared" si="139"/>
        <v>-1.7314654493939895E-2</v>
      </c>
      <c r="E4463" s="156">
        <v>-1.9125683060109252E-2</v>
      </c>
      <c r="F4463" s="124">
        <v>4457</v>
      </c>
      <c r="G4463" s="238">
        <f t="shared" ca="1" si="140"/>
        <v>-1.5019484699989054E-2</v>
      </c>
      <c r="I4463" s="156"/>
    </row>
    <row r="4464" spans="2:9" x14ac:dyDescent="0.2">
      <c r="B4464" s="230">
        <v>39415</v>
      </c>
      <c r="C4464" s="124">
        <v>61.57</v>
      </c>
      <c r="D4464" s="156">
        <f t="shared" si="139"/>
        <v>-1.3775428479897477E-2</v>
      </c>
      <c r="E4464" s="156">
        <v>-1.9131975199291502E-2</v>
      </c>
      <c r="F4464" s="124">
        <v>4458</v>
      </c>
      <c r="G4464" s="238">
        <f t="shared" ca="1" si="140"/>
        <v>1.7803771445203436E-2</v>
      </c>
      <c r="I4464" s="156"/>
    </row>
    <row r="4465" spans="2:9" x14ac:dyDescent="0.2">
      <c r="B4465" s="230">
        <v>39414</v>
      </c>
      <c r="C4465" s="124">
        <v>62.02</v>
      </c>
      <c r="D4465" s="156">
        <f t="shared" si="139"/>
        <v>7.3087542634400334E-3</v>
      </c>
      <c r="E4465" s="156">
        <v>-1.9132961976265385E-2</v>
      </c>
      <c r="F4465" s="124">
        <v>4459</v>
      </c>
      <c r="G4465" s="238">
        <f t="shared" ca="1" si="140"/>
        <v>-3.0157585434445914E-2</v>
      </c>
      <c r="I4465" s="156"/>
    </row>
    <row r="4466" spans="2:9" x14ac:dyDescent="0.2">
      <c r="B4466" s="230">
        <v>39413</v>
      </c>
      <c r="C4466" s="124">
        <v>61.64</v>
      </c>
      <c r="D4466" s="156">
        <f t="shared" si="139"/>
        <v>-6.1270557884553776E-3</v>
      </c>
      <c r="E4466" s="156">
        <v>-1.9133312648670953E-2</v>
      </c>
      <c r="F4466" s="124">
        <v>4460</v>
      </c>
      <c r="G4466" s="238">
        <f t="shared" ca="1" si="140"/>
        <v>-3.08862990852714E-2</v>
      </c>
      <c r="I4466" s="156"/>
    </row>
    <row r="4467" spans="2:9" x14ac:dyDescent="0.2">
      <c r="B4467" s="230">
        <v>39412</v>
      </c>
      <c r="C4467" s="124">
        <v>62.22</v>
      </c>
      <c r="D4467" s="156">
        <f t="shared" si="139"/>
        <v>9.4094743672939376E-3</v>
      </c>
      <c r="E4467" s="156">
        <v>-1.9137091162143256E-2</v>
      </c>
      <c r="F4467" s="124">
        <v>4461</v>
      </c>
      <c r="G4467" s="238">
        <f t="shared" ca="1" si="140"/>
        <v>1.5080865587463013E-2</v>
      </c>
      <c r="I4467" s="156"/>
    </row>
    <row r="4468" spans="2:9" x14ac:dyDescent="0.2">
      <c r="B4468" s="230">
        <v>39409</v>
      </c>
      <c r="C4468" s="124">
        <v>61.21</v>
      </c>
      <c r="D4468" s="156">
        <f t="shared" si="139"/>
        <v>-1.6232722597235585E-2</v>
      </c>
      <c r="E4468" s="156">
        <v>-1.9146948941469441E-2</v>
      </c>
      <c r="F4468" s="124">
        <v>4462</v>
      </c>
      <c r="G4468" s="238">
        <f t="shared" ca="1" si="140"/>
        <v>1.0656721322472874E-2</v>
      </c>
      <c r="I4468" s="156"/>
    </row>
    <row r="4469" spans="2:9" x14ac:dyDescent="0.2">
      <c r="B4469" s="230">
        <v>39408</v>
      </c>
      <c r="C4469" s="124">
        <v>61.36</v>
      </c>
      <c r="D4469" s="156">
        <f t="shared" si="139"/>
        <v>2.450579970593017E-3</v>
      </c>
      <c r="E4469" s="156">
        <v>-1.9192640177650898E-2</v>
      </c>
      <c r="F4469" s="124">
        <v>4463</v>
      </c>
      <c r="G4469" s="238">
        <f t="shared" ca="1" si="140"/>
        <v>2.2686104064234057E-3</v>
      </c>
      <c r="I4469" s="156"/>
    </row>
    <row r="4470" spans="2:9" x14ac:dyDescent="0.2">
      <c r="B4470" s="230">
        <v>39407</v>
      </c>
      <c r="C4470" s="124">
        <v>61.46</v>
      </c>
      <c r="D4470" s="156">
        <f t="shared" si="139"/>
        <v>1.6297262059974157E-3</v>
      </c>
      <c r="E4470" s="156">
        <v>-1.9217269217269198E-2</v>
      </c>
      <c r="F4470" s="124">
        <v>4464</v>
      </c>
      <c r="G4470" s="238">
        <f t="shared" ca="1" si="140"/>
        <v>-7.4623037454507879E-3</v>
      </c>
      <c r="I4470" s="156"/>
    </row>
    <row r="4471" spans="2:9" x14ac:dyDescent="0.2">
      <c r="B4471" s="230">
        <v>39406</v>
      </c>
      <c r="C4471" s="124">
        <v>65.19</v>
      </c>
      <c r="D4471" s="156">
        <f t="shared" si="139"/>
        <v>6.0689879596485467E-2</v>
      </c>
      <c r="E4471" s="156">
        <v>-1.9222086047861638E-2</v>
      </c>
      <c r="F4471" s="124">
        <v>4465</v>
      </c>
      <c r="G4471" s="238">
        <f t="shared" ca="1" si="140"/>
        <v>8.7585679106606511E-3</v>
      </c>
      <c r="I4471" s="156"/>
    </row>
    <row r="4472" spans="2:9" x14ac:dyDescent="0.2">
      <c r="B4472" s="230">
        <v>39405</v>
      </c>
      <c r="C4472" s="124">
        <v>65.900000000000006</v>
      </c>
      <c r="D4472" s="156">
        <f t="shared" si="139"/>
        <v>1.08912409878817E-2</v>
      </c>
      <c r="E4472" s="156">
        <v>-1.9292604501607698E-2</v>
      </c>
      <c r="F4472" s="124">
        <v>4466</v>
      </c>
      <c r="G4472" s="238">
        <f t="shared" ca="1" si="140"/>
        <v>-7.0098685191294554E-3</v>
      </c>
      <c r="I4472" s="156"/>
    </row>
    <row r="4473" spans="2:9" x14ac:dyDescent="0.2">
      <c r="B4473" s="230">
        <v>39402</v>
      </c>
      <c r="C4473" s="124">
        <v>67.989999999999995</v>
      </c>
      <c r="D4473" s="156">
        <f t="shared" si="139"/>
        <v>3.1714719271623504E-2</v>
      </c>
      <c r="E4473" s="156">
        <v>-1.9308001235711972E-2</v>
      </c>
      <c r="F4473" s="124">
        <v>4467</v>
      </c>
      <c r="G4473" s="238">
        <f t="shared" ca="1" si="140"/>
        <v>2.5328858087121774E-2</v>
      </c>
      <c r="I4473" s="156"/>
    </row>
    <row r="4474" spans="2:9" x14ac:dyDescent="0.2">
      <c r="B4474" s="230">
        <v>39401</v>
      </c>
      <c r="C4474" s="124">
        <v>62.8</v>
      </c>
      <c r="D4474" s="156">
        <f t="shared" si="139"/>
        <v>-7.6334755111045718E-2</v>
      </c>
      <c r="E4474" s="156">
        <v>-1.9315356664754216E-2</v>
      </c>
      <c r="F4474" s="124">
        <v>4468</v>
      </c>
      <c r="G4474" s="238">
        <f t="shared" ca="1" si="140"/>
        <v>-1.0707442255138693E-3</v>
      </c>
      <c r="I4474" s="156"/>
    </row>
    <row r="4475" spans="2:9" x14ac:dyDescent="0.2">
      <c r="B4475" s="230">
        <v>39400</v>
      </c>
      <c r="C4475" s="124">
        <v>60.56</v>
      </c>
      <c r="D4475" s="156">
        <f t="shared" si="139"/>
        <v>-3.566878980891712E-2</v>
      </c>
      <c r="E4475" s="156">
        <v>-1.9360806328144915E-2</v>
      </c>
      <c r="F4475" s="124">
        <v>4469</v>
      </c>
      <c r="G4475" s="238">
        <f t="shared" ca="1" si="140"/>
        <v>-3.7863380886328517E-3</v>
      </c>
      <c r="I4475" s="156"/>
    </row>
    <row r="4476" spans="2:9" x14ac:dyDescent="0.2">
      <c r="B4476" s="230">
        <v>39399</v>
      </c>
      <c r="C4476" s="124">
        <v>58.99</v>
      </c>
      <c r="D4476" s="156">
        <f t="shared" si="139"/>
        <v>-2.5924702774108327E-2</v>
      </c>
      <c r="E4476" s="156">
        <v>-1.9402119470659455E-2</v>
      </c>
      <c r="F4476" s="124">
        <v>4470</v>
      </c>
      <c r="G4476" s="238">
        <f t="shared" ca="1" si="140"/>
        <v>7.1946665363098886E-3</v>
      </c>
      <c r="I4476" s="156"/>
    </row>
    <row r="4477" spans="2:9" x14ac:dyDescent="0.2">
      <c r="B4477" s="230">
        <v>39398</v>
      </c>
      <c r="C4477" s="124">
        <v>59.27</v>
      </c>
      <c r="D4477" s="156">
        <f t="shared" si="139"/>
        <v>4.7465672147821852E-3</v>
      </c>
      <c r="E4477" s="156">
        <v>-1.9403774916210974E-2</v>
      </c>
      <c r="F4477" s="124">
        <v>4471</v>
      </c>
      <c r="G4477" s="238">
        <f t="shared" ca="1" si="140"/>
        <v>1.8084227798488218E-2</v>
      </c>
      <c r="I4477" s="156"/>
    </row>
    <row r="4478" spans="2:9" x14ac:dyDescent="0.2">
      <c r="B4478" s="230">
        <v>39395</v>
      </c>
      <c r="C4478" s="124">
        <v>55.95</v>
      </c>
      <c r="D4478" s="156">
        <f t="shared" ref="D4478:D4541" si="141">(C4478-C4477)/C4477</f>
        <v>-5.601484730892526E-2</v>
      </c>
      <c r="E4478" s="156">
        <v>-1.9405450041288221E-2</v>
      </c>
      <c r="F4478" s="124">
        <v>4472</v>
      </c>
      <c r="G4478" s="238">
        <f t="shared" ca="1" si="140"/>
        <v>9.3733749165037256E-3</v>
      </c>
      <c r="I4478" s="156"/>
    </row>
    <row r="4479" spans="2:9" x14ac:dyDescent="0.2">
      <c r="B4479" s="230">
        <v>39394</v>
      </c>
      <c r="C4479" s="124">
        <v>56.42</v>
      </c>
      <c r="D4479" s="156">
        <f t="shared" si="141"/>
        <v>8.4003574620196402E-3</v>
      </c>
      <c r="E4479" s="156">
        <v>-1.9412472083834436E-2</v>
      </c>
      <c r="F4479" s="124">
        <v>4473</v>
      </c>
      <c r="G4479" s="238">
        <f t="shared" ca="1" si="140"/>
        <v>5.5541948319382554E-3</v>
      </c>
      <c r="I4479" s="156"/>
    </row>
    <row r="4480" spans="2:9" x14ac:dyDescent="0.2">
      <c r="B4480" s="230">
        <v>39393</v>
      </c>
      <c r="C4480" s="124">
        <v>56.58</v>
      </c>
      <c r="D4480" s="156">
        <f t="shared" si="141"/>
        <v>2.8358738036156784E-3</v>
      </c>
      <c r="E4480" s="156">
        <v>-1.94396798170383E-2</v>
      </c>
      <c r="F4480" s="124">
        <v>4474</v>
      </c>
      <c r="G4480" s="238">
        <f t="shared" ca="1" si="140"/>
        <v>-4.0445081185455443E-2</v>
      </c>
      <c r="I4480" s="156"/>
    </row>
    <row r="4481" spans="2:9" x14ac:dyDescent="0.2">
      <c r="B4481" s="230">
        <v>39392</v>
      </c>
      <c r="C4481" s="124">
        <v>57.59</v>
      </c>
      <c r="D4481" s="156">
        <f t="shared" si="141"/>
        <v>1.7850830682219956E-2</v>
      </c>
      <c r="E4481" s="156">
        <v>-1.9454904070288701E-2</v>
      </c>
      <c r="F4481" s="124">
        <v>4475</v>
      </c>
      <c r="G4481" s="238">
        <f t="shared" ca="1" si="140"/>
        <v>1.4061979360625601E-2</v>
      </c>
      <c r="I4481" s="156"/>
    </row>
    <row r="4482" spans="2:9" x14ac:dyDescent="0.2">
      <c r="B4482" s="230">
        <v>39391</v>
      </c>
      <c r="C4482" s="124">
        <v>56.75</v>
      </c>
      <c r="D4482" s="156">
        <f t="shared" si="141"/>
        <v>-1.4585865601667015E-2</v>
      </c>
      <c r="E4482" s="156">
        <v>-1.9468427289656337E-2</v>
      </c>
      <c r="F4482" s="124">
        <v>4476</v>
      </c>
      <c r="G4482" s="238">
        <f t="shared" ca="1" si="140"/>
        <v>3.9841961892599547E-3</v>
      </c>
      <c r="I4482" s="156"/>
    </row>
    <row r="4483" spans="2:9" x14ac:dyDescent="0.2">
      <c r="B4483" s="230">
        <v>39388</v>
      </c>
      <c r="C4483" s="124">
        <v>58.04</v>
      </c>
      <c r="D4483" s="156">
        <f t="shared" si="141"/>
        <v>2.2731277533039631E-2</v>
      </c>
      <c r="E4483" s="156">
        <v>-1.9469331495520374E-2</v>
      </c>
      <c r="F4483" s="124">
        <v>4477</v>
      </c>
      <c r="G4483" s="238">
        <f t="shared" ca="1" si="140"/>
        <v>-7.6869001928910434E-3</v>
      </c>
      <c r="I4483" s="156"/>
    </row>
    <row r="4484" spans="2:9" x14ac:dyDescent="0.2">
      <c r="B4484" s="230">
        <v>39387</v>
      </c>
      <c r="C4484" s="124">
        <v>56.91</v>
      </c>
      <c r="D4484" s="156">
        <f t="shared" si="141"/>
        <v>-1.9469331495520374E-2</v>
      </c>
      <c r="E4484" s="156">
        <v>-1.9486778689592334E-2</v>
      </c>
      <c r="F4484" s="124">
        <v>4478</v>
      </c>
      <c r="G4484" s="238">
        <f t="shared" ca="1" si="140"/>
        <v>-1.7194959700608616E-2</v>
      </c>
      <c r="I4484" s="156"/>
    </row>
    <row r="4485" spans="2:9" x14ac:dyDescent="0.2">
      <c r="B4485" s="230">
        <v>39386</v>
      </c>
      <c r="C4485" s="124">
        <v>59.3</v>
      </c>
      <c r="D4485" s="156">
        <f t="shared" si="141"/>
        <v>4.1996134247056768E-2</v>
      </c>
      <c r="E4485" s="156">
        <v>-1.9513706055443565E-2</v>
      </c>
      <c r="F4485" s="124">
        <v>4479</v>
      </c>
      <c r="G4485" s="238">
        <f t="shared" ca="1" si="140"/>
        <v>3.0540721044538238E-3</v>
      </c>
      <c r="I4485" s="156"/>
    </row>
    <row r="4486" spans="2:9" x14ac:dyDescent="0.2">
      <c r="B4486" s="230">
        <v>39385</v>
      </c>
      <c r="C4486" s="124">
        <v>59.52</v>
      </c>
      <c r="D4486" s="156">
        <f t="shared" si="141"/>
        <v>3.7099494097808765E-3</v>
      </c>
      <c r="E4486" s="156">
        <v>-1.9519242591909399E-2</v>
      </c>
      <c r="F4486" s="124">
        <v>4480</v>
      </c>
      <c r="G4486" s="238">
        <f t="shared" ca="1" si="140"/>
        <v>1.3876878157335111E-2</v>
      </c>
      <c r="I4486" s="156"/>
    </row>
    <row r="4487" spans="2:9" x14ac:dyDescent="0.2">
      <c r="B4487" s="230">
        <v>39384</v>
      </c>
      <c r="C4487" s="124">
        <v>60.53</v>
      </c>
      <c r="D4487" s="156">
        <f t="shared" si="141"/>
        <v>1.696908602150534E-2</v>
      </c>
      <c r="E4487" s="156">
        <v>-1.9579554822753503E-2</v>
      </c>
      <c r="F4487" s="124">
        <v>4481</v>
      </c>
      <c r="G4487" s="238">
        <f t="shared" ref="G4487:G4550" ca="1" si="142">_xlfn.NORM.INV(RAND(),$L$8,$L$9)</f>
        <v>4.1112131266825502E-2</v>
      </c>
      <c r="I4487" s="156"/>
    </row>
    <row r="4488" spans="2:9" x14ac:dyDescent="0.2">
      <c r="B4488" s="230">
        <v>39381</v>
      </c>
      <c r="C4488" s="124">
        <v>59.75</v>
      </c>
      <c r="D4488" s="156">
        <f t="shared" si="141"/>
        <v>-1.2886172146043302E-2</v>
      </c>
      <c r="E4488" s="156">
        <v>-1.9643889944641807E-2</v>
      </c>
      <c r="F4488" s="124">
        <v>4482</v>
      </c>
      <c r="G4488" s="238">
        <f t="shared" ca="1" si="142"/>
        <v>1.8435375531501196E-3</v>
      </c>
      <c r="I4488" s="156"/>
    </row>
    <row r="4489" spans="2:9" x14ac:dyDescent="0.2">
      <c r="B4489" s="230">
        <v>39380</v>
      </c>
      <c r="C4489" s="124">
        <v>60.63</v>
      </c>
      <c r="D4489" s="156">
        <f t="shared" si="141"/>
        <v>1.472803347280339E-2</v>
      </c>
      <c r="E4489" s="156">
        <v>-1.9662111514732149E-2</v>
      </c>
      <c r="F4489" s="124">
        <v>4483</v>
      </c>
      <c r="G4489" s="238">
        <f t="shared" ca="1" si="142"/>
        <v>2.1843425925248534E-2</v>
      </c>
      <c r="I4489" s="156"/>
    </row>
    <row r="4490" spans="2:9" x14ac:dyDescent="0.2">
      <c r="B4490" s="230">
        <v>39379</v>
      </c>
      <c r="C4490" s="124">
        <v>61.09</v>
      </c>
      <c r="D4490" s="156">
        <f t="shared" si="141"/>
        <v>7.5870031337621777E-3</v>
      </c>
      <c r="E4490" s="156">
        <v>-1.967288643169781E-2</v>
      </c>
      <c r="F4490" s="124">
        <v>4484</v>
      </c>
      <c r="G4490" s="238">
        <f t="shared" ca="1" si="142"/>
        <v>2.9937360706714652E-4</v>
      </c>
      <c r="I4490" s="156"/>
    </row>
    <row r="4491" spans="2:9" x14ac:dyDescent="0.2">
      <c r="B4491" s="230">
        <v>39378</v>
      </c>
      <c r="C4491" s="124">
        <v>61.42</v>
      </c>
      <c r="D4491" s="156">
        <f t="shared" si="141"/>
        <v>5.4018660991978764E-3</v>
      </c>
      <c r="E4491" s="156">
        <v>-1.9683248563040229E-2</v>
      </c>
      <c r="F4491" s="124">
        <v>4485</v>
      </c>
      <c r="G4491" s="238">
        <f t="shared" ca="1" si="142"/>
        <v>-2.1085770469891105E-2</v>
      </c>
      <c r="I4491" s="156"/>
    </row>
    <row r="4492" spans="2:9" x14ac:dyDescent="0.2">
      <c r="B4492" s="230">
        <v>39377</v>
      </c>
      <c r="C4492" s="124">
        <v>58.79</v>
      </c>
      <c r="D4492" s="156">
        <f t="shared" si="141"/>
        <v>-4.2819928362097075E-2</v>
      </c>
      <c r="E4492" s="156">
        <v>-1.9694297472075219E-2</v>
      </c>
      <c r="F4492" s="124">
        <v>4486</v>
      </c>
      <c r="G4492" s="238">
        <f t="shared" ca="1" si="142"/>
        <v>-2.7703373007987395E-2</v>
      </c>
      <c r="I4492" s="156"/>
    </row>
    <row r="4493" spans="2:9" x14ac:dyDescent="0.2">
      <c r="B4493" s="230">
        <v>39374</v>
      </c>
      <c r="C4493" s="124">
        <v>58.39</v>
      </c>
      <c r="D4493" s="156">
        <f t="shared" si="141"/>
        <v>-6.8038782105800067E-3</v>
      </c>
      <c r="E4493" s="156">
        <v>-1.9701737583800762E-2</v>
      </c>
      <c r="F4493" s="124">
        <v>4487</v>
      </c>
      <c r="G4493" s="238">
        <f t="shared" ca="1" si="142"/>
        <v>4.9922052514768398E-3</v>
      </c>
      <c r="I4493" s="156"/>
    </row>
    <row r="4494" spans="2:9" x14ac:dyDescent="0.2">
      <c r="B4494" s="230">
        <v>39373</v>
      </c>
      <c r="C4494" s="124">
        <v>60.74</v>
      </c>
      <c r="D4494" s="156">
        <f t="shared" si="141"/>
        <v>4.0246617571501997E-2</v>
      </c>
      <c r="E4494" s="156">
        <v>-1.9785954146836416E-2</v>
      </c>
      <c r="F4494" s="124">
        <v>4488</v>
      </c>
      <c r="G4494" s="238">
        <f t="shared" ca="1" si="142"/>
        <v>-3.0012771760974898E-2</v>
      </c>
      <c r="I4494" s="156"/>
    </row>
    <row r="4495" spans="2:9" x14ac:dyDescent="0.2">
      <c r="B4495" s="230">
        <v>39372</v>
      </c>
      <c r="C4495" s="124">
        <v>61.16</v>
      </c>
      <c r="D4495" s="156">
        <f t="shared" si="141"/>
        <v>6.9147184721764007E-3</v>
      </c>
      <c r="E4495" s="156">
        <v>-1.9795252763181757E-2</v>
      </c>
      <c r="F4495" s="124">
        <v>4489</v>
      </c>
      <c r="G4495" s="238">
        <f t="shared" ca="1" si="142"/>
        <v>-2.4857119579350755E-4</v>
      </c>
      <c r="I4495" s="156"/>
    </row>
    <row r="4496" spans="2:9" x14ac:dyDescent="0.2">
      <c r="B4496" s="230">
        <v>39371</v>
      </c>
      <c r="C4496" s="124">
        <v>61.7</v>
      </c>
      <c r="D4496" s="156">
        <f t="shared" si="141"/>
        <v>8.829300196206773E-3</v>
      </c>
      <c r="E4496" s="156">
        <v>-1.9822639540949313E-2</v>
      </c>
      <c r="F4496" s="124">
        <v>4490</v>
      </c>
      <c r="G4496" s="238">
        <f t="shared" ca="1" si="142"/>
        <v>-2.6576294495313048E-2</v>
      </c>
      <c r="I4496" s="156"/>
    </row>
    <row r="4497" spans="2:9" x14ac:dyDescent="0.2">
      <c r="B4497" s="230">
        <v>39370</v>
      </c>
      <c r="C4497" s="124">
        <v>62.04</v>
      </c>
      <c r="D4497" s="156">
        <f t="shared" si="141"/>
        <v>5.5105348460291132E-3</v>
      </c>
      <c r="E4497" s="156">
        <v>-1.9824570298636095E-2</v>
      </c>
      <c r="F4497" s="124">
        <v>4491</v>
      </c>
      <c r="G4497" s="238">
        <f t="shared" ca="1" si="142"/>
        <v>2.266755941040105E-2</v>
      </c>
      <c r="I4497" s="156"/>
    </row>
    <row r="4498" spans="2:9" x14ac:dyDescent="0.2">
      <c r="B4498" s="230">
        <v>39367</v>
      </c>
      <c r="C4498" s="124">
        <v>61.46</v>
      </c>
      <c r="D4498" s="156">
        <f t="shared" si="141"/>
        <v>-9.34880722114762E-3</v>
      </c>
      <c r="E4498" s="156">
        <v>-1.9867549668874173E-2</v>
      </c>
      <c r="F4498" s="124">
        <v>4492</v>
      </c>
      <c r="G4498" s="238">
        <f t="shared" ca="1" si="142"/>
        <v>2.4395174574959499E-2</v>
      </c>
      <c r="I4498" s="156"/>
    </row>
    <row r="4499" spans="2:9" x14ac:dyDescent="0.2">
      <c r="B4499" s="230">
        <v>39366</v>
      </c>
      <c r="C4499" s="124">
        <v>62.83</v>
      </c>
      <c r="D4499" s="156">
        <f t="shared" si="141"/>
        <v>2.2290920924178285E-2</v>
      </c>
      <c r="E4499" s="156">
        <v>-1.9872958257713229E-2</v>
      </c>
      <c r="F4499" s="124">
        <v>4493</v>
      </c>
      <c r="G4499" s="238">
        <f t="shared" ca="1" si="142"/>
        <v>2.5811004822168297E-4</v>
      </c>
      <c r="I4499" s="156"/>
    </row>
    <row r="4500" spans="2:9" x14ac:dyDescent="0.2">
      <c r="B4500" s="230">
        <v>39365</v>
      </c>
      <c r="C4500" s="124">
        <v>61.03</v>
      </c>
      <c r="D4500" s="156">
        <f t="shared" si="141"/>
        <v>-2.8648734680884882E-2</v>
      </c>
      <c r="E4500" s="156">
        <v>-1.9898638391293268E-2</v>
      </c>
      <c r="F4500" s="124">
        <v>4494</v>
      </c>
      <c r="G4500" s="238">
        <f t="shared" ca="1" si="142"/>
        <v>1.9900798652357974E-2</v>
      </c>
      <c r="I4500" s="156"/>
    </row>
    <row r="4501" spans="2:9" x14ac:dyDescent="0.2">
      <c r="B4501" s="230">
        <v>39364</v>
      </c>
      <c r="C4501" s="124">
        <v>61.29</v>
      </c>
      <c r="D4501" s="156">
        <f t="shared" si="141"/>
        <v>4.2601999016876621E-3</v>
      </c>
      <c r="E4501" s="156">
        <v>-1.9944768333844832E-2</v>
      </c>
      <c r="F4501" s="124">
        <v>4495</v>
      </c>
      <c r="G4501" s="238">
        <f t="shared" ca="1" si="142"/>
        <v>-8.2926437913592582E-3</v>
      </c>
      <c r="I4501" s="156"/>
    </row>
    <row r="4502" spans="2:9" x14ac:dyDescent="0.2">
      <c r="B4502" s="230">
        <v>39363</v>
      </c>
      <c r="C4502" s="124">
        <v>59.05</v>
      </c>
      <c r="D4502" s="156">
        <f t="shared" si="141"/>
        <v>-3.65475607766357E-2</v>
      </c>
      <c r="E4502" s="156">
        <v>-1.9961203929666466E-2</v>
      </c>
      <c r="F4502" s="124">
        <v>4496</v>
      </c>
      <c r="G4502" s="238">
        <f t="shared" ca="1" si="142"/>
        <v>7.5222994764583247E-3</v>
      </c>
      <c r="I4502" s="156"/>
    </row>
    <row r="4503" spans="2:9" x14ac:dyDescent="0.2">
      <c r="B4503" s="230">
        <v>39360</v>
      </c>
      <c r="C4503" s="124">
        <v>59.25</v>
      </c>
      <c r="D4503" s="156">
        <f t="shared" si="141"/>
        <v>3.3869602032176606E-3</v>
      </c>
      <c r="E4503" s="156">
        <v>-1.9990032670690591E-2</v>
      </c>
      <c r="F4503" s="124">
        <v>4497</v>
      </c>
      <c r="G4503" s="238">
        <f t="shared" ca="1" si="142"/>
        <v>-1.5943687031131148E-2</v>
      </c>
      <c r="I4503" s="156"/>
    </row>
    <row r="4504" spans="2:9" x14ac:dyDescent="0.2">
      <c r="B4504" s="230">
        <v>39359</v>
      </c>
      <c r="C4504" s="124">
        <v>61.47</v>
      </c>
      <c r="D4504" s="156">
        <f t="shared" si="141"/>
        <v>3.7468354430379727E-2</v>
      </c>
      <c r="E4504" s="156">
        <v>-2.001496445940891E-2</v>
      </c>
      <c r="F4504" s="124">
        <v>4498</v>
      </c>
      <c r="G4504" s="238">
        <f t="shared" ca="1" si="142"/>
        <v>-3.8123799446167315E-3</v>
      </c>
      <c r="I4504" s="156"/>
    </row>
    <row r="4505" spans="2:9" x14ac:dyDescent="0.2">
      <c r="B4505" s="230">
        <v>39358</v>
      </c>
      <c r="C4505" s="124">
        <v>62.12</v>
      </c>
      <c r="D4505" s="156">
        <f t="shared" si="141"/>
        <v>1.0574263868553743E-2</v>
      </c>
      <c r="E4505" s="156">
        <v>-2.0016643051525937E-2</v>
      </c>
      <c r="F4505" s="124">
        <v>4499</v>
      </c>
      <c r="G4505" s="238">
        <f t="shared" ca="1" si="142"/>
        <v>1.5550259621121526E-2</v>
      </c>
      <c r="I4505" s="156"/>
    </row>
    <row r="4506" spans="2:9" x14ac:dyDescent="0.2">
      <c r="B4506" s="230">
        <v>39356</v>
      </c>
      <c r="C4506" s="124">
        <v>61.62</v>
      </c>
      <c r="D4506" s="156">
        <f t="shared" si="141"/>
        <v>-8.0489375402446883E-3</v>
      </c>
      <c r="E4506" s="156">
        <v>-2.0023927964234033E-2</v>
      </c>
      <c r="F4506" s="124">
        <v>4500</v>
      </c>
      <c r="G4506" s="238">
        <f t="shared" ca="1" si="142"/>
        <v>4.2758699164153783E-3</v>
      </c>
      <c r="I4506" s="156"/>
    </row>
    <row r="4507" spans="2:9" x14ac:dyDescent="0.2">
      <c r="B4507" s="230">
        <v>39353</v>
      </c>
      <c r="C4507" s="124">
        <v>62.91</v>
      </c>
      <c r="D4507" s="156">
        <f t="shared" si="141"/>
        <v>2.0934761441090542E-2</v>
      </c>
      <c r="E4507" s="156">
        <v>-2.0028039254956938E-2</v>
      </c>
      <c r="F4507" s="124">
        <v>4501</v>
      </c>
      <c r="G4507" s="238">
        <f t="shared" ca="1" si="142"/>
        <v>5.0116542036777442E-2</v>
      </c>
      <c r="I4507" s="156"/>
    </row>
    <row r="4508" spans="2:9" x14ac:dyDescent="0.2">
      <c r="B4508" s="230">
        <v>39352</v>
      </c>
      <c r="C4508" s="124">
        <v>61.47</v>
      </c>
      <c r="D4508" s="156">
        <f t="shared" si="141"/>
        <v>-2.2889842632331868E-2</v>
      </c>
      <c r="E4508" s="156">
        <v>-2.0044191919191857E-2</v>
      </c>
      <c r="F4508" s="124">
        <v>4502</v>
      </c>
      <c r="G4508" s="238">
        <f t="shared" ca="1" si="142"/>
        <v>-1.8303228514638932E-3</v>
      </c>
      <c r="I4508" s="156"/>
    </row>
    <row r="4509" spans="2:9" x14ac:dyDescent="0.2">
      <c r="B4509" s="230">
        <v>39351</v>
      </c>
      <c r="C4509" s="124">
        <v>61.17</v>
      </c>
      <c r="D4509" s="156">
        <f t="shared" si="141"/>
        <v>-4.880429477794E-3</v>
      </c>
      <c r="E4509" s="156">
        <v>-2.0079681274900434E-2</v>
      </c>
      <c r="F4509" s="124">
        <v>4503</v>
      </c>
      <c r="G4509" s="238">
        <f t="shared" ca="1" si="142"/>
        <v>-6.9082791411577285E-4</v>
      </c>
      <c r="I4509" s="156"/>
    </row>
    <row r="4510" spans="2:9" x14ac:dyDescent="0.2">
      <c r="B4510" s="230">
        <v>39350</v>
      </c>
      <c r="C4510" s="124">
        <v>62.04</v>
      </c>
      <c r="D4510" s="156">
        <f t="shared" si="141"/>
        <v>1.4222658165767491E-2</v>
      </c>
      <c r="E4510" s="156">
        <v>-2.0104654365188684E-2</v>
      </c>
      <c r="F4510" s="124">
        <v>4504</v>
      </c>
      <c r="G4510" s="238">
        <f t="shared" ca="1" si="142"/>
        <v>1.0757093720399093E-2</v>
      </c>
      <c r="I4510" s="156"/>
    </row>
    <row r="4511" spans="2:9" x14ac:dyDescent="0.2">
      <c r="B4511" s="230">
        <v>39349</v>
      </c>
      <c r="C4511" s="124">
        <v>62.2</v>
      </c>
      <c r="D4511" s="156">
        <f t="shared" si="141"/>
        <v>2.5789813023856171E-3</v>
      </c>
      <c r="E4511" s="156">
        <v>-2.0109126111062189E-2</v>
      </c>
      <c r="F4511" s="124">
        <v>4505</v>
      </c>
      <c r="G4511" s="238">
        <f t="shared" ca="1" si="142"/>
        <v>6.3578405940845351E-3</v>
      </c>
      <c r="I4511" s="156"/>
    </row>
    <row r="4512" spans="2:9" x14ac:dyDescent="0.2">
      <c r="B4512" s="230">
        <v>39346</v>
      </c>
      <c r="C4512" s="124">
        <v>63.28</v>
      </c>
      <c r="D4512" s="156">
        <f t="shared" si="141"/>
        <v>1.7363344051446915E-2</v>
      </c>
      <c r="E4512" s="156">
        <v>-2.0191470844212397E-2</v>
      </c>
      <c r="F4512" s="124">
        <v>4506</v>
      </c>
      <c r="G4512" s="238">
        <f t="shared" ca="1" si="142"/>
        <v>1.3568474911107884E-2</v>
      </c>
      <c r="I4512" s="156"/>
    </row>
    <row r="4513" spans="2:9" x14ac:dyDescent="0.2">
      <c r="B4513" s="230">
        <v>39345</v>
      </c>
      <c r="C4513" s="124">
        <v>64.34</v>
      </c>
      <c r="D4513" s="156">
        <f t="shared" si="141"/>
        <v>1.6750948166877406E-2</v>
      </c>
      <c r="E4513" s="156">
        <v>-2.0205697642668597E-2</v>
      </c>
      <c r="F4513" s="124">
        <v>4507</v>
      </c>
      <c r="G4513" s="238">
        <f t="shared" ca="1" si="142"/>
        <v>-3.2932211299576346E-2</v>
      </c>
      <c r="I4513" s="156"/>
    </row>
    <row r="4514" spans="2:9" x14ac:dyDescent="0.2">
      <c r="B4514" s="230">
        <v>39344</v>
      </c>
      <c r="C4514" s="124">
        <v>62.1</v>
      </c>
      <c r="D4514" s="156">
        <f t="shared" si="141"/>
        <v>-3.4815045073049451E-2</v>
      </c>
      <c r="E4514" s="156">
        <v>-2.0229022862386759E-2</v>
      </c>
      <c r="F4514" s="124">
        <v>4508</v>
      </c>
      <c r="G4514" s="238">
        <f t="shared" ca="1" si="142"/>
        <v>-4.3517606933615536E-3</v>
      </c>
      <c r="I4514" s="156"/>
    </row>
    <row r="4515" spans="2:9" x14ac:dyDescent="0.2">
      <c r="B4515" s="230">
        <v>39343</v>
      </c>
      <c r="C4515" s="124">
        <v>59.75</v>
      </c>
      <c r="D4515" s="156">
        <f t="shared" si="141"/>
        <v>-3.7842190016103082E-2</v>
      </c>
      <c r="E4515" s="156">
        <v>-2.0238493257550394E-2</v>
      </c>
      <c r="F4515" s="124">
        <v>4509</v>
      </c>
      <c r="G4515" s="238">
        <f t="shared" ca="1" si="142"/>
        <v>-3.5008281796977047E-3</v>
      </c>
      <c r="I4515" s="156"/>
    </row>
    <row r="4516" spans="2:9" x14ac:dyDescent="0.2">
      <c r="B4516" s="230">
        <v>39342</v>
      </c>
      <c r="C4516" s="124">
        <v>59.95</v>
      </c>
      <c r="D4516" s="156">
        <f t="shared" si="141"/>
        <v>3.347280334728081E-3</v>
      </c>
      <c r="E4516" s="156">
        <v>-2.0266089108910926E-2</v>
      </c>
      <c r="F4516" s="124">
        <v>4510</v>
      </c>
      <c r="G4516" s="238">
        <f t="shared" ca="1" si="142"/>
        <v>-3.3776307562121813E-2</v>
      </c>
      <c r="I4516" s="156"/>
    </row>
    <row r="4517" spans="2:9" x14ac:dyDescent="0.2">
      <c r="B4517" s="230">
        <v>39339</v>
      </c>
      <c r="C4517" s="124">
        <v>59.98</v>
      </c>
      <c r="D4517" s="156">
        <f t="shared" si="141"/>
        <v>5.004170141783825E-4</v>
      </c>
      <c r="E4517" s="156">
        <v>-2.0368077202271705E-2</v>
      </c>
      <c r="F4517" s="124">
        <v>4511</v>
      </c>
      <c r="G4517" s="238">
        <f t="shared" ca="1" si="142"/>
        <v>2.4822964785682276E-2</v>
      </c>
      <c r="I4517" s="156"/>
    </row>
    <row r="4518" spans="2:9" x14ac:dyDescent="0.2">
      <c r="B4518" s="230">
        <v>39338</v>
      </c>
      <c r="C4518" s="124">
        <v>59.33</v>
      </c>
      <c r="D4518" s="156">
        <f t="shared" si="141"/>
        <v>-1.0836945648549494E-2</v>
      </c>
      <c r="E4518" s="156">
        <v>-2.0464263897373294E-2</v>
      </c>
      <c r="F4518" s="124">
        <v>4512</v>
      </c>
      <c r="G4518" s="238">
        <f t="shared" ca="1" si="142"/>
        <v>2.2983667022652495E-3</v>
      </c>
      <c r="I4518" s="156"/>
    </row>
    <row r="4519" spans="2:9" x14ac:dyDescent="0.2">
      <c r="B4519" s="230">
        <v>39337</v>
      </c>
      <c r="C4519" s="124">
        <v>59.63</v>
      </c>
      <c r="D4519" s="156">
        <f t="shared" si="141"/>
        <v>5.0564638462835708E-3</v>
      </c>
      <c r="E4519" s="156">
        <v>-2.0464931452414091E-2</v>
      </c>
      <c r="F4519" s="124">
        <v>4513</v>
      </c>
      <c r="G4519" s="238">
        <f t="shared" ca="1" si="142"/>
        <v>-4.0932687212273606E-3</v>
      </c>
      <c r="I4519" s="156"/>
    </row>
    <row r="4520" spans="2:9" x14ac:dyDescent="0.2">
      <c r="B4520" s="230">
        <v>39336</v>
      </c>
      <c r="C4520" s="124">
        <v>60.94</v>
      </c>
      <c r="D4520" s="156">
        <f t="shared" si="141"/>
        <v>2.196880764715739E-2</v>
      </c>
      <c r="E4520" s="156">
        <v>-2.048962213943584E-2</v>
      </c>
      <c r="F4520" s="124">
        <v>4514</v>
      </c>
      <c r="G4520" s="238">
        <f t="shared" ca="1" si="142"/>
        <v>2.8809013550112322E-3</v>
      </c>
      <c r="I4520" s="156"/>
    </row>
    <row r="4521" spans="2:9" x14ac:dyDescent="0.2">
      <c r="B4521" s="230">
        <v>39335</v>
      </c>
      <c r="C4521" s="124">
        <v>61.22</v>
      </c>
      <c r="D4521" s="156">
        <f t="shared" si="141"/>
        <v>4.5946832950443245E-3</v>
      </c>
      <c r="E4521" s="156">
        <v>-2.0504731861198694E-2</v>
      </c>
      <c r="F4521" s="124">
        <v>4515</v>
      </c>
      <c r="G4521" s="238">
        <f t="shared" ca="1" si="142"/>
        <v>-2.2288198385710348E-2</v>
      </c>
      <c r="I4521" s="156"/>
    </row>
    <row r="4522" spans="2:9" x14ac:dyDescent="0.2">
      <c r="B4522" s="230">
        <v>39332</v>
      </c>
      <c r="C4522" s="124">
        <v>58.94</v>
      </c>
      <c r="D4522" s="156">
        <f t="shared" si="141"/>
        <v>-3.7242731133616487E-2</v>
      </c>
      <c r="E4522" s="156">
        <v>-2.0524616269297059E-2</v>
      </c>
      <c r="F4522" s="124">
        <v>4516</v>
      </c>
      <c r="G4522" s="238">
        <f t="shared" ca="1" si="142"/>
        <v>-1.2074295040054351E-2</v>
      </c>
      <c r="I4522" s="156"/>
    </row>
    <row r="4523" spans="2:9" x14ac:dyDescent="0.2">
      <c r="B4523" s="230">
        <v>39331</v>
      </c>
      <c r="C4523" s="124">
        <v>57.99</v>
      </c>
      <c r="D4523" s="156">
        <f t="shared" si="141"/>
        <v>-1.6118086189345026E-2</v>
      </c>
      <c r="E4523" s="156">
        <v>-2.0590461771385307E-2</v>
      </c>
      <c r="F4523" s="124">
        <v>4517</v>
      </c>
      <c r="G4523" s="238">
        <f t="shared" ca="1" si="142"/>
        <v>8.2750151043004135E-4</v>
      </c>
      <c r="I4523" s="156"/>
    </row>
    <row r="4524" spans="2:9" x14ac:dyDescent="0.2">
      <c r="B4524" s="230">
        <v>39330</v>
      </c>
      <c r="C4524" s="124">
        <v>57.03</v>
      </c>
      <c r="D4524" s="156">
        <f t="shared" si="141"/>
        <v>-1.655457837558201E-2</v>
      </c>
      <c r="E4524" s="156">
        <v>-2.0627417275461937E-2</v>
      </c>
      <c r="F4524" s="124">
        <v>4518</v>
      </c>
      <c r="G4524" s="238">
        <f t="shared" ca="1" si="142"/>
        <v>-2.5516529472780786E-2</v>
      </c>
      <c r="I4524" s="156"/>
    </row>
    <row r="4525" spans="2:9" x14ac:dyDescent="0.2">
      <c r="B4525" s="230">
        <v>39329</v>
      </c>
      <c r="C4525" s="124">
        <v>57.26</v>
      </c>
      <c r="D4525" s="156">
        <f t="shared" si="141"/>
        <v>4.0329651060844619E-3</v>
      </c>
      <c r="E4525" s="156">
        <v>-2.063393412057174E-2</v>
      </c>
      <c r="F4525" s="124">
        <v>4519</v>
      </c>
      <c r="G4525" s="238">
        <f t="shared" ca="1" si="142"/>
        <v>2.8494688517616664E-3</v>
      </c>
      <c r="I4525" s="156"/>
    </row>
    <row r="4526" spans="2:9" x14ac:dyDescent="0.2">
      <c r="B4526" s="230">
        <v>39328</v>
      </c>
      <c r="C4526" s="124">
        <v>57.61</v>
      </c>
      <c r="D4526" s="156">
        <f t="shared" si="141"/>
        <v>6.1124694376528364E-3</v>
      </c>
      <c r="E4526" s="156">
        <v>-2.0642201834862414E-2</v>
      </c>
      <c r="F4526" s="124">
        <v>4520</v>
      </c>
      <c r="G4526" s="238">
        <f t="shared" ca="1" si="142"/>
        <v>1.3998853159120766E-2</v>
      </c>
      <c r="I4526" s="156"/>
    </row>
    <row r="4527" spans="2:9" x14ac:dyDescent="0.2">
      <c r="B4527" s="230">
        <v>39325</v>
      </c>
      <c r="C4527" s="124">
        <v>56.62</v>
      </c>
      <c r="D4527" s="156">
        <f t="shared" si="141"/>
        <v>-1.7184516576983198E-2</v>
      </c>
      <c r="E4527" s="156">
        <v>-2.0653133274492579E-2</v>
      </c>
      <c r="F4527" s="124">
        <v>4521</v>
      </c>
      <c r="G4527" s="238">
        <f t="shared" ca="1" si="142"/>
        <v>8.0887582378489226E-3</v>
      </c>
      <c r="I4527" s="156"/>
    </row>
    <row r="4528" spans="2:9" x14ac:dyDescent="0.2">
      <c r="B4528" s="230">
        <v>39324</v>
      </c>
      <c r="C4528" s="124">
        <v>56.88</v>
      </c>
      <c r="D4528" s="156">
        <f t="shared" si="141"/>
        <v>4.5920169551396176E-3</v>
      </c>
      <c r="E4528" s="156">
        <v>-2.0677628300946573E-2</v>
      </c>
      <c r="F4528" s="124">
        <v>4522</v>
      </c>
      <c r="G4528" s="238">
        <f t="shared" ca="1" si="142"/>
        <v>-1.6683070187103589E-3</v>
      </c>
      <c r="I4528" s="156"/>
    </row>
    <row r="4529" spans="2:9" x14ac:dyDescent="0.2">
      <c r="B4529" s="230">
        <v>39323</v>
      </c>
      <c r="C4529" s="124">
        <v>55.87</v>
      </c>
      <c r="D4529" s="156">
        <f t="shared" si="141"/>
        <v>-1.7756680731364365E-2</v>
      </c>
      <c r="E4529" s="156">
        <v>-2.0684560453090455E-2</v>
      </c>
      <c r="F4529" s="124">
        <v>4523</v>
      </c>
      <c r="G4529" s="238">
        <f t="shared" ca="1" si="142"/>
        <v>6.7511765392891613E-3</v>
      </c>
      <c r="I4529" s="156"/>
    </row>
    <row r="4530" spans="2:9" x14ac:dyDescent="0.2">
      <c r="B4530" s="230">
        <v>39322</v>
      </c>
      <c r="C4530" s="124">
        <v>55.51</v>
      </c>
      <c r="D4530" s="156">
        <f t="shared" si="141"/>
        <v>-6.4435296223375599E-3</v>
      </c>
      <c r="E4530" s="156">
        <v>-2.069281945400317E-2</v>
      </c>
      <c r="F4530" s="124">
        <v>4524</v>
      </c>
      <c r="G4530" s="238">
        <f t="shared" ca="1" si="142"/>
        <v>-1.5479220150638226E-2</v>
      </c>
      <c r="I4530" s="156"/>
    </row>
    <row r="4531" spans="2:9" x14ac:dyDescent="0.2">
      <c r="B4531" s="230">
        <v>39321</v>
      </c>
      <c r="C4531" s="124">
        <v>54.73</v>
      </c>
      <c r="D4531" s="156">
        <f t="shared" si="141"/>
        <v>-1.4051522248243581E-2</v>
      </c>
      <c r="E4531" s="156">
        <v>-2.0695433598659396E-2</v>
      </c>
      <c r="F4531" s="124">
        <v>4525</v>
      </c>
      <c r="G4531" s="238">
        <f t="shared" ca="1" si="142"/>
        <v>2.026615893972979E-2</v>
      </c>
      <c r="I4531" s="156"/>
    </row>
    <row r="4532" spans="2:9" x14ac:dyDescent="0.2">
      <c r="B4532" s="230">
        <v>39318</v>
      </c>
      <c r="C4532" s="124">
        <v>53.58</v>
      </c>
      <c r="D4532" s="156">
        <f t="shared" si="141"/>
        <v>-2.1012241914854717E-2</v>
      </c>
      <c r="E4532" s="156">
        <v>-2.0714773503300629E-2</v>
      </c>
      <c r="F4532" s="124">
        <v>4526</v>
      </c>
      <c r="G4532" s="238">
        <f t="shared" ca="1" si="142"/>
        <v>3.2393370698892568E-3</v>
      </c>
      <c r="I4532" s="156"/>
    </row>
    <row r="4533" spans="2:9" x14ac:dyDescent="0.2">
      <c r="B4533" s="230">
        <v>39317</v>
      </c>
      <c r="C4533" s="124">
        <v>53.17</v>
      </c>
      <c r="D4533" s="156">
        <f t="shared" si="141"/>
        <v>-7.6521089958939267E-3</v>
      </c>
      <c r="E4533" s="156">
        <v>-2.0777691320897552E-2</v>
      </c>
      <c r="F4533" s="124">
        <v>4527</v>
      </c>
      <c r="G4533" s="238">
        <f t="shared" ca="1" si="142"/>
        <v>-1.1588356073108957E-2</v>
      </c>
      <c r="I4533" s="156"/>
    </row>
    <row r="4534" spans="2:9" x14ac:dyDescent="0.2">
      <c r="B4534" s="230">
        <v>39316</v>
      </c>
      <c r="C4534" s="124">
        <v>52.46</v>
      </c>
      <c r="D4534" s="156">
        <f t="shared" si="141"/>
        <v>-1.3353394771487696E-2</v>
      </c>
      <c r="E4534" s="156">
        <v>-2.0798822013620384E-2</v>
      </c>
      <c r="F4534" s="124">
        <v>4528</v>
      </c>
      <c r="G4534" s="238">
        <f t="shared" ca="1" si="142"/>
        <v>-9.0108505605587617E-3</v>
      </c>
      <c r="I4534" s="156"/>
    </row>
    <row r="4535" spans="2:9" x14ac:dyDescent="0.2">
      <c r="B4535" s="230">
        <v>39315</v>
      </c>
      <c r="C4535" s="124">
        <v>50.45</v>
      </c>
      <c r="D4535" s="156">
        <f t="shared" si="141"/>
        <v>-3.8314906595501297E-2</v>
      </c>
      <c r="E4535" s="156">
        <v>-2.0840569642236888E-2</v>
      </c>
      <c r="F4535" s="124">
        <v>4529</v>
      </c>
      <c r="G4535" s="238">
        <f t="shared" ca="1" si="142"/>
        <v>2.0633649635526916E-2</v>
      </c>
      <c r="I4535" s="156"/>
    </row>
    <row r="4536" spans="2:9" x14ac:dyDescent="0.2">
      <c r="B4536" s="230">
        <v>39314</v>
      </c>
      <c r="C4536" s="124">
        <v>51.81</v>
      </c>
      <c r="D4536" s="156">
        <f t="shared" si="141"/>
        <v>2.6957383548067381E-2</v>
      </c>
      <c r="E4536" s="156">
        <v>-2.0872865275142358E-2</v>
      </c>
      <c r="F4536" s="124">
        <v>4530</v>
      </c>
      <c r="G4536" s="238">
        <f t="shared" ca="1" si="142"/>
        <v>-1.5344220201894011E-2</v>
      </c>
      <c r="I4536" s="156"/>
    </row>
    <row r="4537" spans="2:9" x14ac:dyDescent="0.2">
      <c r="B4537" s="230">
        <v>39311</v>
      </c>
      <c r="C4537" s="124">
        <v>50.9</v>
      </c>
      <c r="D4537" s="156">
        <f t="shared" si="141"/>
        <v>-1.7564176799845659E-2</v>
      </c>
      <c r="E4537" s="156">
        <v>-2.0892047543193216E-2</v>
      </c>
      <c r="F4537" s="124">
        <v>4531</v>
      </c>
      <c r="G4537" s="238">
        <f t="shared" ca="1" si="142"/>
        <v>-1.3353286602746867E-3</v>
      </c>
      <c r="I4537" s="156"/>
    </row>
    <row r="4538" spans="2:9" x14ac:dyDescent="0.2">
      <c r="B4538" s="230">
        <v>39310</v>
      </c>
      <c r="C4538" s="124">
        <v>52.24</v>
      </c>
      <c r="D4538" s="156">
        <f t="shared" si="141"/>
        <v>2.6326129666011857E-2</v>
      </c>
      <c r="E4538" s="156">
        <v>-2.0938628158844737E-2</v>
      </c>
      <c r="F4538" s="124">
        <v>4532</v>
      </c>
      <c r="G4538" s="238">
        <f t="shared" ca="1" si="142"/>
        <v>-1.9000250680403536E-4</v>
      </c>
      <c r="I4538" s="156"/>
    </row>
    <row r="4539" spans="2:9" x14ac:dyDescent="0.2">
      <c r="B4539" s="230">
        <v>39308</v>
      </c>
      <c r="C4539" s="124">
        <v>54.69</v>
      </c>
      <c r="D4539" s="156">
        <f t="shared" si="141"/>
        <v>4.6898928024502212E-2</v>
      </c>
      <c r="E4539" s="156">
        <v>-2.0949944026867139E-2</v>
      </c>
      <c r="F4539" s="124">
        <v>4533</v>
      </c>
      <c r="G4539" s="238">
        <f t="shared" ca="1" si="142"/>
        <v>3.9813264406420502E-2</v>
      </c>
      <c r="I4539" s="156"/>
    </row>
    <row r="4540" spans="2:9" x14ac:dyDescent="0.2">
      <c r="B4540" s="230">
        <v>39307</v>
      </c>
      <c r="C4540" s="124">
        <v>54.63</v>
      </c>
      <c r="D4540" s="156">
        <f t="shared" si="141"/>
        <v>-1.097092704333428E-3</v>
      </c>
      <c r="E4540" s="156">
        <v>-2.0967051775780818E-2</v>
      </c>
      <c r="F4540" s="124">
        <v>4534</v>
      </c>
      <c r="G4540" s="238">
        <f t="shared" ca="1" si="142"/>
        <v>-1.7601372381840834E-2</v>
      </c>
      <c r="I4540" s="156"/>
    </row>
    <row r="4541" spans="2:9" x14ac:dyDescent="0.2">
      <c r="B4541" s="230">
        <v>39304</v>
      </c>
      <c r="C4541" s="124">
        <v>54.16</v>
      </c>
      <c r="D4541" s="156">
        <f t="shared" si="141"/>
        <v>-8.6033315028373782E-3</v>
      </c>
      <c r="E4541" s="156">
        <v>-2.0967431104259002E-2</v>
      </c>
      <c r="F4541" s="124">
        <v>4535</v>
      </c>
      <c r="G4541" s="238">
        <f t="shared" ca="1" si="142"/>
        <v>-9.1602498736231136E-3</v>
      </c>
      <c r="I4541" s="156"/>
    </row>
    <row r="4542" spans="2:9" x14ac:dyDescent="0.2">
      <c r="B4542" s="230">
        <v>39303</v>
      </c>
      <c r="C4542" s="124">
        <v>54.35</v>
      </c>
      <c r="D4542" s="156">
        <f t="shared" ref="D4542:D4605" si="143">(C4542-C4541)/C4541</f>
        <v>3.5081240768095427E-3</v>
      </c>
      <c r="E4542" s="156">
        <v>-2.1008768122232849E-2</v>
      </c>
      <c r="F4542" s="124">
        <v>4536</v>
      </c>
      <c r="G4542" s="238">
        <f t="shared" ca="1" si="142"/>
        <v>-3.4812064255413549E-3</v>
      </c>
      <c r="I4542" s="156"/>
    </row>
    <row r="4543" spans="2:9" x14ac:dyDescent="0.2">
      <c r="B4543" s="230">
        <v>39302</v>
      </c>
      <c r="C4543" s="124">
        <v>55.49</v>
      </c>
      <c r="D4543" s="156">
        <f t="shared" si="143"/>
        <v>2.0975160993560268E-2</v>
      </c>
      <c r="E4543" s="156">
        <v>-2.1012241914854717E-2</v>
      </c>
      <c r="F4543" s="124">
        <v>4537</v>
      </c>
      <c r="G4543" s="238">
        <f t="shared" ca="1" si="142"/>
        <v>-2.8939352452303484E-3</v>
      </c>
      <c r="I4543" s="156"/>
    </row>
    <row r="4544" spans="2:9" x14ac:dyDescent="0.2">
      <c r="B4544" s="230">
        <v>39301</v>
      </c>
      <c r="C4544" s="124">
        <v>55.34</v>
      </c>
      <c r="D4544" s="156">
        <f t="shared" si="143"/>
        <v>-2.7031897639214018E-3</v>
      </c>
      <c r="E4544" s="156">
        <v>-2.1021021021021023E-2</v>
      </c>
      <c r="F4544" s="124">
        <v>4538</v>
      </c>
      <c r="G4544" s="238">
        <f t="shared" ca="1" si="142"/>
        <v>2.374939105919511E-3</v>
      </c>
      <c r="I4544" s="156"/>
    </row>
    <row r="4545" spans="2:9" x14ac:dyDescent="0.2">
      <c r="B4545" s="230">
        <v>39300</v>
      </c>
      <c r="C4545" s="124">
        <v>57.2</v>
      </c>
      <c r="D4545" s="156">
        <f t="shared" si="143"/>
        <v>3.361040838453197E-2</v>
      </c>
      <c r="E4545" s="156">
        <v>-2.1085146387322087E-2</v>
      </c>
      <c r="F4545" s="124">
        <v>4539</v>
      </c>
      <c r="G4545" s="238">
        <f t="shared" ca="1" si="142"/>
        <v>1.8574787050306481E-5</v>
      </c>
      <c r="I4545" s="156"/>
    </row>
    <row r="4546" spans="2:9" x14ac:dyDescent="0.2">
      <c r="B4546" s="230">
        <v>39297</v>
      </c>
      <c r="C4546" s="124">
        <v>56.27</v>
      </c>
      <c r="D4546" s="156">
        <f t="shared" si="143"/>
        <v>-1.6258741258741254E-2</v>
      </c>
      <c r="E4546" s="156">
        <v>-2.110462505612927E-2</v>
      </c>
      <c r="F4546" s="124">
        <v>4540</v>
      </c>
      <c r="G4546" s="238">
        <f t="shared" ca="1" si="142"/>
        <v>-9.7667468543110505E-3</v>
      </c>
      <c r="I4546" s="156"/>
    </row>
    <row r="4547" spans="2:9" x14ac:dyDescent="0.2">
      <c r="B4547" s="230">
        <v>39296</v>
      </c>
      <c r="C4547" s="124">
        <v>55.62</v>
      </c>
      <c r="D4547" s="156">
        <f t="shared" si="143"/>
        <v>-1.1551448373911598E-2</v>
      </c>
      <c r="E4547" s="156">
        <v>-2.1141036779611908E-2</v>
      </c>
      <c r="F4547" s="124">
        <v>4541</v>
      </c>
      <c r="G4547" s="238">
        <f t="shared" ca="1" si="142"/>
        <v>-8.282350722622997E-3</v>
      </c>
      <c r="I4547" s="156"/>
    </row>
    <row r="4548" spans="2:9" x14ac:dyDescent="0.2">
      <c r="B4548" s="230">
        <v>39295</v>
      </c>
      <c r="C4548" s="124">
        <v>55.37</v>
      </c>
      <c r="D4548" s="156">
        <f t="shared" si="143"/>
        <v>-4.4947860481841066E-3</v>
      </c>
      <c r="E4548" s="156">
        <v>-2.1164021164021232E-2</v>
      </c>
      <c r="F4548" s="124">
        <v>4542</v>
      </c>
      <c r="G4548" s="238">
        <f t="shared" ca="1" si="142"/>
        <v>-3.2540858750717341E-2</v>
      </c>
      <c r="I4548" s="156"/>
    </row>
    <row r="4549" spans="2:9" x14ac:dyDescent="0.2">
      <c r="B4549" s="230">
        <v>39294</v>
      </c>
      <c r="C4549" s="124">
        <v>56.68</v>
      </c>
      <c r="D4549" s="156">
        <f t="shared" si="143"/>
        <v>2.3659021130576167E-2</v>
      </c>
      <c r="E4549" s="156">
        <v>-2.1177685950413146E-2</v>
      </c>
      <c r="F4549" s="124">
        <v>4543</v>
      </c>
      <c r="G4549" s="238">
        <f t="shared" ca="1" si="142"/>
        <v>-3.319327299128802E-2</v>
      </c>
      <c r="I4549" s="156"/>
    </row>
    <row r="4550" spans="2:9" x14ac:dyDescent="0.2">
      <c r="B4550" s="230">
        <v>39293</v>
      </c>
      <c r="C4550" s="124">
        <v>55.51</v>
      </c>
      <c r="D4550" s="156">
        <f t="shared" si="143"/>
        <v>-2.0642201834862414E-2</v>
      </c>
      <c r="E4550" s="156">
        <v>-2.1263289555972474E-2</v>
      </c>
      <c r="F4550" s="124">
        <v>4544</v>
      </c>
      <c r="G4550" s="238">
        <f t="shared" ca="1" si="142"/>
        <v>-8.2806757340832936E-3</v>
      </c>
      <c r="I4550" s="156"/>
    </row>
    <row r="4551" spans="2:9" x14ac:dyDescent="0.2">
      <c r="B4551" s="230">
        <v>39290</v>
      </c>
      <c r="C4551" s="124">
        <v>57.15</v>
      </c>
      <c r="D4551" s="156">
        <f t="shared" si="143"/>
        <v>2.9544226265537751E-2</v>
      </c>
      <c r="E4551" s="156">
        <v>-2.1280400572246151E-2</v>
      </c>
      <c r="F4551" s="124">
        <v>4545</v>
      </c>
      <c r="G4551" s="238">
        <f t="shared" ref="G4551:G4614" ca="1" si="144">_xlfn.NORM.INV(RAND(),$L$8,$L$9)</f>
        <v>3.4925732477663332E-3</v>
      </c>
      <c r="I4551" s="156"/>
    </row>
    <row r="4552" spans="2:9" x14ac:dyDescent="0.2">
      <c r="B4552" s="230">
        <v>39289</v>
      </c>
      <c r="C4552" s="124">
        <v>55.59</v>
      </c>
      <c r="D4552" s="156">
        <f t="shared" si="143"/>
        <v>-2.7296587926509103E-2</v>
      </c>
      <c r="E4552" s="156">
        <v>-2.1280602636534755E-2</v>
      </c>
      <c r="F4552" s="124">
        <v>4546</v>
      </c>
      <c r="G4552" s="238">
        <f t="shared" ca="1" si="144"/>
        <v>-1.3810699835513382E-2</v>
      </c>
      <c r="I4552" s="156"/>
    </row>
    <row r="4553" spans="2:9" x14ac:dyDescent="0.2">
      <c r="B4553" s="230">
        <v>39288</v>
      </c>
      <c r="C4553" s="124">
        <v>54.99</v>
      </c>
      <c r="D4553" s="156">
        <f t="shared" si="143"/>
        <v>-1.0793308148947677E-2</v>
      </c>
      <c r="E4553" s="156">
        <v>-2.1299574008519728E-2</v>
      </c>
      <c r="F4553" s="124">
        <v>4547</v>
      </c>
      <c r="G4553" s="238">
        <f t="shared" ca="1" si="144"/>
        <v>1.7325631252150222E-2</v>
      </c>
      <c r="I4553" s="156"/>
    </row>
    <row r="4554" spans="2:9" x14ac:dyDescent="0.2">
      <c r="B4554" s="230">
        <v>39287</v>
      </c>
      <c r="C4554" s="124">
        <v>50.45</v>
      </c>
      <c r="D4554" s="156">
        <f t="shared" si="143"/>
        <v>-8.2560465539188929E-2</v>
      </c>
      <c r="E4554" s="156">
        <v>-2.1332647947053866E-2</v>
      </c>
      <c r="F4554" s="124">
        <v>4548</v>
      </c>
      <c r="G4554" s="238">
        <f t="shared" ca="1" si="144"/>
        <v>2.3267819346899008E-2</v>
      </c>
      <c r="I4554" s="156"/>
    </row>
    <row r="4555" spans="2:9" x14ac:dyDescent="0.2">
      <c r="B4555" s="230">
        <v>39286</v>
      </c>
      <c r="C4555" s="124">
        <v>50.92</v>
      </c>
      <c r="D4555" s="156">
        <f t="shared" si="143"/>
        <v>9.3161546085232666E-3</v>
      </c>
      <c r="E4555" s="156">
        <v>-2.1350283176465833E-2</v>
      </c>
      <c r="F4555" s="124">
        <v>4549</v>
      </c>
      <c r="G4555" s="238">
        <f t="shared" ca="1" si="144"/>
        <v>9.2686831623834624E-3</v>
      </c>
      <c r="I4555" s="156"/>
    </row>
    <row r="4556" spans="2:9" x14ac:dyDescent="0.2">
      <c r="B4556" s="230">
        <v>39283</v>
      </c>
      <c r="C4556" s="124">
        <v>51.18</v>
      </c>
      <c r="D4556" s="156">
        <f t="shared" si="143"/>
        <v>5.1060487038491363E-3</v>
      </c>
      <c r="E4556" s="156">
        <v>-2.1368359145265563E-2</v>
      </c>
      <c r="F4556" s="124">
        <v>4550</v>
      </c>
      <c r="G4556" s="238">
        <f t="shared" ca="1" si="144"/>
        <v>8.6532640612690427E-3</v>
      </c>
      <c r="I4556" s="156"/>
    </row>
    <row r="4557" spans="2:9" x14ac:dyDescent="0.2">
      <c r="B4557" s="230">
        <v>39282</v>
      </c>
      <c r="C4557" s="124">
        <v>51.03</v>
      </c>
      <c r="D4557" s="156">
        <f t="shared" si="143"/>
        <v>-2.9308323563891868E-3</v>
      </c>
      <c r="E4557" s="156">
        <v>-2.1370903910083901E-2</v>
      </c>
      <c r="F4557" s="124">
        <v>4551</v>
      </c>
      <c r="G4557" s="238">
        <f t="shared" ca="1" si="144"/>
        <v>1.7037581414592617E-2</v>
      </c>
      <c r="I4557" s="156"/>
    </row>
    <row r="4558" spans="2:9" x14ac:dyDescent="0.2">
      <c r="B4558" s="230">
        <v>39281</v>
      </c>
      <c r="C4558" s="124">
        <v>51.08</v>
      </c>
      <c r="D4558" s="156">
        <f t="shared" si="143"/>
        <v>9.7981579463055383E-4</v>
      </c>
      <c r="E4558" s="156">
        <v>-2.1412471825694925E-2</v>
      </c>
      <c r="F4558" s="124">
        <v>4552</v>
      </c>
      <c r="G4558" s="238">
        <f t="shared" ca="1" si="144"/>
        <v>-1.3939716564206193E-2</v>
      </c>
      <c r="I4558" s="156"/>
    </row>
    <row r="4559" spans="2:9" x14ac:dyDescent="0.2">
      <c r="B4559" s="230">
        <v>39280</v>
      </c>
      <c r="C4559" s="124">
        <v>51.61</v>
      </c>
      <c r="D4559" s="156">
        <f t="shared" si="143"/>
        <v>1.0375880971025864E-2</v>
      </c>
      <c r="E4559" s="156">
        <v>-2.1421990171990219E-2</v>
      </c>
      <c r="F4559" s="124">
        <v>4553</v>
      </c>
      <c r="G4559" s="238">
        <f t="shared" ca="1" si="144"/>
        <v>-1.996236552507592E-2</v>
      </c>
      <c r="I4559" s="156"/>
    </row>
    <row r="4560" spans="2:9" x14ac:dyDescent="0.2">
      <c r="B4560" s="230">
        <v>39279</v>
      </c>
      <c r="C4560" s="124">
        <v>51.13</v>
      </c>
      <c r="D4560" s="156">
        <f t="shared" si="143"/>
        <v>-9.3005231544273769E-3</v>
      </c>
      <c r="E4560" s="156">
        <v>-2.1431374324609925E-2</v>
      </c>
      <c r="F4560" s="124">
        <v>4554</v>
      </c>
      <c r="G4560" s="238">
        <f t="shared" ca="1" si="144"/>
        <v>-1.8328768199350687E-2</v>
      </c>
      <c r="I4560" s="156"/>
    </row>
    <row r="4561" spans="2:9" x14ac:dyDescent="0.2">
      <c r="B4561" s="230">
        <v>39276</v>
      </c>
      <c r="C4561" s="124">
        <v>51.5</v>
      </c>
      <c r="D4561" s="156">
        <f t="shared" si="143"/>
        <v>7.2364560923136598E-3</v>
      </c>
      <c r="E4561" s="156">
        <v>-2.1509785647716613E-2</v>
      </c>
      <c r="F4561" s="124">
        <v>4555</v>
      </c>
      <c r="G4561" s="238">
        <f t="shared" ca="1" si="144"/>
        <v>-8.8571506015464353E-3</v>
      </c>
      <c r="I4561" s="156"/>
    </row>
    <row r="4562" spans="2:9" x14ac:dyDescent="0.2">
      <c r="B4562" s="230">
        <v>39275</v>
      </c>
      <c r="C4562" s="124">
        <v>50.68</v>
      </c>
      <c r="D4562" s="156">
        <f t="shared" si="143"/>
        <v>-1.5922330097087385E-2</v>
      </c>
      <c r="E4562" s="156">
        <v>-2.1514994585942249E-2</v>
      </c>
      <c r="F4562" s="124">
        <v>4556</v>
      </c>
      <c r="G4562" s="238">
        <f t="shared" ca="1" si="144"/>
        <v>1.5533276435488467E-2</v>
      </c>
      <c r="I4562" s="156"/>
    </row>
    <row r="4563" spans="2:9" x14ac:dyDescent="0.2">
      <c r="B4563" s="230">
        <v>39274</v>
      </c>
      <c r="C4563" s="124">
        <v>50.57</v>
      </c>
      <c r="D4563" s="156">
        <f t="shared" si="143"/>
        <v>-2.1704814522493969E-3</v>
      </c>
      <c r="E4563" s="156">
        <v>-2.1595077505620668E-2</v>
      </c>
      <c r="F4563" s="124">
        <v>4557</v>
      </c>
      <c r="G4563" s="238">
        <f t="shared" ca="1" si="144"/>
        <v>1.6769738070517411E-2</v>
      </c>
      <c r="I4563" s="156"/>
    </row>
    <row r="4564" spans="2:9" x14ac:dyDescent="0.2">
      <c r="B4564" s="230">
        <v>39273</v>
      </c>
      <c r="C4564" s="124">
        <v>50.95</v>
      </c>
      <c r="D4564" s="156">
        <f t="shared" si="143"/>
        <v>7.5143365631798013E-3</v>
      </c>
      <c r="E4564" s="156">
        <v>-2.159853569249548E-2</v>
      </c>
      <c r="F4564" s="124">
        <v>4558</v>
      </c>
      <c r="G4564" s="238">
        <f t="shared" ca="1" si="144"/>
        <v>1.4152750178413999E-2</v>
      </c>
      <c r="I4564" s="156"/>
    </row>
    <row r="4565" spans="2:9" x14ac:dyDescent="0.2">
      <c r="B4565" s="230">
        <v>39272</v>
      </c>
      <c r="C4565" s="124">
        <v>51.59</v>
      </c>
      <c r="D4565" s="156">
        <f t="shared" si="143"/>
        <v>1.2561334641805703E-2</v>
      </c>
      <c r="E4565" s="156">
        <v>-2.1621621621621557E-2</v>
      </c>
      <c r="F4565" s="124">
        <v>4559</v>
      </c>
      <c r="G4565" s="238">
        <f t="shared" ca="1" si="144"/>
        <v>4.3547886466310762E-2</v>
      </c>
      <c r="I4565" s="156"/>
    </row>
    <row r="4566" spans="2:9" x14ac:dyDescent="0.2">
      <c r="B4566" s="230">
        <v>39269</v>
      </c>
      <c r="C4566" s="124">
        <v>51.54</v>
      </c>
      <c r="D4566" s="156">
        <f t="shared" si="143"/>
        <v>-9.6918007365776819E-4</v>
      </c>
      <c r="E4566" s="156">
        <v>-2.1644370960468926E-2</v>
      </c>
      <c r="F4566" s="124">
        <v>4560</v>
      </c>
      <c r="G4566" s="238">
        <f t="shared" ca="1" si="144"/>
        <v>-5.3366356098194824E-3</v>
      </c>
      <c r="I4566" s="156"/>
    </row>
    <row r="4567" spans="2:9" x14ac:dyDescent="0.2">
      <c r="B4567" s="230">
        <v>39268</v>
      </c>
      <c r="C4567" s="124">
        <v>51.59</v>
      </c>
      <c r="D4567" s="156">
        <f t="shared" si="143"/>
        <v>9.7012029491665239E-4</v>
      </c>
      <c r="E4567" s="156">
        <v>-2.1692723048910734E-2</v>
      </c>
      <c r="F4567" s="124">
        <v>4561</v>
      </c>
      <c r="G4567" s="238">
        <f t="shared" ca="1" si="144"/>
        <v>-1.0110791314480632E-2</v>
      </c>
      <c r="I4567" s="156"/>
    </row>
    <row r="4568" spans="2:9" x14ac:dyDescent="0.2">
      <c r="B4568" s="230">
        <v>39267</v>
      </c>
      <c r="C4568" s="124">
        <v>52.36</v>
      </c>
      <c r="D4568" s="156">
        <f t="shared" si="143"/>
        <v>1.492537313432828E-2</v>
      </c>
      <c r="E4568" s="156">
        <v>-2.1695422452892011E-2</v>
      </c>
      <c r="F4568" s="124">
        <v>4562</v>
      </c>
      <c r="G4568" s="238">
        <f t="shared" ca="1" si="144"/>
        <v>-2.0424584381615332E-2</v>
      </c>
      <c r="I4568" s="156"/>
    </row>
    <row r="4569" spans="2:9" x14ac:dyDescent="0.2">
      <c r="B4569" s="230">
        <v>39266</v>
      </c>
      <c r="C4569" s="124">
        <v>51.83</v>
      </c>
      <c r="D4569" s="156">
        <f t="shared" si="143"/>
        <v>-1.0122230710466026E-2</v>
      </c>
      <c r="E4569" s="156">
        <v>-2.1739130434782539E-2</v>
      </c>
      <c r="F4569" s="124">
        <v>4563</v>
      </c>
      <c r="G4569" s="238">
        <f t="shared" ca="1" si="144"/>
        <v>-2.3204607946221145E-2</v>
      </c>
      <c r="I4569" s="156"/>
    </row>
    <row r="4570" spans="2:9" x14ac:dyDescent="0.2">
      <c r="B4570" s="230">
        <v>39265</v>
      </c>
      <c r="C4570" s="124">
        <v>51.05</v>
      </c>
      <c r="D4570" s="156">
        <f t="shared" si="143"/>
        <v>-1.5049199305421593E-2</v>
      </c>
      <c r="E4570" s="156">
        <v>-2.1752388696889589E-2</v>
      </c>
      <c r="F4570" s="124">
        <v>4564</v>
      </c>
      <c r="G4570" s="238">
        <f t="shared" ca="1" si="144"/>
        <v>-2.6088805025408245E-2</v>
      </c>
      <c r="I4570" s="156"/>
    </row>
    <row r="4571" spans="2:9" x14ac:dyDescent="0.2">
      <c r="B4571" s="230">
        <v>39262</v>
      </c>
      <c r="C4571" s="124">
        <v>51.28</v>
      </c>
      <c r="D4571" s="156">
        <f t="shared" si="143"/>
        <v>4.5053868756122235E-3</v>
      </c>
      <c r="E4571" s="156">
        <v>-2.1813073055309204E-2</v>
      </c>
      <c r="F4571" s="124">
        <v>4565</v>
      </c>
      <c r="G4571" s="238">
        <f t="shared" ca="1" si="144"/>
        <v>-2.9929101354692029E-2</v>
      </c>
      <c r="I4571" s="156"/>
    </row>
    <row r="4572" spans="2:9" x14ac:dyDescent="0.2">
      <c r="B4572" s="230">
        <v>39261</v>
      </c>
      <c r="C4572" s="124">
        <v>51.41</v>
      </c>
      <c r="D4572" s="156">
        <f t="shared" si="143"/>
        <v>2.5351014040560734E-3</v>
      </c>
      <c r="E4572" s="156">
        <v>-2.1821077780727293E-2</v>
      </c>
      <c r="F4572" s="124">
        <v>4566</v>
      </c>
      <c r="G4572" s="238">
        <f t="shared" ca="1" si="144"/>
        <v>-4.7487095812547607E-3</v>
      </c>
      <c r="I4572" s="156"/>
    </row>
    <row r="4573" spans="2:9" x14ac:dyDescent="0.2">
      <c r="B4573" s="230">
        <v>39260</v>
      </c>
      <c r="C4573" s="124">
        <v>50.92</v>
      </c>
      <c r="D4573" s="156">
        <f t="shared" si="143"/>
        <v>-9.5312196070802355E-3</v>
      </c>
      <c r="E4573" s="156">
        <v>-2.1839563208735778E-2</v>
      </c>
      <c r="F4573" s="124">
        <v>4567</v>
      </c>
      <c r="G4573" s="238">
        <f t="shared" ca="1" si="144"/>
        <v>-2.3130192154377782E-3</v>
      </c>
      <c r="I4573" s="156"/>
    </row>
    <row r="4574" spans="2:9" x14ac:dyDescent="0.2">
      <c r="B4574" s="230">
        <v>39259</v>
      </c>
      <c r="C4574" s="124">
        <v>51.1</v>
      </c>
      <c r="D4574" s="156">
        <f t="shared" si="143"/>
        <v>3.5349567949725003E-3</v>
      </c>
      <c r="E4574" s="156">
        <v>-2.1847389558232923E-2</v>
      </c>
      <c r="F4574" s="124">
        <v>4568</v>
      </c>
      <c r="G4574" s="238">
        <f t="shared" ca="1" si="144"/>
        <v>-4.3983913710491859E-3</v>
      </c>
      <c r="I4574" s="156"/>
    </row>
    <row r="4575" spans="2:9" x14ac:dyDescent="0.2">
      <c r="B4575" s="230">
        <v>39258</v>
      </c>
      <c r="C4575" s="124">
        <v>51.1</v>
      </c>
      <c r="D4575" s="156">
        <f t="shared" si="143"/>
        <v>0</v>
      </c>
      <c r="E4575" s="156">
        <v>-2.1867407150295004E-2</v>
      </c>
      <c r="F4575" s="124">
        <v>4569</v>
      </c>
      <c r="G4575" s="238">
        <f t="shared" ca="1" si="144"/>
        <v>-1.1969428349807255E-2</v>
      </c>
      <c r="I4575" s="156"/>
    </row>
    <row r="4576" spans="2:9" x14ac:dyDescent="0.2">
      <c r="B4576" s="230">
        <v>39255</v>
      </c>
      <c r="C4576" s="124">
        <v>51.05</v>
      </c>
      <c r="D4576" s="156">
        <f t="shared" si="143"/>
        <v>-9.7847358121339067E-4</v>
      </c>
      <c r="E4576" s="156">
        <v>-2.1869224676581884E-2</v>
      </c>
      <c r="F4576" s="124">
        <v>4570</v>
      </c>
      <c r="G4576" s="238">
        <f t="shared" ca="1" si="144"/>
        <v>6.5955812839644098E-3</v>
      </c>
      <c r="I4576" s="156"/>
    </row>
    <row r="4577" spans="2:9" x14ac:dyDescent="0.2">
      <c r="B4577" s="230">
        <v>39254</v>
      </c>
      <c r="C4577" s="124">
        <v>51.18</v>
      </c>
      <c r="D4577" s="156">
        <f t="shared" si="143"/>
        <v>2.5465230166503931E-3</v>
      </c>
      <c r="E4577" s="156">
        <v>-2.1872265966754158E-2</v>
      </c>
      <c r="F4577" s="124">
        <v>4571</v>
      </c>
      <c r="G4577" s="238">
        <f t="shared" ca="1" si="144"/>
        <v>-1.6743179964960931E-4</v>
      </c>
      <c r="I4577" s="156"/>
    </row>
    <row r="4578" spans="2:9" x14ac:dyDescent="0.2">
      <c r="B4578" s="230">
        <v>39253</v>
      </c>
      <c r="C4578" s="124">
        <v>51.4</v>
      </c>
      <c r="D4578" s="156">
        <f t="shared" si="143"/>
        <v>4.2985541227041589E-3</v>
      </c>
      <c r="E4578" s="156">
        <v>-2.1873403613059061E-2</v>
      </c>
      <c r="F4578" s="124">
        <v>4572</v>
      </c>
      <c r="G4578" s="238">
        <f t="shared" ca="1" si="144"/>
        <v>-3.2861473825034154E-2</v>
      </c>
      <c r="I4578" s="156"/>
    </row>
    <row r="4579" spans="2:9" x14ac:dyDescent="0.2">
      <c r="B4579" s="230">
        <v>39252</v>
      </c>
      <c r="C4579" s="124">
        <v>50.73</v>
      </c>
      <c r="D4579" s="156">
        <f t="shared" si="143"/>
        <v>-1.3035019455252952E-2</v>
      </c>
      <c r="E4579" s="156">
        <v>-2.1877384889341191E-2</v>
      </c>
      <c r="F4579" s="124">
        <v>4573</v>
      </c>
      <c r="G4579" s="238">
        <f t="shared" ca="1" si="144"/>
        <v>-1.5687945308406701E-2</v>
      </c>
      <c r="I4579" s="156"/>
    </row>
    <row r="4580" spans="2:9" x14ac:dyDescent="0.2">
      <c r="B4580" s="230">
        <v>39251</v>
      </c>
      <c r="C4580" s="124">
        <v>50.72</v>
      </c>
      <c r="D4580" s="156">
        <f t="shared" si="143"/>
        <v>-1.9712201852943053E-4</v>
      </c>
      <c r="E4580" s="156">
        <v>-2.1880819366852836E-2</v>
      </c>
      <c r="F4580" s="124">
        <v>4574</v>
      </c>
      <c r="G4580" s="238">
        <f t="shared" ca="1" si="144"/>
        <v>-1.33885630146564E-2</v>
      </c>
      <c r="I4580" s="156"/>
    </row>
    <row r="4581" spans="2:9" x14ac:dyDescent="0.2">
      <c r="B4581" s="230">
        <v>39248</v>
      </c>
      <c r="C4581" s="124">
        <v>50.52</v>
      </c>
      <c r="D4581" s="156">
        <f t="shared" si="143"/>
        <v>-3.9432176656150576E-3</v>
      </c>
      <c r="E4581" s="156">
        <v>-2.1896521278474339E-2</v>
      </c>
      <c r="F4581" s="124">
        <v>4575</v>
      </c>
      <c r="G4581" s="238">
        <f t="shared" ca="1" si="144"/>
        <v>-1.0438772292313273E-2</v>
      </c>
      <c r="I4581" s="156"/>
    </row>
    <row r="4582" spans="2:9" x14ac:dyDescent="0.2">
      <c r="B4582" s="230">
        <v>39247</v>
      </c>
      <c r="C4582" s="124">
        <v>50.25</v>
      </c>
      <c r="D4582" s="156">
        <f t="shared" si="143"/>
        <v>-5.3444180522565932E-3</v>
      </c>
      <c r="E4582" s="156">
        <v>-2.1943573667711623E-2</v>
      </c>
      <c r="F4582" s="124">
        <v>4576</v>
      </c>
      <c r="G4582" s="238">
        <f t="shared" ca="1" si="144"/>
        <v>2.7086892679660284E-2</v>
      </c>
      <c r="I4582" s="156"/>
    </row>
    <row r="4583" spans="2:9" x14ac:dyDescent="0.2">
      <c r="B4583" s="230">
        <v>39246</v>
      </c>
      <c r="C4583" s="124">
        <v>50.4</v>
      </c>
      <c r="D4583" s="156">
        <f t="shared" si="143"/>
        <v>2.9850746268656435E-3</v>
      </c>
      <c r="E4583" s="156">
        <v>-2.1975922033250418E-2</v>
      </c>
      <c r="F4583" s="124">
        <v>4577</v>
      </c>
      <c r="G4583" s="238">
        <f t="shared" ca="1" si="144"/>
        <v>1.927525138442869E-2</v>
      </c>
      <c r="I4583" s="156"/>
    </row>
    <row r="4584" spans="2:9" x14ac:dyDescent="0.2">
      <c r="B4584" s="230">
        <v>39245</v>
      </c>
      <c r="C4584" s="124">
        <v>51</v>
      </c>
      <c r="D4584" s="156">
        <f t="shared" si="143"/>
        <v>1.1904761904761934E-2</v>
      </c>
      <c r="E4584" s="156">
        <v>-2.1983079822907932E-2</v>
      </c>
      <c r="F4584" s="124">
        <v>4578</v>
      </c>
      <c r="G4584" s="238">
        <f t="shared" ca="1" si="144"/>
        <v>3.1037771224866045E-2</v>
      </c>
      <c r="I4584" s="156"/>
    </row>
    <row r="4585" spans="2:9" x14ac:dyDescent="0.2">
      <c r="B4585" s="230">
        <v>39244</v>
      </c>
      <c r="C4585" s="124">
        <v>51.01</v>
      </c>
      <c r="D4585" s="156">
        <f t="shared" si="143"/>
        <v>1.9607843137251001E-4</v>
      </c>
      <c r="E4585" s="156">
        <v>-2.2040511373069793E-2</v>
      </c>
      <c r="F4585" s="124">
        <v>4579</v>
      </c>
      <c r="G4585" s="238">
        <f t="shared" ca="1" si="144"/>
        <v>-3.0060227814037541E-2</v>
      </c>
      <c r="I4585" s="156"/>
    </row>
    <row r="4586" spans="2:9" x14ac:dyDescent="0.2">
      <c r="B4586" s="230">
        <v>39241</v>
      </c>
      <c r="C4586" s="124">
        <v>49.92</v>
      </c>
      <c r="D4586" s="156">
        <f t="shared" si="143"/>
        <v>-2.1368359145265563E-2</v>
      </c>
      <c r="E4586" s="156">
        <v>-2.2041581991558576E-2</v>
      </c>
      <c r="F4586" s="124">
        <v>4580</v>
      </c>
      <c r="G4586" s="238">
        <f t="shared" ca="1" si="144"/>
        <v>-1.4663304542984566E-2</v>
      </c>
      <c r="I4586" s="156"/>
    </row>
    <row r="4587" spans="2:9" x14ac:dyDescent="0.2">
      <c r="B4587" s="230">
        <v>39240</v>
      </c>
      <c r="C4587" s="124">
        <v>51.35</v>
      </c>
      <c r="D4587" s="156">
        <f t="shared" si="143"/>
        <v>2.8645833333333325E-2</v>
      </c>
      <c r="E4587" s="156">
        <v>-2.2063702720636954E-2</v>
      </c>
      <c r="F4587" s="124">
        <v>4581</v>
      </c>
      <c r="G4587" s="238">
        <f t="shared" ca="1" si="144"/>
        <v>-1.052180700108438E-2</v>
      </c>
      <c r="I4587" s="156"/>
    </row>
    <row r="4588" spans="2:9" x14ac:dyDescent="0.2">
      <c r="B4588" s="230">
        <v>39239</v>
      </c>
      <c r="C4588" s="124">
        <v>52.32</v>
      </c>
      <c r="D4588" s="156">
        <f t="shared" si="143"/>
        <v>1.8889970788704944E-2</v>
      </c>
      <c r="E4588" s="156">
        <v>-2.2219136231079132E-2</v>
      </c>
      <c r="F4588" s="124">
        <v>4582</v>
      </c>
      <c r="G4588" s="238">
        <f t="shared" ca="1" si="144"/>
        <v>7.6414385103761441E-4</v>
      </c>
      <c r="I4588" s="156"/>
    </row>
    <row r="4589" spans="2:9" x14ac:dyDescent="0.2">
      <c r="B4589" s="230">
        <v>39238</v>
      </c>
      <c r="C4589" s="124">
        <v>53.65</v>
      </c>
      <c r="D4589" s="156">
        <f t="shared" si="143"/>
        <v>2.5420489296636054E-2</v>
      </c>
      <c r="E4589" s="156">
        <v>-2.2237398096376201E-2</v>
      </c>
      <c r="F4589" s="124">
        <v>4583</v>
      </c>
      <c r="G4589" s="238">
        <f t="shared" ca="1" si="144"/>
        <v>-2.7595976648784482E-3</v>
      </c>
      <c r="I4589" s="156"/>
    </row>
    <row r="4590" spans="2:9" x14ac:dyDescent="0.2">
      <c r="B4590" s="230">
        <v>39237</v>
      </c>
      <c r="C4590" s="124">
        <v>54.66</v>
      </c>
      <c r="D4590" s="156">
        <f t="shared" si="143"/>
        <v>1.8825722273998098E-2</v>
      </c>
      <c r="E4590" s="156">
        <v>-2.2280291569247566E-2</v>
      </c>
      <c r="F4590" s="124">
        <v>4584</v>
      </c>
      <c r="G4590" s="238">
        <f t="shared" ca="1" si="144"/>
        <v>-2.1815313615894984E-2</v>
      </c>
      <c r="I4590" s="156"/>
    </row>
    <row r="4591" spans="2:9" x14ac:dyDescent="0.2">
      <c r="B4591" s="230">
        <v>39234</v>
      </c>
      <c r="C4591" s="124">
        <v>53.38</v>
      </c>
      <c r="D4591" s="156">
        <f t="shared" si="143"/>
        <v>-2.3417489937797183E-2</v>
      </c>
      <c r="E4591" s="156">
        <v>-2.2416812609457111E-2</v>
      </c>
      <c r="F4591" s="124">
        <v>4585</v>
      </c>
      <c r="G4591" s="238">
        <f t="shared" ca="1" si="144"/>
        <v>3.3402655580926349E-3</v>
      </c>
      <c r="I4591" s="156"/>
    </row>
    <row r="4592" spans="2:9" x14ac:dyDescent="0.2">
      <c r="B4592" s="230">
        <v>39233</v>
      </c>
      <c r="C4592" s="124">
        <v>54.3</v>
      </c>
      <c r="D4592" s="156">
        <f t="shared" si="143"/>
        <v>1.7234919445485098E-2</v>
      </c>
      <c r="E4592" s="156">
        <v>-2.2423448111521433E-2</v>
      </c>
      <c r="F4592" s="124">
        <v>4586</v>
      </c>
      <c r="G4592" s="238">
        <f t="shared" ca="1" si="144"/>
        <v>4.8035931294403023E-3</v>
      </c>
      <c r="I4592" s="156"/>
    </row>
    <row r="4593" spans="2:9" x14ac:dyDescent="0.2">
      <c r="B4593" s="230">
        <v>39232</v>
      </c>
      <c r="C4593" s="124">
        <v>53.8</v>
      </c>
      <c r="D4593" s="156">
        <f t="shared" si="143"/>
        <v>-9.2081031307550652E-3</v>
      </c>
      <c r="E4593" s="156">
        <v>-2.2427854454203259E-2</v>
      </c>
      <c r="F4593" s="124">
        <v>4587</v>
      </c>
      <c r="G4593" s="238">
        <f t="shared" ca="1" si="144"/>
        <v>-1.1059450561694266E-2</v>
      </c>
      <c r="I4593" s="156"/>
    </row>
    <row r="4594" spans="2:9" x14ac:dyDescent="0.2">
      <c r="B4594" s="230">
        <v>39231</v>
      </c>
      <c r="C4594" s="124">
        <v>54.69</v>
      </c>
      <c r="D4594" s="156">
        <f t="shared" si="143"/>
        <v>1.6542750929368043E-2</v>
      </c>
      <c r="E4594" s="156">
        <v>-2.243829468960359E-2</v>
      </c>
      <c r="F4594" s="124">
        <v>4588</v>
      </c>
      <c r="G4594" s="238">
        <f t="shared" ca="1" si="144"/>
        <v>-3.3268401298519948E-2</v>
      </c>
      <c r="I4594" s="156"/>
    </row>
    <row r="4595" spans="2:9" x14ac:dyDescent="0.2">
      <c r="B4595" s="230">
        <v>39230</v>
      </c>
      <c r="C4595" s="124">
        <v>55.16</v>
      </c>
      <c r="D4595" s="156">
        <f t="shared" si="143"/>
        <v>8.5938928506125237E-3</v>
      </c>
      <c r="E4595" s="156">
        <v>-2.2440328080361276E-2</v>
      </c>
      <c r="F4595" s="124">
        <v>4589</v>
      </c>
      <c r="G4595" s="238">
        <f t="shared" ca="1" si="144"/>
        <v>6.9249716760414436E-3</v>
      </c>
      <c r="I4595" s="156"/>
    </row>
    <row r="4596" spans="2:9" x14ac:dyDescent="0.2">
      <c r="B4596" s="230">
        <v>39227</v>
      </c>
      <c r="C4596" s="124">
        <v>55.29</v>
      </c>
      <c r="D4596" s="156">
        <f t="shared" si="143"/>
        <v>2.3567802755620482E-3</v>
      </c>
      <c r="E4596" s="156">
        <v>-2.2443827947314532E-2</v>
      </c>
      <c r="F4596" s="124">
        <v>4590</v>
      </c>
      <c r="G4596" s="238">
        <f t="shared" ca="1" si="144"/>
        <v>4.6678782198742597E-3</v>
      </c>
      <c r="I4596" s="156"/>
    </row>
    <row r="4597" spans="2:9" x14ac:dyDescent="0.2">
      <c r="B4597" s="230">
        <v>39226</v>
      </c>
      <c r="C4597" s="124">
        <v>55.06</v>
      </c>
      <c r="D4597" s="156">
        <f t="shared" si="143"/>
        <v>-4.1598842466991654E-3</v>
      </c>
      <c r="E4597" s="156">
        <v>-2.2495234060580394E-2</v>
      </c>
      <c r="F4597" s="124">
        <v>4591</v>
      </c>
      <c r="G4597" s="238">
        <f t="shared" ca="1" si="144"/>
        <v>1.8779730521607196E-2</v>
      </c>
      <c r="I4597" s="156"/>
    </row>
    <row r="4598" spans="2:9" x14ac:dyDescent="0.2">
      <c r="B4598" s="230">
        <v>39225</v>
      </c>
      <c r="C4598" s="124">
        <v>55.11</v>
      </c>
      <c r="D4598" s="156">
        <f t="shared" si="143"/>
        <v>9.0810025426801952E-4</v>
      </c>
      <c r="E4598" s="156">
        <v>-2.2520742789411404E-2</v>
      </c>
      <c r="F4598" s="124">
        <v>4592</v>
      </c>
      <c r="G4598" s="238">
        <f t="shared" ca="1" si="144"/>
        <v>-1.5411520264328276E-2</v>
      </c>
      <c r="I4598" s="156"/>
    </row>
    <row r="4599" spans="2:9" x14ac:dyDescent="0.2">
      <c r="B4599" s="230">
        <v>39224</v>
      </c>
      <c r="C4599" s="124">
        <v>56.58</v>
      </c>
      <c r="D4599" s="156">
        <f t="shared" si="143"/>
        <v>2.6673924877517671E-2</v>
      </c>
      <c r="E4599" s="156">
        <v>-2.2522522522522525E-2</v>
      </c>
      <c r="F4599" s="124">
        <v>4593</v>
      </c>
      <c r="G4599" s="238">
        <f t="shared" ca="1" si="144"/>
        <v>-6.6097378591194519E-3</v>
      </c>
      <c r="I4599" s="156"/>
    </row>
    <row r="4600" spans="2:9" x14ac:dyDescent="0.2">
      <c r="B4600" s="230">
        <v>39223</v>
      </c>
      <c r="C4600" s="124">
        <v>56.63</v>
      </c>
      <c r="D4600" s="156">
        <f t="shared" si="143"/>
        <v>8.837044892188806E-4</v>
      </c>
      <c r="E4600" s="156">
        <v>-2.2679448211363078E-2</v>
      </c>
      <c r="F4600" s="124">
        <v>4594</v>
      </c>
      <c r="G4600" s="238">
        <f t="shared" ca="1" si="144"/>
        <v>2.1728896226312043E-2</v>
      </c>
      <c r="I4600" s="156"/>
    </row>
    <row r="4601" spans="2:9" x14ac:dyDescent="0.2">
      <c r="B4601" s="230">
        <v>39220</v>
      </c>
      <c r="C4601" s="124">
        <v>55.39</v>
      </c>
      <c r="D4601" s="156">
        <f t="shared" si="143"/>
        <v>-2.1896521278474339E-2</v>
      </c>
      <c r="E4601" s="156">
        <v>-2.2708970848767975E-2</v>
      </c>
      <c r="F4601" s="124">
        <v>4595</v>
      </c>
      <c r="G4601" s="238">
        <f t="shared" ca="1" si="144"/>
        <v>-4.348507923217791E-3</v>
      </c>
      <c r="I4601" s="156"/>
    </row>
    <row r="4602" spans="2:9" x14ac:dyDescent="0.2">
      <c r="B4602" s="230">
        <v>39219</v>
      </c>
      <c r="C4602" s="124">
        <v>54.73</v>
      </c>
      <c r="D4602" s="156">
        <f t="shared" si="143"/>
        <v>-1.1915508214479214E-2</v>
      </c>
      <c r="E4602" s="156">
        <v>-2.2721893491124315E-2</v>
      </c>
      <c r="F4602" s="124">
        <v>4596</v>
      </c>
      <c r="G4602" s="238">
        <f t="shared" ca="1" si="144"/>
        <v>-1.6090745360322566E-3</v>
      </c>
      <c r="I4602" s="156"/>
    </row>
    <row r="4603" spans="2:9" x14ac:dyDescent="0.2">
      <c r="B4603" s="230">
        <v>39218</v>
      </c>
      <c r="C4603" s="124">
        <v>54.16</v>
      </c>
      <c r="D4603" s="156">
        <f t="shared" si="143"/>
        <v>-1.0414763383884531E-2</v>
      </c>
      <c r="E4603" s="156">
        <v>-2.2734399498275364E-2</v>
      </c>
      <c r="F4603" s="124">
        <v>4597</v>
      </c>
      <c r="G4603" s="238">
        <f t="shared" ca="1" si="144"/>
        <v>4.7462475931522337E-4</v>
      </c>
      <c r="I4603" s="156"/>
    </row>
    <row r="4604" spans="2:9" x14ac:dyDescent="0.2">
      <c r="B4604" s="230">
        <v>39217</v>
      </c>
      <c r="C4604" s="124">
        <v>53.7</v>
      </c>
      <c r="D4604" s="156">
        <f t="shared" si="143"/>
        <v>-8.4933530280648772E-3</v>
      </c>
      <c r="E4604" s="156">
        <v>-2.2852789944772422E-2</v>
      </c>
      <c r="F4604" s="124">
        <v>4598</v>
      </c>
      <c r="G4604" s="238">
        <f t="shared" ca="1" si="144"/>
        <v>7.968112235236741E-3</v>
      </c>
      <c r="I4604" s="156"/>
    </row>
    <row r="4605" spans="2:9" x14ac:dyDescent="0.2">
      <c r="B4605" s="230">
        <v>39216</v>
      </c>
      <c r="C4605" s="124">
        <v>53.72</v>
      </c>
      <c r="D4605" s="156">
        <f t="shared" si="143"/>
        <v>3.7243947858465586E-4</v>
      </c>
      <c r="E4605" s="156">
        <v>-2.2889842632331868E-2</v>
      </c>
      <c r="F4605" s="124">
        <v>4599</v>
      </c>
      <c r="G4605" s="238">
        <f t="shared" ca="1" si="144"/>
        <v>-1.4845451648437431E-3</v>
      </c>
      <c r="I4605" s="156"/>
    </row>
    <row r="4606" spans="2:9" x14ac:dyDescent="0.2">
      <c r="B4606" s="230">
        <v>39213</v>
      </c>
      <c r="C4606" s="124">
        <v>53.75</v>
      </c>
      <c r="D4606" s="156">
        <f t="shared" ref="D4606:D4669" si="145">(C4606-C4605)/C4605</f>
        <v>5.5845122859272413E-4</v>
      </c>
      <c r="E4606" s="156">
        <v>-2.2993400042580336E-2</v>
      </c>
      <c r="F4606" s="124">
        <v>4600</v>
      </c>
      <c r="G4606" s="238">
        <f t="shared" ca="1" si="144"/>
        <v>1.4169334032396523E-2</v>
      </c>
      <c r="I4606" s="156"/>
    </row>
    <row r="4607" spans="2:9" x14ac:dyDescent="0.2">
      <c r="B4607" s="230">
        <v>39212</v>
      </c>
      <c r="C4607" s="124">
        <v>54.26</v>
      </c>
      <c r="D4607" s="156">
        <f t="shared" si="145"/>
        <v>9.4883720930232195E-3</v>
      </c>
      <c r="E4607" s="156">
        <v>-2.2999999999999923E-2</v>
      </c>
      <c r="F4607" s="124">
        <v>4601</v>
      </c>
      <c r="G4607" s="238">
        <f t="shared" ca="1" si="144"/>
        <v>-2.0341625762485598E-2</v>
      </c>
      <c r="I4607" s="156"/>
    </row>
    <row r="4608" spans="2:9" x14ac:dyDescent="0.2">
      <c r="B4608" s="230">
        <v>39211</v>
      </c>
      <c r="C4608" s="124">
        <v>53.27</v>
      </c>
      <c r="D4608" s="156">
        <f t="shared" si="145"/>
        <v>-1.8245484703280409E-2</v>
      </c>
      <c r="E4608" s="156">
        <v>-2.3015137472968721E-2</v>
      </c>
      <c r="F4608" s="124">
        <v>4602</v>
      </c>
      <c r="G4608" s="238">
        <f t="shared" ca="1" si="144"/>
        <v>2.5424247823881582E-2</v>
      </c>
      <c r="I4608" s="156"/>
    </row>
    <row r="4609" spans="2:9" x14ac:dyDescent="0.2">
      <c r="B4609" s="230">
        <v>39210</v>
      </c>
      <c r="C4609" s="124">
        <v>53.04</v>
      </c>
      <c r="D4609" s="156">
        <f t="shared" si="145"/>
        <v>-4.3176271822790305E-3</v>
      </c>
      <c r="E4609" s="156">
        <v>-2.3015165031222109E-2</v>
      </c>
      <c r="F4609" s="124">
        <v>4603</v>
      </c>
      <c r="G4609" s="238">
        <f t="shared" ca="1" si="144"/>
        <v>-1.8382066655155044E-2</v>
      </c>
      <c r="I4609" s="156"/>
    </row>
    <row r="4610" spans="2:9" x14ac:dyDescent="0.2">
      <c r="B4610" s="230">
        <v>39209</v>
      </c>
      <c r="C4610" s="124">
        <v>53.37</v>
      </c>
      <c r="D4610" s="156">
        <f t="shared" si="145"/>
        <v>6.221719457013543E-3</v>
      </c>
      <c r="E4610" s="156">
        <v>-2.307014106583076E-2</v>
      </c>
      <c r="F4610" s="124">
        <v>4604</v>
      </c>
      <c r="G4610" s="238">
        <f t="shared" ca="1" si="144"/>
        <v>-2.4796945469175293E-2</v>
      </c>
      <c r="I4610" s="156"/>
    </row>
    <row r="4611" spans="2:9" x14ac:dyDescent="0.2">
      <c r="B4611" s="230">
        <v>39206</v>
      </c>
      <c r="C4611" s="124">
        <v>53.38</v>
      </c>
      <c r="D4611" s="156">
        <f t="shared" si="145"/>
        <v>1.8737118231225625E-4</v>
      </c>
      <c r="E4611" s="156">
        <v>-2.3084511673791643E-2</v>
      </c>
      <c r="F4611" s="124">
        <v>4605</v>
      </c>
      <c r="G4611" s="238">
        <f t="shared" ca="1" si="144"/>
        <v>-2.0204121141548976E-2</v>
      </c>
      <c r="I4611" s="156"/>
    </row>
    <row r="4612" spans="2:9" x14ac:dyDescent="0.2">
      <c r="B4612" s="230">
        <v>39205</v>
      </c>
      <c r="C4612" s="124">
        <v>53.63</v>
      </c>
      <c r="D4612" s="156">
        <f t="shared" si="145"/>
        <v>4.683402023229674E-3</v>
      </c>
      <c r="E4612" s="156">
        <v>-2.3092554960280808E-2</v>
      </c>
      <c r="F4612" s="124">
        <v>4606</v>
      </c>
      <c r="G4612" s="238">
        <f t="shared" ca="1" si="144"/>
        <v>-6.8674893895891761E-3</v>
      </c>
      <c r="I4612" s="156"/>
    </row>
    <row r="4613" spans="2:9" x14ac:dyDescent="0.2">
      <c r="B4613" s="230">
        <v>39202</v>
      </c>
      <c r="C4613" s="124">
        <v>53.05</v>
      </c>
      <c r="D4613" s="156">
        <f t="shared" si="145"/>
        <v>-1.0814842438933533E-2</v>
      </c>
      <c r="E4613" s="156">
        <v>-2.3099133782483176E-2</v>
      </c>
      <c r="F4613" s="124">
        <v>4607</v>
      </c>
      <c r="G4613" s="238">
        <f t="shared" ca="1" si="144"/>
        <v>-7.6107082809238865E-3</v>
      </c>
      <c r="I4613" s="156"/>
    </row>
    <row r="4614" spans="2:9" x14ac:dyDescent="0.2">
      <c r="B4614" s="230">
        <v>39199</v>
      </c>
      <c r="C4614" s="124">
        <v>53.25</v>
      </c>
      <c r="D4614" s="156">
        <f t="shared" si="145"/>
        <v>3.7700282752121178E-3</v>
      </c>
      <c r="E4614" s="156">
        <v>-2.3163943257317278E-2</v>
      </c>
      <c r="F4614" s="124">
        <v>4608</v>
      </c>
      <c r="G4614" s="238">
        <f t="shared" ca="1" si="144"/>
        <v>-1.308694063973046E-3</v>
      </c>
      <c r="I4614" s="156"/>
    </row>
    <row r="4615" spans="2:9" x14ac:dyDescent="0.2">
      <c r="B4615" s="230">
        <v>39198</v>
      </c>
      <c r="C4615" s="124">
        <v>53.55</v>
      </c>
      <c r="D4615" s="156">
        <f t="shared" si="145"/>
        <v>5.633802816901355E-3</v>
      </c>
      <c r="E4615" s="156">
        <v>-2.3164335664335713E-2</v>
      </c>
      <c r="F4615" s="124">
        <v>4609</v>
      </c>
      <c r="G4615" s="238">
        <f t="shared" ref="G4615:G4678" ca="1" si="146">_xlfn.NORM.INV(RAND(),$L$8,$L$9)</f>
        <v>-2.1987594958766461E-2</v>
      </c>
      <c r="I4615" s="156"/>
    </row>
    <row r="4616" spans="2:9" x14ac:dyDescent="0.2">
      <c r="B4616" s="230">
        <v>39197</v>
      </c>
      <c r="C4616" s="124">
        <v>53.63</v>
      </c>
      <c r="D4616" s="156">
        <f t="shared" si="145"/>
        <v>1.4939309056957125E-3</v>
      </c>
      <c r="E4616" s="156">
        <v>-2.320570941245113E-2</v>
      </c>
      <c r="F4616" s="124">
        <v>4610</v>
      </c>
      <c r="G4616" s="238">
        <f t="shared" ca="1" si="146"/>
        <v>-3.0159868554944437E-2</v>
      </c>
      <c r="I4616" s="156"/>
    </row>
    <row r="4617" spans="2:9" x14ac:dyDescent="0.2">
      <c r="B4617" s="230">
        <v>39196</v>
      </c>
      <c r="C4617" s="124">
        <v>51.86</v>
      </c>
      <c r="D4617" s="156">
        <f t="shared" si="145"/>
        <v>-3.3003915718814156E-2</v>
      </c>
      <c r="E4617" s="156">
        <v>-2.3282825616387712E-2</v>
      </c>
      <c r="F4617" s="124">
        <v>4611</v>
      </c>
      <c r="G4617" s="238">
        <f t="shared" ca="1" si="146"/>
        <v>9.1318834956352277E-3</v>
      </c>
      <c r="I4617" s="156"/>
    </row>
    <row r="4618" spans="2:9" x14ac:dyDescent="0.2">
      <c r="B4618" s="230">
        <v>39195</v>
      </c>
      <c r="C4618" s="124">
        <v>51.81</v>
      </c>
      <c r="D4618" s="156">
        <f t="shared" si="145"/>
        <v>-9.6413420748162667E-4</v>
      </c>
      <c r="E4618" s="156">
        <v>-2.3334460601961489E-2</v>
      </c>
      <c r="F4618" s="124">
        <v>4612</v>
      </c>
      <c r="G4618" s="238">
        <f t="shared" ca="1" si="146"/>
        <v>-2.9403362028122437E-2</v>
      </c>
      <c r="I4618" s="156"/>
    </row>
    <row r="4619" spans="2:9" x14ac:dyDescent="0.2">
      <c r="B4619" s="230">
        <v>39192</v>
      </c>
      <c r="C4619" s="124">
        <v>53.17</v>
      </c>
      <c r="D4619" s="156">
        <f t="shared" si="145"/>
        <v>2.6249758733835154E-2</v>
      </c>
      <c r="E4619" s="156">
        <v>-2.3378409351363715E-2</v>
      </c>
      <c r="F4619" s="124">
        <v>4613</v>
      </c>
      <c r="G4619" s="238">
        <f t="shared" ca="1" si="146"/>
        <v>7.5698187368920004E-3</v>
      </c>
      <c r="I4619" s="156"/>
    </row>
    <row r="4620" spans="2:9" x14ac:dyDescent="0.2">
      <c r="B4620" s="230">
        <v>39191</v>
      </c>
      <c r="C4620" s="124">
        <v>52.74</v>
      </c>
      <c r="D4620" s="156">
        <f t="shared" si="145"/>
        <v>-8.0872672559714077E-3</v>
      </c>
      <c r="E4620" s="156">
        <v>-2.3380922822263627E-2</v>
      </c>
      <c r="F4620" s="124">
        <v>4614</v>
      </c>
      <c r="G4620" s="238">
        <f t="shared" ca="1" si="146"/>
        <v>-4.8026562458170496E-3</v>
      </c>
      <c r="I4620" s="156"/>
    </row>
    <row r="4621" spans="2:9" x14ac:dyDescent="0.2">
      <c r="B4621" s="230">
        <v>39190</v>
      </c>
      <c r="C4621" s="124">
        <v>52.01</v>
      </c>
      <c r="D4621" s="156">
        <f t="shared" si="145"/>
        <v>-1.3841486537732347E-2</v>
      </c>
      <c r="E4621" s="156">
        <v>-2.3417489937797183E-2</v>
      </c>
      <c r="F4621" s="124">
        <v>4615</v>
      </c>
      <c r="G4621" s="238">
        <f t="shared" ca="1" si="146"/>
        <v>-2.2064616316242402E-3</v>
      </c>
      <c r="I4621" s="156"/>
    </row>
    <row r="4622" spans="2:9" x14ac:dyDescent="0.2">
      <c r="B4622" s="230">
        <v>39189</v>
      </c>
      <c r="C4622" s="124">
        <v>51.73</v>
      </c>
      <c r="D4622" s="156">
        <f t="shared" si="145"/>
        <v>-5.3835800807537229E-3</v>
      </c>
      <c r="E4622" s="156">
        <v>-2.3456457266109582E-2</v>
      </c>
      <c r="F4622" s="124">
        <v>4616</v>
      </c>
      <c r="G4622" s="238">
        <f t="shared" ca="1" si="146"/>
        <v>9.9897791626757273E-4</v>
      </c>
      <c r="I4622" s="156"/>
    </row>
    <row r="4623" spans="2:9" x14ac:dyDescent="0.2">
      <c r="B4623" s="230">
        <v>39188</v>
      </c>
      <c r="C4623" s="124">
        <v>52.54</v>
      </c>
      <c r="D4623" s="156">
        <f t="shared" si="145"/>
        <v>1.5658225401121252E-2</v>
      </c>
      <c r="E4623" s="156">
        <v>-2.346368715083803E-2</v>
      </c>
      <c r="F4623" s="124">
        <v>4617</v>
      </c>
      <c r="G4623" s="238">
        <f t="shared" ca="1" si="146"/>
        <v>-3.448109658591357E-2</v>
      </c>
      <c r="I4623" s="156"/>
    </row>
    <row r="4624" spans="2:9" x14ac:dyDescent="0.2">
      <c r="B4624" s="230">
        <v>39185</v>
      </c>
      <c r="C4624" s="124">
        <v>50.87</v>
      </c>
      <c r="D4624" s="156">
        <f t="shared" si="145"/>
        <v>-3.1785306433193793E-2</v>
      </c>
      <c r="E4624" s="156">
        <v>-2.3485038974101018E-2</v>
      </c>
      <c r="F4624" s="124">
        <v>4618</v>
      </c>
      <c r="G4624" s="238">
        <f t="shared" ca="1" si="146"/>
        <v>-2.956448901673206E-2</v>
      </c>
      <c r="I4624" s="156"/>
    </row>
    <row r="4625" spans="2:9" x14ac:dyDescent="0.2">
      <c r="B4625" s="230">
        <v>39184</v>
      </c>
      <c r="C4625" s="124">
        <v>51.79</v>
      </c>
      <c r="D4625" s="156">
        <f t="shared" si="145"/>
        <v>1.8085315510123878E-2</v>
      </c>
      <c r="E4625" s="156">
        <v>-2.3506800709639317E-2</v>
      </c>
      <c r="F4625" s="124">
        <v>4619</v>
      </c>
      <c r="G4625" s="238">
        <f t="shared" ca="1" si="146"/>
        <v>1.4039823507528797E-2</v>
      </c>
      <c r="I4625" s="156"/>
    </row>
    <row r="4626" spans="2:9" x14ac:dyDescent="0.2">
      <c r="B4626" s="230">
        <v>39183</v>
      </c>
      <c r="C4626" s="124">
        <v>53.2</v>
      </c>
      <c r="D4626" s="156">
        <f t="shared" si="145"/>
        <v>2.7225333075883446E-2</v>
      </c>
      <c r="E4626" s="156">
        <v>-2.3533585619678443E-2</v>
      </c>
      <c r="F4626" s="124">
        <v>4620</v>
      </c>
      <c r="G4626" s="238">
        <f t="shared" ca="1" si="146"/>
        <v>1.800216535841602E-2</v>
      </c>
      <c r="I4626" s="156"/>
    </row>
    <row r="4627" spans="2:9" x14ac:dyDescent="0.2">
      <c r="B4627" s="230">
        <v>39182</v>
      </c>
      <c r="C4627" s="124">
        <v>52.99</v>
      </c>
      <c r="D4627" s="156">
        <f t="shared" si="145"/>
        <v>-3.9473684210526473E-3</v>
      </c>
      <c r="E4627" s="156">
        <v>-2.3542600896861082E-2</v>
      </c>
      <c r="F4627" s="124">
        <v>4621</v>
      </c>
      <c r="G4627" s="238">
        <f t="shared" ca="1" si="146"/>
        <v>2.4695540757051066E-2</v>
      </c>
      <c r="I4627" s="156"/>
    </row>
    <row r="4628" spans="2:9" x14ac:dyDescent="0.2">
      <c r="B4628" s="230">
        <v>39181</v>
      </c>
      <c r="C4628" s="124">
        <v>51.48</v>
      </c>
      <c r="D4628" s="156">
        <f t="shared" si="145"/>
        <v>-2.8495942630685129E-2</v>
      </c>
      <c r="E4628" s="156">
        <v>-2.3576183431952637E-2</v>
      </c>
      <c r="F4628" s="124">
        <v>4622</v>
      </c>
      <c r="G4628" s="238">
        <f t="shared" ca="1" si="146"/>
        <v>2.3331999269840021E-2</v>
      </c>
      <c r="I4628" s="156"/>
    </row>
    <row r="4629" spans="2:9" x14ac:dyDescent="0.2">
      <c r="B4629" s="230">
        <v>39177</v>
      </c>
      <c r="C4629" s="124">
        <v>49.13</v>
      </c>
      <c r="D4629" s="156">
        <f t="shared" si="145"/>
        <v>-4.5648795648795544E-2</v>
      </c>
      <c r="E4629" s="156">
        <v>-2.3617291799110002E-2</v>
      </c>
      <c r="F4629" s="124">
        <v>4623</v>
      </c>
      <c r="G4629" s="238">
        <f t="shared" ca="1" si="146"/>
        <v>-1.0182852444630762E-3</v>
      </c>
      <c r="I4629" s="156"/>
    </row>
    <row r="4630" spans="2:9" x14ac:dyDescent="0.2">
      <c r="B4630" s="230">
        <v>39176</v>
      </c>
      <c r="C4630" s="124">
        <v>49.17</v>
      </c>
      <c r="D4630" s="156">
        <f t="shared" si="145"/>
        <v>8.141664970486291E-4</v>
      </c>
      <c r="E4630" s="156">
        <v>-2.3631979224633663E-2</v>
      </c>
      <c r="F4630" s="124">
        <v>4624</v>
      </c>
      <c r="G4630" s="238">
        <f t="shared" ca="1" si="146"/>
        <v>-1.5983043741601366E-2</v>
      </c>
      <c r="I4630" s="156"/>
    </row>
    <row r="4631" spans="2:9" x14ac:dyDescent="0.2">
      <c r="B4631" s="230">
        <v>39175</v>
      </c>
      <c r="C4631" s="124">
        <v>49.56</v>
      </c>
      <c r="D4631" s="156">
        <f t="shared" si="145"/>
        <v>7.9316656497864669E-3</v>
      </c>
      <c r="E4631" s="156">
        <v>-2.3653243451008218E-2</v>
      </c>
      <c r="F4631" s="124">
        <v>4625</v>
      </c>
      <c r="G4631" s="238">
        <f t="shared" ca="1" si="146"/>
        <v>7.5383125461086229E-3</v>
      </c>
      <c r="I4631" s="156"/>
    </row>
    <row r="4632" spans="2:9" x14ac:dyDescent="0.2">
      <c r="B4632" s="230">
        <v>39174</v>
      </c>
      <c r="C4632" s="124">
        <v>48.66</v>
      </c>
      <c r="D4632" s="156">
        <f t="shared" si="145"/>
        <v>-1.8159806295399629E-2</v>
      </c>
      <c r="E4632" s="156">
        <v>-2.3674729799279388E-2</v>
      </c>
      <c r="F4632" s="124">
        <v>4626</v>
      </c>
      <c r="G4632" s="238">
        <f t="shared" ca="1" si="146"/>
        <v>1.2644493814613668E-2</v>
      </c>
      <c r="I4632" s="156"/>
    </row>
    <row r="4633" spans="2:9" x14ac:dyDescent="0.2">
      <c r="B4633" s="230">
        <v>39171</v>
      </c>
      <c r="C4633" s="124">
        <v>50.1</v>
      </c>
      <c r="D4633" s="156">
        <f t="shared" si="145"/>
        <v>2.9593094944513048E-2</v>
      </c>
      <c r="E4633" s="156">
        <v>-2.3690558235699519E-2</v>
      </c>
      <c r="F4633" s="124">
        <v>4627</v>
      </c>
      <c r="G4633" s="238">
        <f t="shared" ca="1" si="146"/>
        <v>-8.1281999805668092E-3</v>
      </c>
      <c r="I4633" s="156"/>
    </row>
    <row r="4634" spans="2:9" x14ac:dyDescent="0.2">
      <c r="B4634" s="230">
        <v>39170</v>
      </c>
      <c r="C4634" s="124">
        <v>48.71</v>
      </c>
      <c r="D4634" s="156">
        <f t="shared" si="145"/>
        <v>-2.7744510978043924E-2</v>
      </c>
      <c r="E4634" s="156">
        <v>-2.369949046095509E-2</v>
      </c>
      <c r="F4634" s="124">
        <v>4628</v>
      </c>
      <c r="G4634" s="238">
        <f t="shared" ca="1" si="146"/>
        <v>1.3394599891898751E-2</v>
      </c>
      <c r="I4634" s="156"/>
    </row>
    <row r="4635" spans="2:9" x14ac:dyDescent="0.2">
      <c r="B4635" s="230">
        <v>39169</v>
      </c>
      <c r="C4635" s="124">
        <v>47.52</v>
      </c>
      <c r="D4635" s="156">
        <f t="shared" si="145"/>
        <v>-2.4430301786080841E-2</v>
      </c>
      <c r="E4635" s="156">
        <v>-2.3708558211256659E-2</v>
      </c>
      <c r="F4635" s="124">
        <v>4629</v>
      </c>
      <c r="G4635" s="238">
        <f t="shared" ca="1" si="146"/>
        <v>3.5441324737022248E-3</v>
      </c>
      <c r="I4635" s="156"/>
    </row>
    <row r="4636" spans="2:9" x14ac:dyDescent="0.2">
      <c r="B4636" s="230">
        <v>39167</v>
      </c>
      <c r="C4636" s="124">
        <v>47.15</v>
      </c>
      <c r="D4636" s="156">
        <f t="shared" si="145"/>
        <v>-7.7861952861953817E-3</v>
      </c>
      <c r="E4636" s="156">
        <v>-2.375614177360106E-2</v>
      </c>
      <c r="F4636" s="124">
        <v>4630</v>
      </c>
      <c r="G4636" s="238">
        <f t="shared" ca="1" si="146"/>
        <v>-2.261985461876892E-2</v>
      </c>
      <c r="I4636" s="156"/>
    </row>
    <row r="4637" spans="2:9" x14ac:dyDescent="0.2">
      <c r="B4637" s="230">
        <v>39164</v>
      </c>
      <c r="C4637" s="124">
        <v>47.78</v>
      </c>
      <c r="D4637" s="156">
        <f t="shared" si="145"/>
        <v>1.3361611876988391E-2</v>
      </c>
      <c r="E4637" s="156">
        <v>-2.3772146221125737E-2</v>
      </c>
      <c r="F4637" s="124">
        <v>4631</v>
      </c>
      <c r="G4637" s="238">
        <f t="shared" ca="1" si="146"/>
        <v>-2.4495568696778873E-2</v>
      </c>
      <c r="I4637" s="156"/>
    </row>
    <row r="4638" spans="2:9" x14ac:dyDescent="0.2">
      <c r="B4638" s="230">
        <v>39163</v>
      </c>
      <c r="C4638" s="124">
        <v>49.51</v>
      </c>
      <c r="D4638" s="156">
        <f t="shared" si="145"/>
        <v>3.6207618250313871E-2</v>
      </c>
      <c r="E4638" s="156">
        <v>-2.3786151174205281E-2</v>
      </c>
      <c r="F4638" s="124">
        <v>4632</v>
      </c>
      <c r="G4638" s="238">
        <f t="shared" ca="1" si="146"/>
        <v>-1.5182849489884397E-2</v>
      </c>
      <c r="I4638" s="156"/>
    </row>
    <row r="4639" spans="2:9" x14ac:dyDescent="0.2">
      <c r="B4639" s="230">
        <v>39162</v>
      </c>
      <c r="C4639" s="124">
        <v>47.93</v>
      </c>
      <c r="D4639" s="156">
        <f t="shared" si="145"/>
        <v>-3.1912744900020162E-2</v>
      </c>
      <c r="E4639" s="156">
        <v>-2.3799735050934211E-2</v>
      </c>
      <c r="F4639" s="124">
        <v>4633</v>
      </c>
      <c r="G4639" s="238">
        <f t="shared" ca="1" si="146"/>
        <v>1.4210769186418271E-2</v>
      </c>
      <c r="I4639" s="156"/>
    </row>
    <row r="4640" spans="2:9" x14ac:dyDescent="0.2">
      <c r="B4640" s="230">
        <v>39161</v>
      </c>
      <c r="C4640" s="124">
        <v>46.69</v>
      </c>
      <c r="D4640" s="156">
        <f t="shared" si="145"/>
        <v>-2.5871061965366201E-2</v>
      </c>
      <c r="E4640" s="156">
        <v>-2.3805446138037346E-2</v>
      </c>
      <c r="F4640" s="124">
        <v>4634</v>
      </c>
      <c r="G4640" s="238">
        <f t="shared" ca="1" si="146"/>
        <v>-1.2125024334468474E-2</v>
      </c>
      <c r="I4640" s="156"/>
    </row>
    <row r="4641" spans="2:9" x14ac:dyDescent="0.2">
      <c r="B4641" s="230">
        <v>39160</v>
      </c>
      <c r="C4641" s="124">
        <v>47.07</v>
      </c>
      <c r="D4641" s="156">
        <f t="shared" si="145"/>
        <v>8.1387877489827072E-3</v>
      </c>
      <c r="E4641" s="156">
        <v>-2.3862375138734723E-2</v>
      </c>
      <c r="F4641" s="124">
        <v>4635</v>
      </c>
      <c r="G4641" s="238">
        <f t="shared" ca="1" si="146"/>
        <v>2.3259394689039363E-2</v>
      </c>
      <c r="I4641" s="156"/>
    </row>
    <row r="4642" spans="2:9" x14ac:dyDescent="0.2">
      <c r="B4642" s="230">
        <v>39157</v>
      </c>
      <c r="C4642" s="124">
        <v>48.08</v>
      </c>
      <c r="D4642" s="156">
        <f t="shared" si="145"/>
        <v>2.1457403866581643E-2</v>
      </c>
      <c r="E4642" s="156">
        <v>-2.3903818953323872E-2</v>
      </c>
      <c r="F4642" s="124">
        <v>4636</v>
      </c>
      <c r="G4642" s="238">
        <f t="shared" ca="1" si="146"/>
        <v>-6.7047852214273656E-3</v>
      </c>
      <c r="I4642" s="156"/>
    </row>
    <row r="4643" spans="2:9" x14ac:dyDescent="0.2">
      <c r="B4643" s="230">
        <v>39156</v>
      </c>
      <c r="C4643" s="124">
        <v>48.83</v>
      </c>
      <c r="D4643" s="156">
        <f t="shared" si="145"/>
        <v>1.5599001663893511E-2</v>
      </c>
      <c r="E4643" s="156">
        <v>-2.3971053821800141E-2</v>
      </c>
      <c r="F4643" s="124">
        <v>4637</v>
      </c>
      <c r="G4643" s="238">
        <f t="shared" ca="1" si="146"/>
        <v>3.5921853109260968E-3</v>
      </c>
      <c r="I4643" s="156"/>
    </row>
    <row r="4644" spans="2:9" x14ac:dyDescent="0.2">
      <c r="B4644" s="230">
        <v>39155</v>
      </c>
      <c r="C4644" s="124">
        <v>47.37</v>
      </c>
      <c r="D4644" s="156">
        <f t="shared" si="145"/>
        <v>-2.9899651853368851E-2</v>
      </c>
      <c r="E4644" s="156">
        <v>-2.4008350730688858E-2</v>
      </c>
      <c r="F4644" s="124">
        <v>4638</v>
      </c>
      <c r="G4644" s="238">
        <f t="shared" ca="1" si="146"/>
        <v>1.2699339552805828E-2</v>
      </c>
      <c r="I4644" s="156"/>
    </row>
    <row r="4645" spans="2:9" x14ac:dyDescent="0.2">
      <c r="B4645" s="230">
        <v>39154</v>
      </c>
      <c r="C4645" s="124">
        <v>49.37</v>
      </c>
      <c r="D4645" s="156">
        <f t="shared" si="145"/>
        <v>4.2220814861726831E-2</v>
      </c>
      <c r="E4645" s="156">
        <v>-2.4034773715162449E-2</v>
      </c>
      <c r="F4645" s="124">
        <v>4639</v>
      </c>
      <c r="G4645" s="238">
        <f t="shared" ca="1" si="146"/>
        <v>-4.6128115291408506E-2</v>
      </c>
      <c r="I4645" s="156"/>
    </row>
    <row r="4646" spans="2:9" x14ac:dyDescent="0.2">
      <c r="B4646" s="230">
        <v>39153</v>
      </c>
      <c r="C4646" s="124">
        <v>49.26</v>
      </c>
      <c r="D4646" s="156">
        <f t="shared" si="145"/>
        <v>-2.2280737289852022E-3</v>
      </c>
      <c r="E4646" s="156">
        <v>-2.4090437873327718E-2</v>
      </c>
      <c r="F4646" s="124">
        <v>4640</v>
      </c>
      <c r="G4646" s="238">
        <f t="shared" ca="1" si="146"/>
        <v>4.2321214462770922E-2</v>
      </c>
      <c r="I4646" s="156"/>
    </row>
    <row r="4647" spans="2:9" x14ac:dyDescent="0.2">
      <c r="B4647" s="230">
        <v>39150</v>
      </c>
      <c r="C4647" s="124">
        <v>51.1</v>
      </c>
      <c r="D4647" s="156">
        <f t="shared" si="145"/>
        <v>3.7352821762078839E-2</v>
      </c>
      <c r="E4647" s="156">
        <v>-2.4229074889867842E-2</v>
      </c>
      <c r="F4647" s="124">
        <v>4641</v>
      </c>
      <c r="G4647" s="238">
        <f t="shared" ca="1" si="146"/>
        <v>-1.0244274730473886E-2</v>
      </c>
      <c r="I4647" s="156"/>
    </row>
    <row r="4648" spans="2:9" x14ac:dyDescent="0.2">
      <c r="B4648" s="230">
        <v>39149</v>
      </c>
      <c r="C4648" s="124">
        <v>53.02</v>
      </c>
      <c r="D4648" s="156">
        <f t="shared" si="145"/>
        <v>3.7573385518591032E-2</v>
      </c>
      <c r="E4648" s="156">
        <v>-2.4264563576543521E-2</v>
      </c>
      <c r="F4648" s="124">
        <v>4642</v>
      </c>
      <c r="G4648" s="238">
        <f t="shared" ca="1" si="146"/>
        <v>2.4757344530714487E-2</v>
      </c>
      <c r="I4648" s="156"/>
    </row>
    <row r="4649" spans="2:9" x14ac:dyDescent="0.2">
      <c r="B4649" s="230">
        <v>39148</v>
      </c>
      <c r="C4649" s="124">
        <v>52.44</v>
      </c>
      <c r="D4649" s="156">
        <f t="shared" si="145"/>
        <v>-1.093926820067909E-2</v>
      </c>
      <c r="E4649" s="156">
        <v>-2.4298969600656077E-2</v>
      </c>
      <c r="F4649" s="124">
        <v>4643</v>
      </c>
      <c r="G4649" s="238">
        <f t="shared" ca="1" si="146"/>
        <v>-9.5248714327594696E-3</v>
      </c>
      <c r="I4649" s="156"/>
    </row>
    <row r="4650" spans="2:9" x14ac:dyDescent="0.2">
      <c r="B4650" s="230">
        <v>39147</v>
      </c>
      <c r="C4650" s="124">
        <v>53.72</v>
      </c>
      <c r="D4650" s="156">
        <f t="shared" si="145"/>
        <v>2.4408848207475232E-2</v>
      </c>
      <c r="E4650" s="156">
        <v>-2.4319506963535881E-2</v>
      </c>
      <c r="F4650" s="124">
        <v>4644</v>
      </c>
      <c r="G4650" s="238">
        <f t="shared" ca="1" si="146"/>
        <v>1.040153724999314E-4</v>
      </c>
      <c r="I4650" s="156"/>
    </row>
    <row r="4651" spans="2:9" x14ac:dyDescent="0.2">
      <c r="B4651" s="230">
        <v>39146</v>
      </c>
      <c r="C4651" s="124">
        <v>53.75</v>
      </c>
      <c r="D4651" s="156">
        <f t="shared" si="145"/>
        <v>5.5845122859272413E-4</v>
      </c>
      <c r="E4651" s="156">
        <v>-2.4366231848387973E-2</v>
      </c>
      <c r="F4651" s="124">
        <v>4645</v>
      </c>
      <c r="G4651" s="238">
        <f t="shared" ca="1" si="146"/>
        <v>-5.2234897870505389E-3</v>
      </c>
      <c r="I4651" s="156"/>
    </row>
    <row r="4652" spans="2:9" x14ac:dyDescent="0.2">
      <c r="B4652" s="230">
        <v>39143</v>
      </c>
      <c r="C4652" s="124">
        <v>55.26</v>
      </c>
      <c r="D4652" s="156">
        <f t="shared" si="145"/>
        <v>2.8093023255813917E-2</v>
      </c>
      <c r="E4652" s="156">
        <v>-2.4367956137678927E-2</v>
      </c>
      <c r="F4652" s="124">
        <v>4646</v>
      </c>
      <c r="G4652" s="238">
        <f t="shared" ca="1" si="146"/>
        <v>-3.2717751132450797E-2</v>
      </c>
      <c r="I4652" s="156"/>
    </row>
    <row r="4653" spans="2:9" x14ac:dyDescent="0.2">
      <c r="B4653" s="230">
        <v>39142</v>
      </c>
      <c r="C4653" s="124">
        <v>57.18</v>
      </c>
      <c r="D4653" s="156">
        <f t="shared" si="145"/>
        <v>3.4744842562432168E-2</v>
      </c>
      <c r="E4653" s="156">
        <v>-2.4390243902439074E-2</v>
      </c>
      <c r="F4653" s="124">
        <v>4647</v>
      </c>
      <c r="G4653" s="238">
        <f t="shared" ca="1" si="146"/>
        <v>1.7850959597067541E-2</v>
      </c>
      <c r="I4653" s="156"/>
    </row>
    <row r="4654" spans="2:9" x14ac:dyDescent="0.2">
      <c r="B4654" s="230">
        <v>39141</v>
      </c>
      <c r="C4654" s="124">
        <v>56.91</v>
      </c>
      <c r="D4654" s="156">
        <f t="shared" si="145"/>
        <v>-4.7219307450157948E-3</v>
      </c>
      <c r="E4654" s="156">
        <v>-2.4395377717906029E-2</v>
      </c>
      <c r="F4654" s="124">
        <v>4648</v>
      </c>
      <c r="G4654" s="238">
        <f t="shared" ca="1" si="146"/>
        <v>-7.1206666449640807E-3</v>
      </c>
      <c r="I4654" s="156"/>
    </row>
    <row r="4655" spans="2:9" x14ac:dyDescent="0.2">
      <c r="B4655" s="230">
        <v>39140</v>
      </c>
      <c r="C4655" s="124">
        <v>54.76</v>
      </c>
      <c r="D4655" s="156">
        <f t="shared" si="145"/>
        <v>-3.7778949218063587E-2</v>
      </c>
      <c r="E4655" s="156">
        <v>-2.4423937669226875E-2</v>
      </c>
      <c r="F4655" s="124">
        <v>4649</v>
      </c>
      <c r="G4655" s="238">
        <f t="shared" ca="1" si="146"/>
        <v>-6.0513783870961091E-3</v>
      </c>
      <c r="I4655" s="156"/>
    </row>
    <row r="4656" spans="2:9" x14ac:dyDescent="0.2">
      <c r="B4656" s="230">
        <v>39139</v>
      </c>
      <c r="C4656" s="124">
        <v>56.45</v>
      </c>
      <c r="D4656" s="156">
        <f t="shared" si="145"/>
        <v>3.0861943024105276E-2</v>
      </c>
      <c r="E4656" s="156">
        <v>-2.4430301786080841E-2</v>
      </c>
      <c r="F4656" s="124">
        <v>4650</v>
      </c>
      <c r="G4656" s="238">
        <f t="shared" ca="1" si="146"/>
        <v>-5.2893549117599128E-3</v>
      </c>
      <c r="I4656" s="156"/>
    </row>
    <row r="4657" spans="2:9" x14ac:dyDescent="0.2">
      <c r="B4657" s="230">
        <v>39136</v>
      </c>
      <c r="C4657" s="124">
        <v>55.37</v>
      </c>
      <c r="D4657" s="156">
        <f t="shared" si="145"/>
        <v>-1.9131975199291502E-2</v>
      </c>
      <c r="E4657" s="156">
        <v>-2.4431865479064365E-2</v>
      </c>
      <c r="F4657" s="124">
        <v>4651</v>
      </c>
      <c r="G4657" s="238">
        <f t="shared" ca="1" si="146"/>
        <v>-2.6040673082676821E-3</v>
      </c>
      <c r="I4657" s="156"/>
    </row>
    <row r="4658" spans="2:9" x14ac:dyDescent="0.2">
      <c r="B4658" s="230">
        <v>39135</v>
      </c>
      <c r="C4658" s="124">
        <v>57.83</v>
      </c>
      <c r="D4658" s="156">
        <f t="shared" si="145"/>
        <v>4.4428390825356712E-2</v>
      </c>
      <c r="E4658" s="156">
        <v>-2.4454333545242561E-2</v>
      </c>
      <c r="F4658" s="124">
        <v>4652</v>
      </c>
      <c r="G4658" s="238">
        <f t="shared" ca="1" si="146"/>
        <v>-2.0030174949915169E-2</v>
      </c>
      <c r="I4658" s="156"/>
    </row>
    <row r="4659" spans="2:9" x14ac:dyDescent="0.2">
      <c r="B4659" s="230">
        <v>39134</v>
      </c>
      <c r="C4659" s="124">
        <v>57.83</v>
      </c>
      <c r="D4659" s="156">
        <f t="shared" si="145"/>
        <v>0</v>
      </c>
      <c r="E4659" s="156">
        <v>-2.4474628395694593E-2</v>
      </c>
      <c r="F4659" s="124">
        <v>4653</v>
      </c>
      <c r="G4659" s="238">
        <f t="shared" ca="1" si="146"/>
        <v>-1.4552170347593063E-2</v>
      </c>
      <c r="I4659" s="156"/>
    </row>
    <row r="4660" spans="2:9" x14ac:dyDescent="0.2">
      <c r="B4660" s="230">
        <v>39133</v>
      </c>
      <c r="C4660" s="124">
        <v>58.29</v>
      </c>
      <c r="D4660" s="156">
        <f t="shared" si="145"/>
        <v>7.9543489538302075E-3</v>
      </c>
      <c r="E4660" s="156">
        <v>-2.4553911849931255E-2</v>
      </c>
      <c r="F4660" s="124">
        <v>4654</v>
      </c>
      <c r="G4660" s="238">
        <f t="shared" ca="1" si="146"/>
        <v>-7.4252352490566803E-3</v>
      </c>
      <c r="I4660" s="156"/>
    </row>
    <row r="4661" spans="2:9" x14ac:dyDescent="0.2">
      <c r="B4661" s="230">
        <v>39132</v>
      </c>
      <c r="C4661" s="124">
        <v>57.81</v>
      </c>
      <c r="D4661" s="156">
        <f t="shared" si="145"/>
        <v>-8.2346886258362825E-3</v>
      </c>
      <c r="E4661" s="156">
        <v>-2.4591393012445652E-2</v>
      </c>
      <c r="F4661" s="124">
        <v>4655</v>
      </c>
      <c r="G4661" s="238">
        <f t="shared" ca="1" si="146"/>
        <v>-3.7320094737963286E-2</v>
      </c>
      <c r="I4661" s="156"/>
    </row>
    <row r="4662" spans="2:9" x14ac:dyDescent="0.2">
      <c r="B4662" s="230">
        <v>39128</v>
      </c>
      <c r="C4662" s="124">
        <v>57.76</v>
      </c>
      <c r="D4662" s="156">
        <f t="shared" si="145"/>
        <v>-8.6490226604401079E-4</v>
      </c>
      <c r="E4662" s="156">
        <v>-2.4597364568081925E-2</v>
      </c>
      <c r="F4662" s="124">
        <v>4656</v>
      </c>
      <c r="G4662" s="238">
        <f t="shared" ca="1" si="146"/>
        <v>5.6117905217091917E-3</v>
      </c>
      <c r="I4662" s="156"/>
    </row>
    <row r="4663" spans="2:9" x14ac:dyDescent="0.2">
      <c r="B4663" s="230">
        <v>39127</v>
      </c>
      <c r="C4663" s="124">
        <v>57.66</v>
      </c>
      <c r="D4663" s="156">
        <f t="shared" si="145"/>
        <v>-1.7313019390581964E-3</v>
      </c>
      <c r="E4663" s="156">
        <v>-2.4603608529250955E-2</v>
      </c>
      <c r="F4663" s="124">
        <v>4657</v>
      </c>
      <c r="G4663" s="238">
        <f t="shared" ca="1" si="146"/>
        <v>1.2285542210777527E-2</v>
      </c>
      <c r="I4663" s="156"/>
    </row>
    <row r="4664" spans="2:9" x14ac:dyDescent="0.2">
      <c r="B4664" s="230">
        <v>39126</v>
      </c>
      <c r="C4664" s="124">
        <v>57.41</v>
      </c>
      <c r="D4664" s="156">
        <f t="shared" si="145"/>
        <v>-4.3357613596947623E-3</v>
      </c>
      <c r="E4664" s="156">
        <v>-2.4669171703969907E-2</v>
      </c>
      <c r="F4664" s="124">
        <v>4658</v>
      </c>
      <c r="G4664" s="238">
        <f t="shared" ca="1" si="146"/>
        <v>-2.1310224335160054E-3</v>
      </c>
      <c r="I4664" s="156"/>
    </row>
    <row r="4665" spans="2:9" x14ac:dyDescent="0.2">
      <c r="B4665" s="230">
        <v>39125</v>
      </c>
      <c r="C4665" s="124">
        <v>58.12</v>
      </c>
      <c r="D4665" s="156">
        <f t="shared" si="145"/>
        <v>1.2367183417523095E-2</v>
      </c>
      <c r="E4665" s="156">
        <v>-2.4685068543905078E-2</v>
      </c>
      <c r="F4665" s="124">
        <v>4659</v>
      </c>
      <c r="G4665" s="238">
        <f t="shared" ca="1" si="146"/>
        <v>3.7629945918591298E-2</v>
      </c>
      <c r="I4665" s="156"/>
    </row>
    <row r="4666" spans="2:9" x14ac:dyDescent="0.2">
      <c r="B4666" s="230">
        <v>39122</v>
      </c>
      <c r="C4666" s="124">
        <v>58.47</v>
      </c>
      <c r="D4666" s="156">
        <f t="shared" si="145"/>
        <v>6.0220233998623781E-3</v>
      </c>
      <c r="E4666" s="156">
        <v>-2.4685222001325415E-2</v>
      </c>
      <c r="F4666" s="124">
        <v>4660</v>
      </c>
      <c r="G4666" s="238">
        <f t="shared" ca="1" si="146"/>
        <v>-5.0805699331054627E-3</v>
      </c>
      <c r="I4666" s="156"/>
    </row>
    <row r="4667" spans="2:9" x14ac:dyDescent="0.2">
      <c r="B4667" s="230">
        <v>39121</v>
      </c>
      <c r="C4667" s="124">
        <v>58.49</v>
      </c>
      <c r="D4667" s="156">
        <f t="shared" si="145"/>
        <v>3.4205575508813283E-4</v>
      </c>
      <c r="E4667" s="156">
        <v>-2.4792435424354241E-2</v>
      </c>
      <c r="F4667" s="124">
        <v>4661</v>
      </c>
      <c r="G4667" s="238">
        <f t="shared" ca="1" si="146"/>
        <v>2.2047469560463242E-2</v>
      </c>
      <c r="I4667" s="156"/>
    </row>
    <row r="4668" spans="2:9" x14ac:dyDescent="0.2">
      <c r="B4668" s="230">
        <v>39120</v>
      </c>
      <c r="C4668" s="124">
        <v>58.24</v>
      </c>
      <c r="D4668" s="156">
        <f t="shared" si="145"/>
        <v>-4.2742349119507606E-3</v>
      </c>
      <c r="E4668" s="156">
        <v>-2.4826579043446501E-2</v>
      </c>
      <c r="F4668" s="124">
        <v>4662</v>
      </c>
      <c r="G4668" s="238">
        <f t="shared" ca="1" si="146"/>
        <v>1.4123513560086192E-2</v>
      </c>
      <c r="I4668" s="156"/>
    </row>
    <row r="4669" spans="2:9" x14ac:dyDescent="0.2">
      <c r="B4669" s="230">
        <v>39119</v>
      </c>
      <c r="C4669" s="124">
        <v>58.03</v>
      </c>
      <c r="D4669" s="156">
        <f t="shared" si="145"/>
        <v>-3.6057692307692453E-3</v>
      </c>
      <c r="E4669" s="156">
        <v>-2.4857868634329344E-2</v>
      </c>
      <c r="F4669" s="124">
        <v>4663</v>
      </c>
      <c r="G4669" s="238">
        <f t="shared" ca="1" si="146"/>
        <v>1.148729602333004E-2</v>
      </c>
      <c r="I4669" s="156"/>
    </row>
    <row r="4670" spans="2:9" x14ac:dyDescent="0.2">
      <c r="B4670" s="230">
        <v>39118</v>
      </c>
      <c r="C4670" s="124">
        <v>58.87</v>
      </c>
      <c r="D4670" s="156">
        <f t="shared" ref="D4670:D4733" si="147">(C4670-C4669)/C4669</f>
        <v>1.4475271411338898E-2</v>
      </c>
      <c r="E4670" s="156">
        <v>-2.4931333192478367E-2</v>
      </c>
      <c r="F4670" s="124">
        <v>4664</v>
      </c>
      <c r="G4670" s="238">
        <f t="shared" ca="1" si="146"/>
        <v>2.06884691557357E-2</v>
      </c>
      <c r="I4670" s="156"/>
    </row>
    <row r="4671" spans="2:9" x14ac:dyDescent="0.2">
      <c r="B4671" s="230">
        <v>39115</v>
      </c>
      <c r="C4671" s="124">
        <v>58.72</v>
      </c>
      <c r="D4671" s="156">
        <f t="shared" si="147"/>
        <v>-2.547987090198719E-3</v>
      </c>
      <c r="E4671" s="156">
        <v>-2.5006693440428312E-2</v>
      </c>
      <c r="F4671" s="124">
        <v>4665</v>
      </c>
      <c r="G4671" s="238">
        <f t="shared" ca="1" si="146"/>
        <v>1.7864412489942569E-2</v>
      </c>
      <c r="I4671" s="156"/>
    </row>
    <row r="4672" spans="2:9" x14ac:dyDescent="0.2">
      <c r="B4672" s="230">
        <v>39114</v>
      </c>
      <c r="C4672" s="124">
        <v>57.96</v>
      </c>
      <c r="D4672" s="156">
        <f t="shared" si="147"/>
        <v>-1.2942779291553099E-2</v>
      </c>
      <c r="E4672" s="156">
        <v>-2.5041102820285696E-2</v>
      </c>
      <c r="F4672" s="124">
        <v>4666</v>
      </c>
      <c r="G4672" s="238">
        <f t="shared" ca="1" si="146"/>
        <v>5.3497724797086938E-3</v>
      </c>
      <c r="I4672" s="156"/>
    </row>
    <row r="4673" spans="2:9" x14ac:dyDescent="0.2">
      <c r="B4673" s="230">
        <v>39113</v>
      </c>
      <c r="C4673" s="124">
        <v>57.88</v>
      </c>
      <c r="D4673" s="156">
        <f t="shared" si="147"/>
        <v>-1.3802622498274378E-3</v>
      </c>
      <c r="E4673" s="156">
        <v>-2.5044143613890495E-2</v>
      </c>
      <c r="F4673" s="124">
        <v>4667</v>
      </c>
      <c r="G4673" s="238">
        <f t="shared" ca="1" si="146"/>
        <v>1.4789486370453294E-2</v>
      </c>
      <c r="I4673" s="156"/>
    </row>
    <row r="4674" spans="2:9" x14ac:dyDescent="0.2">
      <c r="B4674" s="230">
        <v>39111</v>
      </c>
      <c r="C4674" s="124">
        <v>56.91</v>
      </c>
      <c r="D4674" s="156">
        <f t="shared" si="147"/>
        <v>-1.6758811333794157E-2</v>
      </c>
      <c r="E4674" s="156">
        <v>-2.5057320668195236E-2</v>
      </c>
      <c r="F4674" s="124">
        <v>4668</v>
      </c>
      <c r="G4674" s="238">
        <f t="shared" ca="1" si="146"/>
        <v>-2.9301519291976375E-2</v>
      </c>
      <c r="I4674" s="156"/>
    </row>
    <row r="4675" spans="2:9" x14ac:dyDescent="0.2">
      <c r="B4675" s="230">
        <v>39107</v>
      </c>
      <c r="C4675" s="124">
        <v>58.95</v>
      </c>
      <c r="D4675" s="156">
        <f t="shared" si="147"/>
        <v>3.5846072746441859E-2</v>
      </c>
      <c r="E4675" s="156">
        <v>-2.5076504590275439E-2</v>
      </c>
      <c r="F4675" s="124">
        <v>4669</v>
      </c>
      <c r="G4675" s="238">
        <f t="shared" ca="1" si="146"/>
        <v>-8.9540217531889725E-3</v>
      </c>
      <c r="I4675" s="156"/>
    </row>
    <row r="4676" spans="2:9" x14ac:dyDescent="0.2">
      <c r="B4676" s="230">
        <v>39106</v>
      </c>
      <c r="C4676" s="124">
        <v>59.09</v>
      </c>
      <c r="D4676" s="156">
        <f t="shared" si="147"/>
        <v>2.3748939779474226E-3</v>
      </c>
      <c r="E4676" s="156">
        <v>-2.5080727208386729E-2</v>
      </c>
      <c r="F4676" s="124">
        <v>4670</v>
      </c>
      <c r="G4676" s="238">
        <f t="shared" ca="1" si="146"/>
        <v>-9.4627805800207784E-3</v>
      </c>
      <c r="I4676" s="156"/>
    </row>
    <row r="4677" spans="2:9" x14ac:dyDescent="0.2">
      <c r="B4677" s="230">
        <v>39105</v>
      </c>
      <c r="C4677" s="124">
        <v>58.75</v>
      </c>
      <c r="D4677" s="156">
        <f t="shared" si="147"/>
        <v>-5.7539346759181483E-3</v>
      </c>
      <c r="E4677" s="156">
        <v>-2.5115745482853263E-2</v>
      </c>
      <c r="F4677" s="124">
        <v>4671</v>
      </c>
      <c r="G4677" s="238">
        <f t="shared" ca="1" si="146"/>
        <v>-1.5929805216430941E-2</v>
      </c>
      <c r="I4677" s="156"/>
    </row>
    <row r="4678" spans="2:9" x14ac:dyDescent="0.2">
      <c r="B4678" s="230">
        <v>39104</v>
      </c>
      <c r="C4678" s="124">
        <v>59.32</v>
      </c>
      <c r="D4678" s="156">
        <f t="shared" si="147"/>
        <v>9.7021276595744728E-3</v>
      </c>
      <c r="E4678" s="156">
        <v>-2.5146038700255526E-2</v>
      </c>
      <c r="F4678" s="124">
        <v>4672</v>
      </c>
      <c r="G4678" s="238">
        <f t="shared" ca="1" si="146"/>
        <v>-2.0803963272738039E-2</v>
      </c>
      <c r="I4678" s="156"/>
    </row>
    <row r="4679" spans="2:9" x14ac:dyDescent="0.2">
      <c r="B4679" s="230">
        <v>39101</v>
      </c>
      <c r="C4679" s="124">
        <v>58.21</v>
      </c>
      <c r="D4679" s="156">
        <f t="shared" si="147"/>
        <v>-1.8712070128118669E-2</v>
      </c>
      <c r="E4679" s="156">
        <v>-2.5147137506688136E-2</v>
      </c>
      <c r="F4679" s="124">
        <v>4673</v>
      </c>
      <c r="G4679" s="238">
        <f t="shared" ref="G4679:G4742" ca="1" si="148">_xlfn.NORM.INV(RAND(),$L$8,$L$9)</f>
        <v>2.6908208863878104E-2</v>
      </c>
      <c r="I4679" s="156"/>
    </row>
    <row r="4680" spans="2:9" x14ac:dyDescent="0.2">
      <c r="B4680" s="230">
        <v>39100</v>
      </c>
      <c r="C4680" s="124">
        <v>57.08</v>
      </c>
      <c r="D4680" s="156">
        <f t="shared" si="147"/>
        <v>-1.9412472083834436E-2</v>
      </c>
      <c r="E4680" s="156">
        <v>-2.5182076286878134E-2</v>
      </c>
      <c r="F4680" s="124">
        <v>4674</v>
      </c>
      <c r="G4680" s="238">
        <f t="shared" ca="1" si="148"/>
        <v>1.012755968971249E-2</v>
      </c>
      <c r="I4680" s="156"/>
    </row>
    <row r="4681" spans="2:9" x14ac:dyDescent="0.2">
      <c r="B4681" s="230">
        <v>39099</v>
      </c>
      <c r="C4681" s="124">
        <v>56.19</v>
      </c>
      <c r="D4681" s="156">
        <f t="shared" si="147"/>
        <v>-1.5592151366503163E-2</v>
      </c>
      <c r="E4681" s="156">
        <v>-2.5246489393486671E-2</v>
      </c>
      <c r="F4681" s="124">
        <v>4675</v>
      </c>
      <c r="G4681" s="238">
        <f t="shared" ca="1" si="148"/>
        <v>1.3618273904939545E-2</v>
      </c>
      <c r="I4681" s="156"/>
    </row>
    <row r="4682" spans="2:9" x14ac:dyDescent="0.2">
      <c r="B4682" s="230">
        <v>39098</v>
      </c>
      <c r="C4682" s="124">
        <v>56.9</v>
      </c>
      <c r="D4682" s="156">
        <f t="shared" si="147"/>
        <v>1.2635700302544952E-2</v>
      </c>
      <c r="E4682" s="156">
        <v>-2.5251396648044717E-2</v>
      </c>
      <c r="F4682" s="124">
        <v>4676</v>
      </c>
      <c r="G4682" s="238">
        <f t="shared" ca="1" si="148"/>
        <v>-6.8653768135713686E-3</v>
      </c>
      <c r="I4682" s="156"/>
    </row>
    <row r="4683" spans="2:9" x14ac:dyDescent="0.2">
      <c r="B4683" s="230">
        <v>39097</v>
      </c>
      <c r="C4683" s="124">
        <v>57.01</v>
      </c>
      <c r="D4683" s="156">
        <f t="shared" si="147"/>
        <v>1.9332161687170375E-3</v>
      </c>
      <c r="E4683" s="156">
        <v>-2.5261324041811816E-2</v>
      </c>
      <c r="F4683" s="124">
        <v>4677</v>
      </c>
      <c r="G4683" s="238">
        <f t="shared" ca="1" si="148"/>
        <v>2.0189309576740439E-2</v>
      </c>
      <c r="I4683" s="156"/>
    </row>
    <row r="4684" spans="2:9" x14ac:dyDescent="0.2">
      <c r="B4684" s="230">
        <v>39094</v>
      </c>
      <c r="C4684" s="124">
        <v>56.72</v>
      </c>
      <c r="D4684" s="156">
        <f t="shared" si="147"/>
        <v>-5.0868268724784975E-3</v>
      </c>
      <c r="E4684" s="156">
        <v>-2.537302128304169E-2</v>
      </c>
      <c r="F4684" s="124">
        <v>4678</v>
      </c>
      <c r="G4684" s="238">
        <f t="shared" ca="1" si="148"/>
        <v>3.0392923862880197E-3</v>
      </c>
      <c r="I4684" s="156"/>
    </row>
    <row r="4685" spans="2:9" x14ac:dyDescent="0.2">
      <c r="B4685" s="230">
        <v>39093</v>
      </c>
      <c r="C4685" s="124">
        <v>56.09</v>
      </c>
      <c r="D4685" s="156">
        <f t="shared" si="147"/>
        <v>-1.110719322990119E-2</v>
      </c>
      <c r="E4685" s="156">
        <v>-2.5392219098576155E-2</v>
      </c>
      <c r="F4685" s="124">
        <v>4679</v>
      </c>
      <c r="G4685" s="238">
        <f t="shared" ca="1" si="148"/>
        <v>2.2868002758883135E-2</v>
      </c>
      <c r="I4685" s="156"/>
    </row>
    <row r="4686" spans="2:9" x14ac:dyDescent="0.2">
      <c r="B4686" s="230">
        <v>39092</v>
      </c>
      <c r="C4686" s="124">
        <v>54.08</v>
      </c>
      <c r="D4686" s="156">
        <f t="shared" si="147"/>
        <v>-3.5835264753075503E-2</v>
      </c>
      <c r="E4686" s="156">
        <v>-2.5423728813559348E-2</v>
      </c>
      <c r="F4686" s="124">
        <v>4680</v>
      </c>
      <c r="G4686" s="238">
        <f t="shared" ca="1" si="148"/>
        <v>3.6765926533388879E-2</v>
      </c>
      <c r="I4686" s="156"/>
    </row>
    <row r="4687" spans="2:9" x14ac:dyDescent="0.2">
      <c r="B4687" s="230">
        <v>39091</v>
      </c>
      <c r="C4687" s="124">
        <v>53.72</v>
      </c>
      <c r="D4687" s="156">
        <f t="shared" si="147"/>
        <v>-6.6568047337278004E-3</v>
      </c>
      <c r="E4687" s="156">
        <v>-2.5432577565632643E-2</v>
      </c>
      <c r="F4687" s="124">
        <v>4681</v>
      </c>
      <c r="G4687" s="238">
        <f t="shared" ca="1" si="148"/>
        <v>1.6321838246641921E-3</v>
      </c>
      <c r="I4687" s="156"/>
    </row>
    <row r="4688" spans="2:9" x14ac:dyDescent="0.2">
      <c r="B4688" s="230">
        <v>39090</v>
      </c>
      <c r="C4688" s="124">
        <v>53.93</v>
      </c>
      <c r="D4688" s="156">
        <f t="shared" si="147"/>
        <v>3.909158600148936E-3</v>
      </c>
      <c r="E4688" s="156">
        <v>-2.5473241411544702E-2</v>
      </c>
      <c r="F4688" s="124">
        <v>4682</v>
      </c>
      <c r="G4688" s="238">
        <f t="shared" ca="1" si="148"/>
        <v>-2.4682553466690194E-3</v>
      </c>
      <c r="I4688" s="156"/>
    </row>
    <row r="4689" spans="2:9" x14ac:dyDescent="0.2">
      <c r="B4689" s="230">
        <v>39087</v>
      </c>
      <c r="C4689" s="124">
        <v>54.79</v>
      </c>
      <c r="D4689" s="156">
        <f t="shared" si="147"/>
        <v>1.5946597441127378E-2</v>
      </c>
      <c r="E4689" s="156">
        <v>-2.5526483726866622E-2</v>
      </c>
      <c r="F4689" s="124">
        <v>4683</v>
      </c>
      <c r="G4689" s="238">
        <f t="shared" ca="1" si="148"/>
        <v>-2.2087019281869526E-3</v>
      </c>
      <c r="I4689" s="156"/>
    </row>
    <row r="4690" spans="2:9" x14ac:dyDescent="0.2">
      <c r="B4690" s="230">
        <v>39086</v>
      </c>
      <c r="C4690" s="124">
        <v>56</v>
      </c>
      <c r="D4690" s="156">
        <f t="shared" si="147"/>
        <v>2.2084321956561431E-2</v>
      </c>
      <c r="E4690" s="156">
        <v>-2.5552803009450377E-2</v>
      </c>
      <c r="F4690" s="124">
        <v>4684</v>
      </c>
      <c r="G4690" s="238">
        <f t="shared" ca="1" si="148"/>
        <v>-1.3915830086532688E-2</v>
      </c>
      <c r="I4690" s="156"/>
    </row>
    <row r="4691" spans="2:9" x14ac:dyDescent="0.2">
      <c r="B4691" s="230">
        <v>39085</v>
      </c>
      <c r="C4691" s="124">
        <v>58.16</v>
      </c>
      <c r="D4691" s="156">
        <f t="shared" si="147"/>
        <v>3.8571428571428513E-2</v>
      </c>
      <c r="E4691" s="156">
        <v>-2.557504873294348E-2</v>
      </c>
      <c r="F4691" s="124">
        <v>4685</v>
      </c>
      <c r="G4691" s="238">
        <f t="shared" ca="1" si="148"/>
        <v>1.0392414842204321E-2</v>
      </c>
      <c r="I4691" s="156"/>
    </row>
    <row r="4692" spans="2:9" x14ac:dyDescent="0.2">
      <c r="B4692" s="230">
        <v>39084</v>
      </c>
      <c r="C4692" s="124">
        <v>58.67</v>
      </c>
      <c r="D4692" s="156">
        <f t="shared" si="147"/>
        <v>8.768913342503527E-3</v>
      </c>
      <c r="E4692" s="156">
        <v>-2.561366061899676E-2</v>
      </c>
      <c r="F4692" s="124">
        <v>4686</v>
      </c>
      <c r="G4692" s="238">
        <f t="shared" ca="1" si="148"/>
        <v>1.2103880894357585E-2</v>
      </c>
      <c r="I4692" s="156"/>
    </row>
    <row r="4693" spans="2:9" x14ac:dyDescent="0.2">
      <c r="B4693" s="230">
        <v>39080</v>
      </c>
      <c r="C4693" s="124">
        <v>58.37</v>
      </c>
      <c r="D4693" s="156">
        <f t="shared" si="147"/>
        <v>-5.1133458326232187E-3</v>
      </c>
      <c r="E4693" s="156">
        <v>-2.5616239729337898E-2</v>
      </c>
      <c r="F4693" s="124">
        <v>4687</v>
      </c>
      <c r="G4693" s="238">
        <f t="shared" ca="1" si="148"/>
        <v>1.2203509761243131E-2</v>
      </c>
      <c r="I4693" s="156"/>
    </row>
    <row r="4694" spans="2:9" x14ac:dyDescent="0.2">
      <c r="B4694" s="230">
        <v>39079</v>
      </c>
      <c r="C4694" s="124">
        <v>58.97</v>
      </c>
      <c r="D4694" s="156">
        <f t="shared" si="147"/>
        <v>1.0279253040945716E-2</v>
      </c>
      <c r="E4694" s="156">
        <v>-2.5624999999999936E-2</v>
      </c>
      <c r="F4694" s="124">
        <v>4688</v>
      </c>
      <c r="G4694" s="238">
        <f t="shared" ca="1" si="148"/>
        <v>-2.5983916129274517E-2</v>
      </c>
      <c r="I4694" s="156"/>
    </row>
    <row r="4695" spans="2:9" x14ac:dyDescent="0.2">
      <c r="B4695" s="230">
        <v>39078</v>
      </c>
      <c r="C4695" s="124">
        <v>58.66</v>
      </c>
      <c r="D4695" s="156">
        <f t="shared" si="147"/>
        <v>-5.2569102933695483E-3</v>
      </c>
      <c r="E4695" s="156">
        <v>-2.5780334505166737E-2</v>
      </c>
      <c r="F4695" s="124">
        <v>4689</v>
      </c>
      <c r="G4695" s="238">
        <f t="shared" ca="1" si="148"/>
        <v>-1.4876193727340408E-2</v>
      </c>
      <c r="I4695" s="156"/>
    </row>
    <row r="4696" spans="2:9" x14ac:dyDescent="0.2">
      <c r="B4696" s="230">
        <v>39077</v>
      </c>
      <c r="C4696" s="124">
        <v>57.86</v>
      </c>
      <c r="D4696" s="156">
        <f t="shared" si="147"/>
        <v>-1.3637913399249867E-2</v>
      </c>
      <c r="E4696" s="156">
        <v>-2.579564489112238E-2</v>
      </c>
      <c r="F4696" s="124">
        <v>4690</v>
      </c>
      <c r="G4696" s="238">
        <f t="shared" ca="1" si="148"/>
        <v>-2.491702954655212E-2</v>
      </c>
      <c r="I4696" s="156"/>
    </row>
    <row r="4697" spans="2:9" x14ac:dyDescent="0.2">
      <c r="B4697" s="230">
        <v>39073</v>
      </c>
      <c r="C4697" s="124">
        <v>56.22</v>
      </c>
      <c r="D4697" s="156">
        <f t="shared" si="147"/>
        <v>-2.8344279294849648E-2</v>
      </c>
      <c r="E4697" s="156">
        <v>-2.5816522574447713E-2</v>
      </c>
      <c r="F4697" s="124">
        <v>4691</v>
      </c>
      <c r="G4697" s="238">
        <f t="shared" ca="1" si="148"/>
        <v>-1.3705768514609884E-2</v>
      </c>
      <c r="I4697" s="156"/>
    </row>
    <row r="4698" spans="2:9" x14ac:dyDescent="0.2">
      <c r="B4698" s="230">
        <v>39072</v>
      </c>
      <c r="C4698" s="124">
        <v>56.6</v>
      </c>
      <c r="D4698" s="156">
        <f t="shared" si="147"/>
        <v>6.7591604411242007E-3</v>
      </c>
      <c r="E4698" s="156">
        <v>-2.5840707964601809E-2</v>
      </c>
      <c r="F4698" s="124">
        <v>4692</v>
      </c>
      <c r="G4698" s="238">
        <f t="shared" ca="1" si="148"/>
        <v>-2.0303996809303455E-2</v>
      </c>
      <c r="I4698" s="156"/>
    </row>
    <row r="4699" spans="2:9" x14ac:dyDescent="0.2">
      <c r="B4699" s="230">
        <v>39071</v>
      </c>
      <c r="C4699" s="124">
        <v>56.48</v>
      </c>
      <c r="D4699" s="156">
        <f t="shared" si="147"/>
        <v>-2.1201413427562642E-3</v>
      </c>
      <c r="E4699" s="156">
        <v>-2.5852262934748887E-2</v>
      </c>
      <c r="F4699" s="124">
        <v>4693</v>
      </c>
      <c r="G4699" s="238">
        <f t="shared" ca="1" si="148"/>
        <v>-2.3466494233348654E-2</v>
      </c>
      <c r="I4699" s="156"/>
    </row>
    <row r="4700" spans="2:9" x14ac:dyDescent="0.2">
      <c r="B4700" s="230">
        <v>39070</v>
      </c>
      <c r="C4700" s="124">
        <v>55.82</v>
      </c>
      <c r="D4700" s="156">
        <f t="shared" si="147"/>
        <v>-1.1685552407931952E-2</v>
      </c>
      <c r="E4700" s="156">
        <v>-2.5854700854700721E-2</v>
      </c>
      <c r="F4700" s="124">
        <v>4694</v>
      </c>
      <c r="G4700" s="238">
        <f t="shared" ca="1" si="148"/>
        <v>1.9413255262700772E-2</v>
      </c>
      <c r="I4700" s="156"/>
    </row>
    <row r="4701" spans="2:9" x14ac:dyDescent="0.2">
      <c r="B4701" s="230">
        <v>39069</v>
      </c>
      <c r="C4701" s="124">
        <v>57.69</v>
      </c>
      <c r="D4701" s="156">
        <f t="shared" si="147"/>
        <v>3.3500537441777098E-2</v>
      </c>
      <c r="E4701" s="156">
        <v>-2.5871061965366201E-2</v>
      </c>
      <c r="F4701" s="124">
        <v>4695</v>
      </c>
      <c r="G4701" s="238">
        <f t="shared" ca="1" si="148"/>
        <v>-9.6313398315516843E-3</v>
      </c>
      <c r="I4701" s="156"/>
    </row>
    <row r="4702" spans="2:9" x14ac:dyDescent="0.2">
      <c r="B4702" s="230">
        <v>39066</v>
      </c>
      <c r="C4702" s="124">
        <v>57.89</v>
      </c>
      <c r="D4702" s="156">
        <f t="shared" si="147"/>
        <v>3.4668053388802714E-3</v>
      </c>
      <c r="E4702" s="156">
        <v>-2.5871559633027459E-2</v>
      </c>
      <c r="F4702" s="124">
        <v>4696</v>
      </c>
      <c r="G4702" s="238">
        <f t="shared" ca="1" si="148"/>
        <v>2.6077651541694821E-2</v>
      </c>
      <c r="I4702" s="156"/>
    </row>
    <row r="4703" spans="2:9" x14ac:dyDescent="0.2">
      <c r="B4703" s="230">
        <v>39065</v>
      </c>
      <c r="C4703" s="124">
        <v>58.61</v>
      </c>
      <c r="D4703" s="156">
        <f t="shared" si="147"/>
        <v>1.2437381240283277E-2</v>
      </c>
      <c r="E4703" s="156">
        <v>-2.5890441015139268E-2</v>
      </c>
      <c r="F4703" s="124">
        <v>4697</v>
      </c>
      <c r="G4703" s="238">
        <f t="shared" ca="1" si="148"/>
        <v>6.5588929070506188E-3</v>
      </c>
      <c r="I4703" s="156"/>
    </row>
    <row r="4704" spans="2:9" x14ac:dyDescent="0.2">
      <c r="B4704" s="230">
        <v>39064</v>
      </c>
      <c r="C4704" s="124">
        <v>57.49</v>
      </c>
      <c r="D4704" s="156">
        <f t="shared" si="147"/>
        <v>-1.9109367002218009E-2</v>
      </c>
      <c r="E4704" s="156">
        <v>-2.5924702774108327E-2</v>
      </c>
      <c r="F4704" s="124">
        <v>4698</v>
      </c>
      <c r="G4704" s="238">
        <f t="shared" ca="1" si="148"/>
        <v>-2.7432456268329131E-2</v>
      </c>
      <c r="I4704" s="156"/>
    </row>
    <row r="4705" spans="2:9" x14ac:dyDescent="0.2">
      <c r="B4705" s="230">
        <v>39063</v>
      </c>
      <c r="C4705" s="124">
        <v>57.48</v>
      </c>
      <c r="D4705" s="156">
        <f t="shared" si="147"/>
        <v>-1.7394329448608656E-4</v>
      </c>
      <c r="E4705" s="156">
        <v>-2.5929091871209248E-2</v>
      </c>
      <c r="F4705" s="124">
        <v>4699</v>
      </c>
      <c r="G4705" s="238">
        <f t="shared" ca="1" si="148"/>
        <v>3.6457493651467596E-2</v>
      </c>
      <c r="I4705" s="156"/>
    </row>
    <row r="4706" spans="2:9" x14ac:dyDescent="0.2">
      <c r="B4706" s="230">
        <v>39062</v>
      </c>
      <c r="C4706" s="124">
        <v>59.65</v>
      </c>
      <c r="D4706" s="156">
        <f t="shared" si="147"/>
        <v>3.7752261656228282E-2</v>
      </c>
      <c r="E4706" s="156">
        <v>-2.5955299206921519E-2</v>
      </c>
      <c r="F4706" s="124">
        <v>4700</v>
      </c>
      <c r="G4706" s="238">
        <f t="shared" ca="1" si="148"/>
        <v>-3.5773127639784734E-3</v>
      </c>
      <c r="I4706" s="156"/>
    </row>
    <row r="4707" spans="2:9" x14ac:dyDescent="0.2">
      <c r="B4707" s="230">
        <v>39059</v>
      </c>
      <c r="C4707" s="124">
        <v>61.36</v>
      </c>
      <c r="D4707" s="156">
        <f t="shared" si="147"/>
        <v>2.8667225481978222E-2</v>
      </c>
      <c r="E4707" s="156">
        <v>-2.6009012539184966E-2</v>
      </c>
      <c r="F4707" s="124">
        <v>4701</v>
      </c>
      <c r="G4707" s="238">
        <f t="shared" ca="1" si="148"/>
        <v>1.4954418230352451E-3</v>
      </c>
      <c r="I4707" s="156"/>
    </row>
    <row r="4708" spans="2:9" x14ac:dyDescent="0.2">
      <c r="B4708" s="230">
        <v>39058</v>
      </c>
      <c r="C4708" s="124">
        <v>61.92</v>
      </c>
      <c r="D4708" s="156">
        <f t="shared" si="147"/>
        <v>9.1264667535854351E-3</v>
      </c>
      <c r="E4708" s="156">
        <v>-2.6029055690072536E-2</v>
      </c>
      <c r="F4708" s="124">
        <v>4702</v>
      </c>
      <c r="G4708" s="238">
        <f t="shared" ca="1" si="148"/>
        <v>8.058646790827231E-3</v>
      </c>
      <c r="I4708" s="156"/>
    </row>
    <row r="4709" spans="2:9" x14ac:dyDescent="0.2">
      <c r="B4709" s="230">
        <v>39057</v>
      </c>
      <c r="C4709" s="124">
        <v>62.42</v>
      </c>
      <c r="D4709" s="156">
        <f t="shared" si="147"/>
        <v>8.0749354005167952E-3</v>
      </c>
      <c r="E4709" s="156">
        <v>-2.6064129008063014E-2</v>
      </c>
      <c r="F4709" s="124">
        <v>4703</v>
      </c>
      <c r="G4709" s="238">
        <f t="shared" ca="1" si="148"/>
        <v>-1.6806894899996715E-2</v>
      </c>
      <c r="I4709" s="156"/>
    </row>
    <row r="4710" spans="2:9" x14ac:dyDescent="0.2">
      <c r="B4710" s="230">
        <v>39056</v>
      </c>
      <c r="C4710" s="124">
        <v>63.1</v>
      </c>
      <c r="D4710" s="156">
        <f t="shared" si="147"/>
        <v>1.0893944248638252E-2</v>
      </c>
      <c r="E4710" s="156">
        <v>-2.6116178588574158E-2</v>
      </c>
      <c r="F4710" s="124">
        <v>4704</v>
      </c>
      <c r="G4710" s="238">
        <f t="shared" ca="1" si="148"/>
        <v>-2.5177093949893942E-2</v>
      </c>
      <c r="I4710" s="156"/>
    </row>
    <row r="4711" spans="2:9" x14ac:dyDescent="0.2">
      <c r="B4711" s="230">
        <v>39055</v>
      </c>
      <c r="C4711" s="124">
        <v>62.77</v>
      </c>
      <c r="D4711" s="156">
        <f t="shared" si="147"/>
        <v>-5.2297939778129677E-3</v>
      </c>
      <c r="E4711" s="156">
        <v>-2.6135202219301972E-2</v>
      </c>
      <c r="F4711" s="124">
        <v>4705</v>
      </c>
      <c r="G4711" s="238">
        <f t="shared" ca="1" si="148"/>
        <v>5.4013545438932739E-3</v>
      </c>
      <c r="I4711" s="156"/>
    </row>
    <row r="4712" spans="2:9" x14ac:dyDescent="0.2">
      <c r="B4712" s="230">
        <v>39052</v>
      </c>
      <c r="C4712" s="124">
        <v>62.24</v>
      </c>
      <c r="D4712" s="156">
        <f t="shared" si="147"/>
        <v>-8.4435239764218753E-3</v>
      </c>
      <c r="E4712" s="156">
        <v>-2.6146592370338714E-2</v>
      </c>
      <c r="F4712" s="124">
        <v>4706</v>
      </c>
      <c r="G4712" s="238">
        <f t="shared" ca="1" si="148"/>
        <v>-3.3706327118311033E-3</v>
      </c>
      <c r="I4712" s="156"/>
    </row>
    <row r="4713" spans="2:9" x14ac:dyDescent="0.2">
      <c r="B4713" s="230">
        <v>39051</v>
      </c>
      <c r="C4713" s="124">
        <v>61.36</v>
      </c>
      <c r="D4713" s="156">
        <f t="shared" si="147"/>
        <v>-1.4138817480719835E-2</v>
      </c>
      <c r="E4713" s="156">
        <v>-2.6151421399801471E-2</v>
      </c>
      <c r="F4713" s="124">
        <v>4707</v>
      </c>
      <c r="G4713" s="238">
        <f t="shared" ca="1" si="148"/>
        <v>1.1855694625365423E-2</v>
      </c>
      <c r="I4713" s="156"/>
    </row>
    <row r="4714" spans="2:9" x14ac:dyDescent="0.2">
      <c r="B4714" s="230">
        <v>39050</v>
      </c>
      <c r="C4714" s="124">
        <v>61.06</v>
      </c>
      <c r="D4714" s="156">
        <f t="shared" si="147"/>
        <v>-4.8891786179921307E-3</v>
      </c>
      <c r="E4714" s="156">
        <v>-2.6277971669061817E-2</v>
      </c>
      <c r="F4714" s="124">
        <v>4708</v>
      </c>
      <c r="G4714" s="238">
        <f t="shared" ca="1" si="148"/>
        <v>8.3283281256760419E-3</v>
      </c>
      <c r="I4714" s="156"/>
    </row>
    <row r="4715" spans="2:9" x14ac:dyDescent="0.2">
      <c r="B4715" s="230">
        <v>39049</v>
      </c>
      <c r="C4715" s="124">
        <v>59.53</v>
      </c>
      <c r="D4715" s="156">
        <f t="shared" si="147"/>
        <v>-2.5057320668195236E-2</v>
      </c>
      <c r="E4715" s="156">
        <v>-2.639175257731961E-2</v>
      </c>
      <c r="F4715" s="124">
        <v>4709</v>
      </c>
      <c r="G4715" s="238">
        <f t="shared" ca="1" si="148"/>
        <v>6.7019421460758305E-5</v>
      </c>
      <c r="I4715" s="156"/>
    </row>
    <row r="4716" spans="2:9" x14ac:dyDescent="0.2">
      <c r="B4716" s="230">
        <v>39048</v>
      </c>
      <c r="C4716" s="124">
        <v>59.96</v>
      </c>
      <c r="D4716" s="156">
        <f t="shared" si="147"/>
        <v>7.2232487821266541E-3</v>
      </c>
      <c r="E4716" s="156">
        <v>-2.6393706116233741E-2</v>
      </c>
      <c r="F4716" s="124">
        <v>4710</v>
      </c>
      <c r="G4716" s="238">
        <f t="shared" ca="1" si="148"/>
        <v>1.3116391660411864E-2</v>
      </c>
      <c r="I4716" s="156"/>
    </row>
    <row r="4717" spans="2:9" x14ac:dyDescent="0.2">
      <c r="B4717" s="230">
        <v>39045</v>
      </c>
      <c r="C4717" s="124">
        <v>59.53</v>
      </c>
      <c r="D4717" s="156">
        <f t="shared" si="147"/>
        <v>-7.1714476317544977E-3</v>
      </c>
      <c r="E4717" s="156">
        <v>-2.6500999218003276E-2</v>
      </c>
      <c r="F4717" s="124">
        <v>4711</v>
      </c>
      <c r="G4717" s="238">
        <f t="shared" ca="1" si="148"/>
        <v>-8.8450094729903873E-3</v>
      </c>
      <c r="I4717" s="156"/>
    </row>
    <row r="4718" spans="2:9" x14ac:dyDescent="0.2">
      <c r="B4718" s="230">
        <v>39044</v>
      </c>
      <c r="C4718" s="124">
        <v>59.4</v>
      </c>
      <c r="D4718" s="156">
        <f t="shared" si="147"/>
        <v>-2.1837728876197304E-3</v>
      </c>
      <c r="E4718" s="156">
        <v>-2.6553781027516002E-2</v>
      </c>
      <c r="F4718" s="124">
        <v>4712</v>
      </c>
      <c r="G4718" s="238">
        <f t="shared" ca="1" si="148"/>
        <v>2.0614849437189359E-2</v>
      </c>
      <c r="I4718" s="156"/>
    </row>
    <row r="4719" spans="2:9" x14ac:dyDescent="0.2">
      <c r="B4719" s="230">
        <v>39043</v>
      </c>
      <c r="C4719" s="124">
        <v>60.11</v>
      </c>
      <c r="D4719" s="156">
        <f t="shared" si="147"/>
        <v>1.1952861952861967E-2</v>
      </c>
      <c r="E4719" s="156">
        <v>-2.6675068262970059E-2</v>
      </c>
      <c r="F4719" s="124">
        <v>4713</v>
      </c>
      <c r="G4719" s="238">
        <f t="shared" ca="1" si="148"/>
        <v>5.2778535335015787E-3</v>
      </c>
      <c r="I4719" s="156"/>
    </row>
    <row r="4720" spans="2:9" x14ac:dyDescent="0.2">
      <c r="B4720" s="230">
        <v>39042</v>
      </c>
      <c r="C4720" s="124">
        <v>60.94</v>
      </c>
      <c r="D4720" s="156">
        <f t="shared" si="147"/>
        <v>1.3808018632507042E-2</v>
      </c>
      <c r="E4720" s="156">
        <v>-2.6676411474511125E-2</v>
      </c>
      <c r="F4720" s="124">
        <v>4714</v>
      </c>
      <c r="G4720" s="238">
        <f t="shared" ca="1" si="148"/>
        <v>-3.6917096142891612E-2</v>
      </c>
      <c r="I4720" s="156"/>
    </row>
    <row r="4721" spans="2:9" x14ac:dyDescent="0.2">
      <c r="B4721" s="230">
        <v>39041</v>
      </c>
      <c r="C4721" s="124">
        <v>59.09</v>
      </c>
      <c r="D4721" s="156">
        <f t="shared" si="147"/>
        <v>-3.0357728913685499E-2</v>
      </c>
      <c r="E4721" s="156">
        <v>-2.6684881602914323E-2</v>
      </c>
      <c r="F4721" s="124">
        <v>4715</v>
      </c>
      <c r="G4721" s="238">
        <f t="shared" ca="1" si="148"/>
        <v>-7.409238390464549E-3</v>
      </c>
      <c r="I4721" s="156"/>
    </row>
    <row r="4722" spans="2:9" x14ac:dyDescent="0.2">
      <c r="B4722" s="230">
        <v>39038</v>
      </c>
      <c r="C4722" s="124">
        <v>60.25</v>
      </c>
      <c r="D4722" s="156">
        <f t="shared" si="147"/>
        <v>1.9631071247249898E-2</v>
      </c>
      <c r="E4722" s="156">
        <v>-2.6748563503071133E-2</v>
      </c>
      <c r="F4722" s="124">
        <v>4716</v>
      </c>
      <c r="G4722" s="238">
        <f t="shared" ca="1" si="148"/>
        <v>4.251531100067903E-3</v>
      </c>
      <c r="I4722" s="156"/>
    </row>
    <row r="4723" spans="2:9" x14ac:dyDescent="0.2">
      <c r="B4723" s="230">
        <v>39037</v>
      </c>
      <c r="C4723" s="124">
        <v>61.47</v>
      </c>
      <c r="D4723" s="156">
        <f t="shared" si="147"/>
        <v>2.0248962655601641E-2</v>
      </c>
      <c r="E4723" s="156">
        <v>-2.6805753927769821E-2</v>
      </c>
      <c r="F4723" s="124">
        <v>4717</v>
      </c>
      <c r="G4723" s="238">
        <f t="shared" ca="1" si="148"/>
        <v>1.021035522634023E-2</v>
      </c>
      <c r="I4723" s="156"/>
    </row>
    <row r="4724" spans="2:9" x14ac:dyDescent="0.2">
      <c r="B4724" s="230">
        <v>39036</v>
      </c>
      <c r="C4724" s="124">
        <v>61.57</v>
      </c>
      <c r="D4724" s="156">
        <f t="shared" si="147"/>
        <v>1.6268098259313718E-3</v>
      </c>
      <c r="E4724" s="156">
        <v>-2.6819011346504763E-2</v>
      </c>
      <c r="F4724" s="124">
        <v>4718</v>
      </c>
      <c r="G4724" s="238">
        <f t="shared" ca="1" si="148"/>
        <v>-2.5558003307470461E-3</v>
      </c>
      <c r="I4724" s="156"/>
    </row>
    <row r="4725" spans="2:9" x14ac:dyDescent="0.2">
      <c r="B4725" s="230">
        <v>39035</v>
      </c>
      <c r="C4725" s="124">
        <v>61.03</v>
      </c>
      <c r="D4725" s="156">
        <f t="shared" si="147"/>
        <v>-8.7705051161279697E-3</v>
      </c>
      <c r="E4725" s="156">
        <v>-2.6877308165777641E-2</v>
      </c>
      <c r="F4725" s="124">
        <v>4719</v>
      </c>
      <c r="G4725" s="238">
        <f t="shared" ca="1" si="148"/>
        <v>3.7513833447335842E-3</v>
      </c>
      <c r="I4725" s="156"/>
    </row>
    <row r="4726" spans="2:9" x14ac:dyDescent="0.2">
      <c r="B4726" s="230">
        <v>39034</v>
      </c>
      <c r="C4726" s="124">
        <v>61.49</v>
      </c>
      <c r="D4726" s="156">
        <f t="shared" si="147"/>
        <v>7.5372767491397813E-3</v>
      </c>
      <c r="E4726" s="156">
        <v>-2.6883686905632649E-2</v>
      </c>
      <c r="F4726" s="124">
        <v>4720</v>
      </c>
      <c r="G4726" s="238">
        <f t="shared" ca="1" si="148"/>
        <v>4.8731371419695954E-3</v>
      </c>
      <c r="I4726" s="156"/>
    </row>
    <row r="4727" spans="2:9" x14ac:dyDescent="0.2">
      <c r="B4727" s="230">
        <v>39031</v>
      </c>
      <c r="C4727" s="124">
        <v>61.65</v>
      </c>
      <c r="D4727" s="156">
        <f t="shared" si="147"/>
        <v>2.6020491136769649E-3</v>
      </c>
      <c r="E4727" s="156">
        <v>-2.7020060999183779E-2</v>
      </c>
      <c r="F4727" s="124">
        <v>4721</v>
      </c>
      <c r="G4727" s="238">
        <f t="shared" ca="1" si="148"/>
        <v>-1.9798611116444022E-2</v>
      </c>
      <c r="I4727" s="156"/>
    </row>
    <row r="4728" spans="2:9" x14ac:dyDescent="0.2">
      <c r="B4728" s="230">
        <v>39030</v>
      </c>
      <c r="C4728" s="124">
        <v>62</v>
      </c>
      <c r="D4728" s="156">
        <f t="shared" si="147"/>
        <v>5.6772100567721237E-3</v>
      </c>
      <c r="E4728" s="156">
        <v>-2.7050997782705075E-2</v>
      </c>
      <c r="F4728" s="124">
        <v>4722</v>
      </c>
      <c r="G4728" s="238">
        <f t="shared" ca="1" si="148"/>
        <v>-2.1312303903196324E-2</v>
      </c>
      <c r="I4728" s="156"/>
    </row>
    <row r="4729" spans="2:9" x14ac:dyDescent="0.2">
      <c r="B4729" s="230">
        <v>39029</v>
      </c>
      <c r="C4729" s="124">
        <v>61.47</v>
      </c>
      <c r="D4729" s="156">
        <f t="shared" si="147"/>
        <v>-8.5483870967742112E-3</v>
      </c>
      <c r="E4729" s="156">
        <v>-2.7118644067796634E-2</v>
      </c>
      <c r="F4729" s="124">
        <v>4723</v>
      </c>
      <c r="G4729" s="238">
        <f t="shared" ca="1" si="148"/>
        <v>-1.1913724435938395E-2</v>
      </c>
      <c r="I4729" s="156"/>
    </row>
    <row r="4730" spans="2:9" x14ac:dyDescent="0.2">
      <c r="B4730" s="230">
        <v>39028</v>
      </c>
      <c r="C4730" s="124">
        <v>62.62</v>
      </c>
      <c r="D4730" s="156">
        <f t="shared" si="147"/>
        <v>1.8708312998210488E-2</v>
      </c>
      <c r="E4730" s="156">
        <v>-2.7126726348463723E-2</v>
      </c>
      <c r="F4730" s="124">
        <v>4724</v>
      </c>
      <c r="G4730" s="238">
        <f t="shared" ca="1" si="148"/>
        <v>4.0364889876860688E-3</v>
      </c>
      <c r="I4730" s="156"/>
    </row>
    <row r="4731" spans="2:9" x14ac:dyDescent="0.2">
      <c r="B4731" s="230">
        <v>39027</v>
      </c>
      <c r="C4731" s="124">
        <v>63.4</v>
      </c>
      <c r="D4731" s="156">
        <f t="shared" si="147"/>
        <v>1.2456084318109248E-2</v>
      </c>
      <c r="E4731" s="156">
        <v>-2.7133307117577686E-2</v>
      </c>
      <c r="F4731" s="124">
        <v>4725</v>
      </c>
      <c r="G4731" s="238">
        <f t="shared" ca="1" si="148"/>
        <v>3.9621447281653214E-3</v>
      </c>
      <c r="I4731" s="156"/>
    </row>
    <row r="4732" spans="2:9" x14ac:dyDescent="0.2">
      <c r="B4732" s="230">
        <v>39024</v>
      </c>
      <c r="C4732" s="124">
        <v>62.1</v>
      </c>
      <c r="D4732" s="156">
        <f t="shared" si="147"/>
        <v>-2.0504731861198694E-2</v>
      </c>
      <c r="E4732" s="156">
        <v>-2.7146707739699589E-2</v>
      </c>
      <c r="F4732" s="124">
        <v>4726</v>
      </c>
      <c r="G4732" s="238">
        <f t="shared" ca="1" si="148"/>
        <v>7.6515266008670207E-3</v>
      </c>
      <c r="I4732" s="156"/>
    </row>
    <row r="4733" spans="2:9" x14ac:dyDescent="0.2">
      <c r="B4733" s="230">
        <v>39023</v>
      </c>
      <c r="C4733" s="124">
        <v>62.48</v>
      </c>
      <c r="D4733" s="156">
        <f t="shared" si="147"/>
        <v>6.1191626409016981E-3</v>
      </c>
      <c r="E4733" s="156">
        <v>-2.7296587926509103E-2</v>
      </c>
      <c r="F4733" s="124">
        <v>4727</v>
      </c>
      <c r="G4733" s="238">
        <f t="shared" ca="1" si="148"/>
        <v>-1.0821893793635996E-2</v>
      </c>
      <c r="I4733" s="156"/>
    </row>
    <row r="4734" spans="2:9" x14ac:dyDescent="0.2">
      <c r="B4734" s="230">
        <v>39022</v>
      </c>
      <c r="C4734" s="124">
        <v>63.25</v>
      </c>
      <c r="D4734" s="156">
        <f t="shared" ref="D4734:D4797" si="149">(C4734-C4733)/C4733</f>
        <v>1.2323943661971882E-2</v>
      </c>
      <c r="E4734" s="156">
        <v>-2.7360356947426022E-2</v>
      </c>
      <c r="F4734" s="124">
        <v>4728</v>
      </c>
      <c r="G4734" s="238">
        <f t="shared" ca="1" si="148"/>
        <v>2.0652990453015326E-2</v>
      </c>
      <c r="I4734" s="156"/>
    </row>
    <row r="4735" spans="2:9" x14ac:dyDescent="0.2">
      <c r="B4735" s="230">
        <v>39021</v>
      </c>
      <c r="C4735" s="124">
        <v>62.98</v>
      </c>
      <c r="D4735" s="156">
        <f t="shared" si="149"/>
        <v>-4.268774703557362E-3</v>
      </c>
      <c r="E4735" s="156">
        <v>-2.7439724454649803E-2</v>
      </c>
      <c r="F4735" s="124">
        <v>4729</v>
      </c>
      <c r="G4735" s="238">
        <f t="shared" ca="1" si="148"/>
        <v>-1.8089124339573908E-4</v>
      </c>
      <c r="I4735" s="156"/>
    </row>
    <row r="4736" spans="2:9" x14ac:dyDescent="0.2">
      <c r="B4736" s="230">
        <v>39020</v>
      </c>
      <c r="C4736" s="124">
        <v>62.14</v>
      </c>
      <c r="D4736" s="156">
        <f t="shared" si="149"/>
        <v>-1.3337567481740177E-2</v>
      </c>
      <c r="E4736" s="156">
        <v>-2.7481964960494699E-2</v>
      </c>
      <c r="F4736" s="124">
        <v>4730</v>
      </c>
      <c r="G4736" s="238">
        <f t="shared" ca="1" si="148"/>
        <v>-1.1298463414885541E-2</v>
      </c>
      <c r="I4736" s="156"/>
    </row>
    <row r="4737" spans="2:9" x14ac:dyDescent="0.2">
      <c r="B4737" s="230">
        <v>39017</v>
      </c>
      <c r="C4737" s="124">
        <v>62.22</v>
      </c>
      <c r="D4737" s="156">
        <f t="shared" si="149"/>
        <v>1.2874155133569085E-3</v>
      </c>
      <c r="E4737" s="156">
        <v>-2.7498001598721008E-2</v>
      </c>
      <c r="F4737" s="124">
        <v>4731</v>
      </c>
      <c r="G4737" s="238">
        <f t="shared" ca="1" si="148"/>
        <v>4.3906839518360148E-3</v>
      </c>
      <c r="I4737" s="156"/>
    </row>
    <row r="4738" spans="2:9" x14ac:dyDescent="0.2">
      <c r="B4738" s="230">
        <v>39016</v>
      </c>
      <c r="C4738" s="124">
        <v>61.03</v>
      </c>
      <c r="D4738" s="156">
        <f t="shared" si="149"/>
        <v>-1.9125683060109252E-2</v>
      </c>
      <c r="E4738" s="156">
        <v>-2.7533918595371132E-2</v>
      </c>
      <c r="F4738" s="124">
        <v>4732</v>
      </c>
      <c r="G4738" s="238">
        <f t="shared" ca="1" si="148"/>
        <v>1.4059124795155364E-2</v>
      </c>
      <c r="I4738" s="156"/>
    </row>
    <row r="4739" spans="2:9" x14ac:dyDescent="0.2">
      <c r="B4739" s="230">
        <v>39013</v>
      </c>
      <c r="C4739" s="124">
        <v>61.31</v>
      </c>
      <c r="D4739" s="156">
        <f t="shared" si="149"/>
        <v>4.58790758643292E-3</v>
      </c>
      <c r="E4739" s="156">
        <v>-2.766645119586297E-2</v>
      </c>
      <c r="F4739" s="124">
        <v>4733</v>
      </c>
      <c r="G4739" s="238">
        <f t="shared" ca="1" si="148"/>
        <v>-1.6171513042515139E-2</v>
      </c>
      <c r="I4739" s="156"/>
    </row>
    <row r="4740" spans="2:9" x14ac:dyDescent="0.2">
      <c r="B4740" s="230">
        <v>39011</v>
      </c>
      <c r="C4740" s="124">
        <v>62.53</v>
      </c>
      <c r="D4740" s="156">
        <f t="shared" si="149"/>
        <v>1.9898874571847965E-2</v>
      </c>
      <c r="E4740" s="156">
        <v>-2.7677185721675976E-2</v>
      </c>
      <c r="F4740" s="124">
        <v>4734</v>
      </c>
      <c r="G4740" s="238">
        <f t="shared" ca="1" si="148"/>
        <v>-2.7473016040421055E-2</v>
      </c>
      <c r="I4740" s="156"/>
    </row>
    <row r="4741" spans="2:9" x14ac:dyDescent="0.2">
      <c r="B4741" s="230">
        <v>39010</v>
      </c>
      <c r="C4741" s="124">
        <v>61.77</v>
      </c>
      <c r="D4741" s="156">
        <f t="shared" si="149"/>
        <v>-1.2154166000319815E-2</v>
      </c>
      <c r="E4741" s="156">
        <v>-2.7690371302706185E-2</v>
      </c>
      <c r="F4741" s="124">
        <v>4735</v>
      </c>
      <c r="G4741" s="238">
        <f t="shared" ca="1" si="148"/>
        <v>2.1381722574436726E-2</v>
      </c>
      <c r="I4741" s="156"/>
    </row>
    <row r="4742" spans="2:9" x14ac:dyDescent="0.2">
      <c r="B4742" s="230">
        <v>39009</v>
      </c>
      <c r="C4742" s="124">
        <v>63.2</v>
      </c>
      <c r="D4742" s="156">
        <f t="shared" si="149"/>
        <v>2.3150396632669577E-2</v>
      </c>
      <c r="E4742" s="156">
        <v>-2.7744510978043924E-2</v>
      </c>
      <c r="F4742" s="124">
        <v>4736</v>
      </c>
      <c r="G4742" s="238">
        <f t="shared" ca="1" si="148"/>
        <v>-3.3424249392483294E-3</v>
      </c>
      <c r="I4742" s="156"/>
    </row>
    <row r="4743" spans="2:9" x14ac:dyDescent="0.2">
      <c r="B4743" s="230">
        <v>39008</v>
      </c>
      <c r="C4743" s="124">
        <v>64.510000000000005</v>
      </c>
      <c r="D4743" s="156">
        <f t="shared" si="149"/>
        <v>2.0727848101265857E-2</v>
      </c>
      <c r="E4743" s="156">
        <v>-2.7788303650372652E-2</v>
      </c>
      <c r="F4743" s="124">
        <v>4737</v>
      </c>
      <c r="G4743" s="238">
        <f t="shared" ref="G4743:G4806" ca="1" si="150">_xlfn.NORM.INV(RAND(),$L$8,$L$9)</f>
        <v>4.2527008278808905E-3</v>
      </c>
      <c r="I4743" s="156"/>
    </row>
    <row r="4744" spans="2:9" x14ac:dyDescent="0.2">
      <c r="B4744" s="230">
        <v>39007</v>
      </c>
      <c r="C4744" s="124">
        <v>64.22</v>
      </c>
      <c r="D4744" s="156">
        <f t="shared" si="149"/>
        <v>-4.4954270655713259E-3</v>
      </c>
      <c r="E4744" s="156">
        <v>-2.7846754168144736E-2</v>
      </c>
      <c r="F4744" s="124">
        <v>4738</v>
      </c>
      <c r="G4744" s="238">
        <f t="shared" ca="1" si="150"/>
        <v>3.0401357034244678E-3</v>
      </c>
      <c r="I4744" s="156"/>
    </row>
    <row r="4745" spans="2:9" x14ac:dyDescent="0.2">
      <c r="B4745" s="230">
        <v>39006</v>
      </c>
      <c r="C4745" s="124">
        <v>64.52</v>
      </c>
      <c r="D4745" s="156">
        <f t="shared" si="149"/>
        <v>4.6714419184054369E-3</v>
      </c>
      <c r="E4745" s="156">
        <v>-2.7908189880020837E-2</v>
      </c>
      <c r="F4745" s="124">
        <v>4739</v>
      </c>
      <c r="G4745" s="238">
        <f t="shared" ca="1" si="150"/>
        <v>-1.8870503917731436E-2</v>
      </c>
      <c r="I4745" s="156"/>
    </row>
    <row r="4746" spans="2:9" x14ac:dyDescent="0.2">
      <c r="B4746" s="230">
        <v>39003</v>
      </c>
      <c r="C4746" s="124">
        <v>62.57</v>
      </c>
      <c r="D4746" s="156">
        <f t="shared" si="149"/>
        <v>-3.0223186608803406E-2</v>
      </c>
      <c r="E4746" s="156">
        <v>-2.7943760984182737E-2</v>
      </c>
      <c r="F4746" s="124">
        <v>4740</v>
      </c>
      <c r="G4746" s="238">
        <f t="shared" ca="1" si="150"/>
        <v>6.702130122084848E-3</v>
      </c>
      <c r="I4746" s="156"/>
    </row>
    <row r="4747" spans="2:9" x14ac:dyDescent="0.2">
      <c r="B4747" s="230">
        <v>39002</v>
      </c>
      <c r="C4747" s="124">
        <v>61.67</v>
      </c>
      <c r="D4747" s="156">
        <f t="shared" si="149"/>
        <v>-1.4383890043151647E-2</v>
      </c>
      <c r="E4747" s="156">
        <v>-2.8035576179427795E-2</v>
      </c>
      <c r="F4747" s="124">
        <v>4741</v>
      </c>
      <c r="G4747" s="238">
        <f t="shared" ca="1" si="150"/>
        <v>3.1100320598438449E-2</v>
      </c>
      <c r="I4747" s="156"/>
    </row>
    <row r="4748" spans="2:9" x14ac:dyDescent="0.2">
      <c r="B4748" s="230">
        <v>39001</v>
      </c>
      <c r="C4748" s="124">
        <v>61.49</v>
      </c>
      <c r="D4748" s="156">
        <f t="shared" si="149"/>
        <v>-2.918761148046047E-3</v>
      </c>
      <c r="E4748" s="156">
        <v>-2.8127947860389343E-2</v>
      </c>
      <c r="F4748" s="124">
        <v>4742</v>
      </c>
      <c r="G4748" s="238">
        <f t="shared" ca="1" si="150"/>
        <v>2.5112954814959683E-2</v>
      </c>
      <c r="I4748" s="156"/>
    </row>
    <row r="4749" spans="2:9" x14ac:dyDescent="0.2">
      <c r="B4749" s="230">
        <v>39000</v>
      </c>
      <c r="C4749" s="124">
        <v>61.36</v>
      </c>
      <c r="D4749" s="156">
        <f t="shared" si="149"/>
        <v>-2.114164904862621E-3</v>
      </c>
      <c r="E4749" s="156">
        <v>-2.8145996005084436E-2</v>
      </c>
      <c r="F4749" s="124">
        <v>4743</v>
      </c>
      <c r="G4749" s="238">
        <f t="shared" ca="1" si="150"/>
        <v>-3.4140239655385579E-3</v>
      </c>
      <c r="I4749" s="156"/>
    </row>
    <row r="4750" spans="2:9" x14ac:dyDescent="0.2">
      <c r="B4750" s="230">
        <v>38999</v>
      </c>
      <c r="C4750" s="124">
        <v>61.24</v>
      </c>
      <c r="D4750" s="156">
        <f t="shared" si="149"/>
        <v>-1.9556714471968295E-3</v>
      </c>
      <c r="E4750" s="156">
        <v>-2.8195726387659617E-2</v>
      </c>
      <c r="F4750" s="124">
        <v>4744</v>
      </c>
      <c r="G4750" s="238">
        <f t="shared" ca="1" si="150"/>
        <v>-4.1191240061063897E-3</v>
      </c>
      <c r="I4750" s="156"/>
    </row>
    <row r="4751" spans="2:9" x14ac:dyDescent="0.2">
      <c r="B4751" s="230">
        <v>38996</v>
      </c>
      <c r="C4751" s="124">
        <v>61.17</v>
      </c>
      <c r="D4751" s="156">
        <f t="shared" si="149"/>
        <v>-1.1430437622469022E-3</v>
      </c>
      <c r="E4751" s="156">
        <v>-2.8264645507658285E-2</v>
      </c>
      <c r="F4751" s="124">
        <v>4745</v>
      </c>
      <c r="G4751" s="238">
        <f t="shared" ca="1" si="150"/>
        <v>1.3322184446809547E-2</v>
      </c>
      <c r="I4751" s="156"/>
    </row>
    <row r="4752" spans="2:9" x14ac:dyDescent="0.2">
      <c r="B4752" s="230">
        <v>38995</v>
      </c>
      <c r="C4752" s="124">
        <v>62.05</v>
      </c>
      <c r="D4752" s="156">
        <f t="shared" si="149"/>
        <v>1.4386136995259039E-2</v>
      </c>
      <c r="E4752" s="156">
        <v>-2.8326180257510665E-2</v>
      </c>
      <c r="F4752" s="124">
        <v>4746</v>
      </c>
      <c r="G4752" s="238">
        <f t="shared" ca="1" si="150"/>
        <v>1.8508805132443362E-2</v>
      </c>
      <c r="I4752" s="156"/>
    </row>
    <row r="4753" spans="2:9" x14ac:dyDescent="0.2">
      <c r="B4753" s="230">
        <v>38994</v>
      </c>
      <c r="C4753" s="124">
        <v>61.34</v>
      </c>
      <c r="D4753" s="156">
        <f t="shared" si="149"/>
        <v>-1.144238517324728E-2</v>
      </c>
      <c r="E4753" s="156">
        <v>-2.8344279294849648E-2</v>
      </c>
      <c r="F4753" s="124">
        <v>4747</v>
      </c>
      <c r="G4753" s="238">
        <f t="shared" ca="1" si="150"/>
        <v>-8.5692939392017862E-3</v>
      </c>
      <c r="I4753" s="156"/>
    </row>
    <row r="4754" spans="2:9" x14ac:dyDescent="0.2">
      <c r="B4754" s="230">
        <v>38993</v>
      </c>
      <c r="C4754" s="124">
        <v>62.27</v>
      </c>
      <c r="D4754" s="156">
        <f t="shared" si="149"/>
        <v>1.5161395500489071E-2</v>
      </c>
      <c r="E4754" s="156">
        <v>-2.8449502133712661E-2</v>
      </c>
      <c r="F4754" s="124">
        <v>4748</v>
      </c>
      <c r="G4754" s="238">
        <f t="shared" ca="1" si="150"/>
        <v>-1.6464126323483166E-2</v>
      </c>
      <c r="I4754" s="156"/>
    </row>
    <row r="4755" spans="2:9" x14ac:dyDescent="0.2">
      <c r="B4755" s="230">
        <v>38989</v>
      </c>
      <c r="C4755" s="124">
        <v>62.22</v>
      </c>
      <c r="D4755" s="156">
        <f t="shared" si="149"/>
        <v>-8.0295487393615319E-4</v>
      </c>
      <c r="E4755" s="156">
        <v>-2.8474212034383915E-2</v>
      </c>
      <c r="F4755" s="124">
        <v>4749</v>
      </c>
      <c r="G4755" s="238">
        <f t="shared" ca="1" si="150"/>
        <v>2.6877610566959629E-3</v>
      </c>
      <c r="I4755" s="156"/>
    </row>
    <row r="4756" spans="2:9" x14ac:dyDescent="0.2">
      <c r="B4756" s="230">
        <v>38988</v>
      </c>
      <c r="C4756" s="124">
        <v>61.09</v>
      </c>
      <c r="D4756" s="156">
        <f t="shared" si="149"/>
        <v>-1.8161362905817994E-2</v>
      </c>
      <c r="E4756" s="156">
        <v>-2.8495942630685129E-2</v>
      </c>
      <c r="F4756" s="124">
        <v>4750</v>
      </c>
      <c r="G4756" s="238">
        <f t="shared" ca="1" si="150"/>
        <v>1.1799577374659918E-2</v>
      </c>
      <c r="I4756" s="156"/>
    </row>
    <row r="4757" spans="2:9" x14ac:dyDescent="0.2">
      <c r="B4757" s="230">
        <v>38987</v>
      </c>
      <c r="C4757" s="124">
        <v>61.54</v>
      </c>
      <c r="D4757" s="156">
        <f t="shared" si="149"/>
        <v>7.366181044360709E-3</v>
      </c>
      <c r="E4757" s="156">
        <v>-2.8573588328671868E-2</v>
      </c>
      <c r="F4757" s="124">
        <v>4751</v>
      </c>
      <c r="G4757" s="238">
        <f t="shared" ca="1" si="150"/>
        <v>-1.8525357446296367E-2</v>
      </c>
      <c r="I4757" s="156"/>
    </row>
    <row r="4758" spans="2:9" x14ac:dyDescent="0.2">
      <c r="B4758" s="230">
        <v>38986</v>
      </c>
      <c r="C4758" s="124">
        <v>60.91</v>
      </c>
      <c r="D4758" s="156">
        <f t="shared" si="149"/>
        <v>-1.0237244068898319E-2</v>
      </c>
      <c r="E4758" s="156">
        <v>-2.8639023782841513E-2</v>
      </c>
      <c r="F4758" s="124">
        <v>4752</v>
      </c>
      <c r="G4758" s="238">
        <f t="shared" ca="1" si="150"/>
        <v>1.8079066545823724E-2</v>
      </c>
      <c r="I4758" s="156"/>
    </row>
    <row r="4759" spans="2:9" x14ac:dyDescent="0.2">
      <c r="B4759" s="230">
        <v>38985</v>
      </c>
      <c r="C4759" s="124">
        <v>61.14</v>
      </c>
      <c r="D4759" s="156">
        <f t="shared" si="149"/>
        <v>3.776063043835232E-3</v>
      </c>
      <c r="E4759" s="156">
        <v>-2.8648734680884882E-2</v>
      </c>
      <c r="F4759" s="124">
        <v>4753</v>
      </c>
      <c r="G4759" s="238">
        <f t="shared" ca="1" si="150"/>
        <v>-5.0994526351568351E-3</v>
      </c>
      <c r="I4759" s="156"/>
    </row>
    <row r="4760" spans="2:9" x14ac:dyDescent="0.2">
      <c r="B4760" s="230">
        <v>38982</v>
      </c>
      <c r="C4760" s="124">
        <v>62.32</v>
      </c>
      <c r="D4760" s="156">
        <f t="shared" si="149"/>
        <v>1.9299967288191031E-2</v>
      </c>
      <c r="E4760" s="156">
        <v>-2.8649386084583988E-2</v>
      </c>
      <c r="F4760" s="124">
        <v>4754</v>
      </c>
      <c r="G4760" s="238">
        <f t="shared" ca="1" si="150"/>
        <v>-1.3022941264054183E-2</v>
      </c>
      <c r="I4760" s="156"/>
    </row>
    <row r="4761" spans="2:9" x14ac:dyDescent="0.2">
      <c r="B4761" s="230">
        <v>38981</v>
      </c>
      <c r="C4761" s="124">
        <v>63.2</v>
      </c>
      <c r="D4761" s="156">
        <f t="shared" si="149"/>
        <v>1.412066752246474E-2</v>
      </c>
      <c r="E4761" s="156">
        <v>-2.866551272850083E-2</v>
      </c>
      <c r="F4761" s="124">
        <v>4755</v>
      </c>
      <c r="G4761" s="238">
        <f t="shared" ca="1" si="150"/>
        <v>-5.3625163613208729E-3</v>
      </c>
      <c r="I4761" s="156"/>
    </row>
    <row r="4762" spans="2:9" x14ac:dyDescent="0.2">
      <c r="B4762" s="230">
        <v>38980</v>
      </c>
      <c r="C4762" s="124">
        <v>62.09</v>
      </c>
      <c r="D4762" s="156">
        <f t="shared" si="149"/>
        <v>-1.7563291139240496E-2</v>
      </c>
      <c r="E4762" s="156">
        <v>-2.8907922912205647E-2</v>
      </c>
      <c r="F4762" s="124">
        <v>4756</v>
      </c>
      <c r="G4762" s="238">
        <f t="shared" ca="1" si="150"/>
        <v>1.5263800817162953E-2</v>
      </c>
      <c r="I4762" s="156"/>
    </row>
    <row r="4763" spans="2:9" x14ac:dyDescent="0.2">
      <c r="B4763" s="230">
        <v>38979</v>
      </c>
      <c r="C4763" s="124">
        <v>61.03</v>
      </c>
      <c r="D4763" s="156">
        <f t="shared" si="149"/>
        <v>-1.7071992269286556E-2</v>
      </c>
      <c r="E4763" s="156">
        <v>-2.8938906752411606E-2</v>
      </c>
      <c r="F4763" s="124">
        <v>4757</v>
      </c>
      <c r="G4763" s="238">
        <f t="shared" ca="1" si="150"/>
        <v>-2.0393863568159663E-3</v>
      </c>
      <c r="I4763" s="156"/>
    </row>
    <row r="4764" spans="2:9" x14ac:dyDescent="0.2">
      <c r="B4764" s="230">
        <v>38978</v>
      </c>
      <c r="C4764" s="124">
        <v>62.07</v>
      </c>
      <c r="D4764" s="156">
        <f t="shared" si="149"/>
        <v>1.7040799606750763E-2</v>
      </c>
      <c r="E4764" s="156">
        <v>-2.8962076770289665E-2</v>
      </c>
      <c r="F4764" s="124">
        <v>4758</v>
      </c>
      <c r="G4764" s="238">
        <f t="shared" ca="1" si="150"/>
        <v>-1.1289505558111137E-2</v>
      </c>
      <c r="I4764" s="156"/>
    </row>
    <row r="4765" spans="2:9" x14ac:dyDescent="0.2">
      <c r="B4765" s="230">
        <v>38975</v>
      </c>
      <c r="C4765" s="124">
        <v>60.48</v>
      </c>
      <c r="D4765" s="156">
        <f t="shared" si="149"/>
        <v>-2.5616239729337898E-2</v>
      </c>
      <c r="E4765" s="156">
        <v>-2.9000698812019606E-2</v>
      </c>
      <c r="F4765" s="124">
        <v>4759</v>
      </c>
      <c r="G4765" s="238">
        <f t="shared" ca="1" si="150"/>
        <v>2.7497704483805063E-2</v>
      </c>
      <c r="I4765" s="156"/>
    </row>
    <row r="4766" spans="2:9" x14ac:dyDescent="0.2">
      <c r="B4766" s="230">
        <v>38974</v>
      </c>
      <c r="C4766" s="124">
        <v>60.69</v>
      </c>
      <c r="D4766" s="156">
        <f t="shared" si="149"/>
        <v>3.4722222222222363E-3</v>
      </c>
      <c r="E4766" s="156">
        <v>-2.9044834307992158E-2</v>
      </c>
      <c r="F4766" s="124">
        <v>4760</v>
      </c>
      <c r="G4766" s="238">
        <f t="shared" ca="1" si="150"/>
        <v>-1.5457893291508592E-2</v>
      </c>
      <c r="I4766" s="156"/>
    </row>
    <row r="4767" spans="2:9" x14ac:dyDescent="0.2">
      <c r="B4767" s="230">
        <v>38973</v>
      </c>
      <c r="C4767" s="124">
        <v>60.61</v>
      </c>
      <c r="D4767" s="156">
        <f t="shared" si="149"/>
        <v>-1.3181743285549234E-3</v>
      </c>
      <c r="E4767" s="156">
        <v>-2.907306022276759E-2</v>
      </c>
      <c r="F4767" s="124">
        <v>4761</v>
      </c>
      <c r="G4767" s="238">
        <f t="shared" ca="1" si="150"/>
        <v>1.6806401112909328E-3</v>
      </c>
      <c r="I4767" s="156"/>
    </row>
    <row r="4768" spans="2:9" x14ac:dyDescent="0.2">
      <c r="B4768" s="230">
        <v>38972</v>
      </c>
      <c r="C4768" s="124">
        <v>60.21</v>
      </c>
      <c r="D4768" s="156">
        <f t="shared" si="149"/>
        <v>-6.5995710278831639E-3</v>
      </c>
      <c r="E4768" s="156">
        <v>-2.9220779220779175E-2</v>
      </c>
      <c r="F4768" s="124">
        <v>4762</v>
      </c>
      <c r="G4768" s="238">
        <f t="shared" ca="1" si="150"/>
        <v>-9.8517167916082338E-3</v>
      </c>
      <c r="I4768" s="156"/>
    </row>
    <row r="4769" spans="2:9" x14ac:dyDescent="0.2">
      <c r="B4769" s="230">
        <v>38971</v>
      </c>
      <c r="C4769" s="124">
        <v>60.36</v>
      </c>
      <c r="D4769" s="156">
        <f t="shared" si="149"/>
        <v>2.4912805181863239E-3</v>
      </c>
      <c r="E4769" s="156">
        <v>-2.9225092250922444E-2</v>
      </c>
      <c r="F4769" s="124">
        <v>4763</v>
      </c>
      <c r="G4769" s="238">
        <f t="shared" ca="1" si="150"/>
        <v>-3.741821874001757E-3</v>
      </c>
      <c r="I4769" s="156"/>
    </row>
    <row r="4770" spans="2:9" x14ac:dyDescent="0.2">
      <c r="B4770" s="230">
        <v>38968</v>
      </c>
      <c r="C4770" s="124">
        <v>62.3</v>
      </c>
      <c r="D4770" s="156">
        <f t="shared" si="149"/>
        <v>3.2140490390987368E-2</v>
      </c>
      <c r="E4770" s="156">
        <v>-2.9278550630863834E-2</v>
      </c>
      <c r="F4770" s="124">
        <v>4764</v>
      </c>
      <c r="G4770" s="238">
        <f t="shared" ca="1" si="150"/>
        <v>1.6596899712393004E-2</v>
      </c>
      <c r="I4770" s="156"/>
    </row>
    <row r="4771" spans="2:9" x14ac:dyDescent="0.2">
      <c r="B4771" s="230">
        <v>38967</v>
      </c>
      <c r="C4771" s="124">
        <v>61.64</v>
      </c>
      <c r="D4771" s="156">
        <f t="shared" si="149"/>
        <v>-1.0593900481540876E-2</v>
      </c>
      <c r="E4771" s="156">
        <v>-2.9363784665579075E-2</v>
      </c>
      <c r="F4771" s="124">
        <v>4765</v>
      </c>
      <c r="G4771" s="238">
        <f t="shared" ca="1" si="150"/>
        <v>-1.7424313731339115E-2</v>
      </c>
      <c r="I4771" s="156"/>
    </row>
    <row r="4772" spans="2:9" x14ac:dyDescent="0.2">
      <c r="B4772" s="230">
        <v>38966</v>
      </c>
      <c r="C4772" s="124">
        <v>62.68</v>
      </c>
      <c r="D4772" s="156">
        <f t="shared" si="149"/>
        <v>1.687216093445813E-2</v>
      </c>
      <c r="E4772" s="156">
        <v>-2.9656587556622496E-2</v>
      </c>
      <c r="F4772" s="124">
        <v>4766</v>
      </c>
      <c r="G4772" s="238">
        <f t="shared" ca="1" si="150"/>
        <v>-1.0565093269039896E-2</v>
      </c>
      <c r="I4772" s="156"/>
    </row>
    <row r="4773" spans="2:9" x14ac:dyDescent="0.2">
      <c r="B4773" s="230">
        <v>38965</v>
      </c>
      <c r="C4773" s="124">
        <v>62.22</v>
      </c>
      <c r="D4773" s="156">
        <f t="shared" si="149"/>
        <v>-7.3388640714741682E-3</v>
      </c>
      <c r="E4773" s="156">
        <v>-2.9695091305076242E-2</v>
      </c>
      <c r="F4773" s="124">
        <v>4767</v>
      </c>
      <c r="G4773" s="238">
        <f t="shared" ca="1" si="150"/>
        <v>-1.6969898407463165E-2</v>
      </c>
      <c r="I4773" s="156"/>
    </row>
    <row r="4774" spans="2:9" x14ac:dyDescent="0.2">
      <c r="B4774" s="230">
        <v>38964</v>
      </c>
      <c r="C4774" s="124">
        <v>63.03</v>
      </c>
      <c r="D4774" s="156">
        <f t="shared" si="149"/>
        <v>1.301832208293157E-2</v>
      </c>
      <c r="E4774" s="156">
        <v>-2.9712021941185371E-2</v>
      </c>
      <c r="F4774" s="124">
        <v>4768</v>
      </c>
      <c r="G4774" s="238">
        <f t="shared" ca="1" si="150"/>
        <v>-1.1319144967067126E-2</v>
      </c>
      <c r="I4774" s="156"/>
    </row>
    <row r="4775" spans="2:9" x14ac:dyDescent="0.2">
      <c r="B4775" s="230">
        <v>38961</v>
      </c>
      <c r="C4775" s="124">
        <v>62.83</v>
      </c>
      <c r="D4775" s="156">
        <f t="shared" si="149"/>
        <v>-3.1730921783278253E-3</v>
      </c>
      <c r="E4775" s="156">
        <v>-2.9723825869870511E-2</v>
      </c>
      <c r="F4775" s="124">
        <v>4769</v>
      </c>
      <c r="G4775" s="238">
        <f t="shared" ca="1" si="150"/>
        <v>-2.3577349286324576E-2</v>
      </c>
      <c r="I4775" s="156"/>
    </row>
    <row r="4776" spans="2:9" x14ac:dyDescent="0.2">
      <c r="B4776" s="230">
        <v>38960</v>
      </c>
      <c r="C4776" s="124">
        <v>63.48</v>
      </c>
      <c r="D4776" s="156">
        <f t="shared" si="149"/>
        <v>1.0345376412541758E-2</v>
      </c>
      <c r="E4776" s="156">
        <v>-2.9724770642201918E-2</v>
      </c>
      <c r="F4776" s="124">
        <v>4770</v>
      </c>
      <c r="G4776" s="238">
        <f t="shared" ca="1" si="150"/>
        <v>-1.8241092990735272E-3</v>
      </c>
      <c r="I4776" s="156"/>
    </row>
    <row r="4777" spans="2:9" x14ac:dyDescent="0.2">
      <c r="B4777" s="230">
        <v>38959</v>
      </c>
      <c r="C4777" s="124">
        <v>62.1</v>
      </c>
      <c r="D4777" s="156">
        <f t="shared" si="149"/>
        <v>-2.1739130434782539E-2</v>
      </c>
      <c r="E4777" s="156">
        <v>-2.9752637951911413E-2</v>
      </c>
      <c r="F4777" s="124">
        <v>4771</v>
      </c>
      <c r="G4777" s="238">
        <f t="shared" ca="1" si="150"/>
        <v>2.1623691005467488E-2</v>
      </c>
      <c r="I4777" s="156"/>
    </row>
    <row r="4778" spans="2:9" x14ac:dyDescent="0.2">
      <c r="B4778" s="230">
        <v>38958</v>
      </c>
      <c r="C4778" s="124">
        <v>61.21</v>
      </c>
      <c r="D4778" s="156">
        <f t="shared" si="149"/>
        <v>-1.4331723027375211E-2</v>
      </c>
      <c r="E4778" s="156">
        <v>-2.982716049382712E-2</v>
      </c>
      <c r="F4778" s="124">
        <v>4772</v>
      </c>
      <c r="G4778" s="238">
        <f t="shared" ca="1" si="150"/>
        <v>-1.4448111820146735E-2</v>
      </c>
      <c r="I4778" s="156"/>
    </row>
    <row r="4779" spans="2:9" x14ac:dyDescent="0.2">
      <c r="B4779" s="230">
        <v>38957</v>
      </c>
      <c r="C4779" s="124">
        <v>59.7</v>
      </c>
      <c r="D4779" s="156">
        <f t="shared" si="149"/>
        <v>-2.4669171703969907E-2</v>
      </c>
      <c r="E4779" s="156">
        <v>-2.9899651853368851E-2</v>
      </c>
      <c r="F4779" s="124">
        <v>4773</v>
      </c>
      <c r="G4779" s="238">
        <f t="shared" ca="1" si="150"/>
        <v>2.4276401101416636E-3</v>
      </c>
      <c r="I4779" s="156"/>
    </row>
    <row r="4780" spans="2:9" x14ac:dyDescent="0.2">
      <c r="B4780" s="230">
        <v>38954</v>
      </c>
      <c r="C4780" s="124">
        <v>59.72</v>
      </c>
      <c r="D4780" s="156">
        <f t="shared" si="149"/>
        <v>3.3500837520931357E-4</v>
      </c>
      <c r="E4780" s="156">
        <v>-3.0091438071487866E-2</v>
      </c>
      <c r="F4780" s="124">
        <v>4774</v>
      </c>
      <c r="G4780" s="238">
        <f t="shared" ca="1" si="150"/>
        <v>-3.7668850722851484E-2</v>
      </c>
      <c r="I4780" s="156"/>
    </row>
    <row r="4781" spans="2:9" x14ac:dyDescent="0.2">
      <c r="B4781" s="230">
        <v>38953</v>
      </c>
      <c r="C4781" s="124">
        <v>59.68</v>
      </c>
      <c r="D4781" s="156">
        <f t="shared" si="149"/>
        <v>-6.6979236436703199E-4</v>
      </c>
      <c r="E4781" s="156">
        <v>-3.0101694915254221E-2</v>
      </c>
      <c r="F4781" s="124">
        <v>4775</v>
      </c>
      <c r="G4781" s="238">
        <f t="shared" ca="1" si="150"/>
        <v>1.3436034225334542E-2</v>
      </c>
      <c r="I4781" s="156"/>
    </row>
    <row r="4782" spans="2:9" x14ac:dyDescent="0.2">
      <c r="B4782" s="230">
        <v>38952</v>
      </c>
      <c r="C4782" s="124">
        <v>59.27</v>
      </c>
      <c r="D4782" s="156">
        <f t="shared" si="149"/>
        <v>-6.8699731903484685E-3</v>
      </c>
      <c r="E4782" s="156">
        <v>-3.0136500620457366E-2</v>
      </c>
      <c r="F4782" s="124">
        <v>4776</v>
      </c>
      <c r="G4782" s="238">
        <f t="shared" ca="1" si="150"/>
        <v>-6.378066694723023E-3</v>
      </c>
      <c r="I4782" s="156"/>
    </row>
    <row r="4783" spans="2:9" x14ac:dyDescent="0.2">
      <c r="B4783" s="230">
        <v>38951</v>
      </c>
      <c r="C4783" s="124">
        <v>60.3</v>
      </c>
      <c r="D4783" s="156">
        <f t="shared" si="149"/>
        <v>1.7378100219335144E-2</v>
      </c>
      <c r="E4783" s="156">
        <v>-3.0223186608803406E-2</v>
      </c>
      <c r="F4783" s="124">
        <v>4777</v>
      </c>
      <c r="G4783" s="238">
        <f t="shared" ca="1" si="150"/>
        <v>2.7377787630976313E-3</v>
      </c>
      <c r="I4783" s="156"/>
    </row>
    <row r="4784" spans="2:9" x14ac:dyDescent="0.2">
      <c r="B4784" s="230">
        <v>38950</v>
      </c>
      <c r="C4784" s="124">
        <v>59.91</v>
      </c>
      <c r="D4784" s="156">
        <f t="shared" si="149"/>
        <v>-6.4676616915422987E-3</v>
      </c>
      <c r="E4784" s="156">
        <v>-3.0357728913685499E-2</v>
      </c>
      <c r="F4784" s="124">
        <v>4778</v>
      </c>
      <c r="G4784" s="238">
        <f t="shared" ca="1" si="150"/>
        <v>5.7294373572476881E-2</v>
      </c>
      <c r="I4784" s="156"/>
    </row>
    <row r="4785" spans="2:9" x14ac:dyDescent="0.2">
      <c r="B4785" s="230">
        <v>38947</v>
      </c>
      <c r="C4785" s="124">
        <v>59.58</v>
      </c>
      <c r="D4785" s="156">
        <f t="shared" si="149"/>
        <v>-5.5082623935903572E-3</v>
      </c>
      <c r="E4785" s="156">
        <v>-3.0367770486799967E-2</v>
      </c>
      <c r="F4785" s="124">
        <v>4779</v>
      </c>
      <c r="G4785" s="238">
        <f t="shared" ca="1" si="150"/>
        <v>-7.4452885049864697E-3</v>
      </c>
      <c r="I4785" s="156"/>
    </row>
    <row r="4786" spans="2:9" x14ac:dyDescent="0.2">
      <c r="B4786" s="230">
        <v>38946</v>
      </c>
      <c r="C4786" s="124">
        <v>60.03</v>
      </c>
      <c r="D4786" s="156">
        <f t="shared" si="149"/>
        <v>7.5528700906344892E-3</v>
      </c>
      <c r="E4786" s="156">
        <v>-3.0497298287388942E-2</v>
      </c>
      <c r="F4786" s="124">
        <v>4780</v>
      </c>
      <c r="G4786" s="238">
        <f t="shared" ca="1" si="150"/>
        <v>-8.3711294782595307E-3</v>
      </c>
      <c r="I4786" s="156"/>
    </row>
    <row r="4787" spans="2:9" x14ac:dyDescent="0.2">
      <c r="B4787" s="230">
        <v>38945</v>
      </c>
      <c r="C4787" s="124">
        <v>59.96</v>
      </c>
      <c r="D4787" s="156">
        <f t="shared" si="149"/>
        <v>-1.1660836248542444E-3</v>
      </c>
      <c r="E4787" s="156">
        <v>-3.0550621669626979E-2</v>
      </c>
      <c r="F4787" s="124">
        <v>4781</v>
      </c>
      <c r="G4787" s="238">
        <f t="shared" ca="1" si="150"/>
        <v>-7.7950301510678567E-3</v>
      </c>
      <c r="I4787" s="156"/>
    </row>
    <row r="4788" spans="2:9" x14ac:dyDescent="0.2">
      <c r="B4788" s="230">
        <v>38943</v>
      </c>
      <c r="C4788" s="124">
        <v>59.19</v>
      </c>
      <c r="D4788" s="156">
        <f t="shared" si="149"/>
        <v>-1.284189459639765E-2</v>
      </c>
      <c r="E4788" s="156">
        <v>-3.0580539656582251E-2</v>
      </c>
      <c r="F4788" s="124">
        <v>4782</v>
      </c>
      <c r="G4788" s="238">
        <f t="shared" ca="1" si="150"/>
        <v>6.9188541907329471E-3</v>
      </c>
      <c r="I4788" s="156"/>
    </row>
    <row r="4789" spans="2:9" x14ac:dyDescent="0.2">
      <c r="B4789" s="230">
        <v>38940</v>
      </c>
      <c r="C4789" s="124">
        <v>58.09</v>
      </c>
      <c r="D4789" s="156">
        <f t="shared" si="149"/>
        <v>-1.8584220307484276E-2</v>
      </c>
      <c r="E4789" s="156">
        <v>-3.0595223564831693E-2</v>
      </c>
      <c r="F4789" s="124">
        <v>4783</v>
      </c>
      <c r="G4789" s="238">
        <f t="shared" ca="1" si="150"/>
        <v>1.467467601874096E-2</v>
      </c>
      <c r="I4789" s="156"/>
    </row>
    <row r="4790" spans="2:9" x14ac:dyDescent="0.2">
      <c r="B4790" s="230">
        <v>38939</v>
      </c>
      <c r="C4790" s="124">
        <v>58.44</v>
      </c>
      <c r="D4790" s="156">
        <f t="shared" si="149"/>
        <v>6.0251334136683472E-3</v>
      </c>
      <c r="E4790" s="156">
        <v>-3.0670043748560884E-2</v>
      </c>
      <c r="F4790" s="124">
        <v>4784</v>
      </c>
      <c r="G4790" s="238">
        <f t="shared" ca="1" si="150"/>
        <v>-1.9906394944173714E-3</v>
      </c>
      <c r="I4790" s="156"/>
    </row>
    <row r="4791" spans="2:9" x14ac:dyDescent="0.2">
      <c r="B4791" s="230">
        <v>38938</v>
      </c>
      <c r="C4791" s="124">
        <v>59.27</v>
      </c>
      <c r="D4791" s="156">
        <f t="shared" si="149"/>
        <v>1.4202600958247869E-2</v>
      </c>
      <c r="E4791" s="156">
        <v>-3.0681227249089896E-2</v>
      </c>
      <c r="F4791" s="124">
        <v>4785</v>
      </c>
      <c r="G4791" s="238">
        <f t="shared" ca="1" si="150"/>
        <v>-8.1666797119497054E-3</v>
      </c>
      <c r="I4791" s="156"/>
    </row>
    <row r="4792" spans="2:9" x14ac:dyDescent="0.2">
      <c r="B4792" s="230">
        <v>38937</v>
      </c>
      <c r="C4792" s="124">
        <v>57.1</v>
      </c>
      <c r="D4792" s="156">
        <f t="shared" si="149"/>
        <v>-3.6612114054327682E-2</v>
      </c>
      <c r="E4792" s="156">
        <v>-3.0693870213913409E-2</v>
      </c>
      <c r="F4792" s="124">
        <v>4786</v>
      </c>
      <c r="G4792" s="238">
        <f t="shared" ca="1" si="150"/>
        <v>1.9904009933941796E-2</v>
      </c>
      <c r="I4792" s="156"/>
    </row>
    <row r="4793" spans="2:9" x14ac:dyDescent="0.2">
      <c r="B4793" s="230">
        <v>38936</v>
      </c>
      <c r="C4793" s="124">
        <v>55.82</v>
      </c>
      <c r="D4793" s="156">
        <f t="shared" si="149"/>
        <v>-2.2416812609457111E-2</v>
      </c>
      <c r="E4793" s="156">
        <v>-3.0816213214880605E-2</v>
      </c>
      <c r="F4793" s="124">
        <v>4787</v>
      </c>
      <c r="G4793" s="238">
        <f t="shared" ca="1" si="150"/>
        <v>4.0346330087792049E-3</v>
      </c>
      <c r="I4793" s="156"/>
    </row>
    <row r="4794" spans="2:9" x14ac:dyDescent="0.2">
      <c r="B4794" s="230">
        <v>38933</v>
      </c>
      <c r="C4794" s="124">
        <v>55.75</v>
      </c>
      <c r="D4794" s="156">
        <f t="shared" si="149"/>
        <v>-1.2540308133285611E-3</v>
      </c>
      <c r="E4794" s="156">
        <v>-3.0894308943089456E-2</v>
      </c>
      <c r="F4794" s="124">
        <v>4788</v>
      </c>
      <c r="G4794" s="238">
        <f t="shared" ca="1" si="150"/>
        <v>1.4030054831998557E-2</v>
      </c>
      <c r="I4794" s="156"/>
    </row>
    <row r="4795" spans="2:9" x14ac:dyDescent="0.2">
      <c r="B4795" s="230">
        <v>38932</v>
      </c>
      <c r="C4795" s="124">
        <v>57</v>
      </c>
      <c r="D4795" s="156">
        <f t="shared" si="149"/>
        <v>2.2421524663677129E-2</v>
      </c>
      <c r="E4795" s="156">
        <v>-3.0936743864500505E-2</v>
      </c>
      <c r="F4795" s="124">
        <v>4789</v>
      </c>
      <c r="G4795" s="238">
        <f t="shared" ca="1" si="150"/>
        <v>1.3628312962923482E-2</v>
      </c>
      <c r="I4795" s="156"/>
    </row>
    <row r="4796" spans="2:9" x14ac:dyDescent="0.2">
      <c r="B4796" s="230">
        <v>38931</v>
      </c>
      <c r="C4796" s="124">
        <v>57.48</v>
      </c>
      <c r="D4796" s="156">
        <f t="shared" si="149"/>
        <v>8.4210526315788917E-3</v>
      </c>
      <c r="E4796" s="156">
        <v>-3.09715120525932E-2</v>
      </c>
      <c r="F4796" s="124">
        <v>4790</v>
      </c>
      <c r="G4796" s="238">
        <f t="shared" ca="1" si="150"/>
        <v>-1.0000456162457174E-3</v>
      </c>
      <c r="I4796" s="156"/>
    </row>
    <row r="4797" spans="2:9" x14ac:dyDescent="0.2">
      <c r="B4797" s="230">
        <v>38930</v>
      </c>
      <c r="C4797" s="124">
        <v>56.1</v>
      </c>
      <c r="D4797" s="156">
        <f t="shared" si="149"/>
        <v>-2.4008350730688858E-2</v>
      </c>
      <c r="E4797" s="156">
        <v>-3.111858704793935E-2</v>
      </c>
      <c r="F4797" s="124">
        <v>4791</v>
      </c>
      <c r="G4797" s="238">
        <f t="shared" ca="1" si="150"/>
        <v>1.1276543553955876E-2</v>
      </c>
      <c r="I4797" s="156"/>
    </row>
    <row r="4798" spans="2:9" x14ac:dyDescent="0.2">
      <c r="B4798" s="230">
        <v>38929</v>
      </c>
      <c r="C4798" s="124">
        <v>55.49</v>
      </c>
      <c r="D4798" s="156">
        <f t="shared" ref="D4798:D4861" si="151">(C4798-C4797)/C4797</f>
        <v>-1.0873440285204981E-2</v>
      </c>
      <c r="E4798" s="156">
        <v>-3.1138371874412485E-2</v>
      </c>
      <c r="F4798" s="124">
        <v>4792</v>
      </c>
      <c r="G4798" s="238">
        <f t="shared" ca="1" si="150"/>
        <v>-3.1783051238200373E-3</v>
      </c>
      <c r="I4798" s="156"/>
    </row>
    <row r="4799" spans="2:9" x14ac:dyDescent="0.2">
      <c r="B4799" s="230">
        <v>38926</v>
      </c>
      <c r="C4799" s="124">
        <v>54.54</v>
      </c>
      <c r="D4799" s="156">
        <f t="shared" si="151"/>
        <v>-1.7120201838169091E-2</v>
      </c>
      <c r="E4799" s="156">
        <v>-3.1204051625551441E-2</v>
      </c>
      <c r="F4799" s="124">
        <v>4793</v>
      </c>
      <c r="G4799" s="238">
        <f t="shared" ca="1" si="150"/>
        <v>-1.0094145108202116E-3</v>
      </c>
      <c r="I4799" s="156"/>
    </row>
    <row r="4800" spans="2:9" x14ac:dyDescent="0.2">
      <c r="B4800" s="230">
        <v>38925</v>
      </c>
      <c r="C4800" s="124">
        <v>55.34</v>
      </c>
      <c r="D4800" s="156">
        <f t="shared" si="151"/>
        <v>1.4668133480014747E-2</v>
      </c>
      <c r="E4800" s="156">
        <v>-3.1274433150899138E-2</v>
      </c>
      <c r="F4800" s="124">
        <v>4794</v>
      </c>
      <c r="G4800" s="238">
        <f t="shared" ca="1" si="150"/>
        <v>2.720209128248401E-2</v>
      </c>
      <c r="I4800" s="156"/>
    </row>
    <row r="4801" spans="2:9" x14ac:dyDescent="0.2">
      <c r="B4801" s="230">
        <v>38924</v>
      </c>
      <c r="C4801" s="124">
        <v>55.69</v>
      </c>
      <c r="D4801" s="156">
        <f t="shared" si="151"/>
        <v>6.324539212143012E-3</v>
      </c>
      <c r="E4801" s="156">
        <v>-3.1290743155150007E-2</v>
      </c>
      <c r="F4801" s="124">
        <v>4795</v>
      </c>
      <c r="G4801" s="238">
        <f t="shared" ca="1" si="150"/>
        <v>1.72449679598655E-3</v>
      </c>
      <c r="I4801" s="156"/>
    </row>
    <row r="4802" spans="2:9" x14ac:dyDescent="0.2">
      <c r="B4802" s="230">
        <v>38923</v>
      </c>
      <c r="C4802" s="124">
        <v>54.4</v>
      </c>
      <c r="D4802" s="156">
        <f t="shared" si="151"/>
        <v>-2.3163943257317278E-2</v>
      </c>
      <c r="E4802" s="156">
        <v>-3.1701444622792847E-2</v>
      </c>
      <c r="F4802" s="124">
        <v>4796</v>
      </c>
      <c r="G4802" s="238">
        <f t="shared" ca="1" si="150"/>
        <v>-7.9827923626737442E-4</v>
      </c>
      <c r="I4802" s="156"/>
    </row>
    <row r="4803" spans="2:9" x14ac:dyDescent="0.2">
      <c r="B4803" s="230">
        <v>38922</v>
      </c>
      <c r="C4803" s="124">
        <v>54.48</v>
      </c>
      <c r="D4803" s="156">
        <f t="shared" si="151"/>
        <v>1.4705882352940864E-3</v>
      </c>
      <c r="E4803" s="156">
        <v>-3.1704967662033956E-2</v>
      </c>
      <c r="F4803" s="124">
        <v>4797</v>
      </c>
      <c r="G4803" s="238">
        <f t="shared" ca="1" si="150"/>
        <v>-2.5200936412374231E-3</v>
      </c>
      <c r="I4803" s="156"/>
    </row>
    <row r="4804" spans="2:9" x14ac:dyDescent="0.2">
      <c r="B4804" s="230">
        <v>38919</v>
      </c>
      <c r="C4804" s="124">
        <v>55.46</v>
      </c>
      <c r="D4804" s="156">
        <f t="shared" si="151"/>
        <v>1.7988252569750441E-2</v>
      </c>
      <c r="E4804" s="156">
        <v>-3.1741952065797066E-2</v>
      </c>
      <c r="F4804" s="124">
        <v>4798</v>
      </c>
      <c r="G4804" s="238">
        <f t="shared" ca="1" si="150"/>
        <v>8.549242513464738E-3</v>
      </c>
      <c r="I4804" s="156"/>
    </row>
    <row r="4805" spans="2:9" x14ac:dyDescent="0.2">
      <c r="B4805" s="230">
        <v>38918</v>
      </c>
      <c r="C4805" s="124">
        <v>58.03</v>
      </c>
      <c r="D4805" s="156">
        <f t="shared" si="151"/>
        <v>4.6339704291381179E-2</v>
      </c>
      <c r="E4805" s="156">
        <v>-3.1785306433193793E-2</v>
      </c>
      <c r="F4805" s="124">
        <v>4799</v>
      </c>
      <c r="G4805" s="238">
        <f t="shared" ca="1" si="150"/>
        <v>-2.4801289781854034E-2</v>
      </c>
      <c r="I4805" s="156"/>
    </row>
    <row r="4806" spans="2:9" x14ac:dyDescent="0.2">
      <c r="B4806" s="230">
        <v>38917</v>
      </c>
      <c r="C4806" s="124">
        <v>55.52</v>
      </c>
      <c r="D4806" s="156">
        <f t="shared" si="151"/>
        <v>-4.3253489574358053E-2</v>
      </c>
      <c r="E4806" s="156">
        <v>-3.1790997796663459E-2</v>
      </c>
      <c r="F4806" s="124">
        <v>4800</v>
      </c>
      <c r="G4806" s="238">
        <f t="shared" ca="1" si="150"/>
        <v>-8.8279590108463774E-3</v>
      </c>
      <c r="I4806" s="156"/>
    </row>
    <row r="4807" spans="2:9" x14ac:dyDescent="0.2">
      <c r="B4807" s="230">
        <v>38916</v>
      </c>
      <c r="C4807" s="124">
        <v>56.24</v>
      </c>
      <c r="D4807" s="156">
        <f t="shared" si="151"/>
        <v>1.2968299711815541E-2</v>
      </c>
      <c r="E4807" s="156">
        <v>-3.1912744900020162E-2</v>
      </c>
      <c r="F4807" s="124">
        <v>4801</v>
      </c>
      <c r="G4807" s="238">
        <f t="shared" ref="G4807:G4870" ca="1" si="152">_xlfn.NORM.INV(RAND(),$L$8,$L$9)</f>
        <v>-2.6454920274832601E-2</v>
      </c>
      <c r="I4807" s="156"/>
    </row>
    <row r="4808" spans="2:9" x14ac:dyDescent="0.2">
      <c r="B4808" s="230">
        <v>38915</v>
      </c>
      <c r="C4808" s="124">
        <v>57.05</v>
      </c>
      <c r="D4808" s="156">
        <f t="shared" si="151"/>
        <v>1.4402560455191948E-2</v>
      </c>
      <c r="E4808" s="156">
        <v>-3.1950672645740003E-2</v>
      </c>
      <c r="F4808" s="124">
        <v>4802</v>
      </c>
      <c r="G4808" s="238">
        <f t="shared" ca="1" si="152"/>
        <v>3.5944094922848472E-3</v>
      </c>
      <c r="I4808" s="156"/>
    </row>
    <row r="4809" spans="2:9" x14ac:dyDescent="0.2">
      <c r="B4809" s="230">
        <v>38912</v>
      </c>
      <c r="C4809" s="124">
        <v>58.52</v>
      </c>
      <c r="D4809" s="156">
        <f t="shared" si="151"/>
        <v>2.5766871165644276E-2</v>
      </c>
      <c r="E4809" s="156">
        <v>-3.1976166832174767E-2</v>
      </c>
      <c r="F4809" s="124">
        <v>4803</v>
      </c>
      <c r="G4809" s="238">
        <f t="shared" ca="1" si="152"/>
        <v>-6.2560617932090638E-3</v>
      </c>
      <c r="I4809" s="156"/>
    </row>
    <row r="4810" spans="2:9" x14ac:dyDescent="0.2">
      <c r="B4810" s="230">
        <v>38911</v>
      </c>
      <c r="C4810" s="124">
        <v>60.05</v>
      </c>
      <c r="D4810" s="156">
        <f t="shared" si="151"/>
        <v>2.6144907723854988E-2</v>
      </c>
      <c r="E4810" s="156">
        <v>-3.2091097308488616E-2</v>
      </c>
      <c r="F4810" s="124">
        <v>4804</v>
      </c>
      <c r="G4810" s="238">
        <f t="shared" ca="1" si="152"/>
        <v>-7.5205408557581224E-3</v>
      </c>
      <c r="I4810" s="156"/>
    </row>
    <row r="4811" spans="2:9" x14ac:dyDescent="0.2">
      <c r="B4811" s="230">
        <v>38910</v>
      </c>
      <c r="C4811" s="124">
        <v>60.15</v>
      </c>
      <c r="D4811" s="156">
        <f t="shared" si="151"/>
        <v>1.6652789342215058E-3</v>
      </c>
      <c r="E4811" s="156">
        <v>-3.23914541695383E-2</v>
      </c>
      <c r="F4811" s="124">
        <v>4805</v>
      </c>
      <c r="G4811" s="238">
        <f t="shared" ca="1" si="152"/>
        <v>2.6570823527642548E-2</v>
      </c>
      <c r="I4811" s="156"/>
    </row>
    <row r="4812" spans="2:9" x14ac:dyDescent="0.2">
      <c r="B4812" s="230">
        <v>38909</v>
      </c>
      <c r="C4812" s="124">
        <v>58.34</v>
      </c>
      <c r="D4812" s="156">
        <f t="shared" si="151"/>
        <v>-3.0091438071487866E-2</v>
      </c>
      <c r="E4812" s="156">
        <v>-3.2479190468418503E-2</v>
      </c>
      <c r="F4812" s="124">
        <v>4806</v>
      </c>
      <c r="G4812" s="238">
        <f t="shared" ca="1" si="152"/>
        <v>-1.5782541756046485E-3</v>
      </c>
      <c r="I4812" s="156"/>
    </row>
    <row r="4813" spans="2:9" x14ac:dyDescent="0.2">
      <c r="B4813" s="230">
        <v>38908</v>
      </c>
      <c r="C4813" s="124">
        <v>58.04</v>
      </c>
      <c r="D4813" s="156">
        <f t="shared" si="151"/>
        <v>-5.1422694549195106E-3</v>
      </c>
      <c r="E4813" s="156">
        <v>-3.2485369640511151E-2</v>
      </c>
      <c r="F4813" s="124">
        <v>4807</v>
      </c>
      <c r="G4813" s="238">
        <f t="shared" ca="1" si="152"/>
        <v>-2.7323281172680128E-2</v>
      </c>
      <c r="I4813" s="156"/>
    </row>
    <row r="4814" spans="2:9" x14ac:dyDescent="0.2">
      <c r="B4814" s="230">
        <v>38905</v>
      </c>
      <c r="C4814" s="124">
        <v>58.04</v>
      </c>
      <c r="D4814" s="156">
        <f t="shared" si="151"/>
        <v>0</v>
      </c>
      <c r="E4814" s="156">
        <v>-3.2537023024537912E-2</v>
      </c>
      <c r="F4814" s="124">
        <v>4808</v>
      </c>
      <c r="G4814" s="238">
        <f t="shared" ca="1" si="152"/>
        <v>-3.9521897238520122E-3</v>
      </c>
      <c r="I4814" s="156"/>
    </row>
    <row r="4815" spans="2:9" x14ac:dyDescent="0.2">
      <c r="B4815" s="230">
        <v>38904</v>
      </c>
      <c r="C4815" s="124">
        <v>60.18</v>
      </c>
      <c r="D4815" s="156">
        <f t="shared" si="151"/>
        <v>3.6871123363197804E-2</v>
      </c>
      <c r="E4815" s="156">
        <v>-3.2586234302972458E-2</v>
      </c>
      <c r="F4815" s="124">
        <v>4809</v>
      </c>
      <c r="G4815" s="238">
        <f t="shared" ca="1" si="152"/>
        <v>1.6586304501488444E-2</v>
      </c>
      <c r="I4815" s="156"/>
    </row>
    <row r="4816" spans="2:9" x14ac:dyDescent="0.2">
      <c r="B4816" s="230">
        <v>38903</v>
      </c>
      <c r="C4816" s="124">
        <v>61.21</v>
      </c>
      <c r="D4816" s="156">
        <f t="shared" si="151"/>
        <v>1.7115320704553027E-2</v>
      </c>
      <c r="E4816" s="156">
        <v>-3.2618972581153489E-2</v>
      </c>
      <c r="F4816" s="124">
        <v>4810</v>
      </c>
      <c r="G4816" s="238">
        <f t="shared" ca="1" si="152"/>
        <v>-7.9463210257183659E-3</v>
      </c>
      <c r="I4816" s="156"/>
    </row>
    <row r="4817" spans="2:9" x14ac:dyDescent="0.2">
      <c r="B4817" s="230">
        <v>38902</v>
      </c>
      <c r="C4817" s="124">
        <v>59.3</v>
      </c>
      <c r="D4817" s="156">
        <f t="shared" si="151"/>
        <v>-3.1204051625551441E-2</v>
      </c>
      <c r="E4817" s="156">
        <v>-3.2803291448904731E-2</v>
      </c>
      <c r="F4817" s="124">
        <v>4811</v>
      </c>
      <c r="G4817" s="238">
        <f t="shared" ca="1" si="152"/>
        <v>3.3951613911712602E-3</v>
      </c>
      <c r="I4817" s="156"/>
    </row>
    <row r="4818" spans="2:9" x14ac:dyDescent="0.2">
      <c r="B4818" s="230">
        <v>38901</v>
      </c>
      <c r="C4818" s="124">
        <v>61.32</v>
      </c>
      <c r="D4818" s="156">
        <f t="shared" si="151"/>
        <v>3.4064080944350816E-2</v>
      </c>
      <c r="E4818" s="156">
        <v>-3.2909021243986508E-2</v>
      </c>
      <c r="F4818" s="124">
        <v>4812</v>
      </c>
      <c r="G4818" s="238">
        <f t="shared" ca="1" si="152"/>
        <v>1.6458188560674918E-2</v>
      </c>
      <c r="I4818" s="156"/>
    </row>
    <row r="4819" spans="2:9" x14ac:dyDescent="0.2">
      <c r="B4819" s="230">
        <v>38898</v>
      </c>
      <c r="C4819" s="124">
        <v>60.46</v>
      </c>
      <c r="D4819" s="156">
        <f t="shared" si="151"/>
        <v>-1.4024787997390728E-2</v>
      </c>
      <c r="E4819" s="156">
        <v>-3.2999629217649158E-2</v>
      </c>
      <c r="F4819" s="124">
        <v>4813</v>
      </c>
      <c r="G4819" s="238">
        <f t="shared" ca="1" si="152"/>
        <v>2.4242545347523278E-2</v>
      </c>
      <c r="I4819" s="156"/>
    </row>
    <row r="4820" spans="2:9" x14ac:dyDescent="0.2">
      <c r="B4820" s="230">
        <v>38897</v>
      </c>
      <c r="C4820" s="124">
        <v>58.27</v>
      </c>
      <c r="D4820" s="156">
        <f t="shared" si="151"/>
        <v>-3.6222295732715806E-2</v>
      </c>
      <c r="E4820" s="156">
        <v>-3.3001031282227457E-2</v>
      </c>
      <c r="F4820" s="124">
        <v>4814</v>
      </c>
      <c r="G4820" s="238">
        <f t="shared" ca="1" si="152"/>
        <v>1.909662745647512E-2</v>
      </c>
      <c r="I4820" s="156"/>
    </row>
    <row r="4821" spans="2:9" x14ac:dyDescent="0.2">
      <c r="B4821" s="230">
        <v>38896</v>
      </c>
      <c r="C4821" s="124">
        <v>58.69</v>
      </c>
      <c r="D4821" s="156">
        <f t="shared" si="151"/>
        <v>7.2078256392653951E-3</v>
      </c>
      <c r="E4821" s="156">
        <v>-3.3003915718814156E-2</v>
      </c>
      <c r="F4821" s="124">
        <v>4815</v>
      </c>
      <c r="G4821" s="238">
        <f t="shared" ca="1" si="152"/>
        <v>1.098237188807987E-3</v>
      </c>
      <c r="I4821" s="156"/>
    </row>
    <row r="4822" spans="2:9" x14ac:dyDescent="0.2">
      <c r="B4822" s="230">
        <v>38895</v>
      </c>
      <c r="C4822" s="124">
        <v>58.32</v>
      </c>
      <c r="D4822" s="156">
        <f t="shared" si="151"/>
        <v>-6.3043107854830029E-3</v>
      </c>
      <c r="E4822" s="156">
        <v>-3.30744895024448E-2</v>
      </c>
      <c r="F4822" s="124">
        <v>4816</v>
      </c>
      <c r="G4822" s="238">
        <f t="shared" ca="1" si="152"/>
        <v>-4.4699295407952967E-3</v>
      </c>
      <c r="I4822" s="156"/>
    </row>
    <row r="4823" spans="2:9" x14ac:dyDescent="0.2">
      <c r="B4823" s="230">
        <v>38894</v>
      </c>
      <c r="C4823" s="124">
        <v>55.12</v>
      </c>
      <c r="D4823" s="156">
        <f t="shared" si="151"/>
        <v>-5.4869684499314175E-2</v>
      </c>
      <c r="E4823" s="156">
        <v>-3.3108866442199653E-2</v>
      </c>
      <c r="F4823" s="124">
        <v>4817</v>
      </c>
      <c r="G4823" s="238">
        <f t="shared" ca="1" si="152"/>
        <v>1.3796488574753069E-2</v>
      </c>
      <c r="I4823" s="156"/>
    </row>
    <row r="4824" spans="2:9" x14ac:dyDescent="0.2">
      <c r="B4824" s="230">
        <v>38893</v>
      </c>
      <c r="C4824" s="124">
        <v>56.93</v>
      </c>
      <c r="D4824" s="156">
        <f t="shared" si="151"/>
        <v>3.2837445573294675E-2</v>
      </c>
      <c r="E4824" s="156">
        <v>-3.3127388017234395E-2</v>
      </c>
      <c r="F4824" s="124">
        <v>4818</v>
      </c>
      <c r="G4824" s="238">
        <f t="shared" ca="1" si="152"/>
        <v>-1.4110803297146847E-2</v>
      </c>
      <c r="I4824" s="156"/>
    </row>
    <row r="4825" spans="2:9" x14ac:dyDescent="0.2">
      <c r="B4825" s="230">
        <v>38891</v>
      </c>
      <c r="C4825" s="124">
        <v>56.62</v>
      </c>
      <c r="D4825" s="156">
        <f t="shared" si="151"/>
        <v>-5.4452836817144258E-3</v>
      </c>
      <c r="E4825" s="156">
        <v>-3.315038419319434E-2</v>
      </c>
      <c r="F4825" s="124">
        <v>4819</v>
      </c>
      <c r="G4825" s="238">
        <f t="shared" ca="1" si="152"/>
        <v>-1.5648606783908432E-3</v>
      </c>
      <c r="I4825" s="156"/>
    </row>
    <row r="4826" spans="2:9" x14ac:dyDescent="0.2">
      <c r="B4826" s="230">
        <v>38890</v>
      </c>
      <c r="C4826" s="124">
        <v>56.63</v>
      </c>
      <c r="D4826" s="156">
        <f t="shared" si="151"/>
        <v>1.76616036736226E-4</v>
      </c>
      <c r="E4826" s="156">
        <v>-3.3481858688733351E-2</v>
      </c>
      <c r="F4826" s="124">
        <v>4820</v>
      </c>
      <c r="G4826" s="238">
        <f t="shared" ca="1" si="152"/>
        <v>1.1857061031683425E-3</v>
      </c>
      <c r="I4826" s="156"/>
    </row>
    <row r="4827" spans="2:9" x14ac:dyDescent="0.2">
      <c r="B4827" s="230">
        <v>38889</v>
      </c>
      <c r="C4827" s="124">
        <v>55.94</v>
      </c>
      <c r="D4827" s="156">
        <f t="shared" si="151"/>
        <v>-1.2184354582376917E-2</v>
      </c>
      <c r="E4827" s="156">
        <v>-3.3565945568736925E-2</v>
      </c>
      <c r="F4827" s="124">
        <v>4821</v>
      </c>
      <c r="G4827" s="238">
        <f t="shared" ca="1" si="152"/>
        <v>2.0974988517054712E-2</v>
      </c>
      <c r="I4827" s="156"/>
    </row>
    <row r="4828" spans="2:9" x14ac:dyDescent="0.2">
      <c r="B4828" s="230">
        <v>38888</v>
      </c>
      <c r="C4828" s="124">
        <v>53.58</v>
      </c>
      <c r="D4828" s="156">
        <f t="shared" si="151"/>
        <v>-4.2188058634250972E-2</v>
      </c>
      <c r="E4828" s="156">
        <v>-3.3619895609456517E-2</v>
      </c>
      <c r="F4828" s="124">
        <v>4822</v>
      </c>
      <c r="G4828" s="238">
        <f t="shared" ca="1" si="152"/>
        <v>2.4574266581288091E-2</v>
      </c>
      <c r="I4828" s="156"/>
    </row>
    <row r="4829" spans="2:9" x14ac:dyDescent="0.2">
      <c r="B4829" s="230">
        <v>38887</v>
      </c>
      <c r="C4829" s="124">
        <v>54.54</v>
      </c>
      <c r="D4829" s="156">
        <f t="shared" si="151"/>
        <v>1.7917133258678629E-2</v>
      </c>
      <c r="E4829" s="156">
        <v>-3.3745913124708087E-2</v>
      </c>
      <c r="F4829" s="124">
        <v>4823</v>
      </c>
      <c r="G4829" s="238">
        <f t="shared" ca="1" si="152"/>
        <v>-1.1397733938339684E-2</v>
      </c>
      <c r="I4829" s="156"/>
    </row>
    <row r="4830" spans="2:9" x14ac:dyDescent="0.2">
      <c r="B4830" s="230">
        <v>38884</v>
      </c>
      <c r="C4830" s="124">
        <v>54.1</v>
      </c>
      <c r="D4830" s="156">
        <f t="shared" si="151"/>
        <v>-8.0674734140080261E-3</v>
      </c>
      <c r="E4830" s="156">
        <v>-3.3752860411899295E-2</v>
      </c>
      <c r="F4830" s="124">
        <v>4824</v>
      </c>
      <c r="G4830" s="238">
        <f t="shared" ca="1" si="152"/>
        <v>-2.0854899062789142E-2</v>
      </c>
      <c r="I4830" s="156"/>
    </row>
    <row r="4831" spans="2:9" x14ac:dyDescent="0.2">
      <c r="B4831" s="230">
        <v>38883</v>
      </c>
      <c r="C4831" s="124">
        <v>51.58</v>
      </c>
      <c r="D4831" s="156">
        <f t="shared" si="151"/>
        <v>-4.6580406654343862E-2</v>
      </c>
      <c r="E4831" s="156">
        <v>-3.3949835317962952E-2</v>
      </c>
      <c r="F4831" s="124">
        <v>4825</v>
      </c>
      <c r="G4831" s="238">
        <f t="shared" ca="1" si="152"/>
        <v>-1.2264037512114837E-2</v>
      </c>
      <c r="I4831" s="156"/>
    </row>
    <row r="4832" spans="2:9" x14ac:dyDescent="0.2">
      <c r="B4832" s="230">
        <v>38882</v>
      </c>
      <c r="C4832" s="124">
        <v>48.84</v>
      </c>
      <c r="D4832" s="156">
        <f t="shared" si="151"/>
        <v>-5.3121364870104597E-2</v>
      </c>
      <c r="E4832" s="156">
        <v>-3.4030057004664001E-2</v>
      </c>
      <c r="F4832" s="124">
        <v>4826</v>
      </c>
      <c r="G4832" s="238">
        <f t="shared" ca="1" si="152"/>
        <v>2.5785605672125456E-2</v>
      </c>
      <c r="I4832" s="156"/>
    </row>
    <row r="4833" spans="2:9" x14ac:dyDescent="0.2">
      <c r="B4833" s="230">
        <v>38881</v>
      </c>
      <c r="C4833" s="124">
        <v>48.48</v>
      </c>
      <c r="D4833" s="156">
        <f t="shared" si="151"/>
        <v>-7.371007371007504E-3</v>
      </c>
      <c r="E4833" s="156">
        <v>-3.415171545483163E-2</v>
      </c>
      <c r="F4833" s="124">
        <v>4827</v>
      </c>
      <c r="G4833" s="238">
        <f t="shared" ca="1" si="152"/>
        <v>-2.6936079441025471E-2</v>
      </c>
      <c r="I4833" s="156"/>
    </row>
    <row r="4834" spans="2:9" x14ac:dyDescent="0.2">
      <c r="B4834" s="230">
        <v>38880</v>
      </c>
      <c r="C4834" s="124">
        <v>51.18</v>
      </c>
      <c r="D4834" s="156">
        <f t="shared" si="151"/>
        <v>5.5693069306930756E-2</v>
      </c>
      <c r="E4834" s="156">
        <v>-3.4320639398213365E-2</v>
      </c>
      <c r="F4834" s="124">
        <v>4828</v>
      </c>
      <c r="G4834" s="238">
        <f t="shared" ca="1" si="152"/>
        <v>1.0164372591740991E-2</v>
      </c>
      <c r="I4834" s="156"/>
    </row>
    <row r="4835" spans="2:9" x14ac:dyDescent="0.2">
      <c r="B4835" s="230">
        <v>38877</v>
      </c>
      <c r="C4835" s="124">
        <v>53.2</v>
      </c>
      <c r="D4835" s="156">
        <f t="shared" si="151"/>
        <v>3.946854239937482E-2</v>
      </c>
      <c r="E4835" s="156">
        <v>-3.4413888462129387E-2</v>
      </c>
      <c r="F4835" s="124">
        <v>4829</v>
      </c>
      <c r="G4835" s="238">
        <f t="shared" ca="1" si="152"/>
        <v>1.2881484321209705E-2</v>
      </c>
      <c r="I4835" s="156"/>
    </row>
    <row r="4836" spans="2:9" x14ac:dyDescent="0.2">
      <c r="B4836" s="230">
        <v>38876</v>
      </c>
      <c r="C4836" s="124">
        <v>48.94</v>
      </c>
      <c r="D4836" s="156">
        <f t="shared" si="151"/>
        <v>-8.007518796992491E-2</v>
      </c>
      <c r="E4836" s="156">
        <v>-3.4572643709699494E-2</v>
      </c>
      <c r="F4836" s="124">
        <v>4830</v>
      </c>
      <c r="G4836" s="238">
        <f t="shared" ca="1" si="152"/>
        <v>2.9516660033363385E-3</v>
      </c>
      <c r="I4836" s="156"/>
    </row>
    <row r="4837" spans="2:9" x14ac:dyDescent="0.2">
      <c r="B4837" s="230">
        <v>38875</v>
      </c>
      <c r="C4837" s="124">
        <v>50.32</v>
      </c>
      <c r="D4837" s="156">
        <f t="shared" si="151"/>
        <v>2.8197793216183136E-2</v>
      </c>
      <c r="E4837" s="156">
        <v>-3.4815045073049451E-2</v>
      </c>
      <c r="F4837" s="124">
        <v>4831</v>
      </c>
      <c r="G4837" s="238">
        <f t="shared" ca="1" si="152"/>
        <v>7.1354116113495746E-3</v>
      </c>
      <c r="I4837" s="156"/>
    </row>
    <row r="4838" spans="2:9" x14ac:dyDescent="0.2">
      <c r="B4838" s="230">
        <v>38874</v>
      </c>
      <c r="C4838" s="124">
        <v>50.57</v>
      </c>
      <c r="D4838" s="156">
        <f t="shared" si="151"/>
        <v>4.9682034976152624E-3</v>
      </c>
      <c r="E4838" s="156">
        <v>-3.5079961677352722E-2</v>
      </c>
      <c r="F4838" s="124">
        <v>4832</v>
      </c>
      <c r="G4838" s="238">
        <f t="shared" ca="1" si="152"/>
        <v>-4.2672064300003316E-4</v>
      </c>
      <c r="I4838" s="156"/>
    </row>
    <row r="4839" spans="2:9" x14ac:dyDescent="0.2">
      <c r="B4839" s="230">
        <v>38873</v>
      </c>
      <c r="C4839" s="124">
        <v>53.05</v>
      </c>
      <c r="D4839" s="156">
        <f t="shared" si="151"/>
        <v>4.9040933359699362E-2</v>
      </c>
      <c r="E4839" s="156">
        <v>-3.5133507327845814E-2</v>
      </c>
      <c r="F4839" s="124">
        <v>4833</v>
      </c>
      <c r="G4839" s="238">
        <f t="shared" ca="1" si="152"/>
        <v>-1.7006271739095427E-2</v>
      </c>
      <c r="I4839" s="156"/>
    </row>
    <row r="4840" spans="2:9" x14ac:dyDescent="0.2">
      <c r="B4840" s="230">
        <v>38870</v>
      </c>
      <c r="C4840" s="124">
        <v>54.5</v>
      </c>
      <c r="D4840" s="156">
        <f t="shared" si="151"/>
        <v>2.7332704995287518E-2</v>
      </c>
      <c r="E4840" s="156">
        <v>-3.5139092240117131E-2</v>
      </c>
      <c r="F4840" s="124">
        <v>4834</v>
      </c>
      <c r="G4840" s="238">
        <f t="shared" ca="1" si="152"/>
        <v>-6.7827500303595314E-3</v>
      </c>
      <c r="I4840" s="156"/>
    </row>
    <row r="4841" spans="2:9" x14ac:dyDescent="0.2">
      <c r="B4841" s="230">
        <v>38869</v>
      </c>
      <c r="C4841" s="124">
        <v>53.09</v>
      </c>
      <c r="D4841" s="156">
        <f t="shared" si="151"/>
        <v>-2.5871559633027459E-2</v>
      </c>
      <c r="E4841" s="156">
        <v>-3.5627530364372439E-2</v>
      </c>
      <c r="F4841" s="124">
        <v>4835</v>
      </c>
      <c r="G4841" s="238">
        <f t="shared" ca="1" si="152"/>
        <v>1.3765885692238081E-2</v>
      </c>
      <c r="I4841" s="156"/>
    </row>
    <row r="4842" spans="2:9" x14ac:dyDescent="0.2">
      <c r="B4842" s="230">
        <v>38868</v>
      </c>
      <c r="C4842" s="124">
        <v>54.83</v>
      </c>
      <c r="D4842" s="156">
        <f t="shared" si="151"/>
        <v>3.2774533810510355E-2</v>
      </c>
      <c r="E4842" s="156">
        <v>-3.566878980891712E-2</v>
      </c>
      <c r="F4842" s="124">
        <v>4836</v>
      </c>
      <c r="G4842" s="238">
        <f t="shared" ca="1" si="152"/>
        <v>-2.510737766900552E-3</v>
      </c>
      <c r="I4842" s="156"/>
    </row>
    <row r="4843" spans="2:9" x14ac:dyDescent="0.2">
      <c r="B4843" s="230">
        <v>38867</v>
      </c>
      <c r="C4843" s="124">
        <v>58.51</v>
      </c>
      <c r="D4843" s="156">
        <f t="shared" si="151"/>
        <v>6.7116542039029725E-2</v>
      </c>
      <c r="E4843" s="156">
        <v>-3.5709329756232935E-2</v>
      </c>
      <c r="F4843" s="124">
        <v>4837</v>
      </c>
      <c r="G4843" s="238">
        <f t="shared" ca="1" si="152"/>
        <v>-3.7143454252651226E-3</v>
      </c>
      <c r="I4843" s="156"/>
    </row>
    <row r="4844" spans="2:9" x14ac:dyDescent="0.2">
      <c r="B4844" s="230">
        <v>38866</v>
      </c>
      <c r="C4844" s="124">
        <v>58.99</v>
      </c>
      <c r="D4844" s="156">
        <f t="shared" si="151"/>
        <v>8.2037258588276186E-3</v>
      </c>
      <c r="E4844" s="156">
        <v>-3.572057012141467E-2</v>
      </c>
      <c r="F4844" s="124">
        <v>4838</v>
      </c>
      <c r="G4844" s="238">
        <f t="shared" ca="1" si="152"/>
        <v>-7.6479713688412396E-3</v>
      </c>
      <c r="I4844" s="156"/>
    </row>
    <row r="4845" spans="2:9" x14ac:dyDescent="0.2">
      <c r="B4845" s="230">
        <v>38863</v>
      </c>
      <c r="C4845" s="124">
        <v>60.73</v>
      </c>
      <c r="D4845" s="156">
        <f t="shared" si="151"/>
        <v>2.9496524834717663E-2</v>
      </c>
      <c r="E4845" s="156">
        <v>-3.5730387736699905E-2</v>
      </c>
      <c r="F4845" s="124">
        <v>4839</v>
      </c>
      <c r="G4845" s="238">
        <f t="shared" ca="1" si="152"/>
        <v>-1.9456518499825076E-2</v>
      </c>
      <c r="I4845" s="156"/>
    </row>
    <row r="4846" spans="2:9" x14ac:dyDescent="0.2">
      <c r="B4846" s="230">
        <v>38862</v>
      </c>
      <c r="C4846" s="124">
        <v>60.13</v>
      </c>
      <c r="D4846" s="156">
        <f t="shared" si="151"/>
        <v>-9.8797958175530116E-3</v>
      </c>
      <c r="E4846" s="156">
        <v>-3.5835264753075503E-2</v>
      </c>
      <c r="F4846" s="124">
        <v>4840</v>
      </c>
      <c r="G4846" s="238">
        <f t="shared" ca="1" si="152"/>
        <v>1.3422644121392671E-2</v>
      </c>
      <c r="I4846" s="156"/>
    </row>
    <row r="4847" spans="2:9" x14ac:dyDescent="0.2">
      <c r="B4847" s="230">
        <v>38861</v>
      </c>
      <c r="C4847" s="124">
        <v>57.71</v>
      </c>
      <c r="D4847" s="156">
        <f t="shared" si="151"/>
        <v>-4.0246133377681716E-2</v>
      </c>
      <c r="E4847" s="156">
        <v>-3.5929117216712742E-2</v>
      </c>
      <c r="F4847" s="124">
        <v>4841</v>
      </c>
      <c r="G4847" s="238">
        <f t="shared" ca="1" si="152"/>
        <v>3.8529749762193418E-3</v>
      </c>
      <c r="I4847" s="156"/>
    </row>
    <row r="4848" spans="2:9" x14ac:dyDescent="0.2">
      <c r="B4848" s="230">
        <v>38860</v>
      </c>
      <c r="C4848" s="124">
        <v>59</v>
      </c>
      <c r="D4848" s="156">
        <f t="shared" si="151"/>
        <v>2.2353145035522423E-2</v>
      </c>
      <c r="E4848" s="156">
        <v>-3.6095653481726449E-2</v>
      </c>
      <c r="F4848" s="124">
        <v>4842</v>
      </c>
      <c r="G4848" s="238">
        <f t="shared" ca="1" si="152"/>
        <v>2.6917860969593848E-2</v>
      </c>
      <c r="I4848" s="156"/>
    </row>
    <row r="4849" spans="2:9" x14ac:dyDescent="0.2">
      <c r="B4849" s="230">
        <v>38859</v>
      </c>
      <c r="C4849" s="124">
        <v>56.87</v>
      </c>
      <c r="D4849" s="156">
        <f t="shared" si="151"/>
        <v>-3.6101694915254279E-2</v>
      </c>
      <c r="E4849" s="156">
        <v>-3.6101694915254279E-2</v>
      </c>
      <c r="F4849" s="124">
        <v>4843</v>
      </c>
      <c r="G4849" s="238">
        <f t="shared" ca="1" si="152"/>
        <v>-1.0481716524394015E-2</v>
      </c>
      <c r="I4849" s="156"/>
    </row>
    <row r="4850" spans="2:9" x14ac:dyDescent="0.2">
      <c r="B4850" s="230">
        <v>38856</v>
      </c>
      <c r="C4850" s="124">
        <v>59.63</v>
      </c>
      <c r="D4850" s="156">
        <f t="shared" si="151"/>
        <v>4.8531739053982857E-2</v>
      </c>
      <c r="E4850" s="156">
        <v>-3.6189924724956572E-2</v>
      </c>
      <c r="F4850" s="124">
        <v>4844</v>
      </c>
      <c r="G4850" s="238">
        <f t="shared" ca="1" si="152"/>
        <v>2.5431853930967981E-3</v>
      </c>
      <c r="I4850" s="156"/>
    </row>
    <row r="4851" spans="2:9" x14ac:dyDescent="0.2">
      <c r="B4851" s="230">
        <v>38855</v>
      </c>
      <c r="C4851" s="124">
        <v>63.36</v>
      </c>
      <c r="D4851" s="156">
        <f t="shared" si="151"/>
        <v>6.2552406506791822E-2</v>
      </c>
      <c r="E4851" s="156">
        <v>-3.6222295732715806E-2</v>
      </c>
      <c r="F4851" s="124">
        <v>4845</v>
      </c>
      <c r="G4851" s="238">
        <f t="shared" ca="1" si="152"/>
        <v>4.2947225627912233E-3</v>
      </c>
      <c r="I4851" s="156"/>
    </row>
    <row r="4852" spans="2:9" x14ac:dyDescent="0.2">
      <c r="B4852" s="230">
        <v>38854</v>
      </c>
      <c r="C4852" s="124">
        <v>67.72</v>
      </c>
      <c r="D4852" s="156">
        <f t="shared" si="151"/>
        <v>6.8813131313131298E-2</v>
      </c>
      <c r="E4852" s="156">
        <v>-3.6337209302325583E-2</v>
      </c>
      <c r="F4852" s="124">
        <v>4846</v>
      </c>
      <c r="G4852" s="238">
        <f t="shared" ca="1" si="152"/>
        <v>1.0993451296301273E-2</v>
      </c>
      <c r="I4852" s="156"/>
    </row>
    <row r="4853" spans="2:9" x14ac:dyDescent="0.2">
      <c r="B4853" s="230">
        <v>38853</v>
      </c>
      <c r="C4853" s="124">
        <v>64.569999999999993</v>
      </c>
      <c r="D4853" s="156">
        <f t="shared" si="151"/>
        <v>-4.6515062020082779E-2</v>
      </c>
      <c r="E4853" s="156">
        <v>-3.6421835798944611E-2</v>
      </c>
      <c r="F4853" s="124">
        <v>4847</v>
      </c>
      <c r="G4853" s="238">
        <f t="shared" ca="1" si="152"/>
        <v>-3.2659087267727774E-2</v>
      </c>
      <c r="I4853" s="156"/>
    </row>
    <row r="4854" spans="2:9" x14ac:dyDescent="0.2">
      <c r="B4854" s="230">
        <v>38852</v>
      </c>
      <c r="C4854" s="124">
        <v>63.31</v>
      </c>
      <c r="D4854" s="156">
        <f t="shared" si="151"/>
        <v>-1.9513706055443565E-2</v>
      </c>
      <c r="E4854" s="156">
        <v>-3.6436753594930649E-2</v>
      </c>
      <c r="F4854" s="124">
        <v>4848</v>
      </c>
      <c r="G4854" s="238">
        <f t="shared" ca="1" si="152"/>
        <v>-3.0757842207525336E-4</v>
      </c>
      <c r="I4854" s="156"/>
    </row>
    <row r="4855" spans="2:9" x14ac:dyDescent="0.2">
      <c r="B4855" s="230">
        <v>38849</v>
      </c>
      <c r="C4855" s="124">
        <v>66.790000000000006</v>
      </c>
      <c r="D4855" s="156">
        <f t="shared" si="151"/>
        <v>5.496761964934456E-2</v>
      </c>
      <c r="E4855" s="156">
        <v>-3.6533119909608731E-2</v>
      </c>
      <c r="F4855" s="124">
        <v>4849</v>
      </c>
      <c r="G4855" s="238">
        <f t="shared" ca="1" si="152"/>
        <v>-1.1641623380671663E-2</v>
      </c>
      <c r="I4855" s="156"/>
    </row>
    <row r="4856" spans="2:9" x14ac:dyDescent="0.2">
      <c r="B4856" s="230">
        <v>38848</v>
      </c>
      <c r="C4856" s="124">
        <v>67.540000000000006</v>
      </c>
      <c r="D4856" s="156">
        <f t="shared" si="151"/>
        <v>1.1229225932025751E-2</v>
      </c>
      <c r="E4856" s="156">
        <v>-3.65475607766357E-2</v>
      </c>
      <c r="F4856" s="124">
        <v>4850</v>
      </c>
      <c r="G4856" s="238">
        <f t="shared" ca="1" si="152"/>
        <v>2.6901459472821958E-2</v>
      </c>
      <c r="I4856" s="156"/>
    </row>
    <row r="4857" spans="2:9" x14ac:dyDescent="0.2">
      <c r="B4857" s="230">
        <v>38847</v>
      </c>
      <c r="C4857" s="124">
        <v>67.97</v>
      </c>
      <c r="D4857" s="156">
        <f t="shared" si="151"/>
        <v>6.3665975718091884E-3</v>
      </c>
      <c r="E4857" s="156">
        <v>-3.6612114054327682E-2</v>
      </c>
      <c r="F4857" s="124">
        <v>4851</v>
      </c>
      <c r="G4857" s="238">
        <f t="shared" ca="1" si="152"/>
        <v>-2.1259584709359208E-2</v>
      </c>
      <c r="I4857" s="156"/>
    </row>
    <row r="4858" spans="2:9" x14ac:dyDescent="0.2">
      <c r="B4858" s="230">
        <v>38846</v>
      </c>
      <c r="C4858" s="124">
        <v>68.400000000000006</v>
      </c>
      <c r="D4858" s="156">
        <f t="shared" si="151"/>
        <v>6.3263204354863448E-3</v>
      </c>
      <c r="E4858" s="156">
        <v>-3.6738978306507949E-2</v>
      </c>
      <c r="F4858" s="124">
        <v>4852</v>
      </c>
      <c r="G4858" s="238">
        <f t="shared" ca="1" si="152"/>
        <v>-4.8123838794395541E-3</v>
      </c>
      <c r="I4858" s="156"/>
    </row>
    <row r="4859" spans="2:9" x14ac:dyDescent="0.2">
      <c r="B4859" s="230">
        <v>38845</v>
      </c>
      <c r="C4859" s="124">
        <v>68.88</v>
      </c>
      <c r="D4859" s="156">
        <f t="shared" si="151"/>
        <v>7.0175438596489729E-3</v>
      </c>
      <c r="E4859" s="156">
        <v>-3.6847646262595714E-2</v>
      </c>
      <c r="F4859" s="124">
        <v>4853</v>
      </c>
      <c r="G4859" s="238">
        <f t="shared" ca="1" si="152"/>
        <v>1.1678356208795941E-2</v>
      </c>
      <c r="I4859" s="156"/>
    </row>
    <row r="4860" spans="2:9" x14ac:dyDescent="0.2">
      <c r="B4860" s="230">
        <v>38842</v>
      </c>
      <c r="C4860" s="124">
        <v>69.099999999999994</v>
      </c>
      <c r="D4860" s="156">
        <f t="shared" si="151"/>
        <v>3.1939605110336655E-3</v>
      </c>
      <c r="E4860" s="156">
        <v>-3.6858046412186443E-2</v>
      </c>
      <c r="F4860" s="124">
        <v>4854</v>
      </c>
      <c r="G4860" s="238">
        <f t="shared" ca="1" si="152"/>
        <v>1.3690099227537876E-2</v>
      </c>
      <c r="I4860" s="156"/>
    </row>
    <row r="4861" spans="2:9" x14ac:dyDescent="0.2">
      <c r="B4861" s="230">
        <v>38841</v>
      </c>
      <c r="C4861" s="124">
        <v>69.41</v>
      </c>
      <c r="D4861" s="156">
        <f t="shared" si="151"/>
        <v>4.4862518089725367E-3</v>
      </c>
      <c r="E4861" s="156">
        <v>-3.6858974358974242E-2</v>
      </c>
      <c r="F4861" s="124">
        <v>4855</v>
      </c>
      <c r="G4861" s="238">
        <f t="shared" ca="1" si="152"/>
        <v>3.3008513767516894E-3</v>
      </c>
      <c r="I4861" s="156"/>
    </row>
    <row r="4862" spans="2:9" x14ac:dyDescent="0.2">
      <c r="B4862" s="230">
        <v>38840</v>
      </c>
      <c r="C4862" s="124">
        <v>69.25</v>
      </c>
      <c r="D4862" s="156">
        <f t="shared" ref="D4862:D4925" si="153">(C4862-C4861)/C4861</f>
        <v>-2.3051433511020974E-3</v>
      </c>
      <c r="E4862" s="156">
        <v>-3.6913183279742821E-2</v>
      </c>
      <c r="F4862" s="124">
        <v>4856</v>
      </c>
      <c r="G4862" s="238">
        <f t="shared" ca="1" si="152"/>
        <v>-1.2359793957955945E-2</v>
      </c>
      <c r="I4862" s="156"/>
    </row>
    <row r="4863" spans="2:9" x14ac:dyDescent="0.2">
      <c r="B4863" s="230">
        <v>38839</v>
      </c>
      <c r="C4863" s="124">
        <v>68.78</v>
      </c>
      <c r="D4863" s="156">
        <f t="shared" si="153"/>
        <v>-6.7870036101082866E-3</v>
      </c>
      <c r="E4863" s="156">
        <v>-3.7231577321180147E-2</v>
      </c>
      <c r="F4863" s="124">
        <v>4857</v>
      </c>
      <c r="G4863" s="238">
        <f t="shared" ca="1" si="152"/>
        <v>3.8733565005875086E-3</v>
      </c>
      <c r="I4863" s="156"/>
    </row>
    <row r="4864" spans="2:9" x14ac:dyDescent="0.2">
      <c r="B4864" s="230">
        <v>38836</v>
      </c>
      <c r="C4864" s="124">
        <v>67.540000000000006</v>
      </c>
      <c r="D4864" s="156">
        <f t="shared" si="153"/>
        <v>-1.8028496656004579E-2</v>
      </c>
      <c r="E4864" s="156">
        <v>-3.7242731133616487E-2</v>
      </c>
      <c r="F4864" s="124">
        <v>4858</v>
      </c>
      <c r="G4864" s="238">
        <f t="shared" ca="1" si="152"/>
        <v>3.1269195648226458E-3</v>
      </c>
      <c r="I4864" s="156"/>
    </row>
    <row r="4865" spans="2:9" x14ac:dyDescent="0.2">
      <c r="B4865" s="230">
        <v>38835</v>
      </c>
      <c r="C4865" s="124">
        <v>66.59</v>
      </c>
      <c r="D4865" s="156">
        <f t="shared" si="153"/>
        <v>-1.4065738821439189E-2</v>
      </c>
      <c r="E4865" s="156">
        <v>-3.7319762510602254E-2</v>
      </c>
      <c r="F4865" s="124">
        <v>4859</v>
      </c>
      <c r="G4865" s="238">
        <f t="shared" ca="1" si="152"/>
        <v>-1.2201610783926103E-2</v>
      </c>
      <c r="I4865" s="156"/>
    </row>
    <row r="4866" spans="2:9" x14ac:dyDescent="0.2">
      <c r="B4866" s="230">
        <v>38834</v>
      </c>
      <c r="C4866" s="124">
        <v>67.22</v>
      </c>
      <c r="D4866" s="156">
        <f t="shared" si="153"/>
        <v>9.4608800120137473E-3</v>
      </c>
      <c r="E4866" s="156">
        <v>-3.7329005332715097E-2</v>
      </c>
      <c r="F4866" s="124">
        <v>4860</v>
      </c>
      <c r="G4866" s="238">
        <f t="shared" ca="1" si="152"/>
        <v>1.8384291699146751E-2</v>
      </c>
      <c r="I4866" s="156"/>
    </row>
    <row r="4867" spans="2:9" x14ac:dyDescent="0.2">
      <c r="B4867" s="230">
        <v>38833</v>
      </c>
      <c r="C4867" s="124">
        <v>66.81</v>
      </c>
      <c r="D4867" s="156">
        <f t="shared" si="153"/>
        <v>-6.0993751859565095E-3</v>
      </c>
      <c r="E4867" s="156">
        <v>-3.7432413697490487E-2</v>
      </c>
      <c r="F4867" s="124">
        <v>4861</v>
      </c>
      <c r="G4867" s="238">
        <f t="shared" ca="1" si="152"/>
        <v>1.5228947675679309E-2</v>
      </c>
      <c r="I4867" s="156"/>
    </row>
    <row r="4868" spans="2:9" x14ac:dyDescent="0.2">
      <c r="B4868" s="230">
        <v>38832</v>
      </c>
      <c r="C4868" s="124">
        <v>65.400000000000006</v>
      </c>
      <c r="D4868" s="156">
        <f t="shared" si="153"/>
        <v>-2.110462505612927E-2</v>
      </c>
      <c r="E4868" s="156">
        <v>-3.7506745817593182E-2</v>
      </c>
      <c r="F4868" s="124">
        <v>4862</v>
      </c>
      <c r="G4868" s="238">
        <f t="shared" ca="1" si="152"/>
        <v>1.0219109112802723E-4</v>
      </c>
      <c r="I4868" s="156"/>
    </row>
    <row r="4869" spans="2:9" x14ac:dyDescent="0.2">
      <c r="B4869" s="230">
        <v>38831</v>
      </c>
      <c r="C4869" s="124">
        <v>67.459999999999994</v>
      </c>
      <c r="D4869" s="156">
        <f t="shared" si="153"/>
        <v>3.1498470948012045E-2</v>
      </c>
      <c r="E4869" s="156">
        <v>-3.7778949218063587E-2</v>
      </c>
      <c r="F4869" s="124">
        <v>4863</v>
      </c>
      <c r="G4869" s="238">
        <f t="shared" ca="1" si="152"/>
        <v>1.7709614500847039E-2</v>
      </c>
      <c r="I4869" s="156"/>
    </row>
    <row r="4870" spans="2:9" x14ac:dyDescent="0.2">
      <c r="B4870" s="230">
        <v>38828</v>
      </c>
      <c r="C4870" s="124">
        <v>66.430000000000007</v>
      </c>
      <c r="D4870" s="156">
        <f t="shared" si="153"/>
        <v>-1.5268307144974607E-2</v>
      </c>
      <c r="E4870" s="156">
        <v>-3.7785105798296234E-2</v>
      </c>
      <c r="F4870" s="124">
        <v>4864</v>
      </c>
      <c r="G4870" s="238">
        <f t="shared" ca="1" si="152"/>
        <v>-3.4165142780852448E-3</v>
      </c>
      <c r="I4870" s="156"/>
    </row>
    <row r="4871" spans="2:9" x14ac:dyDescent="0.2">
      <c r="B4871" s="230">
        <v>38827</v>
      </c>
      <c r="C4871" s="124">
        <v>66.489999999999995</v>
      </c>
      <c r="D4871" s="156">
        <f t="shared" si="153"/>
        <v>9.0320638265825766E-4</v>
      </c>
      <c r="E4871" s="156">
        <v>-3.7786561264822147E-2</v>
      </c>
      <c r="F4871" s="124">
        <v>4865</v>
      </c>
      <c r="G4871" s="238">
        <f t="shared" ref="G4871:G4934" ca="1" si="154">_xlfn.NORM.INV(RAND(),$L$8,$L$9)</f>
        <v>4.109585588776167E-2</v>
      </c>
      <c r="I4871" s="156"/>
    </row>
    <row r="4872" spans="2:9" x14ac:dyDescent="0.2">
      <c r="B4872" s="230">
        <v>38826</v>
      </c>
      <c r="C4872" s="124">
        <v>65.75</v>
      </c>
      <c r="D4872" s="156">
        <f t="shared" si="153"/>
        <v>-1.1129493156865618E-2</v>
      </c>
      <c r="E4872" s="156">
        <v>-3.7811515325121815E-2</v>
      </c>
      <c r="F4872" s="124">
        <v>4866</v>
      </c>
      <c r="G4872" s="238">
        <f t="shared" ca="1" si="154"/>
        <v>-5.4672348355708405E-3</v>
      </c>
      <c r="I4872" s="156"/>
    </row>
    <row r="4873" spans="2:9" x14ac:dyDescent="0.2">
      <c r="B4873" s="230">
        <v>38825</v>
      </c>
      <c r="C4873" s="124">
        <v>65.569999999999993</v>
      </c>
      <c r="D4873" s="156">
        <f t="shared" si="153"/>
        <v>-2.7376425855514344E-3</v>
      </c>
      <c r="E4873" s="156">
        <v>-3.7842190016103082E-2</v>
      </c>
      <c r="F4873" s="124">
        <v>4867</v>
      </c>
      <c r="G4873" s="238">
        <f t="shared" ca="1" si="154"/>
        <v>1.2454926859315977E-3</v>
      </c>
      <c r="I4873" s="156"/>
    </row>
    <row r="4874" spans="2:9" x14ac:dyDescent="0.2">
      <c r="B4874" s="230">
        <v>38824</v>
      </c>
      <c r="C4874" s="124">
        <v>63.96</v>
      </c>
      <c r="D4874" s="156">
        <f t="shared" si="153"/>
        <v>-2.4553911849931255E-2</v>
      </c>
      <c r="E4874" s="156">
        <v>-3.7883242335153222E-2</v>
      </c>
      <c r="F4874" s="124">
        <v>4868</v>
      </c>
      <c r="G4874" s="238">
        <f t="shared" ca="1" si="154"/>
        <v>-2.3505643554829262E-2</v>
      </c>
      <c r="I4874" s="156"/>
    </row>
    <row r="4875" spans="2:9" x14ac:dyDescent="0.2">
      <c r="B4875" s="230">
        <v>38820</v>
      </c>
      <c r="C4875" s="124">
        <v>62.6</v>
      </c>
      <c r="D4875" s="156">
        <f t="shared" si="153"/>
        <v>-2.1263289555972474E-2</v>
      </c>
      <c r="E4875" s="156">
        <v>-3.8144439333357025E-2</v>
      </c>
      <c r="F4875" s="124">
        <v>4869</v>
      </c>
      <c r="G4875" s="238">
        <f t="shared" ca="1" si="154"/>
        <v>1.940961608543907E-2</v>
      </c>
      <c r="I4875" s="156"/>
    </row>
    <row r="4876" spans="2:9" x14ac:dyDescent="0.2">
      <c r="B4876" s="230">
        <v>38819</v>
      </c>
      <c r="C4876" s="124">
        <v>63.71</v>
      </c>
      <c r="D4876" s="156">
        <f t="shared" si="153"/>
        <v>1.7731629392971238E-2</v>
      </c>
      <c r="E4876" s="156">
        <v>-3.8166544923301612E-2</v>
      </c>
      <c r="F4876" s="124">
        <v>4870</v>
      </c>
      <c r="G4876" s="238">
        <f t="shared" ca="1" si="154"/>
        <v>-9.2734040257763869E-3</v>
      </c>
      <c r="I4876" s="156"/>
    </row>
    <row r="4877" spans="2:9" x14ac:dyDescent="0.2">
      <c r="B4877" s="230">
        <v>38817</v>
      </c>
      <c r="C4877" s="124">
        <v>66</v>
      </c>
      <c r="D4877" s="156">
        <f t="shared" si="153"/>
        <v>3.5944121801914912E-2</v>
      </c>
      <c r="E4877" s="156">
        <v>-3.8305190744215178E-2</v>
      </c>
      <c r="F4877" s="124">
        <v>4871</v>
      </c>
      <c r="G4877" s="238">
        <f t="shared" ca="1" si="154"/>
        <v>1.5336675177974039E-2</v>
      </c>
      <c r="I4877" s="156"/>
    </row>
    <row r="4878" spans="2:9" x14ac:dyDescent="0.2">
      <c r="B4878" s="230">
        <v>38814</v>
      </c>
      <c r="C4878" s="124">
        <v>66.180000000000007</v>
      </c>
      <c r="D4878" s="156">
        <f t="shared" si="153"/>
        <v>2.7272727272728307E-3</v>
      </c>
      <c r="E4878" s="156">
        <v>-3.8314906595501297E-2</v>
      </c>
      <c r="F4878" s="124">
        <v>4872</v>
      </c>
      <c r="G4878" s="238">
        <f t="shared" ca="1" si="154"/>
        <v>1.4604143408428661E-2</v>
      </c>
      <c r="I4878" s="156"/>
    </row>
    <row r="4879" spans="2:9" x14ac:dyDescent="0.2">
      <c r="B4879" s="230">
        <v>38812</v>
      </c>
      <c r="C4879" s="124">
        <v>68.28</v>
      </c>
      <c r="D4879" s="156">
        <f t="shared" si="153"/>
        <v>3.1731640979147692E-2</v>
      </c>
      <c r="E4879" s="156">
        <v>-3.8666951506088489E-2</v>
      </c>
      <c r="F4879" s="124">
        <v>4873</v>
      </c>
      <c r="G4879" s="238">
        <f t="shared" ca="1" si="154"/>
        <v>-7.5709863994699034E-3</v>
      </c>
      <c r="I4879" s="156"/>
    </row>
    <row r="4880" spans="2:9" x14ac:dyDescent="0.2">
      <c r="B4880" s="230">
        <v>38811</v>
      </c>
      <c r="C4880" s="124">
        <v>67.64</v>
      </c>
      <c r="D4880" s="156">
        <f t="shared" si="153"/>
        <v>-9.3731693028705418E-3</v>
      </c>
      <c r="E4880" s="156">
        <v>-3.8937040784900324E-2</v>
      </c>
      <c r="F4880" s="124">
        <v>4874</v>
      </c>
      <c r="G4880" s="238">
        <f t="shared" ca="1" si="154"/>
        <v>-2.0825324519847317E-2</v>
      </c>
      <c r="I4880" s="156"/>
    </row>
    <row r="4881" spans="2:9" x14ac:dyDescent="0.2">
      <c r="B4881" s="230">
        <v>38810</v>
      </c>
      <c r="C4881" s="124">
        <v>66.05</v>
      </c>
      <c r="D4881" s="156">
        <f t="shared" si="153"/>
        <v>-2.3506800709639317E-2</v>
      </c>
      <c r="E4881" s="156">
        <v>-3.9110429447852826E-2</v>
      </c>
      <c r="F4881" s="124">
        <v>4875</v>
      </c>
      <c r="G4881" s="238">
        <f t="shared" ca="1" si="154"/>
        <v>-2.1331182231047578E-2</v>
      </c>
      <c r="I4881" s="156"/>
    </row>
    <row r="4882" spans="2:9" x14ac:dyDescent="0.2">
      <c r="B4882" s="230">
        <v>38807</v>
      </c>
      <c r="C4882" s="124">
        <v>64.69</v>
      </c>
      <c r="D4882" s="156">
        <f t="shared" si="153"/>
        <v>-2.0590461771385307E-2</v>
      </c>
      <c r="E4882" s="156">
        <v>-3.9361826016070918E-2</v>
      </c>
      <c r="F4882" s="124">
        <v>4876</v>
      </c>
      <c r="G4882" s="238">
        <f t="shared" ca="1" si="154"/>
        <v>1.0897767337257974E-2</v>
      </c>
      <c r="I4882" s="156"/>
    </row>
    <row r="4883" spans="2:9" x14ac:dyDescent="0.2">
      <c r="B4883" s="230">
        <v>38806</v>
      </c>
      <c r="C4883" s="124">
        <v>66.489999999999995</v>
      </c>
      <c r="D4883" s="156">
        <f t="shared" si="153"/>
        <v>2.7825011593754789E-2</v>
      </c>
      <c r="E4883" s="156">
        <v>-3.9382650345928666E-2</v>
      </c>
      <c r="F4883" s="124">
        <v>4877</v>
      </c>
      <c r="G4883" s="238">
        <f t="shared" ca="1" si="154"/>
        <v>-6.8572066503670946E-3</v>
      </c>
      <c r="I4883" s="156"/>
    </row>
    <row r="4884" spans="2:9" x14ac:dyDescent="0.2">
      <c r="B4884" s="230">
        <v>38805</v>
      </c>
      <c r="C4884" s="124">
        <v>64.040000000000006</v>
      </c>
      <c r="D4884" s="156">
        <f t="shared" si="153"/>
        <v>-3.6847646262595714E-2</v>
      </c>
      <c r="E4884" s="156">
        <v>-3.9383396153474463E-2</v>
      </c>
      <c r="F4884" s="124">
        <v>4878</v>
      </c>
      <c r="G4884" s="238">
        <f t="shared" ca="1" si="154"/>
        <v>2.5125207697179203E-3</v>
      </c>
      <c r="I4884" s="156"/>
    </row>
    <row r="4885" spans="2:9" x14ac:dyDescent="0.2">
      <c r="B4885" s="230">
        <v>38804</v>
      </c>
      <c r="C4885" s="124">
        <v>63.98</v>
      </c>
      <c r="D4885" s="156">
        <f t="shared" si="153"/>
        <v>-9.3691442848234505E-4</v>
      </c>
      <c r="E4885" s="156">
        <v>-3.9753466872110871E-2</v>
      </c>
      <c r="F4885" s="124">
        <v>4879</v>
      </c>
      <c r="G4885" s="238">
        <f t="shared" ca="1" si="154"/>
        <v>-3.6434677020018721E-2</v>
      </c>
      <c r="I4885" s="156"/>
    </row>
    <row r="4886" spans="2:9" x14ac:dyDescent="0.2">
      <c r="B4886" s="230">
        <v>38803</v>
      </c>
      <c r="C4886" s="124">
        <v>63.96</v>
      </c>
      <c r="D4886" s="156">
        <f t="shared" si="153"/>
        <v>-3.1259768677705565E-4</v>
      </c>
      <c r="E4886" s="156">
        <v>-3.9765319426336342E-2</v>
      </c>
      <c r="F4886" s="124">
        <v>4880</v>
      </c>
      <c r="G4886" s="238">
        <f t="shared" ca="1" si="154"/>
        <v>7.8030536371038019E-3</v>
      </c>
      <c r="I4886" s="156"/>
    </row>
    <row r="4887" spans="2:9" x14ac:dyDescent="0.2">
      <c r="B4887" s="230">
        <v>38800</v>
      </c>
      <c r="C4887" s="124">
        <v>61.51</v>
      </c>
      <c r="D4887" s="156">
        <f t="shared" si="153"/>
        <v>-3.8305190744215178E-2</v>
      </c>
      <c r="E4887" s="156">
        <v>-3.9987882459860784E-2</v>
      </c>
      <c r="F4887" s="124">
        <v>4881</v>
      </c>
      <c r="G4887" s="238">
        <f t="shared" ca="1" si="154"/>
        <v>-6.4527293039758104E-4</v>
      </c>
      <c r="I4887" s="156"/>
    </row>
    <row r="4888" spans="2:9" x14ac:dyDescent="0.2">
      <c r="B4888" s="230">
        <v>38799</v>
      </c>
      <c r="C4888" s="124">
        <v>59.3</v>
      </c>
      <c r="D4888" s="156">
        <f t="shared" si="153"/>
        <v>-3.5929117216712742E-2</v>
      </c>
      <c r="E4888" s="156">
        <v>-4.0024937655860446E-2</v>
      </c>
      <c r="F4888" s="124">
        <v>4882</v>
      </c>
      <c r="G4888" s="238">
        <f t="shared" ca="1" si="154"/>
        <v>1.3146747626924351E-2</v>
      </c>
      <c r="I4888" s="156"/>
    </row>
    <row r="4889" spans="2:9" x14ac:dyDescent="0.2">
      <c r="B4889" s="230">
        <v>38798</v>
      </c>
      <c r="C4889" s="124">
        <v>58.64</v>
      </c>
      <c r="D4889" s="156">
        <f t="shared" si="153"/>
        <v>-1.112984822934227E-2</v>
      </c>
      <c r="E4889" s="156">
        <v>-4.0045334340763107E-2</v>
      </c>
      <c r="F4889" s="124">
        <v>4883</v>
      </c>
      <c r="G4889" s="238">
        <f t="shared" ca="1" si="154"/>
        <v>-1.7840229154362969E-2</v>
      </c>
      <c r="I4889" s="156"/>
    </row>
    <row r="4890" spans="2:9" x14ac:dyDescent="0.2">
      <c r="B4890" s="230">
        <v>38797</v>
      </c>
      <c r="C4890" s="124">
        <v>59.19</v>
      </c>
      <c r="D4890" s="156">
        <f t="shared" si="153"/>
        <v>9.379263301500634E-3</v>
      </c>
      <c r="E4890" s="156">
        <v>-4.0170307293595046E-2</v>
      </c>
      <c r="F4890" s="124">
        <v>4884</v>
      </c>
      <c r="G4890" s="238">
        <f t="shared" ca="1" si="154"/>
        <v>-6.0297691590562455E-3</v>
      </c>
      <c r="I4890" s="156"/>
    </row>
    <row r="4891" spans="2:9" x14ac:dyDescent="0.2">
      <c r="B4891" s="230">
        <v>38796</v>
      </c>
      <c r="C4891" s="124">
        <v>58.74</v>
      </c>
      <c r="D4891" s="156">
        <f t="shared" si="153"/>
        <v>-7.6026355803344445E-3</v>
      </c>
      <c r="E4891" s="156">
        <v>-4.0246133377681716E-2</v>
      </c>
      <c r="F4891" s="124">
        <v>4885</v>
      </c>
      <c r="G4891" s="238">
        <f t="shared" ca="1" si="154"/>
        <v>-2.0402770915238747E-2</v>
      </c>
      <c r="I4891" s="156"/>
    </row>
    <row r="4892" spans="2:9" x14ac:dyDescent="0.2">
      <c r="B4892" s="230">
        <v>38793</v>
      </c>
      <c r="C4892" s="124">
        <v>58.19</v>
      </c>
      <c r="D4892" s="156">
        <f t="shared" si="153"/>
        <v>-9.3632958801498842E-3</v>
      </c>
      <c r="E4892" s="156">
        <v>-4.0454419506788603E-2</v>
      </c>
      <c r="F4892" s="124">
        <v>4886</v>
      </c>
      <c r="G4892" s="238">
        <f t="shared" ca="1" si="154"/>
        <v>-1.5372069229329748E-2</v>
      </c>
      <c r="I4892" s="156"/>
    </row>
    <row r="4893" spans="2:9" x14ac:dyDescent="0.2">
      <c r="B4893" s="230">
        <v>38792</v>
      </c>
      <c r="C4893" s="124">
        <v>57.54</v>
      </c>
      <c r="D4893" s="156">
        <f t="shared" si="153"/>
        <v>-1.117030417597523E-2</v>
      </c>
      <c r="E4893" s="156">
        <v>-4.059829059829053E-2</v>
      </c>
      <c r="F4893" s="124">
        <v>4887</v>
      </c>
      <c r="G4893" s="238">
        <f t="shared" ca="1" si="154"/>
        <v>1.4279620757244286E-2</v>
      </c>
      <c r="I4893" s="156"/>
    </row>
    <row r="4894" spans="2:9" x14ac:dyDescent="0.2">
      <c r="B4894" s="230">
        <v>38790</v>
      </c>
      <c r="C4894" s="124">
        <v>58.31</v>
      </c>
      <c r="D4894" s="156">
        <f t="shared" si="153"/>
        <v>1.3381995133820006E-2</v>
      </c>
      <c r="E4894" s="156">
        <v>-4.0660423854115328E-2</v>
      </c>
      <c r="F4894" s="124">
        <v>4888</v>
      </c>
      <c r="G4894" s="238">
        <f t="shared" ca="1" si="154"/>
        <v>1.7126094704643137E-2</v>
      </c>
      <c r="I4894" s="156"/>
    </row>
    <row r="4895" spans="2:9" x14ac:dyDescent="0.2">
      <c r="B4895" s="230">
        <v>38789</v>
      </c>
      <c r="C4895" s="124">
        <v>58.04</v>
      </c>
      <c r="D4895" s="156">
        <f t="shared" si="153"/>
        <v>-4.6304235980106859E-3</v>
      </c>
      <c r="E4895" s="156">
        <v>-4.0929495642989172E-2</v>
      </c>
      <c r="F4895" s="124">
        <v>4889</v>
      </c>
      <c r="G4895" s="238">
        <f t="shared" ca="1" si="154"/>
        <v>-4.1328626619778645E-2</v>
      </c>
      <c r="I4895" s="156"/>
    </row>
    <row r="4896" spans="2:9" x14ac:dyDescent="0.2">
      <c r="B4896" s="230">
        <v>38786</v>
      </c>
      <c r="C4896" s="124">
        <v>59</v>
      </c>
      <c r="D4896" s="156">
        <f t="shared" si="153"/>
        <v>1.6540317022742952E-2</v>
      </c>
      <c r="E4896" s="156">
        <v>-4.1666666666666567E-2</v>
      </c>
      <c r="F4896" s="124">
        <v>4890</v>
      </c>
      <c r="G4896" s="238">
        <f t="shared" ca="1" si="154"/>
        <v>5.5763166078266523E-3</v>
      </c>
      <c r="I4896" s="156"/>
    </row>
    <row r="4897" spans="2:9" x14ac:dyDescent="0.2">
      <c r="B4897" s="230">
        <v>38785</v>
      </c>
      <c r="C4897" s="124">
        <v>57.4</v>
      </c>
      <c r="D4897" s="156">
        <f t="shared" si="153"/>
        <v>-2.7118644067796634E-2</v>
      </c>
      <c r="E4897" s="156">
        <v>-4.2188058634250972E-2</v>
      </c>
      <c r="F4897" s="124">
        <v>4891</v>
      </c>
      <c r="G4897" s="238">
        <f t="shared" ca="1" si="154"/>
        <v>1.5305374812399505E-2</v>
      </c>
      <c r="I4897" s="156"/>
    </row>
    <row r="4898" spans="2:9" x14ac:dyDescent="0.2">
      <c r="B4898" s="230">
        <v>38784</v>
      </c>
      <c r="C4898" s="124">
        <v>57.63</v>
      </c>
      <c r="D4898" s="156">
        <f t="shared" si="153"/>
        <v>4.0069686411150522E-3</v>
      </c>
      <c r="E4898" s="156">
        <v>-4.2402826855123678E-2</v>
      </c>
      <c r="F4898" s="124">
        <v>4892</v>
      </c>
      <c r="G4898" s="238">
        <f t="shared" ca="1" si="154"/>
        <v>-7.369253919256951E-3</v>
      </c>
      <c r="I4898" s="156"/>
    </row>
    <row r="4899" spans="2:9" x14ac:dyDescent="0.2">
      <c r="B4899" s="230">
        <v>38783</v>
      </c>
      <c r="C4899" s="124">
        <v>58.95</v>
      </c>
      <c r="D4899" s="156">
        <f t="shared" si="153"/>
        <v>2.2904737116085375E-2</v>
      </c>
      <c r="E4899" s="156">
        <v>-4.2613352016815063E-2</v>
      </c>
      <c r="F4899" s="124">
        <v>4893</v>
      </c>
      <c r="G4899" s="238">
        <f t="shared" ca="1" si="154"/>
        <v>-3.4192073182110088E-3</v>
      </c>
      <c r="I4899" s="156"/>
    </row>
    <row r="4900" spans="2:9" x14ac:dyDescent="0.2">
      <c r="B4900" s="230">
        <v>38782</v>
      </c>
      <c r="C4900" s="124">
        <v>59.14</v>
      </c>
      <c r="D4900" s="156">
        <f t="shared" si="153"/>
        <v>3.2230703986428789E-3</v>
      </c>
      <c r="E4900" s="156">
        <v>-4.2727882037533464E-2</v>
      </c>
      <c r="F4900" s="124">
        <v>4894</v>
      </c>
      <c r="G4900" s="238">
        <f t="shared" ca="1" si="154"/>
        <v>1.3859614195296363E-2</v>
      </c>
      <c r="I4900" s="156"/>
    </row>
    <row r="4901" spans="2:9" x14ac:dyDescent="0.2">
      <c r="B4901" s="230">
        <v>38779</v>
      </c>
      <c r="C4901" s="124">
        <v>57.76</v>
      </c>
      <c r="D4901" s="156">
        <f t="shared" si="153"/>
        <v>-2.3334460601961489E-2</v>
      </c>
      <c r="E4901" s="156">
        <v>-4.2733533462828918E-2</v>
      </c>
      <c r="F4901" s="124">
        <v>4895</v>
      </c>
      <c r="G4901" s="238">
        <f t="shared" ca="1" si="154"/>
        <v>1.3682071890850489E-2</v>
      </c>
      <c r="I4901" s="156"/>
    </row>
    <row r="4902" spans="2:9" x14ac:dyDescent="0.2">
      <c r="B4902" s="230">
        <v>38778</v>
      </c>
      <c r="C4902" s="124">
        <v>58.57</v>
      </c>
      <c r="D4902" s="156">
        <f t="shared" si="153"/>
        <v>1.4023545706371231E-2</v>
      </c>
      <c r="E4902" s="156">
        <v>-4.2819928362097075E-2</v>
      </c>
      <c r="F4902" s="124">
        <v>4896</v>
      </c>
      <c r="G4902" s="238">
        <f t="shared" ca="1" si="154"/>
        <v>9.3077029452030523E-3</v>
      </c>
      <c r="I4902" s="156"/>
    </row>
    <row r="4903" spans="2:9" x14ac:dyDescent="0.2">
      <c r="B4903" s="230">
        <v>38777</v>
      </c>
      <c r="C4903" s="124">
        <v>57.63</v>
      </c>
      <c r="D4903" s="156">
        <f t="shared" si="153"/>
        <v>-1.604917193102267E-2</v>
      </c>
      <c r="E4903" s="156">
        <v>-4.3010752688171922E-2</v>
      </c>
      <c r="F4903" s="124">
        <v>4897</v>
      </c>
      <c r="G4903" s="238">
        <f t="shared" ca="1" si="154"/>
        <v>3.3222109167673408E-3</v>
      </c>
      <c r="I4903" s="156"/>
    </row>
    <row r="4904" spans="2:9" x14ac:dyDescent="0.2">
      <c r="B4904" s="230">
        <v>38776</v>
      </c>
      <c r="C4904" s="124">
        <v>57.16</v>
      </c>
      <c r="D4904" s="156">
        <f t="shared" si="153"/>
        <v>-8.1554745792123198E-3</v>
      </c>
      <c r="E4904" s="156">
        <v>-4.3178313448583666E-2</v>
      </c>
      <c r="F4904" s="124">
        <v>4898</v>
      </c>
      <c r="G4904" s="238">
        <f t="shared" ca="1" si="154"/>
        <v>2.3288150480491043E-2</v>
      </c>
      <c r="I4904" s="156"/>
    </row>
    <row r="4905" spans="2:9" x14ac:dyDescent="0.2">
      <c r="B4905" s="230">
        <v>38775</v>
      </c>
      <c r="C4905" s="124">
        <v>55.06</v>
      </c>
      <c r="D4905" s="156">
        <f t="shared" si="153"/>
        <v>-3.6738978306507949E-2</v>
      </c>
      <c r="E4905" s="156">
        <v>-4.3253489574358053E-2</v>
      </c>
      <c r="F4905" s="124">
        <v>4899</v>
      </c>
      <c r="G4905" s="238">
        <f t="shared" ca="1" si="154"/>
        <v>1.8486165869040047E-2</v>
      </c>
      <c r="I4905" s="156"/>
    </row>
    <row r="4906" spans="2:9" x14ac:dyDescent="0.2">
      <c r="B4906" s="230">
        <v>38772</v>
      </c>
      <c r="C4906" s="124">
        <v>54.2</v>
      </c>
      <c r="D4906" s="156">
        <f t="shared" si="153"/>
        <v>-1.5619324373410813E-2</v>
      </c>
      <c r="E4906" s="156">
        <v>-4.4392523364486056E-2</v>
      </c>
      <c r="F4906" s="124">
        <v>4900</v>
      </c>
      <c r="G4906" s="238">
        <f t="shared" ca="1" si="154"/>
        <v>1.1253403356040624E-2</v>
      </c>
      <c r="I4906" s="156"/>
    </row>
    <row r="4907" spans="2:9" x14ac:dyDescent="0.2">
      <c r="B4907" s="230">
        <v>38771</v>
      </c>
      <c r="C4907" s="124">
        <v>55.03</v>
      </c>
      <c r="D4907" s="156">
        <f t="shared" si="153"/>
        <v>1.5313653136531333E-2</v>
      </c>
      <c r="E4907" s="156">
        <v>-4.5425176278899949E-2</v>
      </c>
      <c r="F4907" s="124">
        <v>4901</v>
      </c>
      <c r="G4907" s="238">
        <f t="shared" ca="1" si="154"/>
        <v>8.6463919210541251E-3</v>
      </c>
      <c r="I4907" s="156"/>
    </row>
    <row r="4908" spans="2:9" x14ac:dyDescent="0.2">
      <c r="B4908" s="230">
        <v>38770</v>
      </c>
      <c r="C4908" s="124">
        <v>54.23</v>
      </c>
      <c r="D4908" s="156">
        <f t="shared" si="153"/>
        <v>-1.4537524986371148E-2</v>
      </c>
      <c r="E4908" s="156">
        <v>-4.5468798996550618E-2</v>
      </c>
      <c r="F4908" s="124">
        <v>4902</v>
      </c>
      <c r="G4908" s="238">
        <f t="shared" ca="1" si="154"/>
        <v>-5.1478811643066924E-3</v>
      </c>
      <c r="I4908" s="156"/>
    </row>
    <row r="4909" spans="2:9" x14ac:dyDescent="0.2">
      <c r="B4909" s="230">
        <v>38769</v>
      </c>
      <c r="C4909" s="124">
        <v>54.45</v>
      </c>
      <c r="D4909" s="156">
        <f t="shared" si="153"/>
        <v>4.0567951318459519E-3</v>
      </c>
      <c r="E4909" s="156">
        <v>-4.5511111111111155E-2</v>
      </c>
      <c r="F4909" s="124">
        <v>4903</v>
      </c>
      <c r="G4909" s="238">
        <f t="shared" ca="1" si="154"/>
        <v>-3.3966164795955316E-2</v>
      </c>
      <c r="I4909" s="156"/>
    </row>
    <row r="4910" spans="2:9" x14ac:dyDescent="0.2">
      <c r="B4910" s="230">
        <v>38768</v>
      </c>
      <c r="C4910" s="124">
        <v>53.98</v>
      </c>
      <c r="D4910" s="156">
        <f t="shared" si="153"/>
        <v>-8.6317722681360145E-3</v>
      </c>
      <c r="E4910" s="156">
        <v>-4.5648795648795544E-2</v>
      </c>
      <c r="F4910" s="124">
        <v>4904</v>
      </c>
      <c r="G4910" s="238">
        <f t="shared" ca="1" si="154"/>
        <v>1.2438251727781441E-3</v>
      </c>
      <c r="I4910" s="156"/>
    </row>
    <row r="4911" spans="2:9" x14ac:dyDescent="0.2">
      <c r="B4911" s="230">
        <v>38765</v>
      </c>
      <c r="C4911" s="124">
        <v>53.63</v>
      </c>
      <c r="D4911" s="156">
        <f t="shared" si="153"/>
        <v>-6.4838829195997469E-3</v>
      </c>
      <c r="E4911" s="156">
        <v>-4.5888860950465245E-2</v>
      </c>
      <c r="F4911" s="124">
        <v>4905</v>
      </c>
      <c r="G4911" s="238">
        <f t="shared" ca="1" si="154"/>
        <v>-7.1430150233338981E-3</v>
      </c>
      <c r="I4911" s="156"/>
    </row>
    <row r="4912" spans="2:9" x14ac:dyDescent="0.2">
      <c r="B4912" s="230">
        <v>38764</v>
      </c>
      <c r="C4912" s="124">
        <v>55.12</v>
      </c>
      <c r="D4912" s="156">
        <f t="shared" si="153"/>
        <v>2.7782957300018549E-2</v>
      </c>
      <c r="E4912" s="156">
        <v>-4.6464936182418023E-2</v>
      </c>
      <c r="F4912" s="124">
        <v>4906</v>
      </c>
      <c r="G4912" s="238">
        <f t="shared" ca="1" si="154"/>
        <v>1.654768331020982E-2</v>
      </c>
      <c r="I4912" s="156"/>
    </row>
    <row r="4913" spans="2:9" x14ac:dyDescent="0.2">
      <c r="B4913" s="230">
        <v>38763</v>
      </c>
      <c r="C4913" s="124">
        <v>56.63</v>
      </c>
      <c r="D4913" s="156">
        <f t="shared" si="153"/>
        <v>2.7394775036284565E-2</v>
      </c>
      <c r="E4913" s="156">
        <v>-4.6515062020082779E-2</v>
      </c>
      <c r="F4913" s="124">
        <v>4907</v>
      </c>
      <c r="G4913" s="238">
        <f t="shared" ca="1" si="154"/>
        <v>-2.9043917689693045E-2</v>
      </c>
      <c r="I4913" s="156"/>
    </row>
    <row r="4914" spans="2:9" x14ac:dyDescent="0.2">
      <c r="B4914" s="230">
        <v>38762</v>
      </c>
      <c r="C4914" s="124">
        <v>54.21</v>
      </c>
      <c r="D4914" s="156">
        <f t="shared" si="153"/>
        <v>-4.2733533462828918E-2</v>
      </c>
      <c r="E4914" s="156">
        <v>-4.6580406654343862E-2</v>
      </c>
      <c r="F4914" s="124">
        <v>4908</v>
      </c>
      <c r="G4914" s="238">
        <f t="shared" ca="1" si="154"/>
        <v>-1.0524960692464924E-2</v>
      </c>
      <c r="I4914" s="156"/>
    </row>
    <row r="4915" spans="2:9" x14ac:dyDescent="0.2">
      <c r="B4915" s="230">
        <v>38761</v>
      </c>
      <c r="C4915" s="124">
        <v>54.03</v>
      </c>
      <c r="D4915" s="156">
        <f t="shared" si="153"/>
        <v>-3.3204205866076315E-3</v>
      </c>
      <c r="E4915" s="156">
        <v>-4.6764705882353041E-2</v>
      </c>
      <c r="F4915" s="124">
        <v>4909</v>
      </c>
      <c r="G4915" s="238">
        <f t="shared" ca="1" si="154"/>
        <v>1.937986805077312E-2</v>
      </c>
      <c r="I4915" s="156"/>
    </row>
    <row r="4916" spans="2:9" x14ac:dyDescent="0.2">
      <c r="B4916" s="230">
        <v>38758</v>
      </c>
      <c r="C4916" s="124">
        <v>54.06</v>
      </c>
      <c r="D4916" s="156">
        <f t="shared" si="153"/>
        <v>5.5524708495282508E-4</v>
      </c>
      <c r="E4916" s="156">
        <v>-4.6964392451541284E-2</v>
      </c>
      <c r="F4916" s="124">
        <v>4910</v>
      </c>
      <c r="G4916" s="238">
        <f t="shared" ca="1" si="154"/>
        <v>2.4656385786562259E-2</v>
      </c>
      <c r="I4916" s="156"/>
    </row>
    <row r="4917" spans="2:9" x14ac:dyDescent="0.2">
      <c r="B4917" s="230">
        <v>38756</v>
      </c>
      <c r="C4917" s="124">
        <v>52.77</v>
      </c>
      <c r="D4917" s="156">
        <f t="shared" si="153"/>
        <v>-2.3862375138734723E-2</v>
      </c>
      <c r="E4917" s="156">
        <v>-4.7420289855072503E-2</v>
      </c>
      <c r="F4917" s="124">
        <v>4911</v>
      </c>
      <c r="G4917" s="238">
        <f t="shared" ca="1" si="154"/>
        <v>-1.9803458110669329E-3</v>
      </c>
      <c r="I4917" s="156"/>
    </row>
    <row r="4918" spans="2:9" x14ac:dyDescent="0.2">
      <c r="B4918" s="230">
        <v>38755</v>
      </c>
      <c r="C4918" s="124">
        <v>53.33</v>
      </c>
      <c r="D4918" s="156">
        <f t="shared" si="153"/>
        <v>1.0612090202766631E-2</v>
      </c>
      <c r="E4918" s="156">
        <v>-4.7575559904327019E-2</v>
      </c>
      <c r="F4918" s="124">
        <v>4912</v>
      </c>
      <c r="G4918" s="238">
        <f t="shared" ca="1" si="154"/>
        <v>-1.8387136922745326E-2</v>
      </c>
      <c r="I4918" s="156"/>
    </row>
    <row r="4919" spans="2:9" x14ac:dyDescent="0.2">
      <c r="B4919" s="230">
        <v>38754</v>
      </c>
      <c r="C4919" s="124">
        <v>51.94</v>
      </c>
      <c r="D4919" s="156">
        <f t="shared" si="153"/>
        <v>-2.6064129008063014E-2</v>
      </c>
      <c r="E4919" s="156">
        <v>-4.7715627668659194E-2</v>
      </c>
      <c r="F4919" s="124">
        <v>4913</v>
      </c>
      <c r="G4919" s="238">
        <f t="shared" ca="1" si="154"/>
        <v>-1.9140781373475517E-2</v>
      </c>
      <c r="I4919" s="156"/>
    </row>
    <row r="4920" spans="2:9" x14ac:dyDescent="0.2">
      <c r="B4920" s="230">
        <v>38751</v>
      </c>
      <c r="C4920" s="124">
        <v>50.53</v>
      </c>
      <c r="D4920" s="156">
        <f t="shared" si="153"/>
        <v>-2.7146707739699589E-2</v>
      </c>
      <c r="E4920" s="156">
        <v>-4.8021174691202449E-2</v>
      </c>
      <c r="F4920" s="124">
        <v>4914</v>
      </c>
      <c r="G4920" s="238">
        <f t="shared" ca="1" si="154"/>
        <v>-6.1351545598834411E-3</v>
      </c>
      <c r="I4920" s="156"/>
    </row>
    <row r="4921" spans="2:9" x14ac:dyDescent="0.2">
      <c r="B4921" s="230">
        <v>38750</v>
      </c>
      <c r="C4921" s="124">
        <v>51.61</v>
      </c>
      <c r="D4921" s="156">
        <f t="shared" si="153"/>
        <v>2.1373441519889142E-2</v>
      </c>
      <c r="E4921" s="156">
        <v>-4.9620096138936205E-2</v>
      </c>
      <c r="F4921" s="124">
        <v>4915</v>
      </c>
      <c r="G4921" s="238">
        <f t="shared" ca="1" si="154"/>
        <v>2.3425763360240422E-3</v>
      </c>
      <c r="I4921" s="156"/>
    </row>
    <row r="4922" spans="2:9" x14ac:dyDescent="0.2">
      <c r="B4922" s="230">
        <v>38749</v>
      </c>
      <c r="C4922" s="124">
        <v>51.4</v>
      </c>
      <c r="D4922" s="156">
        <f t="shared" si="153"/>
        <v>-4.0689788800620198E-3</v>
      </c>
      <c r="E4922" s="156">
        <v>-5.0717466600692727E-2</v>
      </c>
      <c r="F4922" s="124">
        <v>4916</v>
      </c>
      <c r="G4922" s="238">
        <f t="shared" ca="1" si="154"/>
        <v>-2.0765789755370485E-2</v>
      </c>
      <c r="I4922" s="156"/>
    </row>
    <row r="4923" spans="2:9" x14ac:dyDescent="0.2">
      <c r="B4923" s="230">
        <v>38748</v>
      </c>
      <c r="C4923" s="124">
        <v>51.31</v>
      </c>
      <c r="D4923" s="156">
        <f t="shared" si="153"/>
        <v>-1.7509727626458425E-3</v>
      </c>
      <c r="E4923" s="156">
        <v>-5.0735415633779611E-2</v>
      </c>
      <c r="F4923" s="124">
        <v>4917</v>
      </c>
      <c r="G4923" s="238">
        <f t="shared" ca="1" si="154"/>
        <v>4.4223914615301139E-3</v>
      </c>
      <c r="I4923" s="156"/>
    </row>
    <row r="4924" spans="2:9" x14ac:dyDescent="0.2">
      <c r="B4924" s="230">
        <v>38747</v>
      </c>
      <c r="C4924" s="124">
        <v>51.46</v>
      </c>
      <c r="D4924" s="156">
        <f t="shared" si="153"/>
        <v>2.9234067433248599E-3</v>
      </c>
      <c r="E4924" s="156">
        <v>-5.1009928106812805E-2</v>
      </c>
      <c r="F4924" s="124">
        <v>4918</v>
      </c>
      <c r="G4924" s="238">
        <f t="shared" ca="1" si="154"/>
        <v>-2.6956928102435745E-2</v>
      </c>
      <c r="I4924" s="156"/>
    </row>
    <row r="4925" spans="2:9" x14ac:dyDescent="0.2">
      <c r="B4925" s="230">
        <v>38744</v>
      </c>
      <c r="C4925" s="124">
        <v>51.53</v>
      </c>
      <c r="D4925" s="156">
        <f t="shared" si="153"/>
        <v>1.3602798289933985E-3</v>
      </c>
      <c r="E4925" s="156">
        <v>-5.1207983193277198E-2</v>
      </c>
      <c r="F4925" s="124">
        <v>4919</v>
      </c>
      <c r="G4925" s="238">
        <f t="shared" ca="1" si="154"/>
        <v>1.7313491161567728E-2</v>
      </c>
      <c r="I4925" s="156"/>
    </row>
    <row r="4926" spans="2:9" x14ac:dyDescent="0.2">
      <c r="B4926" s="230">
        <v>38742</v>
      </c>
      <c r="C4926" s="124">
        <v>52.29</v>
      </c>
      <c r="D4926" s="156">
        <f t="shared" ref="D4926:D4966" si="155">(C4926-C4925)/C4925</f>
        <v>1.4748690083446496E-2</v>
      </c>
      <c r="E4926" s="156">
        <v>-5.1649928263988627E-2</v>
      </c>
      <c r="F4926" s="124">
        <v>4920</v>
      </c>
      <c r="G4926" s="238">
        <f t="shared" ca="1" si="154"/>
        <v>1.6877442425479873E-2</v>
      </c>
      <c r="I4926" s="156"/>
    </row>
    <row r="4927" spans="2:9" x14ac:dyDescent="0.2">
      <c r="B4927" s="230">
        <v>38741</v>
      </c>
      <c r="C4927" s="124">
        <v>51.28</v>
      </c>
      <c r="D4927" s="156">
        <f t="shared" si="155"/>
        <v>-1.9315356664754216E-2</v>
      </c>
      <c r="E4927" s="156">
        <v>-5.1848927490459246E-2</v>
      </c>
      <c r="F4927" s="124">
        <v>4921</v>
      </c>
      <c r="G4927" s="238">
        <f t="shared" ca="1" si="154"/>
        <v>-9.514409132796978E-3</v>
      </c>
      <c r="I4927" s="156"/>
    </row>
    <row r="4928" spans="2:9" x14ac:dyDescent="0.2">
      <c r="B4928" s="230">
        <v>38740</v>
      </c>
      <c r="C4928" s="124">
        <v>50.35</v>
      </c>
      <c r="D4928" s="156">
        <f t="shared" si="155"/>
        <v>-1.8135725429017154E-2</v>
      </c>
      <c r="E4928" s="156">
        <v>-5.1927089484665949E-2</v>
      </c>
      <c r="F4928" s="124">
        <v>4922</v>
      </c>
      <c r="G4928" s="238">
        <f t="shared" ca="1" si="154"/>
        <v>-2.7965081178868575E-3</v>
      </c>
      <c r="I4928" s="156"/>
    </row>
    <row r="4929" spans="2:9" x14ac:dyDescent="0.2">
      <c r="B4929" s="230">
        <v>38737</v>
      </c>
      <c r="C4929" s="124">
        <v>48.74</v>
      </c>
      <c r="D4929" s="156">
        <f t="shared" si="155"/>
        <v>-3.1976166832174767E-2</v>
      </c>
      <c r="E4929" s="156">
        <v>-5.212293022356803E-2</v>
      </c>
      <c r="F4929" s="124">
        <v>4923</v>
      </c>
      <c r="G4929" s="238">
        <f t="shared" ca="1" si="154"/>
        <v>1.5928659211700727E-3</v>
      </c>
      <c r="I4929" s="156"/>
    </row>
    <row r="4930" spans="2:9" x14ac:dyDescent="0.2">
      <c r="B4930" s="230">
        <v>38736</v>
      </c>
      <c r="C4930" s="124">
        <v>47.43</v>
      </c>
      <c r="D4930" s="156">
        <f t="shared" si="155"/>
        <v>-2.6877308165777641E-2</v>
      </c>
      <c r="E4930" s="156">
        <v>-5.2915938344191935E-2</v>
      </c>
      <c r="F4930" s="124">
        <v>4924</v>
      </c>
      <c r="G4930" s="238">
        <f t="shared" ca="1" si="154"/>
        <v>-1.6191917676035325E-2</v>
      </c>
      <c r="I4930" s="156"/>
    </row>
    <row r="4931" spans="2:9" x14ac:dyDescent="0.2">
      <c r="B4931" s="230">
        <v>38735</v>
      </c>
      <c r="C4931" s="124">
        <v>46.85</v>
      </c>
      <c r="D4931" s="156">
        <f t="shared" si="155"/>
        <v>-1.2228547332911623E-2</v>
      </c>
      <c r="E4931" s="156">
        <v>-5.3121364870104597E-2</v>
      </c>
      <c r="F4931" s="124">
        <v>4925</v>
      </c>
      <c r="G4931" s="238">
        <f t="shared" ca="1" si="154"/>
        <v>-8.2254504575523168E-4</v>
      </c>
      <c r="I4931" s="156"/>
    </row>
    <row r="4932" spans="2:9" x14ac:dyDescent="0.2">
      <c r="B4932" s="230">
        <v>38734</v>
      </c>
      <c r="C4932" s="124">
        <v>47.22</v>
      </c>
      <c r="D4932" s="156">
        <f t="shared" si="155"/>
        <v>7.8975453575239572E-3</v>
      </c>
      <c r="E4932" s="156">
        <v>-5.3483880552666785E-2</v>
      </c>
      <c r="F4932" s="124">
        <v>4926</v>
      </c>
      <c r="G4932" s="238">
        <f t="shared" ca="1" si="154"/>
        <v>1.231939847907274E-2</v>
      </c>
      <c r="I4932" s="156"/>
    </row>
    <row r="4933" spans="2:9" x14ac:dyDescent="0.2">
      <c r="B4933" s="230">
        <v>38733</v>
      </c>
      <c r="C4933" s="124">
        <v>47.8</v>
      </c>
      <c r="D4933" s="156">
        <f t="shared" si="155"/>
        <v>1.2282930961456974E-2</v>
      </c>
      <c r="E4933" s="156">
        <v>-5.420020120724349E-2</v>
      </c>
      <c r="F4933" s="124">
        <v>4927</v>
      </c>
      <c r="G4933" s="238">
        <f t="shared" ca="1" si="154"/>
        <v>-1.5646083502202021E-2</v>
      </c>
      <c r="I4933" s="156"/>
    </row>
    <row r="4934" spans="2:9" x14ac:dyDescent="0.2">
      <c r="B4934" s="230">
        <v>38730</v>
      </c>
      <c r="C4934" s="124">
        <v>48.23</v>
      </c>
      <c r="D4934" s="156">
        <f t="shared" si="155"/>
        <v>8.9958158995815853E-3</v>
      </c>
      <c r="E4934" s="156">
        <v>-5.4419677171406597E-2</v>
      </c>
      <c r="F4934" s="124">
        <v>4928</v>
      </c>
      <c r="G4934" s="238">
        <f t="shared" ca="1" si="154"/>
        <v>1.0613006847984434E-2</v>
      </c>
      <c r="I4934" s="156"/>
    </row>
    <row r="4935" spans="2:9" x14ac:dyDescent="0.2">
      <c r="B4935" s="230">
        <v>38729</v>
      </c>
      <c r="C4935" s="124">
        <v>47.93</v>
      </c>
      <c r="D4935" s="156">
        <f t="shared" si="155"/>
        <v>-6.220194899440124E-3</v>
      </c>
      <c r="E4935" s="156">
        <v>-5.4757815183785571E-2</v>
      </c>
      <c r="F4935" s="124">
        <v>4929</v>
      </c>
      <c r="G4935" s="238">
        <f t="shared" ref="G4935:G4966" ca="1" si="156">_xlfn.NORM.INV(RAND(),$L$8,$L$9)</f>
        <v>-1.5517812177952945E-2</v>
      </c>
      <c r="I4935" s="156"/>
    </row>
    <row r="4936" spans="2:9" x14ac:dyDescent="0.2">
      <c r="B4936" s="230">
        <v>38727</v>
      </c>
      <c r="C4936" s="124">
        <v>47.35</v>
      </c>
      <c r="D4936" s="156">
        <f t="shared" si="155"/>
        <v>-1.2100980596703491E-2</v>
      </c>
      <c r="E4936" s="156">
        <v>-5.4869684499314175E-2</v>
      </c>
      <c r="F4936" s="124">
        <v>4930</v>
      </c>
      <c r="G4936" s="238">
        <f t="shared" ca="1" si="156"/>
        <v>-2.4835189382492718E-3</v>
      </c>
      <c r="I4936" s="156"/>
    </row>
    <row r="4937" spans="2:9" x14ac:dyDescent="0.2">
      <c r="B4937" s="230">
        <v>38726</v>
      </c>
      <c r="C4937" s="124">
        <v>48.18</v>
      </c>
      <c r="D4937" s="156">
        <f t="shared" si="155"/>
        <v>1.7529039070749701E-2</v>
      </c>
      <c r="E4937" s="156">
        <v>-5.5036496350365033E-2</v>
      </c>
      <c r="F4937" s="124">
        <v>4931</v>
      </c>
      <c r="G4937" s="238">
        <f t="shared" ca="1" si="156"/>
        <v>-1.9818219504136085E-2</v>
      </c>
      <c r="I4937" s="156"/>
    </row>
    <row r="4938" spans="2:9" x14ac:dyDescent="0.2">
      <c r="B4938" s="230">
        <v>38723</v>
      </c>
      <c r="C4938" s="124">
        <v>48.21</v>
      </c>
      <c r="D4938" s="156">
        <f t="shared" si="155"/>
        <v>6.2266500622667369E-4</v>
      </c>
      <c r="E4938" s="156">
        <v>-5.5183946488294354E-2</v>
      </c>
      <c r="F4938" s="124">
        <v>4932</v>
      </c>
      <c r="G4938" s="238">
        <f t="shared" ca="1" si="156"/>
        <v>2.8585238245240948E-3</v>
      </c>
      <c r="I4938" s="156"/>
    </row>
    <row r="4939" spans="2:9" x14ac:dyDescent="0.2">
      <c r="B4939" s="230">
        <v>38722</v>
      </c>
      <c r="C4939" s="124">
        <v>48.2</v>
      </c>
      <c r="D4939" s="156">
        <f t="shared" si="155"/>
        <v>-2.0742584526027815E-4</v>
      </c>
      <c r="E4939" s="156">
        <v>-5.601484730892526E-2</v>
      </c>
      <c r="F4939" s="124">
        <v>4933</v>
      </c>
      <c r="G4939" s="238">
        <f t="shared" ca="1" si="156"/>
        <v>-5.1139849135398239E-3</v>
      </c>
      <c r="I4939" s="156"/>
    </row>
    <row r="4940" spans="2:9" x14ac:dyDescent="0.2">
      <c r="B4940" s="230">
        <v>38721</v>
      </c>
      <c r="C4940" s="124">
        <v>48.71</v>
      </c>
      <c r="D4940" s="156">
        <f t="shared" si="155"/>
        <v>1.0580912863070498E-2</v>
      </c>
      <c r="E4940" s="156">
        <v>-5.6094072779278581E-2</v>
      </c>
      <c r="F4940" s="124">
        <v>4934</v>
      </c>
      <c r="G4940" s="238">
        <f t="shared" ca="1" si="156"/>
        <v>-2.6218211154847609E-2</v>
      </c>
      <c r="I4940" s="156"/>
    </row>
    <row r="4941" spans="2:9" x14ac:dyDescent="0.2">
      <c r="B4941" s="230">
        <v>38720</v>
      </c>
      <c r="C4941" s="124">
        <v>47.43</v>
      </c>
      <c r="D4941" s="156">
        <f t="shared" si="155"/>
        <v>-2.6277971669061817E-2</v>
      </c>
      <c r="E4941" s="156">
        <v>-5.7312252964426984E-2</v>
      </c>
      <c r="F4941" s="124">
        <v>4935</v>
      </c>
      <c r="G4941" s="238">
        <f t="shared" ca="1" si="156"/>
        <v>7.3998040298023848E-3</v>
      </c>
      <c r="I4941" s="156"/>
    </row>
    <row r="4942" spans="2:9" x14ac:dyDescent="0.2">
      <c r="B4942" s="230">
        <v>38719</v>
      </c>
      <c r="C4942" s="124">
        <v>46.44</v>
      </c>
      <c r="D4942" s="156">
        <f t="shared" si="155"/>
        <v>-2.0872865275142358E-2</v>
      </c>
      <c r="E4942" s="156">
        <v>-5.7403783431180647E-2</v>
      </c>
      <c r="F4942" s="124">
        <v>4936</v>
      </c>
      <c r="G4942" s="238">
        <f t="shared" ca="1" si="156"/>
        <v>-2.5861331562755416E-2</v>
      </c>
      <c r="I4942" s="156"/>
    </row>
    <row r="4943" spans="2:9" x14ac:dyDescent="0.2">
      <c r="B4943" s="230">
        <v>38716</v>
      </c>
      <c r="C4943" s="124">
        <v>47.1</v>
      </c>
      <c r="D4943" s="156">
        <f t="shared" si="155"/>
        <v>1.4211886304909641E-2</v>
      </c>
      <c r="E4943" s="156">
        <v>-5.7864450127877311E-2</v>
      </c>
      <c r="F4943" s="124">
        <v>4937</v>
      </c>
      <c r="G4943" s="238">
        <f t="shared" ca="1" si="156"/>
        <v>1.7794297827204715E-2</v>
      </c>
      <c r="I4943" s="156"/>
    </row>
    <row r="4944" spans="2:9" x14ac:dyDescent="0.2">
      <c r="B4944" s="230">
        <v>38715</v>
      </c>
      <c r="C4944" s="124">
        <v>46.21</v>
      </c>
      <c r="D4944" s="156">
        <f t="shared" si="155"/>
        <v>-1.8895966029724005E-2</v>
      </c>
      <c r="E4944" s="156">
        <v>-5.7904036971591563E-2</v>
      </c>
      <c r="F4944" s="124">
        <v>4938</v>
      </c>
      <c r="G4944" s="238">
        <f t="shared" ca="1" si="156"/>
        <v>2.0653134366459758E-2</v>
      </c>
      <c r="I4944" s="156"/>
    </row>
    <row r="4945" spans="2:9" x14ac:dyDescent="0.2">
      <c r="B4945" s="230">
        <v>38714</v>
      </c>
      <c r="C4945" s="124">
        <v>45.89</v>
      </c>
      <c r="D4945" s="156">
        <f t="shared" si="155"/>
        <v>-6.9249080285652513E-3</v>
      </c>
      <c r="E4945" s="156">
        <v>-5.8062777852620269E-2</v>
      </c>
      <c r="F4945" s="124">
        <v>4939</v>
      </c>
      <c r="G4945" s="238">
        <f t="shared" ca="1" si="156"/>
        <v>-3.7642570940158702E-3</v>
      </c>
      <c r="I4945" s="156"/>
    </row>
    <row r="4946" spans="2:9" x14ac:dyDescent="0.2">
      <c r="B4946" s="230">
        <v>38713</v>
      </c>
      <c r="C4946" s="124">
        <v>46.8</v>
      </c>
      <c r="D4946" s="156">
        <f t="shared" si="155"/>
        <v>1.9830028328611825E-2</v>
      </c>
      <c r="E4946" s="156">
        <v>-5.80910023947998E-2</v>
      </c>
      <c r="F4946" s="124">
        <v>4940</v>
      </c>
      <c r="G4946" s="238">
        <f t="shared" ca="1" si="156"/>
        <v>-9.9486180181929673E-3</v>
      </c>
      <c r="I4946" s="156"/>
    </row>
    <row r="4947" spans="2:9" x14ac:dyDescent="0.2">
      <c r="B4947" s="230">
        <v>38712</v>
      </c>
      <c r="C4947" s="124">
        <v>45.59</v>
      </c>
      <c r="D4947" s="156">
        <f t="shared" si="155"/>
        <v>-2.5854700854700721E-2</v>
      </c>
      <c r="E4947" s="156">
        <v>-5.8809909701319697E-2</v>
      </c>
      <c r="F4947" s="124">
        <v>4941</v>
      </c>
      <c r="G4947" s="238">
        <f t="shared" ca="1" si="156"/>
        <v>-1.9924335833608326E-2</v>
      </c>
      <c r="I4947" s="156"/>
    </row>
    <row r="4948" spans="2:9" x14ac:dyDescent="0.2">
      <c r="B4948" s="230">
        <v>38709</v>
      </c>
      <c r="C4948" s="124">
        <v>46.19</v>
      </c>
      <c r="D4948" s="156">
        <f t="shared" si="155"/>
        <v>1.3160780872998339E-2</v>
      </c>
      <c r="E4948" s="156">
        <v>-5.9847105933745967E-2</v>
      </c>
      <c r="F4948" s="124">
        <v>4942</v>
      </c>
      <c r="G4948" s="238">
        <f t="shared" ca="1" si="156"/>
        <v>-1.9788033619804184E-2</v>
      </c>
      <c r="I4948" s="156"/>
    </row>
    <row r="4949" spans="2:9" x14ac:dyDescent="0.2">
      <c r="B4949" s="230">
        <v>38708</v>
      </c>
      <c r="C4949" s="124">
        <v>47.09</v>
      </c>
      <c r="D4949" s="156">
        <f t="shared" si="155"/>
        <v>1.9484736956051216E-2</v>
      </c>
      <c r="E4949" s="156">
        <v>-6.1309800278680923E-2</v>
      </c>
      <c r="F4949" s="124">
        <v>4943</v>
      </c>
      <c r="G4949" s="238">
        <f t="shared" ca="1" si="156"/>
        <v>2.0206081506080123E-3</v>
      </c>
      <c r="I4949" s="156"/>
    </row>
    <row r="4950" spans="2:9" x14ac:dyDescent="0.2">
      <c r="B4950" s="230">
        <v>38707</v>
      </c>
      <c r="C4950" s="124">
        <v>46.95</v>
      </c>
      <c r="D4950" s="156">
        <f t="shared" si="155"/>
        <v>-2.9730303673816214E-3</v>
      </c>
      <c r="E4950" s="156">
        <v>-6.3921993499458291E-2</v>
      </c>
      <c r="F4950" s="124">
        <v>4944</v>
      </c>
      <c r="G4950" s="238">
        <f t="shared" ca="1" si="156"/>
        <v>1.9600737541221186E-3</v>
      </c>
      <c r="I4950" s="156"/>
    </row>
    <row r="4951" spans="2:9" x14ac:dyDescent="0.2">
      <c r="B4951" s="230">
        <v>38706</v>
      </c>
      <c r="C4951" s="124">
        <v>47.55</v>
      </c>
      <c r="D4951" s="156">
        <f t="shared" si="155"/>
        <v>1.277955271565483E-2</v>
      </c>
      <c r="E4951" s="156">
        <v>-6.3990858448793084E-2</v>
      </c>
      <c r="F4951" s="124">
        <v>4945</v>
      </c>
      <c r="G4951" s="238">
        <f t="shared" ca="1" si="156"/>
        <v>9.8630599446324786E-3</v>
      </c>
      <c r="I4951" s="156"/>
    </row>
    <row r="4952" spans="2:9" x14ac:dyDescent="0.2">
      <c r="B4952" s="230">
        <v>38705</v>
      </c>
      <c r="C4952" s="124">
        <v>48</v>
      </c>
      <c r="D4952" s="156">
        <f t="shared" si="155"/>
        <v>9.4637223974764016E-3</v>
      </c>
      <c r="E4952" s="156">
        <v>-6.4134275618374606E-2</v>
      </c>
      <c r="F4952" s="124">
        <v>4946</v>
      </c>
      <c r="G4952" s="238">
        <f t="shared" ca="1" si="156"/>
        <v>-1.7690927390744637E-2</v>
      </c>
      <c r="I4952" s="156"/>
    </row>
    <row r="4953" spans="2:9" x14ac:dyDescent="0.2">
      <c r="B4953" s="230">
        <v>38702</v>
      </c>
      <c r="C4953" s="124">
        <v>46.77</v>
      </c>
      <c r="D4953" s="156">
        <f t="shared" si="155"/>
        <v>-2.5624999999999936E-2</v>
      </c>
      <c r="E4953" s="156">
        <v>-6.4643057897695338E-2</v>
      </c>
      <c r="F4953" s="124">
        <v>4947</v>
      </c>
      <c r="G4953" s="238">
        <f t="shared" ca="1" si="156"/>
        <v>3.3236152316136067E-2</v>
      </c>
      <c r="I4953" s="156"/>
    </row>
    <row r="4954" spans="2:9" x14ac:dyDescent="0.2">
      <c r="B4954" s="230">
        <v>38701</v>
      </c>
      <c r="C4954" s="124">
        <v>46.52</v>
      </c>
      <c r="D4954" s="156">
        <f t="shared" si="155"/>
        <v>-5.3453068206115026E-3</v>
      </c>
      <c r="E4954" s="156">
        <v>-6.5474236954381274E-2</v>
      </c>
      <c r="F4954" s="124">
        <v>4948</v>
      </c>
      <c r="G4954" s="238">
        <f t="shared" ca="1" si="156"/>
        <v>-1.0792204862520076E-2</v>
      </c>
      <c r="I4954" s="156"/>
    </row>
    <row r="4955" spans="2:9" x14ac:dyDescent="0.2">
      <c r="B4955" s="230">
        <v>38700</v>
      </c>
      <c r="C4955" s="124">
        <v>47.77</v>
      </c>
      <c r="D4955" s="156">
        <f t="shared" si="155"/>
        <v>2.6870163370593291E-2</v>
      </c>
      <c r="E4955" s="156">
        <v>-6.5921130076515538E-2</v>
      </c>
      <c r="F4955" s="124">
        <v>4949</v>
      </c>
      <c r="G4955" s="238">
        <f t="shared" ca="1" si="156"/>
        <v>-2.5633020249471406E-3</v>
      </c>
      <c r="I4955" s="156"/>
    </row>
    <row r="4956" spans="2:9" x14ac:dyDescent="0.2">
      <c r="B4956" s="230">
        <v>38699</v>
      </c>
      <c r="C4956" s="124">
        <v>46.97</v>
      </c>
      <c r="D4956" s="156">
        <f t="shared" si="155"/>
        <v>-1.6746912288046978E-2</v>
      </c>
      <c r="E4956" s="156">
        <v>-6.8890948409020741E-2</v>
      </c>
      <c r="F4956" s="124">
        <v>4950</v>
      </c>
      <c r="G4956" s="238">
        <f t="shared" ca="1" si="156"/>
        <v>2.8004036534426152E-2</v>
      </c>
      <c r="I4956" s="156"/>
    </row>
    <row r="4957" spans="2:9" x14ac:dyDescent="0.2">
      <c r="B4957" s="230">
        <v>38698</v>
      </c>
      <c r="C4957" s="124">
        <v>45.89</v>
      </c>
      <c r="D4957" s="156">
        <f t="shared" si="155"/>
        <v>-2.2993400042580336E-2</v>
      </c>
      <c r="E4957" s="156">
        <v>-6.9859751256946226E-2</v>
      </c>
      <c r="F4957" s="124">
        <v>4951</v>
      </c>
      <c r="G4957" s="238">
        <f t="shared" ca="1" si="156"/>
        <v>5.1659905503790106E-2</v>
      </c>
      <c r="I4957" s="156"/>
    </row>
    <row r="4958" spans="2:9" x14ac:dyDescent="0.2">
      <c r="B4958" s="230">
        <v>38695</v>
      </c>
      <c r="C4958" s="124">
        <v>45.36</v>
      </c>
      <c r="D4958" s="156">
        <f t="shared" si="155"/>
        <v>-1.1549357158422339E-2</v>
      </c>
      <c r="E4958" s="156">
        <v>-7.2801397786837516E-2</v>
      </c>
      <c r="F4958" s="124">
        <v>4952</v>
      </c>
      <c r="G4958" s="238">
        <f t="shared" ca="1" si="156"/>
        <v>3.0564098914293559E-2</v>
      </c>
      <c r="I4958" s="156"/>
    </row>
    <row r="4959" spans="2:9" x14ac:dyDescent="0.2">
      <c r="B4959" s="230">
        <v>38694</v>
      </c>
      <c r="C4959" s="124">
        <v>44.85</v>
      </c>
      <c r="D4959" s="156">
        <f t="shared" si="155"/>
        <v>-1.1243386243386199E-2</v>
      </c>
      <c r="E4959" s="156">
        <v>-7.5151731524455562E-2</v>
      </c>
      <c r="F4959" s="124">
        <v>4953</v>
      </c>
      <c r="G4959" s="238">
        <f t="shared" ca="1" si="156"/>
        <v>-6.8347432305219166E-4</v>
      </c>
      <c r="I4959" s="156"/>
    </row>
    <row r="4960" spans="2:9" x14ac:dyDescent="0.2">
      <c r="B4960" s="230">
        <v>38693</v>
      </c>
      <c r="C4960" s="124">
        <v>44.93</v>
      </c>
      <c r="D4960" s="156">
        <f t="shared" si="155"/>
        <v>1.7837235228539195E-3</v>
      </c>
      <c r="E4960" s="156">
        <v>-7.6334755111045718E-2</v>
      </c>
      <c r="F4960" s="124">
        <v>4954</v>
      </c>
      <c r="G4960" s="238">
        <f t="shared" ca="1" si="156"/>
        <v>-1.7471762114807846E-2</v>
      </c>
      <c r="I4960" s="156"/>
    </row>
    <row r="4961" spans="2:9" x14ac:dyDescent="0.2">
      <c r="B4961" s="230">
        <v>38692</v>
      </c>
      <c r="C4961" s="124">
        <v>44.27</v>
      </c>
      <c r="D4961" s="156">
        <f t="shared" si="155"/>
        <v>-1.4689517026485568E-2</v>
      </c>
      <c r="E4961" s="156">
        <v>-7.7777777777777807E-2</v>
      </c>
      <c r="F4961" s="124">
        <v>4955</v>
      </c>
      <c r="G4961" s="238">
        <f t="shared" ca="1" si="156"/>
        <v>9.9553240984189273E-3</v>
      </c>
      <c r="I4961" s="156"/>
    </row>
    <row r="4962" spans="2:9" x14ac:dyDescent="0.2">
      <c r="B4962" s="230">
        <v>38691</v>
      </c>
      <c r="C4962" s="124">
        <v>44.48</v>
      </c>
      <c r="D4962" s="156">
        <f t="shared" si="155"/>
        <v>4.7436187034107461E-3</v>
      </c>
      <c r="E4962" s="156">
        <v>-8.007518796992491E-2</v>
      </c>
      <c r="F4962" s="124">
        <v>4956</v>
      </c>
      <c r="G4962" s="238">
        <f t="shared" ca="1" si="156"/>
        <v>-2.2640947896959283E-2</v>
      </c>
      <c r="I4962" s="156"/>
    </row>
    <row r="4963" spans="2:9" x14ac:dyDescent="0.2">
      <c r="B4963" s="230">
        <v>38688</v>
      </c>
      <c r="C4963" s="124">
        <v>45.58</v>
      </c>
      <c r="D4963" s="156">
        <f t="shared" si="155"/>
        <v>2.4730215827338163E-2</v>
      </c>
      <c r="E4963" s="156">
        <v>-8.1414111779375159E-2</v>
      </c>
      <c r="F4963" s="124">
        <v>4957</v>
      </c>
      <c r="G4963" s="238">
        <f t="shared" ca="1" si="156"/>
        <v>-8.1313394006278412E-3</v>
      </c>
      <c r="I4963" s="156"/>
    </row>
    <row r="4964" spans="2:9" x14ac:dyDescent="0.2">
      <c r="B4964" s="230">
        <v>38687</v>
      </c>
      <c r="C4964" s="124">
        <v>45.01</v>
      </c>
      <c r="D4964" s="156">
        <f t="shared" si="155"/>
        <v>-1.2505484861781491E-2</v>
      </c>
      <c r="E4964" s="156">
        <v>-8.2560465539188929E-2</v>
      </c>
      <c r="F4964" s="124">
        <v>4958</v>
      </c>
      <c r="G4964" s="238">
        <f t="shared" ca="1" si="156"/>
        <v>1.4714391241344176E-2</v>
      </c>
      <c r="I4964" s="156"/>
    </row>
    <row r="4965" spans="2:9" x14ac:dyDescent="0.2">
      <c r="B4965" s="230">
        <v>38686</v>
      </c>
      <c r="C4965" s="124">
        <v>44.58</v>
      </c>
      <c r="D4965" s="156">
        <f t="shared" si="155"/>
        <v>-9.5534325705398746E-3</v>
      </c>
      <c r="E4965" s="156">
        <v>-9.1288423199962901E-2</v>
      </c>
      <c r="F4965" s="124">
        <v>4959</v>
      </c>
      <c r="G4965" s="238">
        <f t="shared" ca="1" si="156"/>
        <v>1.8427204871322159E-2</v>
      </c>
      <c r="I4965" s="156"/>
    </row>
    <row r="4966" spans="2:9" x14ac:dyDescent="0.2">
      <c r="B4966" s="230">
        <v>38685</v>
      </c>
      <c r="C4966" s="124">
        <v>45.38</v>
      </c>
      <c r="D4966" s="156">
        <f t="shared" si="155"/>
        <v>1.7945266935845767E-2</v>
      </c>
      <c r="E4966" s="156">
        <v>-0.10010214504596526</v>
      </c>
      <c r="F4966" s="124">
        <v>4960</v>
      </c>
      <c r="G4966" s="238">
        <f t="shared" ca="1" si="156"/>
        <v>-1.7140217919340613E-2</v>
      </c>
      <c r="I4966" s="156"/>
    </row>
  </sheetData>
  <sortState xmlns:xlrd2="http://schemas.microsoft.com/office/spreadsheetml/2017/richdata2" ref="E8:E4966">
    <sortCondition descending="1" ref="E8:E4966"/>
  </sortState>
  <mergeCells count="2">
    <mergeCell ref="I6:L6"/>
    <mergeCell ref="B3:M4"/>
  </mergeCells>
  <pageMargins left="0.7" right="0.7" top="0.75" bottom="0.75" header="0.3" footer="0.3"/>
  <pageSetup orientation="portrait" r:id="rId1"/>
  <headerFooter>
    <oddHeader>&amp;L&amp;"-,Bold"&amp;8&amp;K07-049ITC Ltd
NSE: ITC(INE154A01025)
401.25 INR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2863-C633-49F6-AB1C-049D6B7D252E}">
  <dimension ref="A1:K4966"/>
  <sheetViews>
    <sheetView showGridLines="0" tabSelected="1" topLeftCell="C1" zoomScale="76" zoomScaleNormal="137" zoomScalePageLayoutView="62" workbookViewId="0">
      <selection activeCell="A65" sqref="A1:K65"/>
    </sheetView>
  </sheetViews>
  <sheetFormatPr defaultRowHeight="10.199999999999999" x14ac:dyDescent="0.2"/>
  <cols>
    <col min="1" max="1" width="1.5546875" style="124" customWidth="1"/>
    <col min="2" max="3" width="10.21875" style="124" customWidth="1"/>
    <col min="4" max="4" width="8.5546875" style="124" customWidth="1"/>
    <col min="5" max="5" width="10.21875" style="124" customWidth="1"/>
    <col min="6" max="6" width="6.44140625" style="124" customWidth="1"/>
    <col min="7" max="11" width="10.21875" style="124" customWidth="1"/>
    <col min="12" max="16384" width="8.88671875" style="124"/>
  </cols>
  <sheetData>
    <row r="1" spans="1:11" x14ac:dyDescent="0.2">
      <c r="A1" s="236"/>
      <c r="B1" s="236"/>
      <c r="C1" s="236"/>
      <c r="D1" s="236"/>
      <c r="E1" s="236"/>
      <c r="F1" s="236"/>
      <c r="G1" s="236"/>
      <c r="H1" s="236"/>
      <c r="I1" s="236"/>
      <c r="J1" s="236"/>
      <c r="K1" s="236"/>
    </row>
    <row r="3" spans="1:11" ht="23.4" customHeight="1" x14ac:dyDescent="0.2">
      <c r="B3" s="263" t="s">
        <v>799</v>
      </c>
      <c r="C3" s="263"/>
      <c r="D3" s="263"/>
      <c r="E3" s="263"/>
      <c r="F3" s="263"/>
      <c r="G3" s="263"/>
      <c r="H3" s="263"/>
      <c r="I3" s="263"/>
      <c r="J3" s="263"/>
      <c r="K3" s="263"/>
    </row>
    <row r="4" spans="1:11" x14ac:dyDescent="0.2">
      <c r="B4" s="263"/>
      <c r="C4" s="263"/>
      <c r="D4" s="263"/>
      <c r="E4" s="263"/>
      <c r="F4" s="263"/>
      <c r="G4" s="263"/>
      <c r="H4" s="263"/>
      <c r="I4" s="263"/>
      <c r="J4" s="263"/>
      <c r="K4" s="263"/>
    </row>
    <row r="6" spans="1:11" x14ac:dyDescent="0.2">
      <c r="B6" s="147" t="s">
        <v>228</v>
      </c>
      <c r="C6" s="147" t="s">
        <v>58</v>
      </c>
      <c r="D6" s="147" t="s">
        <v>779</v>
      </c>
      <c r="E6" s="147" t="s">
        <v>780</v>
      </c>
      <c r="G6" s="264" t="s">
        <v>781</v>
      </c>
      <c r="H6" s="264"/>
      <c r="I6" s="144"/>
    </row>
    <row r="7" spans="1:11" x14ac:dyDescent="0.2">
      <c r="B7" s="230">
        <v>45989</v>
      </c>
      <c r="C7" s="124">
        <v>404.25</v>
      </c>
      <c r="G7" s="156"/>
    </row>
    <row r="8" spans="1:11" x14ac:dyDescent="0.2">
      <c r="B8" s="230">
        <v>45988</v>
      </c>
      <c r="C8" s="124">
        <v>404.3</v>
      </c>
      <c r="D8" s="156">
        <f t="shared" ref="D8:D71" si="0">(C8-C7)/C7</f>
        <v>1.2368583797158037E-4</v>
      </c>
      <c r="E8" s="156">
        <v>0.14268142681426801</v>
      </c>
      <c r="G8" s="157" t="s">
        <v>782</v>
      </c>
      <c r="H8" s="157">
        <f>AVERAGE(D8:D4966)</f>
        <v>-2.9269988451688806E-4</v>
      </c>
    </row>
    <row r="9" spans="1:11" x14ac:dyDescent="0.2">
      <c r="B9" s="230">
        <v>45987</v>
      </c>
      <c r="C9" s="124">
        <v>402.3</v>
      </c>
      <c r="D9" s="156">
        <f t="shared" si="0"/>
        <v>-4.9468216670789013E-3</v>
      </c>
      <c r="E9" s="156">
        <v>0.13739468567725202</v>
      </c>
      <c r="G9" s="192" t="s">
        <v>783</v>
      </c>
      <c r="H9" s="192">
        <f>_xlfn.STDEV.S(D8:D4966)</f>
        <v>1.7240357824647393E-2</v>
      </c>
    </row>
    <row r="10" spans="1:11" x14ac:dyDescent="0.2">
      <c r="B10" s="230">
        <v>45986</v>
      </c>
      <c r="C10" s="124">
        <v>400.8</v>
      </c>
      <c r="D10" s="156">
        <f t="shared" si="0"/>
        <v>-3.7285607755406414E-3</v>
      </c>
      <c r="E10" s="156">
        <v>0.12740693196405645</v>
      </c>
      <c r="G10" s="192" t="s">
        <v>784</v>
      </c>
      <c r="H10" s="192">
        <f>MIN(D8:D4966)</f>
        <v>-0.10010214504596526</v>
      </c>
    </row>
    <row r="11" spans="1:11" x14ac:dyDescent="0.2">
      <c r="B11" s="230">
        <v>45985</v>
      </c>
      <c r="C11" s="124">
        <v>403.55</v>
      </c>
      <c r="D11" s="156">
        <f t="shared" si="0"/>
        <v>6.8612774451097805E-3</v>
      </c>
      <c r="E11" s="156">
        <v>0.10357908626092684</v>
      </c>
      <c r="G11" s="192" t="s">
        <v>785</v>
      </c>
      <c r="H11" s="192">
        <f>MAX(D8:D4966)</f>
        <v>0.14268142681426801</v>
      </c>
    </row>
    <row r="12" spans="1:11" x14ac:dyDescent="0.2">
      <c r="B12" s="230">
        <v>45982</v>
      </c>
      <c r="C12" s="124">
        <v>407.85</v>
      </c>
      <c r="D12" s="156">
        <f t="shared" si="0"/>
        <v>1.0655433031842427E-2</v>
      </c>
      <c r="E12" s="156">
        <v>0.10186757215619695</v>
      </c>
      <c r="G12" s="155" t="s">
        <v>786</v>
      </c>
      <c r="H12" s="150">
        <v>404.25</v>
      </c>
    </row>
    <row r="13" spans="1:11" x14ac:dyDescent="0.2">
      <c r="B13" s="230">
        <v>45981</v>
      </c>
      <c r="C13" s="124">
        <v>405.45</v>
      </c>
      <c r="D13" s="156">
        <f t="shared" si="0"/>
        <v>-5.8845163663112272E-3</v>
      </c>
      <c r="E13" s="156">
        <v>8.9539155117715763E-2</v>
      </c>
      <c r="G13" s="156"/>
    </row>
    <row r="14" spans="1:11" x14ac:dyDescent="0.2">
      <c r="B14" s="230">
        <v>45980</v>
      </c>
      <c r="C14" s="124">
        <v>403.55</v>
      </c>
      <c r="D14" s="156">
        <f t="shared" si="0"/>
        <v>-4.6861511900357072E-3</v>
      </c>
      <c r="E14" s="156">
        <v>8.5537779185807045E-2</v>
      </c>
      <c r="G14" s="156"/>
    </row>
    <row r="15" spans="1:11" x14ac:dyDescent="0.2">
      <c r="B15" s="230">
        <v>45979</v>
      </c>
      <c r="C15" s="124">
        <v>405.85</v>
      </c>
      <c r="D15" s="156">
        <f t="shared" si="0"/>
        <v>5.699417668194799E-3</v>
      </c>
      <c r="E15" s="156">
        <v>7.802071346375139E-2</v>
      </c>
      <c r="G15" s="231" t="s">
        <v>787</v>
      </c>
      <c r="H15" s="188" t="s">
        <v>788</v>
      </c>
      <c r="I15" s="232" t="s">
        <v>789</v>
      </c>
      <c r="J15" s="232" t="s">
        <v>790</v>
      </c>
      <c r="K15" s="232" t="s">
        <v>791</v>
      </c>
    </row>
    <row r="16" spans="1:11" x14ac:dyDescent="0.2">
      <c r="B16" s="230">
        <v>45978</v>
      </c>
      <c r="C16" s="124">
        <v>407.1</v>
      </c>
      <c r="D16" s="156">
        <f t="shared" si="0"/>
        <v>3.0799556486386594E-3</v>
      </c>
      <c r="E16" s="156">
        <v>7.3744292237442943E-2</v>
      </c>
      <c r="G16" s="157">
        <v>0.05</v>
      </c>
      <c r="H16" s="157">
        <f>100%-G16</f>
        <v>0.95</v>
      </c>
      <c r="I16" s="157">
        <f>_xlfn.PERCENTILE.INC(D8:D4966,G16)</f>
        <v>-2.6565909751061406E-2</v>
      </c>
      <c r="J16" s="233">
        <f>$H$12*(100%-I16)</f>
        <v>414.98926901686656</v>
      </c>
      <c r="K16" s="233">
        <f>$H$12-J16</f>
        <v>-10.739269016866558</v>
      </c>
    </row>
    <row r="17" spans="2:11" x14ac:dyDescent="0.2">
      <c r="B17" s="230">
        <v>45975</v>
      </c>
      <c r="C17" s="124">
        <v>408.15</v>
      </c>
      <c r="D17" s="156">
        <f t="shared" si="0"/>
        <v>2.5792188651435873E-3</v>
      </c>
      <c r="E17" s="156">
        <v>7.1438880069274041E-2</v>
      </c>
      <c r="G17" s="192">
        <v>0.01</v>
      </c>
      <c r="H17" s="192">
        <f t="shared" ref="H17:H19" si="1">100%-G17</f>
        <v>0.99</v>
      </c>
      <c r="I17" s="192">
        <f>_xlfn.PERCENTILE.INC(D9:D4966,G17)</f>
        <v>-4.7160428335059706E-2</v>
      </c>
      <c r="J17" s="234">
        <f>$H$12*(100%-I17)</f>
        <v>423.31460315444792</v>
      </c>
      <c r="K17" s="234">
        <f>$H$12-J17</f>
        <v>-19.064603154447923</v>
      </c>
    </row>
    <row r="18" spans="2:11" x14ac:dyDescent="0.2">
      <c r="B18" s="230">
        <v>45974</v>
      </c>
      <c r="C18" s="124">
        <v>405.7</v>
      </c>
      <c r="D18" s="156">
        <f t="shared" si="0"/>
        <v>-6.0026950875903193E-3</v>
      </c>
      <c r="E18" s="156">
        <v>6.8813131313131298E-2</v>
      </c>
      <c r="G18" s="192">
        <v>5.0000000000000001E-3</v>
      </c>
      <c r="H18" s="192">
        <f t="shared" si="1"/>
        <v>0.995</v>
      </c>
      <c r="I18" s="192">
        <f>_xlfn.PERCENTILE.INC(D10:D4966,G18)</f>
        <v>-5.7332389667112786E-2</v>
      </c>
      <c r="J18" s="234">
        <f>$H$12*(100%-I18)</f>
        <v>427.42661852293031</v>
      </c>
      <c r="K18" s="234">
        <f>$H$12-J18</f>
        <v>-23.176618522930312</v>
      </c>
    </row>
    <row r="19" spans="2:11" x14ac:dyDescent="0.2">
      <c r="B19" s="230">
        <v>45973</v>
      </c>
      <c r="C19" s="124">
        <v>407</v>
      </c>
      <c r="D19" s="156">
        <f t="shared" si="0"/>
        <v>3.2043381809218918E-3</v>
      </c>
      <c r="E19" s="156">
        <v>6.78490074845427E-2</v>
      </c>
      <c r="G19" s="155">
        <v>0.1</v>
      </c>
      <c r="H19" s="155">
        <f t="shared" si="1"/>
        <v>0.9</v>
      </c>
      <c r="I19" s="155">
        <f>_xlfn.PERCENTILE.INC(C9:C4967,G19)</f>
        <v>60.650999999999996</v>
      </c>
      <c r="J19" s="235">
        <f>$H$12*(100%-I19)</f>
        <v>-24113.916749999997</v>
      </c>
      <c r="K19" s="235">
        <f>$H$12-J19</f>
        <v>24518.166749999997</v>
      </c>
    </row>
    <row r="20" spans="2:11" x14ac:dyDescent="0.2">
      <c r="B20" s="230">
        <v>45972</v>
      </c>
      <c r="C20" s="124">
        <v>406.85</v>
      </c>
      <c r="D20" s="156">
        <f t="shared" si="0"/>
        <v>-3.685503685503127E-4</v>
      </c>
      <c r="E20" s="156">
        <v>6.74933929660501E-2</v>
      </c>
      <c r="G20" s="156"/>
    </row>
    <row r="21" spans="2:11" x14ac:dyDescent="0.2">
      <c r="B21" s="230">
        <v>45971</v>
      </c>
      <c r="C21" s="124">
        <v>405.55</v>
      </c>
      <c r="D21" s="156">
        <f t="shared" si="0"/>
        <v>-3.19528081602559E-3</v>
      </c>
      <c r="E21" s="156">
        <v>6.7116542039029725E-2</v>
      </c>
      <c r="G21" s="156"/>
    </row>
    <row r="22" spans="2:11" x14ac:dyDescent="0.2">
      <c r="B22" s="230">
        <v>45968</v>
      </c>
      <c r="C22" s="124">
        <v>404.05</v>
      </c>
      <c r="D22" s="156">
        <f t="shared" si="0"/>
        <v>-3.6986808038466279E-3</v>
      </c>
      <c r="E22" s="156">
        <v>6.6410204494837033E-2</v>
      </c>
      <c r="G22" s="156"/>
    </row>
    <row r="23" spans="2:11" x14ac:dyDescent="0.2">
      <c r="B23" s="230">
        <v>45967</v>
      </c>
      <c r="C23" s="124">
        <v>407.5</v>
      </c>
      <c r="D23" s="156">
        <f t="shared" si="0"/>
        <v>8.5385472095037464E-3</v>
      </c>
      <c r="E23" s="156">
        <v>6.598259514222625E-2</v>
      </c>
      <c r="G23" s="156"/>
    </row>
    <row r="24" spans="2:11" x14ac:dyDescent="0.2">
      <c r="B24" s="230">
        <v>45965</v>
      </c>
      <c r="C24" s="124">
        <v>408.9</v>
      </c>
      <c r="D24" s="156">
        <f t="shared" si="0"/>
        <v>3.4355828220858338E-3</v>
      </c>
      <c r="E24" s="156">
        <v>6.5852490421455939E-2</v>
      </c>
      <c r="G24" s="156"/>
    </row>
    <row r="25" spans="2:11" x14ac:dyDescent="0.2">
      <c r="B25" s="230">
        <v>45964</v>
      </c>
      <c r="C25" s="124">
        <v>413.95</v>
      </c>
      <c r="D25" s="156">
        <f t="shared" si="0"/>
        <v>1.2350207874786039E-2</v>
      </c>
      <c r="E25" s="156">
        <v>6.5512916980185618E-2</v>
      </c>
      <c r="G25" s="156"/>
    </row>
    <row r="26" spans="2:11" x14ac:dyDescent="0.2">
      <c r="B26" s="230">
        <v>45961</v>
      </c>
      <c r="C26" s="124">
        <v>420.35</v>
      </c>
      <c r="D26" s="156">
        <f t="shared" si="0"/>
        <v>1.5460804444981361E-2</v>
      </c>
      <c r="E26" s="156">
        <v>6.4701170512389911E-2</v>
      </c>
      <c r="G26" s="156"/>
    </row>
    <row r="27" spans="2:11" x14ac:dyDescent="0.2">
      <c r="B27" s="230">
        <v>45960</v>
      </c>
      <c r="C27" s="124">
        <v>418.75</v>
      </c>
      <c r="D27" s="156">
        <f t="shared" si="0"/>
        <v>-3.8063518496491556E-3</v>
      </c>
      <c r="E27" s="156">
        <v>6.3012170877175991E-2</v>
      </c>
      <c r="G27" s="156"/>
    </row>
    <row r="28" spans="2:11" x14ac:dyDescent="0.2">
      <c r="B28" s="230">
        <v>45959</v>
      </c>
      <c r="C28" s="124">
        <v>421.6</v>
      </c>
      <c r="D28" s="156">
        <f t="shared" si="0"/>
        <v>6.8059701492537853E-3</v>
      </c>
      <c r="E28" s="156">
        <v>6.2552406506791822E-2</v>
      </c>
      <c r="G28" s="156"/>
    </row>
    <row r="29" spans="2:11" x14ac:dyDescent="0.2">
      <c r="B29" s="230">
        <v>45958</v>
      </c>
      <c r="C29" s="124">
        <v>417.9</v>
      </c>
      <c r="D29" s="156">
        <f t="shared" si="0"/>
        <v>-8.7760910815940351E-3</v>
      </c>
      <c r="E29" s="156">
        <v>6.2544547398432029E-2</v>
      </c>
      <c r="G29" s="156"/>
    </row>
    <row r="30" spans="2:11" x14ac:dyDescent="0.2">
      <c r="B30" s="230">
        <v>45957</v>
      </c>
      <c r="C30" s="124">
        <v>420.65</v>
      </c>
      <c r="D30" s="156">
        <f t="shared" si="0"/>
        <v>6.580521655898541E-3</v>
      </c>
      <c r="E30" s="156">
        <v>6.1556414557654426E-2</v>
      </c>
      <c r="G30" s="156"/>
    </row>
    <row r="31" spans="2:11" x14ac:dyDescent="0.2">
      <c r="B31" s="230">
        <v>45954</v>
      </c>
      <c r="C31" s="124">
        <v>416.8</v>
      </c>
      <c r="D31" s="156">
        <f t="shared" si="0"/>
        <v>-9.1525020801140281E-3</v>
      </c>
      <c r="E31" s="156">
        <v>6.1325232580216382E-2</v>
      </c>
      <c r="G31" s="156"/>
    </row>
    <row r="32" spans="2:11" x14ac:dyDescent="0.2">
      <c r="B32" s="230">
        <v>45953</v>
      </c>
      <c r="C32" s="124">
        <v>415.95</v>
      </c>
      <c r="D32" s="156">
        <f t="shared" si="0"/>
        <v>-2.0393474088292291E-3</v>
      </c>
      <c r="E32" s="156">
        <v>6.1012812690665039E-2</v>
      </c>
      <c r="G32" s="156"/>
    </row>
    <row r="33" spans="2:7" x14ac:dyDescent="0.2">
      <c r="B33" s="230">
        <v>45951</v>
      </c>
      <c r="C33" s="124">
        <v>412.85</v>
      </c>
      <c r="D33" s="156">
        <f t="shared" si="0"/>
        <v>-7.4528188484191994E-3</v>
      </c>
      <c r="E33" s="156">
        <v>6.0689879596485467E-2</v>
      </c>
      <c r="G33" s="156"/>
    </row>
    <row r="34" spans="2:7" x14ac:dyDescent="0.2">
      <c r="B34" s="230">
        <v>45950</v>
      </c>
      <c r="C34" s="124">
        <v>413.05</v>
      </c>
      <c r="D34" s="156">
        <f t="shared" si="0"/>
        <v>4.8443744701462665E-4</v>
      </c>
      <c r="E34" s="156">
        <v>5.9306974677920898E-2</v>
      </c>
      <c r="G34" s="156"/>
    </row>
    <row r="35" spans="2:7" x14ac:dyDescent="0.2">
      <c r="B35" s="230">
        <v>45947</v>
      </c>
      <c r="C35" s="124">
        <v>412.15</v>
      </c>
      <c r="D35" s="156">
        <f t="shared" si="0"/>
        <v>-2.1789129645322213E-3</v>
      </c>
      <c r="E35" s="156">
        <v>5.9239006607427661E-2</v>
      </c>
      <c r="G35" s="156"/>
    </row>
    <row r="36" spans="2:7" x14ac:dyDescent="0.2">
      <c r="B36" s="230">
        <v>45946</v>
      </c>
      <c r="C36" s="124">
        <v>405.15</v>
      </c>
      <c r="D36" s="156">
        <f t="shared" si="0"/>
        <v>-1.6984107727769017E-2</v>
      </c>
      <c r="E36" s="156">
        <v>5.8804981869777659E-2</v>
      </c>
      <c r="G36" s="156"/>
    </row>
    <row r="37" spans="2:7" x14ac:dyDescent="0.2">
      <c r="B37" s="230">
        <v>45945</v>
      </c>
      <c r="C37" s="124">
        <v>399.9</v>
      </c>
      <c r="D37" s="156">
        <f t="shared" si="0"/>
        <v>-1.295816364309515E-2</v>
      </c>
      <c r="E37" s="156">
        <v>5.8193502320599791E-2</v>
      </c>
      <c r="G37" s="156"/>
    </row>
    <row r="38" spans="2:7" x14ac:dyDescent="0.2">
      <c r="B38" s="230">
        <v>45944</v>
      </c>
      <c r="C38" s="124">
        <v>396.8</v>
      </c>
      <c r="D38" s="156">
        <f t="shared" si="0"/>
        <v>-7.7519379844960389E-3</v>
      </c>
      <c r="E38" s="156">
        <v>5.7985587397352115E-2</v>
      </c>
      <c r="G38" s="156"/>
    </row>
    <row r="39" spans="2:7" x14ac:dyDescent="0.2">
      <c r="B39" s="230">
        <v>45943</v>
      </c>
      <c r="C39" s="124">
        <v>399.25</v>
      </c>
      <c r="D39" s="156">
        <f t="shared" si="0"/>
        <v>6.1743951612902937E-3</v>
      </c>
      <c r="E39" s="156">
        <v>5.6910569105691117E-2</v>
      </c>
      <c r="G39" s="156"/>
    </row>
    <row r="40" spans="2:7" x14ac:dyDescent="0.2">
      <c r="B40" s="230">
        <v>45940</v>
      </c>
      <c r="C40" s="124">
        <v>402.8</v>
      </c>
      <c r="D40" s="156">
        <f t="shared" si="0"/>
        <v>8.8916718847839981E-3</v>
      </c>
      <c r="E40" s="156">
        <v>5.572161498996199E-2</v>
      </c>
      <c r="G40" s="156"/>
    </row>
    <row r="41" spans="2:7" x14ac:dyDescent="0.2">
      <c r="B41" s="230">
        <v>45939</v>
      </c>
      <c r="C41" s="124">
        <v>399.9</v>
      </c>
      <c r="D41" s="156">
        <f t="shared" si="0"/>
        <v>-7.1996027805363311E-3</v>
      </c>
      <c r="E41" s="156">
        <v>5.5713704758031717E-2</v>
      </c>
    </row>
    <row r="42" spans="2:7" x14ac:dyDescent="0.2">
      <c r="B42" s="230">
        <v>45938</v>
      </c>
      <c r="C42" s="124">
        <v>399.75</v>
      </c>
      <c r="D42" s="156">
        <f t="shared" si="0"/>
        <v>-3.7509377344330399E-4</v>
      </c>
      <c r="E42" s="156">
        <v>5.5693069306930756E-2</v>
      </c>
    </row>
    <row r="43" spans="2:7" x14ac:dyDescent="0.2">
      <c r="B43" s="230">
        <v>45937</v>
      </c>
      <c r="C43" s="124">
        <v>399.8</v>
      </c>
      <c r="D43" s="156">
        <f t="shared" si="0"/>
        <v>1.250781738586901E-4</v>
      </c>
      <c r="E43" s="156">
        <v>5.5048597258180884E-2</v>
      </c>
    </row>
    <row r="44" spans="2:7" x14ac:dyDescent="0.2">
      <c r="B44" s="230">
        <v>45936</v>
      </c>
      <c r="C44" s="124">
        <v>400.75</v>
      </c>
      <c r="D44" s="156">
        <f t="shared" si="0"/>
        <v>2.376188094046995E-3</v>
      </c>
      <c r="E44" s="156">
        <v>5.496761964934456E-2</v>
      </c>
      <c r="G44" s="156"/>
    </row>
    <row r="45" spans="2:7" x14ac:dyDescent="0.2">
      <c r="B45" s="230">
        <v>45933</v>
      </c>
      <c r="C45" s="124">
        <v>404.3</v>
      </c>
      <c r="D45" s="156">
        <f t="shared" si="0"/>
        <v>8.8583905177791918E-3</v>
      </c>
      <c r="E45" s="156">
        <v>5.4913294797687889E-2</v>
      </c>
      <c r="G45" s="156"/>
    </row>
    <row r="46" spans="2:7" x14ac:dyDescent="0.2">
      <c r="B46" s="230">
        <v>45931</v>
      </c>
      <c r="C46" s="124">
        <v>405.6</v>
      </c>
      <c r="D46" s="156">
        <f t="shared" si="0"/>
        <v>3.2154340836013143E-3</v>
      </c>
      <c r="E46" s="156">
        <v>5.4667145809001831E-2</v>
      </c>
      <c r="G46" s="156"/>
    </row>
    <row r="47" spans="2:7" x14ac:dyDescent="0.2">
      <c r="B47" s="230">
        <v>45930</v>
      </c>
      <c r="C47" s="124">
        <v>401.55</v>
      </c>
      <c r="D47" s="156">
        <f t="shared" si="0"/>
        <v>-9.9852071005917427E-3</v>
      </c>
      <c r="E47" s="156">
        <v>5.4160235723305736E-2</v>
      </c>
      <c r="G47" s="156"/>
    </row>
    <row r="48" spans="2:7" x14ac:dyDescent="0.2">
      <c r="B48" s="230">
        <v>45929</v>
      </c>
      <c r="C48" s="124">
        <v>407.25</v>
      </c>
      <c r="D48" s="156">
        <f t="shared" si="0"/>
        <v>1.419499439671271E-2</v>
      </c>
      <c r="E48" s="156">
        <v>5.3504707816469863E-2</v>
      </c>
      <c r="G48" s="156"/>
    </row>
    <row r="49" spans="2:7" x14ac:dyDescent="0.2">
      <c r="B49" s="230">
        <v>45926</v>
      </c>
      <c r="C49" s="124">
        <v>405.1</v>
      </c>
      <c r="D49" s="156">
        <f t="shared" si="0"/>
        <v>-5.2793124616328478E-3</v>
      </c>
      <c r="E49" s="156">
        <v>5.2953156822810522E-2</v>
      </c>
      <c r="G49" s="156"/>
    </row>
    <row r="50" spans="2:7" x14ac:dyDescent="0.2">
      <c r="B50" s="230">
        <v>45925</v>
      </c>
      <c r="C50" s="124">
        <v>400.1</v>
      </c>
      <c r="D50" s="156">
        <f t="shared" si="0"/>
        <v>-1.2342631449024932E-2</v>
      </c>
      <c r="E50" s="156">
        <v>5.2733345051854452E-2</v>
      </c>
      <c r="G50" s="156"/>
    </row>
    <row r="51" spans="2:7" x14ac:dyDescent="0.2">
      <c r="B51" s="230">
        <v>45924</v>
      </c>
      <c r="C51" s="124">
        <v>401</v>
      </c>
      <c r="D51" s="156">
        <f t="shared" si="0"/>
        <v>2.2494376405897956E-3</v>
      </c>
      <c r="E51" s="156">
        <v>5.2401746724890876E-2</v>
      </c>
      <c r="G51" s="156"/>
    </row>
    <row r="52" spans="2:7" x14ac:dyDescent="0.2">
      <c r="B52" s="230">
        <v>45923</v>
      </c>
      <c r="C52" s="124">
        <v>403.2</v>
      </c>
      <c r="D52" s="156">
        <f t="shared" si="0"/>
        <v>5.4862842892767797E-3</v>
      </c>
      <c r="E52" s="156">
        <v>5.2253429131286666E-2</v>
      </c>
      <c r="G52" s="156"/>
    </row>
    <row r="53" spans="2:7" x14ac:dyDescent="0.2">
      <c r="B53" s="230">
        <v>45922</v>
      </c>
      <c r="C53" s="124">
        <v>406.95</v>
      </c>
      <c r="D53" s="156">
        <f t="shared" si="0"/>
        <v>9.300595238095238E-3</v>
      </c>
      <c r="E53" s="156">
        <v>5.2176888204601903E-2</v>
      </c>
      <c r="G53" s="156"/>
    </row>
    <row r="54" spans="2:7" x14ac:dyDescent="0.2">
      <c r="B54" s="230">
        <v>45919</v>
      </c>
      <c r="C54" s="124">
        <v>410.65</v>
      </c>
      <c r="D54" s="156">
        <f t="shared" si="0"/>
        <v>9.0920260474259464E-3</v>
      </c>
      <c r="E54" s="156">
        <v>5.1643192488262914E-2</v>
      </c>
      <c r="G54" s="156"/>
    </row>
    <row r="55" spans="2:7" x14ac:dyDescent="0.2">
      <c r="B55" s="230">
        <v>45918</v>
      </c>
      <c r="C55" s="124">
        <v>411.55</v>
      </c>
      <c r="D55" s="156">
        <f t="shared" si="0"/>
        <v>2.1916473882869453E-3</v>
      </c>
      <c r="E55" s="156">
        <v>5.0761421319797009E-2</v>
      </c>
      <c r="G55" s="156"/>
    </row>
    <row r="56" spans="2:7" x14ac:dyDescent="0.2">
      <c r="B56" s="230">
        <v>45917</v>
      </c>
      <c r="C56" s="124">
        <v>409.3</v>
      </c>
      <c r="D56" s="156">
        <f t="shared" si="0"/>
        <v>-5.4671364354270443E-3</v>
      </c>
      <c r="E56" s="156">
        <v>5.0383351588170831E-2</v>
      </c>
      <c r="G56" s="156"/>
    </row>
    <row r="57" spans="2:7" x14ac:dyDescent="0.2">
      <c r="B57" s="230">
        <v>45916</v>
      </c>
      <c r="C57" s="124">
        <v>413.1</v>
      </c>
      <c r="D57" s="156">
        <f t="shared" si="0"/>
        <v>9.2841436599071861E-3</v>
      </c>
      <c r="E57" s="156">
        <v>4.9040933359699362E-2</v>
      </c>
      <c r="G57" s="156"/>
    </row>
    <row r="58" spans="2:7" x14ac:dyDescent="0.2">
      <c r="B58" s="230">
        <v>45915</v>
      </c>
      <c r="C58" s="124">
        <v>412.65</v>
      </c>
      <c r="D58" s="156">
        <f t="shared" si="0"/>
        <v>-1.0893246187364935E-3</v>
      </c>
      <c r="E58" s="156">
        <v>4.8531739053982857E-2</v>
      </c>
      <c r="G58" s="156"/>
    </row>
    <row r="59" spans="2:7" x14ac:dyDescent="0.2">
      <c r="B59" s="230">
        <v>45912</v>
      </c>
      <c r="C59" s="124">
        <v>413.75</v>
      </c>
      <c r="D59" s="156">
        <f t="shared" si="0"/>
        <v>2.6656973221859271E-3</v>
      </c>
      <c r="E59" s="156">
        <v>4.8032088242667401E-2</v>
      </c>
      <c r="G59" s="156"/>
    </row>
    <row r="60" spans="2:7" x14ac:dyDescent="0.2">
      <c r="B60" s="230">
        <v>45911</v>
      </c>
      <c r="C60" s="124">
        <v>415.05</v>
      </c>
      <c r="D60" s="156">
        <f t="shared" si="0"/>
        <v>3.1419939577039548E-3</v>
      </c>
      <c r="E60" s="156">
        <v>4.707069008993859E-2</v>
      </c>
      <c r="G60" s="156"/>
    </row>
    <row r="61" spans="2:7" x14ac:dyDescent="0.2">
      <c r="B61" s="230">
        <v>45910</v>
      </c>
      <c r="C61" s="124">
        <v>413.05</v>
      </c>
      <c r="D61" s="156">
        <f t="shared" si="0"/>
        <v>-4.8186965425852301E-3</v>
      </c>
      <c r="E61" s="156">
        <v>4.6898928024502212E-2</v>
      </c>
      <c r="G61" s="156"/>
    </row>
    <row r="62" spans="2:7" x14ac:dyDescent="0.2">
      <c r="B62" s="230">
        <v>45909</v>
      </c>
      <c r="C62" s="124">
        <v>410.05</v>
      </c>
      <c r="D62" s="156">
        <f t="shared" si="0"/>
        <v>-7.2630432151071294E-3</v>
      </c>
      <c r="E62" s="156">
        <v>4.6828543111992013E-2</v>
      </c>
      <c r="G62" s="156"/>
    </row>
    <row r="63" spans="2:7" x14ac:dyDescent="0.2">
      <c r="B63" s="230">
        <v>45908</v>
      </c>
      <c r="C63" s="124">
        <v>407.55</v>
      </c>
      <c r="D63" s="156">
        <f t="shared" si="0"/>
        <v>-6.0968174612852089E-3</v>
      </c>
      <c r="E63" s="156">
        <v>4.6339704291381179E-2</v>
      </c>
      <c r="G63" s="156"/>
    </row>
    <row r="64" spans="2:7" x14ac:dyDescent="0.2">
      <c r="B64" s="230">
        <v>45905</v>
      </c>
      <c r="C64" s="124">
        <v>407.35</v>
      </c>
      <c r="D64" s="156">
        <f t="shared" si="0"/>
        <v>-4.9073733284256806E-4</v>
      </c>
      <c r="E64" s="156">
        <v>4.5963803504740011E-2</v>
      </c>
      <c r="G64" s="156"/>
    </row>
    <row r="65" spans="1:11" x14ac:dyDescent="0.2">
      <c r="A65" s="236"/>
      <c r="B65" s="243">
        <v>45904</v>
      </c>
      <c r="C65" s="236">
        <v>415.9</v>
      </c>
      <c r="D65" s="244">
        <f t="shared" si="0"/>
        <v>2.098932122253579E-2</v>
      </c>
      <c r="E65" s="244">
        <v>4.5903954802259887E-2</v>
      </c>
      <c r="F65" s="236"/>
      <c r="G65" s="244"/>
      <c r="H65" s="236"/>
      <c r="I65" s="236"/>
      <c r="J65" s="236"/>
      <c r="K65" s="236"/>
    </row>
    <row r="66" spans="1:11" x14ac:dyDescent="0.2">
      <c r="B66" s="230">
        <v>45903</v>
      </c>
      <c r="C66" s="124">
        <v>411.75</v>
      </c>
      <c r="D66" s="156">
        <f t="shared" si="0"/>
        <v>-9.9783601827361807E-3</v>
      </c>
      <c r="E66" s="156">
        <v>4.5839718741548664E-2</v>
      </c>
      <c r="G66" s="156"/>
    </row>
    <row r="67" spans="1:11" x14ac:dyDescent="0.2">
      <c r="B67" s="230">
        <v>45902</v>
      </c>
      <c r="C67" s="124">
        <v>406.75</v>
      </c>
      <c r="D67" s="156">
        <f t="shared" si="0"/>
        <v>-1.2143290831815421E-2</v>
      </c>
      <c r="E67" s="156">
        <v>4.5101454733769655E-2</v>
      </c>
      <c r="G67" s="156"/>
    </row>
    <row r="68" spans="1:11" x14ac:dyDescent="0.2">
      <c r="B68" s="230">
        <v>45901</v>
      </c>
      <c r="C68" s="124">
        <v>405.85</v>
      </c>
      <c r="D68" s="156">
        <f t="shared" si="0"/>
        <v>-2.212661339889311E-3</v>
      </c>
      <c r="E68" s="156">
        <v>4.489722322394514E-2</v>
      </c>
      <c r="G68" s="156"/>
    </row>
    <row r="69" spans="1:11" x14ac:dyDescent="0.2">
      <c r="B69" s="230">
        <v>45898</v>
      </c>
      <c r="C69" s="124">
        <v>409.75</v>
      </c>
      <c r="D69" s="156">
        <f t="shared" si="0"/>
        <v>9.6094616237525615E-3</v>
      </c>
      <c r="E69" s="156">
        <v>4.4428390825356712E-2</v>
      </c>
      <c r="G69" s="156"/>
    </row>
    <row r="70" spans="1:11" x14ac:dyDescent="0.2">
      <c r="B70" s="230">
        <v>45897</v>
      </c>
      <c r="C70" s="124">
        <v>400.9</v>
      </c>
      <c r="D70" s="156">
        <f t="shared" si="0"/>
        <v>-2.159853569249548E-2</v>
      </c>
      <c r="E70" s="156">
        <v>4.3849564788963735E-2</v>
      </c>
      <c r="G70" s="156"/>
    </row>
    <row r="71" spans="1:11" x14ac:dyDescent="0.2">
      <c r="B71" s="230">
        <v>45895</v>
      </c>
      <c r="C71" s="124">
        <v>403.35</v>
      </c>
      <c r="D71" s="156">
        <f t="shared" si="0"/>
        <v>6.1112496882016606E-3</v>
      </c>
      <c r="E71" s="156">
        <v>4.3577483155835747E-2</v>
      </c>
      <c r="G71" s="156"/>
    </row>
    <row r="72" spans="1:11" x14ac:dyDescent="0.2">
      <c r="B72" s="230">
        <v>45894</v>
      </c>
      <c r="C72" s="124">
        <v>399.35</v>
      </c>
      <c r="D72" s="156">
        <f t="shared" ref="D72:D135" si="2">(C72-C71)/C71</f>
        <v>-9.9169455807611249E-3</v>
      </c>
      <c r="E72" s="156">
        <v>4.2984786283506285E-2</v>
      </c>
      <c r="G72" s="156"/>
    </row>
    <row r="73" spans="1:11" x14ac:dyDescent="0.2">
      <c r="B73" s="230">
        <v>45891</v>
      </c>
      <c r="C73" s="124">
        <v>398.3</v>
      </c>
      <c r="D73" s="156">
        <f t="shared" si="2"/>
        <v>-2.6292725679229029E-3</v>
      </c>
      <c r="E73" s="156">
        <v>4.2402826855123678E-2</v>
      </c>
      <c r="G73" s="156"/>
    </row>
    <row r="74" spans="1:11" x14ac:dyDescent="0.2">
      <c r="B74" s="230">
        <v>45890</v>
      </c>
      <c r="C74" s="124">
        <v>405.55</v>
      </c>
      <c r="D74" s="156">
        <f t="shared" si="2"/>
        <v>1.8202360030128043E-2</v>
      </c>
      <c r="E74" s="156">
        <v>4.2380402946658305E-2</v>
      </c>
      <c r="G74" s="156"/>
    </row>
    <row r="75" spans="1:11" x14ac:dyDescent="0.2">
      <c r="B75" s="230">
        <v>45889</v>
      </c>
      <c r="C75" s="124">
        <v>406.05</v>
      </c>
      <c r="D75" s="156">
        <f t="shared" si="2"/>
        <v>1.2328936012822092E-3</v>
      </c>
      <c r="E75" s="156">
        <v>4.2228064410121599E-2</v>
      </c>
      <c r="G75" s="156"/>
    </row>
    <row r="76" spans="1:11" x14ac:dyDescent="0.2">
      <c r="B76" s="230">
        <v>45888</v>
      </c>
      <c r="C76" s="124">
        <v>409.1</v>
      </c>
      <c r="D76" s="156">
        <f t="shared" si="2"/>
        <v>7.5113902228789832E-3</v>
      </c>
      <c r="E76" s="156">
        <v>4.2220814861726831E-2</v>
      </c>
      <c r="G76" s="156"/>
    </row>
    <row r="77" spans="1:11" x14ac:dyDescent="0.2">
      <c r="B77" s="230">
        <v>45887</v>
      </c>
      <c r="C77" s="124">
        <v>406.3</v>
      </c>
      <c r="D77" s="156">
        <f t="shared" si="2"/>
        <v>-6.8442923490589372E-3</v>
      </c>
      <c r="E77" s="156">
        <v>4.2196588780439581E-2</v>
      </c>
      <c r="G77" s="156"/>
    </row>
    <row r="78" spans="1:11" x14ac:dyDescent="0.2">
      <c r="B78" s="230">
        <v>45883</v>
      </c>
      <c r="C78" s="124">
        <v>411.45</v>
      </c>
      <c r="D78" s="156">
        <f t="shared" si="2"/>
        <v>1.2675363032242129E-2</v>
      </c>
      <c r="E78" s="156">
        <v>4.2035502958579857E-2</v>
      </c>
      <c r="G78" s="156"/>
    </row>
    <row r="79" spans="1:11" x14ac:dyDescent="0.2">
      <c r="B79" s="230">
        <v>45882</v>
      </c>
      <c r="C79" s="124">
        <v>414.1</v>
      </c>
      <c r="D79" s="156">
        <f t="shared" si="2"/>
        <v>6.4406367723904099E-3</v>
      </c>
      <c r="E79" s="156">
        <v>4.1996134247056768E-2</v>
      </c>
      <c r="G79" s="156"/>
    </row>
    <row r="80" spans="1:11" x14ac:dyDescent="0.2">
      <c r="B80" s="230">
        <v>45881</v>
      </c>
      <c r="C80" s="124">
        <v>416.35</v>
      </c>
      <c r="D80" s="156">
        <f t="shared" si="2"/>
        <v>5.4334701762859209E-3</v>
      </c>
      <c r="E80" s="156">
        <v>4.1683286796968561E-2</v>
      </c>
      <c r="G80" s="156"/>
    </row>
    <row r="81" spans="2:7" x14ac:dyDescent="0.2">
      <c r="B81" s="230">
        <v>45880</v>
      </c>
      <c r="C81" s="124">
        <v>416.85</v>
      </c>
      <c r="D81" s="156">
        <f t="shared" si="2"/>
        <v>1.2009126936471718E-3</v>
      </c>
      <c r="E81" s="156">
        <v>4.1666666666666644E-2</v>
      </c>
      <c r="G81" s="156"/>
    </row>
    <row r="82" spans="2:7" x14ac:dyDescent="0.2">
      <c r="B82" s="230">
        <v>45877</v>
      </c>
      <c r="C82" s="124">
        <v>414.5</v>
      </c>
      <c r="D82" s="156">
        <f t="shared" si="2"/>
        <v>-5.6375194914238275E-3</v>
      </c>
      <c r="E82" s="156">
        <v>4.1614605910701971E-2</v>
      </c>
      <c r="G82" s="156"/>
    </row>
    <row r="83" spans="2:7" x14ac:dyDescent="0.2">
      <c r="B83" s="230">
        <v>45876</v>
      </c>
      <c r="C83" s="124">
        <v>413.6</v>
      </c>
      <c r="D83" s="156">
        <f t="shared" si="2"/>
        <v>-2.1712907117007896E-3</v>
      </c>
      <c r="E83" s="156">
        <v>4.150532429816061E-2</v>
      </c>
      <c r="G83" s="156"/>
    </row>
    <row r="84" spans="2:7" x14ac:dyDescent="0.2">
      <c r="B84" s="230">
        <v>45875</v>
      </c>
      <c r="C84" s="124">
        <v>412</v>
      </c>
      <c r="D84" s="156">
        <f t="shared" si="2"/>
        <v>-3.8684719535783912E-3</v>
      </c>
      <c r="E84" s="156">
        <v>4.1442323380649355E-2</v>
      </c>
      <c r="G84" s="156"/>
    </row>
    <row r="85" spans="2:7" x14ac:dyDescent="0.2">
      <c r="B85" s="230">
        <v>45874</v>
      </c>
      <c r="C85" s="124">
        <v>414.15</v>
      </c>
      <c r="D85" s="156">
        <f t="shared" si="2"/>
        <v>5.2184466019416925E-3</v>
      </c>
      <c r="E85" s="156">
        <v>4.1388825017245348E-2</v>
      </c>
      <c r="G85" s="156"/>
    </row>
    <row r="86" spans="2:7" x14ac:dyDescent="0.2">
      <c r="B86" s="230">
        <v>45873</v>
      </c>
      <c r="C86" s="124">
        <v>416.85</v>
      </c>
      <c r="D86" s="156">
        <f t="shared" si="2"/>
        <v>6.5193770373054346E-3</v>
      </c>
      <c r="E86" s="156">
        <v>4.1237113402061897E-2</v>
      </c>
      <c r="G86" s="156"/>
    </row>
    <row r="87" spans="2:7" x14ac:dyDescent="0.2">
      <c r="B87" s="230">
        <v>45870</v>
      </c>
      <c r="C87" s="124">
        <v>416.45</v>
      </c>
      <c r="D87" s="156">
        <f t="shared" si="2"/>
        <v>-9.5957778577434108E-4</v>
      </c>
      <c r="E87" s="156">
        <v>4.1143216080401973E-2</v>
      </c>
      <c r="G87" s="156"/>
    </row>
    <row r="88" spans="2:7" x14ac:dyDescent="0.2">
      <c r="B88" s="230">
        <v>45869</v>
      </c>
      <c r="C88" s="124">
        <v>411.95</v>
      </c>
      <c r="D88" s="156">
        <f t="shared" si="2"/>
        <v>-1.0805618921839356E-2</v>
      </c>
      <c r="E88" s="156">
        <v>4.0951853901494223E-2</v>
      </c>
      <c r="G88" s="156"/>
    </row>
    <row r="89" spans="2:7" x14ac:dyDescent="0.2">
      <c r="B89" s="230">
        <v>45868</v>
      </c>
      <c r="C89" s="124">
        <v>407.6</v>
      </c>
      <c r="D89" s="156">
        <f t="shared" si="2"/>
        <v>-1.0559533924019824E-2</v>
      </c>
      <c r="E89" s="156">
        <v>4.0524781341107985E-2</v>
      </c>
      <c r="G89" s="156"/>
    </row>
    <row r="90" spans="2:7" x14ac:dyDescent="0.2">
      <c r="B90" s="230">
        <v>45867</v>
      </c>
      <c r="C90" s="124">
        <v>408.45</v>
      </c>
      <c r="D90" s="156">
        <f t="shared" si="2"/>
        <v>2.0853778213934392E-3</v>
      </c>
      <c r="E90" s="156">
        <v>4.0326107328044064E-2</v>
      </c>
      <c r="G90" s="156"/>
    </row>
    <row r="91" spans="2:7" x14ac:dyDescent="0.2">
      <c r="B91" s="230">
        <v>45866</v>
      </c>
      <c r="C91" s="124">
        <v>409.9</v>
      </c>
      <c r="D91" s="156">
        <f t="shared" si="2"/>
        <v>3.5500061207001804E-3</v>
      </c>
      <c r="E91" s="156">
        <v>4.0246617571501997E-2</v>
      </c>
      <c r="G91" s="156"/>
    </row>
    <row r="92" spans="2:7" x14ac:dyDescent="0.2">
      <c r="B92" s="230">
        <v>45863</v>
      </c>
      <c r="C92" s="124">
        <v>409.4</v>
      </c>
      <c r="D92" s="156">
        <f t="shared" si="2"/>
        <v>-1.2198097096852891E-3</v>
      </c>
      <c r="E92" s="156">
        <v>4.0154304751884959E-2</v>
      </c>
      <c r="G92" s="156"/>
    </row>
    <row r="93" spans="2:7" x14ac:dyDescent="0.2">
      <c r="B93" s="230">
        <v>45862</v>
      </c>
      <c r="C93" s="124">
        <v>409.95</v>
      </c>
      <c r="D93" s="156">
        <f t="shared" si="2"/>
        <v>1.343429408891088E-3</v>
      </c>
      <c r="E93" s="156">
        <v>4.0076335877862634E-2</v>
      </c>
      <c r="G93" s="156"/>
    </row>
    <row r="94" spans="2:7" x14ac:dyDescent="0.2">
      <c r="B94" s="230">
        <v>45861</v>
      </c>
      <c r="C94" s="124">
        <v>414.95</v>
      </c>
      <c r="D94" s="156">
        <f t="shared" si="2"/>
        <v>1.2196609342602758E-2</v>
      </c>
      <c r="E94" s="156">
        <v>3.991331045692615E-2</v>
      </c>
      <c r="G94" s="156"/>
    </row>
    <row r="95" spans="2:7" x14ac:dyDescent="0.2">
      <c r="B95" s="230">
        <v>45860</v>
      </c>
      <c r="C95" s="124">
        <v>416</v>
      </c>
      <c r="D95" s="156">
        <f t="shared" si="2"/>
        <v>2.5304253524521302E-3</v>
      </c>
      <c r="E95" s="156">
        <v>3.9652280006100486E-2</v>
      </c>
      <c r="G95" s="156"/>
    </row>
    <row r="96" spans="2:7" x14ac:dyDescent="0.2">
      <c r="B96" s="230">
        <v>45859</v>
      </c>
      <c r="C96" s="124">
        <v>420.1</v>
      </c>
      <c r="D96" s="156">
        <f t="shared" si="2"/>
        <v>9.855769230769286E-3</v>
      </c>
      <c r="E96" s="156">
        <v>3.946854239937482E-2</v>
      </c>
      <c r="G96" s="156"/>
    </row>
    <row r="97" spans="2:7" x14ac:dyDescent="0.2">
      <c r="B97" s="230">
        <v>45856</v>
      </c>
      <c r="C97" s="124">
        <v>422.75</v>
      </c>
      <c r="D97" s="156">
        <f t="shared" si="2"/>
        <v>6.3080218995476721E-3</v>
      </c>
      <c r="E97" s="156">
        <v>3.9342337052260604E-2</v>
      </c>
      <c r="G97" s="156"/>
    </row>
    <row r="98" spans="2:7" x14ac:dyDescent="0.2">
      <c r="B98" s="230">
        <v>45855</v>
      </c>
      <c r="C98" s="124">
        <v>423.95</v>
      </c>
      <c r="D98" s="156">
        <f t="shared" si="2"/>
        <v>2.8385570668243375E-3</v>
      </c>
      <c r="E98" s="156">
        <v>3.9265642562757656E-2</v>
      </c>
      <c r="G98" s="156"/>
    </row>
    <row r="99" spans="2:7" x14ac:dyDescent="0.2">
      <c r="B99" s="230">
        <v>45854</v>
      </c>
      <c r="C99" s="124">
        <v>424.6</v>
      </c>
      <c r="D99" s="156">
        <f t="shared" si="2"/>
        <v>1.5331996697724593E-3</v>
      </c>
      <c r="E99" s="156">
        <v>3.9259855189058807E-2</v>
      </c>
      <c r="G99" s="156"/>
    </row>
    <row r="100" spans="2:7" x14ac:dyDescent="0.2">
      <c r="B100" s="230">
        <v>45853</v>
      </c>
      <c r="C100" s="124">
        <v>422.1</v>
      </c>
      <c r="D100" s="156">
        <f t="shared" si="2"/>
        <v>-5.8878944889307581E-3</v>
      </c>
      <c r="E100" s="156">
        <v>3.9055058106305905E-2</v>
      </c>
      <c r="G100" s="156"/>
    </row>
    <row r="101" spans="2:7" x14ac:dyDescent="0.2">
      <c r="B101" s="230">
        <v>45852</v>
      </c>
      <c r="C101" s="124">
        <v>419.4</v>
      </c>
      <c r="D101" s="156">
        <f t="shared" si="2"/>
        <v>-6.3965884861408324E-3</v>
      </c>
      <c r="E101" s="156">
        <v>3.8996286067993512E-2</v>
      </c>
      <c r="G101" s="156"/>
    </row>
    <row r="102" spans="2:7" x14ac:dyDescent="0.2">
      <c r="B102" s="230">
        <v>45849</v>
      </c>
      <c r="C102" s="124">
        <v>416.8</v>
      </c>
      <c r="D102" s="156">
        <f t="shared" si="2"/>
        <v>-6.1993323795898093E-3</v>
      </c>
      <c r="E102" s="156">
        <v>3.8788788788788789E-2</v>
      </c>
      <c r="G102" s="156"/>
    </row>
    <row r="103" spans="2:7" x14ac:dyDescent="0.2">
      <c r="B103" s="230">
        <v>45848</v>
      </c>
      <c r="C103" s="124">
        <v>416.85</v>
      </c>
      <c r="D103" s="156">
        <f t="shared" si="2"/>
        <v>1.1996161228409637E-4</v>
      </c>
      <c r="E103" s="156">
        <v>3.8571428571428513E-2</v>
      </c>
      <c r="G103" s="156"/>
    </row>
    <row r="104" spans="2:7" x14ac:dyDescent="0.2">
      <c r="B104" s="230">
        <v>45847</v>
      </c>
      <c r="C104" s="124">
        <v>419.45</v>
      </c>
      <c r="D104" s="156">
        <f t="shared" si="2"/>
        <v>6.2372556075326038E-3</v>
      </c>
      <c r="E104" s="156">
        <v>3.8336347197106775E-2</v>
      </c>
      <c r="G104" s="156"/>
    </row>
    <row r="105" spans="2:7" x14ac:dyDescent="0.2">
      <c r="B105" s="230">
        <v>45846</v>
      </c>
      <c r="C105" s="124">
        <v>417.2</v>
      </c>
      <c r="D105" s="156">
        <f t="shared" si="2"/>
        <v>-5.3641673620216952E-3</v>
      </c>
      <c r="E105" s="156">
        <v>3.7993180711154324E-2</v>
      </c>
      <c r="G105" s="156"/>
    </row>
    <row r="106" spans="2:7" x14ac:dyDescent="0.2">
      <c r="B106" s="230">
        <v>45845</v>
      </c>
      <c r="C106" s="124">
        <v>416.15</v>
      </c>
      <c r="D106" s="156">
        <f t="shared" si="2"/>
        <v>-2.51677852348996E-3</v>
      </c>
      <c r="E106" s="156">
        <v>3.7752261656228282E-2</v>
      </c>
      <c r="G106" s="156"/>
    </row>
    <row r="107" spans="2:7" x14ac:dyDescent="0.2">
      <c r="B107" s="230">
        <v>45842</v>
      </c>
      <c r="C107" s="124">
        <v>412.55</v>
      </c>
      <c r="D107" s="156">
        <f t="shared" si="2"/>
        <v>-8.6507269013576023E-3</v>
      </c>
      <c r="E107" s="156">
        <v>3.7646402677077563E-2</v>
      </c>
      <c r="G107" s="156"/>
    </row>
    <row r="108" spans="2:7" x14ac:dyDescent="0.2">
      <c r="B108" s="230">
        <v>45841</v>
      </c>
      <c r="C108" s="124">
        <v>413.35</v>
      </c>
      <c r="D108" s="156">
        <f t="shared" si="2"/>
        <v>1.9391588898315631E-3</v>
      </c>
      <c r="E108" s="156">
        <v>3.7573385518591032E-2</v>
      </c>
      <c r="G108" s="156"/>
    </row>
    <row r="109" spans="2:7" x14ac:dyDescent="0.2">
      <c r="B109" s="230">
        <v>45840</v>
      </c>
      <c r="C109" s="124">
        <v>412.95</v>
      </c>
      <c r="D109" s="156">
        <f t="shared" si="2"/>
        <v>-9.6770291520511446E-4</v>
      </c>
      <c r="E109" s="156">
        <v>3.7508973438621744E-2</v>
      </c>
      <c r="G109" s="156"/>
    </row>
    <row r="110" spans="2:7" x14ac:dyDescent="0.2">
      <c r="B110" s="230">
        <v>45839</v>
      </c>
      <c r="C110" s="124">
        <v>415.1</v>
      </c>
      <c r="D110" s="156">
        <f t="shared" si="2"/>
        <v>5.2064414578036908E-3</v>
      </c>
      <c r="E110" s="156">
        <v>3.7469118858084051E-2</v>
      </c>
      <c r="G110" s="156"/>
    </row>
    <row r="111" spans="2:7" x14ac:dyDescent="0.2">
      <c r="B111" s="230">
        <v>45838</v>
      </c>
      <c r="C111" s="124">
        <v>416.45</v>
      </c>
      <c r="D111" s="156">
        <f t="shared" si="2"/>
        <v>3.2522283787038446E-3</v>
      </c>
      <c r="E111" s="156">
        <v>3.7468354430379727E-2</v>
      </c>
      <c r="G111" s="156"/>
    </row>
    <row r="112" spans="2:7" x14ac:dyDescent="0.2">
      <c r="B112" s="230">
        <v>45835</v>
      </c>
      <c r="C112" s="124">
        <v>418.65</v>
      </c>
      <c r="D112" s="156">
        <f t="shared" si="2"/>
        <v>5.2827470284547698E-3</v>
      </c>
      <c r="E112" s="156">
        <v>3.7398980479920484E-2</v>
      </c>
      <c r="G112" s="156"/>
    </row>
    <row r="113" spans="2:7" x14ac:dyDescent="0.2">
      <c r="B113" s="230">
        <v>45834</v>
      </c>
      <c r="C113" s="124">
        <v>420.3</v>
      </c>
      <c r="D113" s="156">
        <f t="shared" si="2"/>
        <v>3.9412396990326868E-3</v>
      </c>
      <c r="E113" s="156">
        <v>3.7352821762078839E-2</v>
      </c>
      <c r="G113" s="156"/>
    </row>
    <row r="114" spans="2:7" x14ac:dyDescent="0.2">
      <c r="B114" s="230">
        <v>45833</v>
      </c>
      <c r="C114" s="124">
        <v>416.35</v>
      </c>
      <c r="D114" s="156">
        <f t="shared" si="2"/>
        <v>-9.3980490126100123E-3</v>
      </c>
      <c r="E114" s="156">
        <v>3.7262238852510142E-2</v>
      </c>
      <c r="G114" s="156"/>
    </row>
    <row r="115" spans="2:7" x14ac:dyDescent="0.2">
      <c r="B115" s="230">
        <v>45832</v>
      </c>
      <c r="C115" s="124">
        <v>414.35</v>
      </c>
      <c r="D115" s="156">
        <f t="shared" si="2"/>
        <v>-4.803650774588687E-3</v>
      </c>
      <c r="E115" s="156">
        <v>3.7251026303785968E-2</v>
      </c>
      <c r="G115" s="156"/>
    </row>
    <row r="116" spans="2:7" x14ac:dyDescent="0.2">
      <c r="B116" s="230">
        <v>45831</v>
      </c>
      <c r="C116" s="124">
        <v>413.9</v>
      </c>
      <c r="D116" s="156">
        <f t="shared" si="2"/>
        <v>-1.0860383733559682E-3</v>
      </c>
      <c r="E116" s="156">
        <v>3.7148443374943586E-2</v>
      </c>
      <c r="G116" s="156"/>
    </row>
    <row r="117" spans="2:7" x14ac:dyDescent="0.2">
      <c r="B117" s="230">
        <v>45828</v>
      </c>
      <c r="C117" s="124">
        <v>418.55</v>
      </c>
      <c r="D117" s="156">
        <f t="shared" si="2"/>
        <v>1.1234597728920112E-2</v>
      </c>
      <c r="E117" s="156">
        <v>3.7075900664567986E-2</v>
      </c>
      <c r="G117" s="156"/>
    </row>
    <row r="118" spans="2:7" x14ac:dyDescent="0.2">
      <c r="B118" s="230">
        <v>45827</v>
      </c>
      <c r="C118" s="124">
        <v>416</v>
      </c>
      <c r="D118" s="156">
        <f t="shared" si="2"/>
        <v>-6.0924620714371313E-3</v>
      </c>
      <c r="E118" s="156">
        <v>3.6906043364600953E-2</v>
      </c>
      <c r="G118" s="156"/>
    </row>
    <row r="119" spans="2:7" x14ac:dyDescent="0.2">
      <c r="B119" s="230">
        <v>45826</v>
      </c>
      <c r="C119" s="124">
        <v>415.9</v>
      </c>
      <c r="D119" s="156">
        <f t="shared" si="2"/>
        <v>-2.4038461538467004E-4</v>
      </c>
      <c r="E119" s="156">
        <v>3.6887130898721421E-2</v>
      </c>
      <c r="G119" s="156"/>
    </row>
    <row r="120" spans="2:7" x14ac:dyDescent="0.2">
      <c r="B120" s="230">
        <v>45825</v>
      </c>
      <c r="C120" s="124">
        <v>417.4</v>
      </c>
      <c r="D120" s="156">
        <f t="shared" si="2"/>
        <v>3.6066362106275548E-3</v>
      </c>
      <c r="E120" s="156">
        <v>3.6871123363197804E-2</v>
      </c>
      <c r="G120" s="156"/>
    </row>
    <row r="121" spans="2:7" x14ac:dyDescent="0.2">
      <c r="B121" s="230">
        <v>45824</v>
      </c>
      <c r="C121" s="124">
        <v>418.2</v>
      </c>
      <c r="D121" s="156">
        <f t="shared" si="2"/>
        <v>1.9166267369430078E-3</v>
      </c>
      <c r="E121" s="156">
        <v>3.6608863198458463E-2</v>
      </c>
      <c r="G121" s="156"/>
    </row>
    <row r="122" spans="2:7" x14ac:dyDescent="0.2">
      <c r="B122" s="230">
        <v>45821</v>
      </c>
      <c r="C122" s="124">
        <v>413.9</v>
      </c>
      <c r="D122" s="156">
        <f t="shared" si="2"/>
        <v>-1.0282161645145891E-2</v>
      </c>
      <c r="E122" s="156">
        <v>3.6482598844166055E-2</v>
      </c>
      <c r="G122" s="156"/>
    </row>
    <row r="123" spans="2:7" x14ac:dyDescent="0.2">
      <c r="B123" s="230">
        <v>45820</v>
      </c>
      <c r="C123" s="124">
        <v>421</v>
      </c>
      <c r="D123" s="156">
        <f t="shared" si="2"/>
        <v>1.7153901908673649E-2</v>
      </c>
      <c r="E123" s="156">
        <v>3.6429236499068846E-2</v>
      </c>
      <c r="G123" s="156"/>
    </row>
    <row r="124" spans="2:7" x14ac:dyDescent="0.2">
      <c r="B124" s="230">
        <v>45819</v>
      </c>
      <c r="C124" s="124">
        <v>426.15</v>
      </c>
      <c r="D124" s="156">
        <f t="shared" si="2"/>
        <v>1.223277909738712E-2</v>
      </c>
      <c r="E124" s="156">
        <v>3.6362776621902772E-2</v>
      </c>
      <c r="G124" s="156"/>
    </row>
    <row r="125" spans="2:7" x14ac:dyDescent="0.2">
      <c r="B125" s="230">
        <v>45818</v>
      </c>
      <c r="C125" s="124">
        <v>427</v>
      </c>
      <c r="D125" s="156">
        <f t="shared" si="2"/>
        <v>1.9946028393758603E-3</v>
      </c>
      <c r="E125" s="156">
        <v>3.6259199425596716E-2</v>
      </c>
      <c r="G125" s="156"/>
    </row>
    <row r="126" spans="2:7" x14ac:dyDescent="0.2">
      <c r="B126" s="230">
        <v>45817</v>
      </c>
      <c r="C126" s="124">
        <v>423.05</v>
      </c>
      <c r="D126" s="156">
        <f t="shared" si="2"/>
        <v>-9.250585480093651E-3</v>
      </c>
      <c r="E126" s="156">
        <v>3.6221518340655991E-2</v>
      </c>
      <c r="G126" s="156"/>
    </row>
    <row r="127" spans="2:7" x14ac:dyDescent="0.2">
      <c r="B127" s="230">
        <v>45814</v>
      </c>
      <c r="C127" s="124">
        <v>421.05</v>
      </c>
      <c r="D127" s="156">
        <f t="shared" si="2"/>
        <v>-4.7275735728637275E-3</v>
      </c>
      <c r="E127" s="156">
        <v>3.6207618250313871E-2</v>
      </c>
      <c r="G127" s="156"/>
    </row>
    <row r="128" spans="2:7" x14ac:dyDescent="0.2">
      <c r="B128" s="230">
        <v>45813</v>
      </c>
      <c r="C128" s="124">
        <v>419.1</v>
      </c>
      <c r="D128" s="156">
        <f t="shared" si="2"/>
        <v>-4.6312789454933823E-3</v>
      </c>
      <c r="E128" s="156">
        <v>3.5944121801914912E-2</v>
      </c>
      <c r="G128" s="156"/>
    </row>
    <row r="129" spans="2:7" x14ac:dyDescent="0.2">
      <c r="B129" s="230">
        <v>45812</v>
      </c>
      <c r="C129" s="124">
        <v>417</v>
      </c>
      <c r="D129" s="156">
        <f t="shared" si="2"/>
        <v>-5.0107372942019149E-3</v>
      </c>
      <c r="E129" s="156">
        <v>3.5846072746441859E-2</v>
      </c>
      <c r="G129" s="156"/>
    </row>
    <row r="130" spans="2:7" x14ac:dyDescent="0.2">
      <c r="B130" s="230">
        <v>45811</v>
      </c>
      <c r="C130" s="124">
        <v>416.95</v>
      </c>
      <c r="D130" s="156">
        <f t="shared" si="2"/>
        <v>-1.1990407673863637E-4</v>
      </c>
      <c r="E130" s="156">
        <v>3.5790598290598385E-2</v>
      </c>
      <c r="G130" s="156"/>
    </row>
    <row r="131" spans="2:7" x14ac:dyDescent="0.2">
      <c r="B131" s="230">
        <v>45810</v>
      </c>
      <c r="C131" s="124">
        <v>419.3</v>
      </c>
      <c r="D131" s="156">
        <f t="shared" si="2"/>
        <v>5.636167406163863E-3</v>
      </c>
      <c r="E131" s="156">
        <v>3.5731414868105459E-2</v>
      </c>
      <c r="G131" s="156"/>
    </row>
    <row r="132" spans="2:7" x14ac:dyDescent="0.2">
      <c r="B132" s="230">
        <v>45807</v>
      </c>
      <c r="C132" s="124">
        <v>418.05</v>
      </c>
      <c r="D132" s="156">
        <f t="shared" si="2"/>
        <v>-2.9811590746482231E-3</v>
      </c>
      <c r="E132" s="156">
        <v>3.5725007505253606E-2</v>
      </c>
      <c r="G132" s="156"/>
    </row>
    <row r="133" spans="2:7" x14ac:dyDescent="0.2">
      <c r="B133" s="230">
        <v>45806</v>
      </c>
      <c r="C133" s="124">
        <v>418.75</v>
      </c>
      <c r="D133" s="156">
        <f t="shared" si="2"/>
        <v>1.6744408563568679E-3</v>
      </c>
      <c r="E133" s="156">
        <v>3.5518336702281168E-2</v>
      </c>
      <c r="G133" s="156"/>
    </row>
    <row r="134" spans="2:7" x14ac:dyDescent="0.2">
      <c r="B134" s="230">
        <v>45805</v>
      </c>
      <c r="C134" s="124">
        <v>420.2</v>
      </c>
      <c r="D134" s="156">
        <f t="shared" si="2"/>
        <v>3.462686567164152E-3</v>
      </c>
      <c r="E134" s="156">
        <v>3.5410508535923119E-2</v>
      </c>
      <c r="G134" s="156"/>
    </row>
    <row r="135" spans="2:7" x14ac:dyDescent="0.2">
      <c r="B135" s="230">
        <v>45804</v>
      </c>
      <c r="C135" s="124">
        <v>433.9</v>
      </c>
      <c r="D135" s="156">
        <f t="shared" si="2"/>
        <v>3.2603522132317916E-2</v>
      </c>
      <c r="E135" s="156">
        <v>3.5348360655737737E-2</v>
      </c>
      <c r="G135" s="156"/>
    </row>
    <row r="136" spans="2:7" x14ac:dyDescent="0.2">
      <c r="B136" s="230">
        <v>45803</v>
      </c>
      <c r="C136" s="124">
        <v>442.9</v>
      </c>
      <c r="D136" s="156">
        <f t="shared" ref="D136:D199" si="3">(C136-C135)/C135</f>
        <v>2.074210647614658E-2</v>
      </c>
      <c r="E136" s="156">
        <v>3.5345650099748362E-2</v>
      </c>
      <c r="G136" s="156"/>
    </row>
    <row r="137" spans="2:7" x14ac:dyDescent="0.2">
      <c r="B137" s="230">
        <v>45800</v>
      </c>
      <c r="C137" s="124">
        <v>436.3</v>
      </c>
      <c r="D137" s="156">
        <f t="shared" si="3"/>
        <v>-1.4901783698351696E-2</v>
      </c>
      <c r="E137" s="156">
        <v>3.5285815102328859E-2</v>
      </c>
      <c r="G137" s="156"/>
    </row>
    <row r="138" spans="2:7" x14ac:dyDescent="0.2">
      <c r="B138" s="230">
        <v>45799</v>
      </c>
      <c r="C138" s="124">
        <v>426.1</v>
      </c>
      <c r="D138" s="156">
        <f t="shared" si="3"/>
        <v>-2.3378409351363715E-2</v>
      </c>
      <c r="E138" s="156">
        <v>3.5247808194668079E-2</v>
      </c>
      <c r="G138" s="156"/>
    </row>
    <row r="139" spans="2:7" x14ac:dyDescent="0.2">
      <c r="B139" s="230">
        <v>45798</v>
      </c>
      <c r="C139" s="124">
        <v>433</v>
      </c>
      <c r="D139" s="156">
        <f t="shared" si="3"/>
        <v>1.6193381835249886E-2</v>
      </c>
      <c r="E139" s="156">
        <v>3.5118525021949079E-2</v>
      </c>
      <c r="G139" s="156"/>
    </row>
    <row r="140" spans="2:7" x14ac:dyDescent="0.2">
      <c r="B140" s="230">
        <v>45797</v>
      </c>
      <c r="C140" s="124">
        <v>434.9</v>
      </c>
      <c r="D140" s="156">
        <f t="shared" si="3"/>
        <v>4.387990762124659E-3</v>
      </c>
      <c r="E140" s="156">
        <v>3.5114699474561063E-2</v>
      </c>
      <c r="G140" s="156"/>
    </row>
    <row r="141" spans="2:7" x14ac:dyDescent="0.2">
      <c r="B141" s="230">
        <v>45796</v>
      </c>
      <c r="C141" s="124">
        <v>435.35</v>
      </c>
      <c r="D141" s="156">
        <f t="shared" si="3"/>
        <v>1.0347206254312383E-3</v>
      </c>
      <c r="E141" s="156">
        <v>3.4961855201333741E-2</v>
      </c>
      <c r="G141" s="156"/>
    </row>
    <row r="142" spans="2:7" x14ac:dyDescent="0.2">
      <c r="B142" s="230">
        <v>45793</v>
      </c>
      <c r="C142" s="124">
        <v>435.7</v>
      </c>
      <c r="D142" s="156">
        <f t="shared" si="3"/>
        <v>8.03950844148308E-4</v>
      </c>
      <c r="E142" s="156">
        <v>3.4836874950627983E-2</v>
      </c>
      <c r="G142" s="156"/>
    </row>
    <row r="143" spans="2:7" x14ac:dyDescent="0.2">
      <c r="B143" s="230">
        <v>45792</v>
      </c>
      <c r="C143" s="124">
        <v>432.65</v>
      </c>
      <c r="D143" s="156">
        <f t="shared" si="3"/>
        <v>-7.0002295157218534E-3</v>
      </c>
      <c r="E143" s="156">
        <v>3.4744842562432168E-2</v>
      </c>
      <c r="G143" s="156"/>
    </row>
    <row r="144" spans="2:7" x14ac:dyDescent="0.2">
      <c r="B144" s="230">
        <v>45791</v>
      </c>
      <c r="C144" s="124">
        <v>429.1</v>
      </c>
      <c r="D144" s="156">
        <f t="shared" si="3"/>
        <v>-8.2052467352362289E-3</v>
      </c>
      <c r="E144" s="156">
        <v>3.4662998624484243E-2</v>
      </c>
      <c r="G144" s="156"/>
    </row>
    <row r="145" spans="2:7" x14ac:dyDescent="0.2">
      <c r="B145" s="230">
        <v>45790</v>
      </c>
      <c r="C145" s="124">
        <v>427.9</v>
      </c>
      <c r="D145" s="156">
        <f t="shared" si="3"/>
        <v>-2.7965509205314506E-3</v>
      </c>
      <c r="E145" s="156">
        <v>3.4474954737477317E-2</v>
      </c>
      <c r="G145" s="156"/>
    </row>
    <row r="146" spans="2:7" x14ac:dyDescent="0.2">
      <c r="B146" s="230">
        <v>45789</v>
      </c>
      <c r="C146" s="124">
        <v>435.5</v>
      </c>
      <c r="D146" s="156">
        <f t="shared" si="3"/>
        <v>1.7761159149334009E-2</v>
      </c>
      <c r="E146" s="156">
        <v>3.4234995773457289E-2</v>
      </c>
      <c r="G146" s="156"/>
    </row>
    <row r="147" spans="2:7" x14ac:dyDescent="0.2">
      <c r="B147" s="230">
        <v>45786</v>
      </c>
      <c r="C147" s="124">
        <v>423.55</v>
      </c>
      <c r="D147" s="156">
        <f t="shared" si="3"/>
        <v>-2.7439724454649803E-2</v>
      </c>
      <c r="E147" s="156">
        <v>3.4137291280148488E-2</v>
      </c>
      <c r="G147" s="156"/>
    </row>
    <row r="148" spans="2:7" x14ac:dyDescent="0.2">
      <c r="B148" s="230">
        <v>45785</v>
      </c>
      <c r="C148" s="124">
        <v>430.6</v>
      </c>
      <c r="D148" s="156">
        <f t="shared" si="3"/>
        <v>1.6645024200212515E-2</v>
      </c>
      <c r="E148" s="156">
        <v>3.4134518279135481E-2</v>
      </c>
      <c r="G148" s="156"/>
    </row>
    <row r="149" spans="2:7" x14ac:dyDescent="0.2">
      <c r="B149" s="230">
        <v>45784</v>
      </c>
      <c r="C149" s="124">
        <v>431.15</v>
      </c>
      <c r="D149" s="156">
        <f t="shared" si="3"/>
        <v>1.2772875058057467E-3</v>
      </c>
      <c r="E149" s="156">
        <v>3.4064080944350816E-2</v>
      </c>
      <c r="G149" s="156"/>
    </row>
    <row r="150" spans="2:7" x14ac:dyDescent="0.2">
      <c r="B150" s="230">
        <v>45783</v>
      </c>
      <c r="C150" s="124">
        <v>435.55</v>
      </c>
      <c r="D150" s="156">
        <f t="shared" si="3"/>
        <v>1.0205264988983033E-2</v>
      </c>
      <c r="E150" s="156">
        <v>3.3866666666666635E-2</v>
      </c>
      <c r="G150" s="156"/>
    </row>
    <row r="151" spans="2:7" x14ac:dyDescent="0.2">
      <c r="B151" s="230">
        <v>45782</v>
      </c>
      <c r="C151" s="124">
        <v>436.95</v>
      </c>
      <c r="D151" s="156">
        <f t="shared" si="3"/>
        <v>3.2143267133508831E-3</v>
      </c>
      <c r="E151" s="156">
        <v>3.361040838453197E-2</v>
      </c>
      <c r="G151" s="156"/>
    </row>
    <row r="152" spans="2:7" x14ac:dyDescent="0.2">
      <c r="B152" s="230">
        <v>45779</v>
      </c>
      <c r="C152" s="124">
        <v>430.25</v>
      </c>
      <c r="D152" s="156">
        <f t="shared" si="3"/>
        <v>-1.5333562192470509E-2</v>
      </c>
      <c r="E152" s="156">
        <v>3.3500537441777098E-2</v>
      </c>
      <c r="G152" s="156"/>
    </row>
    <row r="153" spans="2:7" x14ac:dyDescent="0.2">
      <c r="B153" s="230">
        <v>45777</v>
      </c>
      <c r="C153" s="124">
        <v>425.8</v>
      </c>
      <c r="D153" s="156">
        <f t="shared" si="3"/>
        <v>-1.0342823939569991E-2</v>
      </c>
      <c r="E153" s="156">
        <v>3.3340193455443604E-2</v>
      </c>
      <c r="G153" s="156"/>
    </row>
    <row r="154" spans="2:7" x14ac:dyDescent="0.2">
      <c r="B154" s="230">
        <v>45776</v>
      </c>
      <c r="C154" s="124">
        <v>426</v>
      </c>
      <c r="D154" s="156">
        <f t="shared" si="3"/>
        <v>4.697040864255252E-4</v>
      </c>
      <c r="E154" s="156">
        <v>3.3064602816295807E-2</v>
      </c>
      <c r="G154" s="156"/>
    </row>
    <row r="155" spans="2:7" x14ac:dyDescent="0.2">
      <c r="B155" s="230">
        <v>45775</v>
      </c>
      <c r="C155" s="124">
        <v>428.8</v>
      </c>
      <c r="D155" s="156">
        <f t="shared" si="3"/>
        <v>6.5727699530516697E-3</v>
      </c>
      <c r="E155" s="156">
        <v>3.2979866398841512E-2</v>
      </c>
      <c r="G155" s="156"/>
    </row>
    <row r="156" spans="2:7" x14ac:dyDescent="0.2">
      <c r="B156" s="230">
        <v>45772</v>
      </c>
      <c r="C156" s="124">
        <v>427.8</v>
      </c>
      <c r="D156" s="156">
        <f t="shared" si="3"/>
        <v>-2.3320895522388058E-3</v>
      </c>
      <c r="E156" s="156">
        <v>3.2942825673375309E-2</v>
      </c>
      <c r="G156" s="156"/>
    </row>
    <row r="157" spans="2:7" x14ac:dyDescent="0.2">
      <c r="B157" s="230">
        <v>45771</v>
      </c>
      <c r="C157" s="124">
        <v>430.05</v>
      </c>
      <c r="D157" s="156">
        <f t="shared" si="3"/>
        <v>5.2594670406732116E-3</v>
      </c>
      <c r="E157" s="156">
        <v>3.2928208027134018E-2</v>
      </c>
      <c r="G157" s="156"/>
    </row>
    <row r="158" spans="2:7" x14ac:dyDescent="0.2">
      <c r="B158" s="230">
        <v>45770</v>
      </c>
      <c r="C158" s="124">
        <v>430.85</v>
      </c>
      <c r="D158" s="156">
        <f t="shared" si="3"/>
        <v>1.8602488082781336E-3</v>
      </c>
      <c r="E158" s="156">
        <v>3.2837445573294675E-2</v>
      </c>
      <c r="G158" s="156"/>
    </row>
    <row r="159" spans="2:7" x14ac:dyDescent="0.2">
      <c r="B159" s="230">
        <v>45769</v>
      </c>
      <c r="C159" s="124">
        <v>433.6</v>
      </c>
      <c r="D159" s="156">
        <f t="shared" si="3"/>
        <v>6.3827318092143431E-3</v>
      </c>
      <c r="E159" s="156">
        <v>3.2774533810510355E-2</v>
      </c>
      <c r="G159" s="156"/>
    </row>
    <row r="160" spans="2:7" x14ac:dyDescent="0.2">
      <c r="B160" s="230">
        <v>45768</v>
      </c>
      <c r="C160" s="124">
        <v>422.85</v>
      </c>
      <c r="D160" s="156">
        <f t="shared" si="3"/>
        <v>-2.4792435424354241E-2</v>
      </c>
      <c r="E160" s="156">
        <v>3.2603522132317916E-2</v>
      </c>
      <c r="G160" s="156"/>
    </row>
    <row r="161" spans="2:7" x14ac:dyDescent="0.2">
      <c r="B161" s="230">
        <v>45764</v>
      </c>
      <c r="C161" s="124">
        <v>427.25</v>
      </c>
      <c r="D161" s="156">
        <f t="shared" si="3"/>
        <v>1.0405581175357637E-2</v>
      </c>
      <c r="E161" s="156">
        <v>3.2589285714285765E-2</v>
      </c>
      <c r="G161" s="156"/>
    </row>
    <row r="162" spans="2:7" x14ac:dyDescent="0.2">
      <c r="B162" s="230">
        <v>45763</v>
      </c>
      <c r="C162" s="124">
        <v>424.45</v>
      </c>
      <c r="D162" s="156">
        <f t="shared" si="3"/>
        <v>-6.5535400819192778E-3</v>
      </c>
      <c r="E162" s="156">
        <v>3.2254797711276539E-2</v>
      </c>
      <c r="G162" s="156"/>
    </row>
    <row r="163" spans="2:7" x14ac:dyDescent="0.2">
      <c r="B163" s="230">
        <v>45762</v>
      </c>
      <c r="C163" s="124">
        <v>420.4</v>
      </c>
      <c r="D163" s="156">
        <f t="shared" si="3"/>
        <v>-9.5417599246083434E-3</v>
      </c>
      <c r="E163" s="156">
        <v>3.2140490390987368E-2</v>
      </c>
      <c r="G163" s="156"/>
    </row>
    <row r="164" spans="2:7" x14ac:dyDescent="0.2">
      <c r="B164" s="230">
        <v>45758</v>
      </c>
      <c r="C164" s="124">
        <v>421.55</v>
      </c>
      <c r="D164" s="156">
        <f t="shared" si="3"/>
        <v>2.7354900095148292E-3</v>
      </c>
      <c r="E164" s="156">
        <v>3.2074705643524062E-2</v>
      </c>
      <c r="G164" s="156"/>
    </row>
    <row r="165" spans="2:7" x14ac:dyDescent="0.2">
      <c r="B165" s="230">
        <v>45756</v>
      </c>
      <c r="C165" s="124">
        <v>416.3</v>
      </c>
      <c r="D165" s="156">
        <f t="shared" si="3"/>
        <v>-1.2454038666824813E-2</v>
      </c>
      <c r="E165" s="156">
        <v>3.2053818757419958E-2</v>
      </c>
      <c r="G165" s="156"/>
    </row>
    <row r="166" spans="2:7" x14ac:dyDescent="0.2">
      <c r="B166" s="230">
        <v>45755</v>
      </c>
      <c r="C166" s="124">
        <v>412.55</v>
      </c>
      <c r="D166" s="156">
        <f t="shared" si="3"/>
        <v>-9.007926975738649E-3</v>
      </c>
      <c r="E166" s="156">
        <v>3.1996101997726144E-2</v>
      </c>
      <c r="G166" s="156"/>
    </row>
    <row r="167" spans="2:7" x14ac:dyDescent="0.2">
      <c r="B167" s="230">
        <v>45754</v>
      </c>
      <c r="C167" s="124">
        <v>406.05</v>
      </c>
      <c r="D167" s="156">
        <f t="shared" si="3"/>
        <v>-1.5755665979881227E-2</v>
      </c>
      <c r="E167" s="156">
        <v>3.1850961538461432E-2</v>
      </c>
      <c r="G167" s="156"/>
    </row>
    <row r="168" spans="2:7" x14ac:dyDescent="0.2">
      <c r="B168" s="230">
        <v>45751</v>
      </c>
      <c r="C168" s="124">
        <v>409.7</v>
      </c>
      <c r="D168" s="156">
        <f t="shared" si="3"/>
        <v>8.9890407585272187E-3</v>
      </c>
      <c r="E168" s="156">
        <v>3.1731640979147692E-2</v>
      </c>
      <c r="G168" s="156"/>
    </row>
    <row r="169" spans="2:7" x14ac:dyDescent="0.2">
      <c r="B169" s="230">
        <v>45750</v>
      </c>
      <c r="C169" s="124">
        <v>409.4</v>
      </c>
      <c r="D169" s="156">
        <f t="shared" si="3"/>
        <v>-7.3224310471079173E-4</v>
      </c>
      <c r="E169" s="156">
        <v>3.1714719271623504E-2</v>
      </c>
      <c r="G169" s="156"/>
    </row>
    <row r="170" spans="2:7" x14ac:dyDescent="0.2">
      <c r="B170" s="230">
        <v>45749</v>
      </c>
      <c r="C170" s="124">
        <v>409.05</v>
      </c>
      <c r="D170" s="156">
        <f t="shared" si="3"/>
        <v>-8.5490962383968222E-4</v>
      </c>
      <c r="E170" s="156">
        <v>3.1687308991474969E-2</v>
      </c>
      <c r="G170" s="156"/>
    </row>
    <row r="171" spans="2:7" x14ac:dyDescent="0.2">
      <c r="B171" s="230">
        <v>45748</v>
      </c>
      <c r="C171" s="124">
        <v>406.65</v>
      </c>
      <c r="D171" s="156">
        <f t="shared" si="3"/>
        <v>-5.8672533920059505E-3</v>
      </c>
      <c r="E171" s="156">
        <v>3.1682128478907667E-2</v>
      </c>
      <c r="G171" s="156"/>
    </row>
    <row r="172" spans="2:7" x14ac:dyDescent="0.2">
      <c r="B172" s="230">
        <v>45744</v>
      </c>
      <c r="C172" s="124">
        <v>409.75</v>
      </c>
      <c r="D172" s="156">
        <f t="shared" si="3"/>
        <v>7.6232632484938469E-3</v>
      </c>
      <c r="E172" s="156">
        <v>3.1639004149377564E-2</v>
      </c>
      <c r="G172" s="156"/>
    </row>
    <row r="173" spans="2:7" x14ac:dyDescent="0.2">
      <c r="B173" s="230">
        <v>45743</v>
      </c>
      <c r="C173" s="124">
        <v>409.45</v>
      </c>
      <c r="D173" s="156">
        <f t="shared" si="3"/>
        <v>-7.3215375228800818E-4</v>
      </c>
      <c r="E173" s="156">
        <v>3.1498470948012045E-2</v>
      </c>
      <c r="G173" s="156"/>
    </row>
    <row r="174" spans="2:7" x14ac:dyDescent="0.2">
      <c r="B174" s="230">
        <v>45742</v>
      </c>
      <c r="C174" s="124">
        <v>407.35</v>
      </c>
      <c r="D174" s="156">
        <f t="shared" si="3"/>
        <v>-5.1288313591402266E-3</v>
      </c>
      <c r="E174" s="156">
        <v>3.1468531468531562E-2</v>
      </c>
      <c r="G174" s="156"/>
    </row>
    <row r="175" spans="2:7" x14ac:dyDescent="0.2">
      <c r="B175" s="230">
        <v>45741</v>
      </c>
      <c r="C175" s="124">
        <v>409.8</v>
      </c>
      <c r="D175" s="156">
        <f t="shared" si="3"/>
        <v>6.014483859089207E-3</v>
      </c>
      <c r="E175" s="156">
        <v>3.1460296096904518E-2</v>
      </c>
      <c r="G175" s="156"/>
    </row>
    <row r="176" spans="2:7" x14ac:dyDescent="0.2">
      <c r="B176" s="230">
        <v>45740</v>
      </c>
      <c r="C176" s="124">
        <v>410.9</v>
      </c>
      <c r="D176" s="156">
        <f t="shared" si="3"/>
        <v>2.684236212786642E-3</v>
      </c>
      <c r="E176" s="156">
        <v>3.1397903989181908E-2</v>
      </c>
      <c r="G176" s="156"/>
    </row>
    <row r="177" spans="2:7" x14ac:dyDescent="0.2">
      <c r="B177" s="230">
        <v>45737</v>
      </c>
      <c r="C177" s="124">
        <v>405.55</v>
      </c>
      <c r="D177" s="156">
        <f t="shared" si="3"/>
        <v>-1.3020199561937128E-2</v>
      </c>
      <c r="E177" s="156">
        <v>3.1388712745719784E-2</v>
      </c>
      <c r="G177" s="156"/>
    </row>
    <row r="178" spans="2:7" x14ac:dyDescent="0.2">
      <c r="B178" s="230">
        <v>45736</v>
      </c>
      <c r="C178" s="124">
        <v>403.95</v>
      </c>
      <c r="D178" s="156">
        <f t="shared" si="3"/>
        <v>-3.9452595241031259E-3</v>
      </c>
      <c r="E178" s="156">
        <v>3.1142435666284194E-2</v>
      </c>
      <c r="G178" s="156"/>
    </row>
    <row r="179" spans="2:7" x14ac:dyDescent="0.2">
      <c r="B179" s="230">
        <v>45735</v>
      </c>
      <c r="C179" s="124">
        <v>403.05</v>
      </c>
      <c r="D179" s="156">
        <f t="shared" si="3"/>
        <v>-2.2279985146676008E-3</v>
      </c>
      <c r="E179" s="156">
        <v>3.094668729779157E-2</v>
      </c>
      <c r="G179" s="156"/>
    </row>
    <row r="180" spans="2:7" x14ac:dyDescent="0.2">
      <c r="B180" s="230">
        <v>45734</v>
      </c>
      <c r="C180" s="124">
        <v>409.1</v>
      </c>
      <c r="D180" s="156">
        <f t="shared" si="3"/>
        <v>1.5010544597444513E-2</v>
      </c>
      <c r="E180" s="156">
        <v>3.092388702728582E-2</v>
      </c>
      <c r="G180" s="156"/>
    </row>
    <row r="181" spans="2:7" x14ac:dyDescent="0.2">
      <c r="B181" s="230">
        <v>45733</v>
      </c>
      <c r="C181" s="124">
        <v>407.95</v>
      </c>
      <c r="D181" s="156">
        <f t="shared" si="3"/>
        <v>-2.8110486433635638E-3</v>
      </c>
      <c r="E181" s="156">
        <v>3.0861943024105276E-2</v>
      </c>
      <c r="G181" s="156"/>
    </row>
    <row r="182" spans="2:7" x14ac:dyDescent="0.2">
      <c r="B182" s="230">
        <v>45729</v>
      </c>
      <c r="C182" s="124">
        <v>412.05</v>
      </c>
      <c r="D182" s="156">
        <f t="shared" si="3"/>
        <v>1.0050251256281463E-2</v>
      </c>
      <c r="E182" s="156">
        <v>3.0746425668244665E-2</v>
      </c>
      <c r="G182" s="156"/>
    </row>
    <row r="183" spans="2:7" x14ac:dyDescent="0.2">
      <c r="B183" s="230">
        <v>45728</v>
      </c>
      <c r="C183" s="124">
        <v>412.4</v>
      </c>
      <c r="D183" s="156">
        <f t="shared" si="3"/>
        <v>8.49411479189336E-4</v>
      </c>
      <c r="E183" s="156">
        <v>3.0728122912491804E-2</v>
      </c>
      <c r="G183" s="156"/>
    </row>
    <row r="184" spans="2:7" x14ac:dyDescent="0.2">
      <c r="B184" s="230">
        <v>45727</v>
      </c>
      <c r="C184" s="124">
        <v>406.2</v>
      </c>
      <c r="D184" s="156">
        <f t="shared" si="3"/>
        <v>-1.5033947623666317E-2</v>
      </c>
      <c r="E184" s="156">
        <v>3.0620395846276762E-2</v>
      </c>
      <c r="G184" s="156"/>
    </row>
    <row r="185" spans="2:7" x14ac:dyDescent="0.2">
      <c r="B185" s="230">
        <v>45726</v>
      </c>
      <c r="C185" s="124">
        <v>405</v>
      </c>
      <c r="D185" s="156">
        <f t="shared" si="3"/>
        <v>-2.9542097488921434E-3</v>
      </c>
      <c r="E185" s="156">
        <v>3.0536912751677855E-2</v>
      </c>
      <c r="G185" s="156"/>
    </row>
    <row r="186" spans="2:7" x14ac:dyDescent="0.2">
      <c r="B186" s="230">
        <v>45723</v>
      </c>
      <c r="C186" s="124">
        <v>403.9</v>
      </c>
      <c r="D186" s="156">
        <f t="shared" si="3"/>
        <v>-2.7160493827161057E-3</v>
      </c>
      <c r="E186" s="156">
        <v>3.0468169432747189E-2</v>
      </c>
      <c r="G186" s="156"/>
    </row>
    <row r="187" spans="2:7" x14ac:dyDescent="0.2">
      <c r="B187" s="230">
        <v>45722</v>
      </c>
      <c r="C187" s="124">
        <v>405.7</v>
      </c>
      <c r="D187" s="156">
        <f t="shared" si="3"/>
        <v>4.4565486506561317E-3</v>
      </c>
      <c r="E187" s="156">
        <v>3.0420579828501382E-2</v>
      </c>
      <c r="G187" s="156"/>
    </row>
    <row r="188" spans="2:7" x14ac:dyDescent="0.2">
      <c r="B188" s="230">
        <v>45721</v>
      </c>
      <c r="C188" s="124">
        <v>405.05</v>
      </c>
      <c r="D188" s="156">
        <f t="shared" si="3"/>
        <v>-1.6021690904608756E-3</v>
      </c>
      <c r="E188" s="156">
        <v>3.0022164013701343E-2</v>
      </c>
      <c r="G188" s="156"/>
    </row>
    <row r="189" spans="2:7" x14ac:dyDescent="0.2">
      <c r="B189" s="230">
        <v>45720</v>
      </c>
      <c r="C189" s="124">
        <v>394.85</v>
      </c>
      <c r="D189" s="156">
        <f t="shared" si="3"/>
        <v>-2.5182076286878134E-2</v>
      </c>
      <c r="E189" s="156">
        <v>2.9904306220095694E-2</v>
      </c>
      <c r="G189" s="156"/>
    </row>
    <row r="190" spans="2:7" x14ac:dyDescent="0.2">
      <c r="B190" s="230">
        <v>45719</v>
      </c>
      <c r="C190" s="124">
        <v>397.45</v>
      </c>
      <c r="D190" s="156">
        <f t="shared" si="3"/>
        <v>6.5847790300113101E-3</v>
      </c>
      <c r="E190" s="156">
        <v>2.9864321988933507E-2</v>
      </c>
      <c r="G190" s="156"/>
    </row>
    <row r="191" spans="2:7" x14ac:dyDescent="0.2">
      <c r="B191" s="230">
        <v>45716</v>
      </c>
      <c r="C191" s="124">
        <v>395</v>
      </c>
      <c r="D191" s="156">
        <f t="shared" si="3"/>
        <v>-6.1642973958988267E-3</v>
      </c>
      <c r="E191" s="156">
        <v>2.9713423831070875E-2</v>
      </c>
      <c r="G191" s="156"/>
    </row>
    <row r="192" spans="2:7" x14ac:dyDescent="0.2">
      <c r="B192" s="230">
        <v>45715</v>
      </c>
      <c r="C192" s="124">
        <v>401.6</v>
      </c>
      <c r="D192" s="156">
        <f t="shared" si="3"/>
        <v>1.6708860759493727E-2</v>
      </c>
      <c r="E192" s="156">
        <v>2.9593094944513048E-2</v>
      </c>
      <c r="G192" s="156"/>
    </row>
    <row r="193" spans="2:7" x14ac:dyDescent="0.2">
      <c r="B193" s="230">
        <v>45713</v>
      </c>
      <c r="C193" s="124">
        <v>404.85</v>
      </c>
      <c r="D193" s="156">
        <f t="shared" si="3"/>
        <v>8.0926294820717129E-3</v>
      </c>
      <c r="E193" s="156">
        <v>2.9544226265537751E-2</v>
      </c>
      <c r="G193" s="156"/>
    </row>
    <row r="194" spans="2:7" x14ac:dyDescent="0.2">
      <c r="B194" s="230">
        <v>45712</v>
      </c>
      <c r="C194" s="124">
        <v>401.9</v>
      </c>
      <c r="D194" s="156">
        <f t="shared" si="3"/>
        <v>-7.286649376312326E-3</v>
      </c>
      <c r="E194" s="156">
        <v>2.9526087606518078E-2</v>
      </c>
      <c r="G194" s="156"/>
    </row>
    <row r="195" spans="2:7" x14ac:dyDescent="0.2">
      <c r="B195" s="230">
        <v>45709</v>
      </c>
      <c r="C195" s="124">
        <v>400.9</v>
      </c>
      <c r="D195" s="156">
        <f t="shared" si="3"/>
        <v>-2.4881811395869621E-3</v>
      </c>
      <c r="E195" s="156">
        <v>2.9497172550817553E-2</v>
      </c>
      <c r="G195" s="156"/>
    </row>
    <row r="196" spans="2:7" x14ac:dyDescent="0.2">
      <c r="B196" s="230">
        <v>45708</v>
      </c>
      <c r="C196" s="124">
        <v>402.05</v>
      </c>
      <c r="D196" s="156">
        <f t="shared" si="3"/>
        <v>2.868545772013056E-3</v>
      </c>
      <c r="E196" s="156">
        <v>2.9496524834717663E-2</v>
      </c>
      <c r="G196" s="156"/>
    </row>
    <row r="197" spans="2:7" x14ac:dyDescent="0.2">
      <c r="B197" s="230">
        <v>45707</v>
      </c>
      <c r="C197" s="124">
        <v>406.4</v>
      </c>
      <c r="D197" s="156">
        <f t="shared" si="3"/>
        <v>1.0819549807237821E-2</v>
      </c>
      <c r="E197" s="156">
        <v>2.9454722492697094E-2</v>
      </c>
      <c r="G197" s="156"/>
    </row>
    <row r="198" spans="2:7" x14ac:dyDescent="0.2">
      <c r="B198" s="230">
        <v>45706</v>
      </c>
      <c r="C198" s="124">
        <v>405.25</v>
      </c>
      <c r="D198" s="156">
        <f t="shared" si="3"/>
        <v>-2.8297244094487631E-3</v>
      </c>
      <c r="E198" s="156">
        <v>2.9390368107085639E-2</v>
      </c>
      <c r="G198" s="156"/>
    </row>
    <row r="199" spans="2:7" x14ac:dyDescent="0.2">
      <c r="B199" s="230">
        <v>45705</v>
      </c>
      <c r="C199" s="124">
        <v>408.6</v>
      </c>
      <c r="D199" s="156">
        <f t="shared" si="3"/>
        <v>8.2665021591610682E-3</v>
      </c>
      <c r="E199" s="156">
        <v>2.9255619563989713E-2</v>
      </c>
      <c r="G199" s="156"/>
    </row>
    <row r="200" spans="2:7" x14ac:dyDescent="0.2">
      <c r="B200" s="230">
        <v>45702</v>
      </c>
      <c r="C200" s="124">
        <v>410.25</v>
      </c>
      <c r="D200" s="156">
        <f t="shared" ref="D200:D263" si="4">(C200-C199)/C199</f>
        <v>4.0381791483112507E-3</v>
      </c>
      <c r="E200" s="156">
        <v>2.9208434151399891E-2</v>
      </c>
      <c r="G200" s="156"/>
    </row>
    <row r="201" spans="2:7" x14ac:dyDescent="0.2">
      <c r="B201" s="230">
        <v>45701</v>
      </c>
      <c r="C201" s="124">
        <v>409.7</v>
      </c>
      <c r="D201" s="156">
        <f t="shared" si="4"/>
        <v>-1.3406459475929589E-3</v>
      </c>
      <c r="E201" s="156">
        <v>2.9118503485396605E-2</v>
      </c>
      <c r="G201" s="156"/>
    </row>
    <row r="202" spans="2:7" x14ac:dyDescent="0.2">
      <c r="B202" s="230">
        <v>45700</v>
      </c>
      <c r="C202" s="124">
        <v>409.9</v>
      </c>
      <c r="D202" s="156">
        <f t="shared" si="4"/>
        <v>4.8816206980714823E-4</v>
      </c>
      <c r="E202" s="156">
        <v>2.8977141537750991E-2</v>
      </c>
      <c r="G202" s="156"/>
    </row>
    <row r="203" spans="2:7" x14ac:dyDescent="0.2">
      <c r="B203" s="230">
        <v>45699</v>
      </c>
      <c r="C203" s="124">
        <v>418.3</v>
      </c>
      <c r="D203" s="156">
        <f t="shared" si="4"/>
        <v>2.0492803122712941E-2</v>
      </c>
      <c r="E203" s="156">
        <v>2.8951939779965258E-2</v>
      </c>
      <c r="G203" s="156"/>
    </row>
    <row r="204" spans="2:7" x14ac:dyDescent="0.2">
      <c r="B204" s="230">
        <v>45698</v>
      </c>
      <c r="C204" s="124">
        <v>427.2</v>
      </c>
      <c r="D204" s="156">
        <f t="shared" si="4"/>
        <v>2.1276595744680795E-2</v>
      </c>
      <c r="E204" s="156">
        <v>2.8941884695531373E-2</v>
      </c>
      <c r="G204" s="156"/>
    </row>
    <row r="205" spans="2:7" x14ac:dyDescent="0.2">
      <c r="B205" s="230">
        <v>45695</v>
      </c>
      <c r="C205" s="124">
        <v>430.85</v>
      </c>
      <c r="D205" s="156">
        <f t="shared" si="4"/>
        <v>8.544007490636784E-3</v>
      </c>
      <c r="E205" s="156">
        <v>2.88927065438075E-2</v>
      </c>
      <c r="G205" s="156"/>
    </row>
    <row r="206" spans="2:7" x14ac:dyDescent="0.2">
      <c r="B206" s="230">
        <v>45694</v>
      </c>
      <c r="C206" s="124">
        <v>441.1</v>
      </c>
      <c r="D206" s="156">
        <f t="shared" si="4"/>
        <v>2.3790182197980736E-2</v>
      </c>
      <c r="E206" s="156">
        <v>2.876541004109328E-2</v>
      </c>
      <c r="G206" s="156"/>
    </row>
    <row r="207" spans="2:7" x14ac:dyDescent="0.2">
      <c r="B207" s="230">
        <v>45693</v>
      </c>
      <c r="C207" s="124">
        <v>448.15</v>
      </c>
      <c r="D207" s="156">
        <f t="shared" si="4"/>
        <v>1.598277034686002E-2</v>
      </c>
      <c r="E207" s="156">
        <v>2.8738212842388887E-2</v>
      </c>
      <c r="G207" s="156"/>
    </row>
    <row r="208" spans="2:7" x14ac:dyDescent="0.2">
      <c r="B208" s="230">
        <v>45692</v>
      </c>
      <c r="C208" s="124">
        <v>455.15</v>
      </c>
      <c r="D208" s="156">
        <f t="shared" si="4"/>
        <v>1.5619770166238982E-2</v>
      </c>
      <c r="E208" s="156">
        <v>2.8724609885798988E-2</v>
      </c>
      <c r="G208" s="156"/>
    </row>
    <row r="209" spans="2:7" x14ac:dyDescent="0.2">
      <c r="B209" s="230">
        <v>45691</v>
      </c>
      <c r="C209" s="124">
        <v>454.35</v>
      </c>
      <c r="D209" s="156">
        <f t="shared" si="4"/>
        <v>-1.7576623091287587E-3</v>
      </c>
      <c r="E209" s="156">
        <v>2.8667225481978222E-2</v>
      </c>
      <c r="G209" s="156"/>
    </row>
    <row r="210" spans="2:7" x14ac:dyDescent="0.2">
      <c r="B210" s="230">
        <v>45689</v>
      </c>
      <c r="C210" s="124">
        <v>462.55</v>
      </c>
      <c r="D210" s="156">
        <f t="shared" si="4"/>
        <v>1.8047760537030898E-2</v>
      </c>
      <c r="E210" s="156">
        <v>2.8645833333333325E-2</v>
      </c>
      <c r="G210" s="156"/>
    </row>
    <row r="211" spans="2:7" x14ac:dyDescent="0.2">
      <c r="B211" s="230">
        <v>45688</v>
      </c>
      <c r="C211" s="124">
        <v>447.5</v>
      </c>
      <c r="D211" s="156">
        <f t="shared" si="4"/>
        <v>-3.2537023024537912E-2</v>
      </c>
      <c r="E211" s="156">
        <v>2.8637094920707835E-2</v>
      </c>
      <c r="G211" s="156"/>
    </row>
    <row r="212" spans="2:7" x14ac:dyDescent="0.2">
      <c r="B212" s="230">
        <v>45687</v>
      </c>
      <c r="C212" s="124">
        <v>436.2</v>
      </c>
      <c r="D212" s="156">
        <f t="shared" si="4"/>
        <v>-2.5251396648044717E-2</v>
      </c>
      <c r="E212" s="156">
        <v>2.8583802511909891E-2</v>
      </c>
      <c r="G212" s="156"/>
    </row>
    <row r="213" spans="2:7" x14ac:dyDescent="0.2">
      <c r="B213" s="230">
        <v>45686</v>
      </c>
      <c r="C213" s="124">
        <v>433.35</v>
      </c>
      <c r="D213" s="156">
        <f t="shared" si="4"/>
        <v>-6.533700137551504E-3</v>
      </c>
      <c r="E213" s="156">
        <v>2.8583802511909891E-2</v>
      </c>
      <c r="G213" s="156"/>
    </row>
    <row r="214" spans="2:7" x14ac:dyDescent="0.2">
      <c r="B214" s="230">
        <v>45685</v>
      </c>
      <c r="C214" s="124">
        <v>435.45</v>
      </c>
      <c r="D214" s="156">
        <f t="shared" si="4"/>
        <v>4.8459674627898139E-3</v>
      </c>
      <c r="E214" s="156">
        <v>2.8575179415368461E-2</v>
      </c>
      <c r="G214" s="156"/>
    </row>
    <row r="215" spans="2:7" x14ac:dyDescent="0.2">
      <c r="B215" s="230">
        <v>45684</v>
      </c>
      <c r="C215" s="124">
        <v>440.1</v>
      </c>
      <c r="D215" s="156">
        <f t="shared" si="4"/>
        <v>1.0678608336204005E-2</v>
      </c>
      <c r="E215" s="156">
        <v>2.857142857142863E-2</v>
      </c>
      <c r="G215" s="156"/>
    </row>
    <row r="216" spans="2:7" x14ac:dyDescent="0.2">
      <c r="B216" s="230">
        <v>45681</v>
      </c>
      <c r="C216" s="124">
        <v>441.6</v>
      </c>
      <c r="D216" s="156">
        <f t="shared" si="4"/>
        <v>3.4083162917518746E-3</v>
      </c>
      <c r="E216" s="156">
        <v>2.848594665205845E-2</v>
      </c>
      <c r="G216" s="156"/>
    </row>
    <row r="217" spans="2:7" x14ac:dyDescent="0.2">
      <c r="B217" s="230">
        <v>45680</v>
      </c>
      <c r="C217" s="124">
        <v>440.2</v>
      </c>
      <c r="D217" s="156">
        <f t="shared" si="4"/>
        <v>-3.1702898550725407E-3</v>
      </c>
      <c r="E217" s="156">
        <v>2.8415828538802753E-2</v>
      </c>
      <c r="G217" s="156"/>
    </row>
    <row r="218" spans="2:7" x14ac:dyDescent="0.2">
      <c r="B218" s="230">
        <v>45679</v>
      </c>
      <c r="C218" s="124">
        <v>437</v>
      </c>
      <c r="D218" s="156">
        <f t="shared" si="4"/>
        <v>-7.269422989550179E-3</v>
      </c>
      <c r="E218" s="156">
        <v>2.8395760860771824E-2</v>
      </c>
      <c r="G218" s="156"/>
    </row>
    <row r="219" spans="2:7" x14ac:dyDescent="0.2">
      <c r="B219" s="230">
        <v>45678</v>
      </c>
      <c r="C219" s="124">
        <v>437.55</v>
      </c>
      <c r="D219" s="156">
        <f t="shared" si="4"/>
        <v>1.2585812356979665E-3</v>
      </c>
      <c r="E219" s="156">
        <v>2.8324357912178948E-2</v>
      </c>
      <c r="G219" s="156"/>
    </row>
    <row r="220" spans="2:7" x14ac:dyDescent="0.2">
      <c r="B220" s="230">
        <v>45677</v>
      </c>
      <c r="C220" s="124">
        <v>437.7</v>
      </c>
      <c r="D220" s="156">
        <f t="shared" si="4"/>
        <v>3.4281796366124388E-4</v>
      </c>
      <c r="E220" s="156">
        <v>2.8324012267725143E-2</v>
      </c>
      <c r="G220" s="156"/>
    </row>
    <row r="221" spans="2:7" x14ac:dyDescent="0.2">
      <c r="B221" s="230">
        <v>45674</v>
      </c>
      <c r="C221" s="124">
        <v>440.2</v>
      </c>
      <c r="D221" s="156">
        <f t="shared" si="4"/>
        <v>5.7116746630111953E-3</v>
      </c>
      <c r="E221" s="156">
        <v>2.8213166144200507E-2</v>
      </c>
      <c r="G221" s="156"/>
    </row>
    <row r="222" spans="2:7" x14ac:dyDescent="0.2">
      <c r="B222" s="230">
        <v>45673</v>
      </c>
      <c r="C222" s="124">
        <v>432.85</v>
      </c>
      <c r="D222" s="156">
        <f t="shared" si="4"/>
        <v>-1.6696955929123049E-2</v>
      </c>
      <c r="E222" s="156">
        <v>2.8197793216183136E-2</v>
      </c>
      <c r="G222" s="156"/>
    </row>
    <row r="223" spans="2:7" x14ac:dyDescent="0.2">
      <c r="B223" s="230">
        <v>45672</v>
      </c>
      <c r="C223" s="124">
        <v>437.35</v>
      </c>
      <c r="D223" s="156">
        <f t="shared" si="4"/>
        <v>1.0396211158599976E-2</v>
      </c>
      <c r="E223" s="156">
        <v>2.8093023255813917E-2</v>
      </c>
      <c r="G223" s="156"/>
    </row>
    <row r="224" spans="2:7" x14ac:dyDescent="0.2">
      <c r="B224" s="230">
        <v>45671</v>
      </c>
      <c r="C224" s="124">
        <v>436.6</v>
      </c>
      <c r="D224" s="156">
        <f t="shared" si="4"/>
        <v>-1.7148736709729048E-3</v>
      </c>
      <c r="E224" s="156">
        <v>2.8057553956834572E-2</v>
      </c>
      <c r="G224" s="156"/>
    </row>
    <row r="225" spans="2:7" x14ac:dyDescent="0.2">
      <c r="B225" s="230">
        <v>45670</v>
      </c>
      <c r="C225" s="124">
        <v>439.05</v>
      </c>
      <c r="D225" s="156">
        <f t="shared" si="4"/>
        <v>5.6115437471369409E-3</v>
      </c>
      <c r="E225" s="156">
        <v>2.8030346904499934E-2</v>
      </c>
      <c r="G225" s="156"/>
    </row>
    <row r="226" spans="2:7" x14ac:dyDescent="0.2">
      <c r="B226" s="230">
        <v>45667</v>
      </c>
      <c r="C226" s="124">
        <v>444.9</v>
      </c>
      <c r="D226" s="156">
        <f t="shared" si="4"/>
        <v>1.3324222753672624E-2</v>
      </c>
      <c r="E226" s="156">
        <v>2.7970715224328792E-2</v>
      </c>
      <c r="G226" s="156"/>
    </row>
    <row r="227" spans="2:7" x14ac:dyDescent="0.2">
      <c r="B227" s="230">
        <v>45666</v>
      </c>
      <c r="C227" s="124">
        <v>450.1</v>
      </c>
      <c r="D227" s="156">
        <f t="shared" si="4"/>
        <v>1.1688019779725884E-2</v>
      </c>
      <c r="E227" s="156">
        <v>2.7969348659003874E-2</v>
      </c>
      <c r="G227" s="156"/>
    </row>
    <row r="228" spans="2:7" x14ac:dyDescent="0.2">
      <c r="B228" s="230">
        <v>45665</v>
      </c>
      <c r="C228" s="124">
        <v>449.55</v>
      </c>
      <c r="D228" s="156">
        <f t="shared" si="4"/>
        <v>-1.2219506776272192E-3</v>
      </c>
      <c r="E228" s="156">
        <v>2.7825011593754789E-2</v>
      </c>
      <c r="G228" s="156"/>
    </row>
    <row r="229" spans="2:7" x14ac:dyDescent="0.2">
      <c r="B229" s="230">
        <v>45664</v>
      </c>
      <c r="C229" s="124">
        <v>441.1</v>
      </c>
      <c r="D229" s="156">
        <f t="shared" si="4"/>
        <v>-1.8796574352129881E-2</v>
      </c>
      <c r="E229" s="156">
        <v>2.7806896551724095E-2</v>
      </c>
      <c r="G229" s="156"/>
    </row>
    <row r="230" spans="2:7" x14ac:dyDescent="0.2">
      <c r="B230" s="230">
        <v>45663</v>
      </c>
      <c r="C230" s="124">
        <v>442.65</v>
      </c>
      <c r="D230" s="156">
        <f t="shared" si="4"/>
        <v>3.5139424166854556E-3</v>
      </c>
      <c r="E230" s="156">
        <v>2.7801061749091853E-2</v>
      </c>
      <c r="G230" s="156"/>
    </row>
    <row r="231" spans="2:7" x14ac:dyDescent="0.2">
      <c r="B231" s="230">
        <v>45660</v>
      </c>
      <c r="C231" s="124">
        <v>455.6</v>
      </c>
      <c r="D231" s="156">
        <f t="shared" si="4"/>
        <v>2.9255619563989713E-2</v>
      </c>
      <c r="E231" s="156">
        <v>2.7782957300018549E-2</v>
      </c>
      <c r="G231" s="156"/>
    </row>
    <row r="232" spans="2:7" x14ac:dyDescent="0.2">
      <c r="B232" s="230">
        <v>45659</v>
      </c>
      <c r="C232" s="124">
        <v>462.65</v>
      </c>
      <c r="D232" s="156">
        <f t="shared" si="4"/>
        <v>1.5474100087796212E-2</v>
      </c>
      <c r="E232" s="156">
        <v>2.7769270035732506E-2</v>
      </c>
      <c r="G232" s="156"/>
    </row>
    <row r="233" spans="2:7" x14ac:dyDescent="0.2">
      <c r="B233" s="230">
        <v>45658</v>
      </c>
      <c r="C233" s="124">
        <v>457.82</v>
      </c>
      <c r="D233" s="156">
        <f t="shared" si="4"/>
        <v>-1.0439857343564216E-2</v>
      </c>
      <c r="E233" s="156">
        <v>2.7751196172248721E-2</v>
      </c>
      <c r="G233" s="156"/>
    </row>
    <row r="234" spans="2:7" x14ac:dyDescent="0.2">
      <c r="B234" s="230">
        <v>45657</v>
      </c>
      <c r="C234" s="124">
        <v>457.54</v>
      </c>
      <c r="D234" s="156">
        <f t="shared" si="4"/>
        <v>-6.1159407627445878E-4</v>
      </c>
      <c r="E234" s="156">
        <v>2.7729636048526799E-2</v>
      </c>
      <c r="G234" s="156"/>
    </row>
    <row r="235" spans="2:7" x14ac:dyDescent="0.2">
      <c r="B235" s="230">
        <v>45656</v>
      </c>
      <c r="C235" s="124">
        <v>451.25</v>
      </c>
      <c r="D235" s="156">
        <f t="shared" si="4"/>
        <v>-1.374743191852083E-2</v>
      </c>
      <c r="E235" s="156">
        <v>2.7630550004344362E-2</v>
      </c>
      <c r="G235" s="156"/>
    </row>
    <row r="236" spans="2:7" x14ac:dyDescent="0.2">
      <c r="B236" s="230">
        <v>45653</v>
      </c>
      <c r="C236" s="124">
        <v>452.76</v>
      </c>
      <c r="D236" s="156">
        <f t="shared" si="4"/>
        <v>3.3462603878116142E-3</v>
      </c>
      <c r="E236" s="156">
        <v>2.7609547559672196E-2</v>
      </c>
      <c r="G236" s="156"/>
    </row>
    <row r="237" spans="2:7" x14ac:dyDescent="0.2">
      <c r="B237" s="230">
        <v>45652</v>
      </c>
      <c r="C237" s="124">
        <v>451.2</v>
      </c>
      <c r="D237" s="156">
        <f t="shared" si="4"/>
        <v>-3.445534057778961E-3</v>
      </c>
      <c r="E237" s="156">
        <v>2.7590198726606209E-2</v>
      </c>
      <c r="G237" s="156"/>
    </row>
    <row r="238" spans="2:7" x14ac:dyDescent="0.2">
      <c r="B238" s="230">
        <v>45650</v>
      </c>
      <c r="C238" s="124">
        <v>452.62</v>
      </c>
      <c r="D238" s="156">
        <f t="shared" si="4"/>
        <v>3.1471631205674112E-3</v>
      </c>
      <c r="E238" s="156">
        <v>2.7589987209939798E-2</v>
      </c>
      <c r="G238" s="156"/>
    </row>
    <row r="239" spans="2:7" x14ac:dyDescent="0.2">
      <c r="B239" s="230">
        <v>45649</v>
      </c>
      <c r="C239" s="124">
        <v>448.65</v>
      </c>
      <c r="D239" s="156">
        <f t="shared" si="4"/>
        <v>-8.771154610931968E-3</v>
      </c>
      <c r="E239" s="156">
        <v>2.7559808612440149E-2</v>
      </c>
      <c r="G239" s="156"/>
    </row>
    <row r="240" spans="2:7" x14ac:dyDescent="0.2">
      <c r="B240" s="230">
        <v>45646</v>
      </c>
      <c r="C240" s="124">
        <v>439.57</v>
      </c>
      <c r="D240" s="156">
        <f t="shared" si="4"/>
        <v>-2.0238493257550394E-2</v>
      </c>
      <c r="E240" s="156">
        <v>2.7394775036284565E-2</v>
      </c>
      <c r="G240" s="156"/>
    </row>
    <row r="241" spans="2:7" x14ac:dyDescent="0.2">
      <c r="B241" s="230">
        <v>45645</v>
      </c>
      <c r="C241" s="124">
        <v>441.36</v>
      </c>
      <c r="D241" s="156">
        <f t="shared" si="4"/>
        <v>4.0721614304889331E-3</v>
      </c>
      <c r="E241" s="156">
        <v>2.7332704995287518E-2</v>
      </c>
      <c r="G241" s="156"/>
    </row>
    <row r="242" spans="2:7" x14ac:dyDescent="0.2">
      <c r="B242" s="230">
        <v>45644</v>
      </c>
      <c r="C242" s="124">
        <v>445.1</v>
      </c>
      <c r="D242" s="156">
        <f t="shared" si="4"/>
        <v>8.4738082291100445E-3</v>
      </c>
      <c r="E242" s="156">
        <v>2.7289783387344366E-2</v>
      </c>
      <c r="G242" s="156"/>
    </row>
    <row r="243" spans="2:7" x14ac:dyDescent="0.2">
      <c r="B243" s="230">
        <v>45643</v>
      </c>
      <c r="C243" s="124">
        <v>444.2</v>
      </c>
      <c r="D243" s="156">
        <f t="shared" si="4"/>
        <v>-2.0220175241519524E-3</v>
      </c>
      <c r="E243" s="156">
        <v>2.7259909133636143E-2</v>
      </c>
      <c r="G243" s="156"/>
    </row>
    <row r="244" spans="2:7" x14ac:dyDescent="0.2">
      <c r="B244" s="230">
        <v>45642</v>
      </c>
      <c r="C244" s="124">
        <v>444.72</v>
      </c>
      <c r="D244" s="156">
        <f t="shared" si="4"/>
        <v>1.1706438541198528E-3</v>
      </c>
      <c r="E244" s="156">
        <v>2.7225333075883446E-2</v>
      </c>
      <c r="G244" s="156"/>
    </row>
    <row r="245" spans="2:7" x14ac:dyDescent="0.2">
      <c r="B245" s="230">
        <v>45639</v>
      </c>
      <c r="C245" s="124">
        <v>444.63</v>
      </c>
      <c r="D245" s="156">
        <f t="shared" si="4"/>
        <v>-2.0237452779284004E-4</v>
      </c>
      <c r="E245" s="156">
        <v>2.7184466019417472E-2</v>
      </c>
      <c r="G245" s="156"/>
    </row>
    <row r="246" spans="2:7" x14ac:dyDescent="0.2">
      <c r="B246" s="230">
        <v>45638</v>
      </c>
      <c r="C246" s="124">
        <v>435.73</v>
      </c>
      <c r="D246" s="156">
        <f t="shared" si="4"/>
        <v>-2.0016643051525937E-2</v>
      </c>
      <c r="E246" s="156">
        <v>2.7184134040006896E-2</v>
      </c>
      <c r="G246" s="156"/>
    </row>
    <row r="247" spans="2:7" x14ac:dyDescent="0.2">
      <c r="B247" s="230">
        <v>45637</v>
      </c>
      <c r="C247" s="124">
        <v>440.13</v>
      </c>
      <c r="D247" s="156">
        <f t="shared" si="4"/>
        <v>1.0097996465701184E-2</v>
      </c>
      <c r="E247" s="156">
        <v>2.7145541866778033E-2</v>
      </c>
      <c r="G247" s="156"/>
    </row>
    <row r="248" spans="2:7" x14ac:dyDescent="0.2">
      <c r="B248" s="230">
        <v>45636</v>
      </c>
      <c r="C248" s="124">
        <v>440.32</v>
      </c>
      <c r="D248" s="156">
        <f t="shared" si="4"/>
        <v>4.3169063685728699E-4</v>
      </c>
      <c r="E248" s="156">
        <v>2.6974217223466598E-2</v>
      </c>
      <c r="G248" s="156"/>
    </row>
    <row r="249" spans="2:7" x14ac:dyDescent="0.2">
      <c r="B249" s="230">
        <v>45635</v>
      </c>
      <c r="C249" s="124">
        <v>439.85</v>
      </c>
      <c r="D249" s="156">
        <f t="shared" si="4"/>
        <v>-1.0674055232557469E-3</v>
      </c>
      <c r="E249" s="156">
        <v>2.6957383548067381E-2</v>
      </c>
      <c r="G249" s="156"/>
    </row>
    <row r="250" spans="2:7" x14ac:dyDescent="0.2">
      <c r="B250" s="230">
        <v>45632</v>
      </c>
      <c r="C250" s="124">
        <v>445.71</v>
      </c>
      <c r="D250" s="156">
        <f t="shared" si="4"/>
        <v>1.3322723655791648E-2</v>
      </c>
      <c r="E250" s="156">
        <v>2.6954766191957209E-2</v>
      </c>
      <c r="G250" s="156"/>
    </row>
    <row r="251" spans="2:7" x14ac:dyDescent="0.2">
      <c r="B251" s="230">
        <v>45631</v>
      </c>
      <c r="C251" s="124">
        <v>442.26</v>
      </c>
      <c r="D251" s="156">
        <f t="shared" si="4"/>
        <v>-7.7404590428753871E-3</v>
      </c>
      <c r="E251" s="156">
        <v>2.6889571478926448E-2</v>
      </c>
      <c r="G251" s="156"/>
    </row>
    <row r="252" spans="2:7" x14ac:dyDescent="0.2">
      <c r="B252" s="230">
        <v>45630</v>
      </c>
      <c r="C252" s="124">
        <v>441.88</v>
      </c>
      <c r="D252" s="156">
        <f t="shared" si="4"/>
        <v>-8.5922308144529343E-4</v>
      </c>
      <c r="E252" s="156">
        <v>2.6870163370593291E-2</v>
      </c>
      <c r="G252" s="156"/>
    </row>
    <row r="253" spans="2:7" x14ac:dyDescent="0.2">
      <c r="B253" s="230">
        <v>45629</v>
      </c>
      <c r="C253" s="124">
        <v>447.04</v>
      </c>
      <c r="D253" s="156">
        <f t="shared" si="4"/>
        <v>1.1677378473793847E-2</v>
      </c>
      <c r="E253" s="156">
        <v>2.6833976833976845E-2</v>
      </c>
      <c r="G253" s="156"/>
    </row>
    <row r="254" spans="2:7" x14ac:dyDescent="0.2">
      <c r="B254" s="230">
        <v>45628</v>
      </c>
      <c r="C254" s="124">
        <v>451.44</v>
      </c>
      <c r="D254" s="156">
        <f t="shared" si="4"/>
        <v>9.8425196850393179E-3</v>
      </c>
      <c r="E254" s="156">
        <v>2.6673924877517671E-2</v>
      </c>
      <c r="G254" s="156"/>
    </row>
    <row r="255" spans="2:7" x14ac:dyDescent="0.2">
      <c r="B255" s="230">
        <v>45625</v>
      </c>
      <c r="C255" s="124">
        <v>451.01</v>
      </c>
      <c r="D255" s="156">
        <f t="shared" si="4"/>
        <v>-9.5250753145491502E-4</v>
      </c>
      <c r="E255" s="156">
        <v>2.6495448634590302E-2</v>
      </c>
      <c r="G255" s="156"/>
    </row>
    <row r="256" spans="2:7" x14ac:dyDescent="0.2">
      <c r="B256" s="230">
        <v>45624</v>
      </c>
      <c r="C256" s="124">
        <v>449.26</v>
      </c>
      <c r="D256" s="156">
        <f t="shared" si="4"/>
        <v>-3.8801800403538726E-3</v>
      </c>
      <c r="E256" s="156">
        <v>2.6472003850473266E-2</v>
      </c>
      <c r="G256" s="156"/>
    </row>
    <row r="257" spans="2:7" x14ac:dyDescent="0.2">
      <c r="B257" s="230">
        <v>45623</v>
      </c>
      <c r="C257" s="124">
        <v>451.2</v>
      </c>
      <c r="D257" s="156">
        <f t="shared" si="4"/>
        <v>4.3182121711258462E-3</v>
      </c>
      <c r="E257" s="156">
        <v>2.6381189065188212E-2</v>
      </c>
      <c r="G257" s="156"/>
    </row>
    <row r="258" spans="2:7" x14ac:dyDescent="0.2">
      <c r="B258" s="230">
        <v>45622</v>
      </c>
      <c r="C258" s="124">
        <v>451.25</v>
      </c>
      <c r="D258" s="156">
        <f t="shared" si="4"/>
        <v>1.1081560283690464E-4</v>
      </c>
      <c r="E258" s="156">
        <v>2.6378595653812262E-2</v>
      </c>
      <c r="G258" s="156"/>
    </row>
    <row r="259" spans="2:7" x14ac:dyDescent="0.2">
      <c r="B259" s="230">
        <v>45621</v>
      </c>
      <c r="C259" s="124">
        <v>451.06</v>
      </c>
      <c r="D259" s="156">
        <f t="shared" si="4"/>
        <v>-4.2105263157894235E-4</v>
      </c>
      <c r="E259" s="156">
        <v>2.6371460863013368E-2</v>
      </c>
      <c r="G259" s="156"/>
    </row>
    <row r="260" spans="2:7" x14ac:dyDescent="0.2">
      <c r="B260" s="230">
        <v>45618</v>
      </c>
      <c r="C260" s="124">
        <v>449.02</v>
      </c>
      <c r="D260" s="156">
        <f t="shared" si="4"/>
        <v>-4.5226799095464468E-3</v>
      </c>
      <c r="E260" s="156">
        <v>2.6370004120313168E-2</v>
      </c>
      <c r="G260" s="156"/>
    </row>
    <row r="261" spans="2:7" x14ac:dyDescent="0.2">
      <c r="B261" s="230">
        <v>45617</v>
      </c>
      <c r="C261" s="124">
        <v>432.47</v>
      </c>
      <c r="D261" s="156">
        <f t="shared" si="4"/>
        <v>-3.6858046412186443E-2</v>
      </c>
      <c r="E261" s="156">
        <v>2.6326129666011857E-2</v>
      </c>
      <c r="G261" s="156"/>
    </row>
    <row r="262" spans="2:7" x14ac:dyDescent="0.2">
      <c r="B262" s="230">
        <v>45615</v>
      </c>
      <c r="C262" s="124">
        <v>442.12</v>
      </c>
      <c r="D262" s="156">
        <f t="shared" si="4"/>
        <v>2.2313686498485391E-2</v>
      </c>
      <c r="E262" s="156">
        <v>2.6296566837107467E-2</v>
      </c>
      <c r="G262" s="156"/>
    </row>
    <row r="263" spans="2:7" x14ac:dyDescent="0.2">
      <c r="B263" s="230">
        <v>45614</v>
      </c>
      <c r="C263" s="124">
        <v>441.36</v>
      </c>
      <c r="D263" s="156">
        <f t="shared" si="4"/>
        <v>-1.7189903193702862E-3</v>
      </c>
      <c r="E263" s="156">
        <v>2.6294692961359754E-2</v>
      </c>
      <c r="G263" s="156"/>
    </row>
    <row r="264" spans="2:7" x14ac:dyDescent="0.2">
      <c r="B264" s="230">
        <v>45610</v>
      </c>
      <c r="C264" s="124">
        <v>440.8</v>
      </c>
      <c r="D264" s="156">
        <f t="shared" ref="D264:D327" si="5">(C264-C263)/C263</f>
        <v>-1.2688055102410781E-3</v>
      </c>
      <c r="E264" s="156">
        <v>2.6271471876052461E-2</v>
      </c>
      <c r="G264" s="156"/>
    </row>
    <row r="265" spans="2:7" x14ac:dyDescent="0.2">
      <c r="B265" s="230">
        <v>45609</v>
      </c>
      <c r="C265" s="124">
        <v>446.71</v>
      </c>
      <c r="D265" s="156">
        <f t="shared" si="5"/>
        <v>1.3407441016333866E-2</v>
      </c>
      <c r="E265" s="156">
        <v>2.6270307639128986E-2</v>
      </c>
      <c r="G265" s="156"/>
    </row>
    <row r="266" spans="2:7" x14ac:dyDescent="0.2">
      <c r="B266" s="230">
        <v>45608</v>
      </c>
      <c r="C266" s="124">
        <v>447.32</v>
      </c>
      <c r="D266" s="156">
        <f t="shared" si="5"/>
        <v>1.3655391641109751E-3</v>
      </c>
      <c r="E266" s="156">
        <v>2.6249758733835154E-2</v>
      </c>
      <c r="G266" s="156"/>
    </row>
    <row r="267" spans="2:7" x14ac:dyDescent="0.2">
      <c r="B267" s="230">
        <v>45607</v>
      </c>
      <c r="C267" s="124">
        <v>451.2</v>
      </c>
      <c r="D267" s="156">
        <f t="shared" si="5"/>
        <v>8.6738799964231322E-3</v>
      </c>
      <c r="E267" s="156">
        <v>2.6246719160104987E-2</v>
      </c>
      <c r="G267" s="156"/>
    </row>
    <row r="268" spans="2:7" x14ac:dyDescent="0.2">
      <c r="B268" s="230">
        <v>45604</v>
      </c>
      <c r="C268" s="124">
        <v>452.24</v>
      </c>
      <c r="D268" s="156">
        <f t="shared" si="5"/>
        <v>2.3049645390071376E-3</v>
      </c>
      <c r="E268" s="156">
        <v>2.6245313336904157E-2</v>
      </c>
      <c r="G268" s="156"/>
    </row>
    <row r="269" spans="2:7" x14ac:dyDescent="0.2">
      <c r="B269" s="230">
        <v>45603</v>
      </c>
      <c r="C269" s="124">
        <v>452.1</v>
      </c>
      <c r="D269" s="156">
        <f t="shared" si="5"/>
        <v>-3.0957013974877576E-4</v>
      </c>
      <c r="E269" s="156">
        <v>2.621167161226514E-2</v>
      </c>
      <c r="G269" s="156"/>
    </row>
    <row r="270" spans="2:7" x14ac:dyDescent="0.2">
      <c r="B270" s="230">
        <v>45602</v>
      </c>
      <c r="C270" s="124">
        <v>455.13</v>
      </c>
      <c r="D270" s="156">
        <f t="shared" si="5"/>
        <v>6.7020570670205098E-3</v>
      </c>
      <c r="E270" s="156">
        <v>2.6179273736277014E-2</v>
      </c>
      <c r="G270" s="156"/>
    </row>
    <row r="271" spans="2:7" x14ac:dyDescent="0.2">
      <c r="B271" s="230">
        <v>45601</v>
      </c>
      <c r="C271" s="124">
        <v>454.27</v>
      </c>
      <c r="D271" s="156">
        <f t="shared" si="5"/>
        <v>-1.8895700129633593E-3</v>
      </c>
      <c r="E271" s="156">
        <v>2.6144907723854988E-2</v>
      </c>
      <c r="G271" s="156"/>
    </row>
    <row r="272" spans="2:7" x14ac:dyDescent="0.2">
      <c r="B272" s="230">
        <v>45600</v>
      </c>
      <c r="C272" s="124">
        <v>458.44</v>
      </c>
      <c r="D272" s="156">
        <f t="shared" si="5"/>
        <v>9.1795628150659649E-3</v>
      </c>
      <c r="E272" s="156">
        <v>2.6129943502824778E-2</v>
      </c>
      <c r="G272" s="156"/>
    </row>
    <row r="273" spans="2:7" x14ac:dyDescent="0.2">
      <c r="B273" s="230">
        <v>45597</v>
      </c>
      <c r="C273" s="124">
        <v>463.83</v>
      </c>
      <c r="D273" s="156">
        <f t="shared" si="5"/>
        <v>1.1757263764069423E-2</v>
      </c>
      <c r="E273" s="156">
        <v>2.6045115437248953E-2</v>
      </c>
      <c r="G273" s="156"/>
    </row>
    <row r="274" spans="2:7" x14ac:dyDescent="0.2">
      <c r="B274" s="230">
        <v>45596</v>
      </c>
      <c r="C274" s="124">
        <v>462.41</v>
      </c>
      <c r="D274" s="156">
        <f t="shared" si="5"/>
        <v>-3.061466485565744E-3</v>
      </c>
      <c r="E274" s="156">
        <v>2.5999509443218109E-2</v>
      </c>
      <c r="G274" s="156"/>
    </row>
    <row r="275" spans="2:7" x14ac:dyDescent="0.2">
      <c r="B275" s="230">
        <v>45595</v>
      </c>
      <c r="C275" s="124">
        <v>465.01</v>
      </c>
      <c r="D275" s="156">
        <f t="shared" si="5"/>
        <v>5.6227157717176658E-3</v>
      </c>
      <c r="E275" s="156">
        <v>2.5933986216902554E-2</v>
      </c>
      <c r="G275" s="156"/>
    </row>
    <row r="276" spans="2:7" x14ac:dyDescent="0.2">
      <c r="B276" s="230">
        <v>45594</v>
      </c>
      <c r="C276" s="124">
        <v>461.61</v>
      </c>
      <c r="D276" s="156">
        <f t="shared" si="5"/>
        <v>-7.3116707167587306E-3</v>
      </c>
      <c r="E276" s="156">
        <v>2.5766871165644276E-2</v>
      </c>
      <c r="G276" s="156"/>
    </row>
    <row r="277" spans="2:7" x14ac:dyDescent="0.2">
      <c r="B277" s="230">
        <v>45593</v>
      </c>
      <c r="C277" s="124">
        <v>458.01</v>
      </c>
      <c r="D277" s="156">
        <f t="shared" si="5"/>
        <v>-7.7987911873660075E-3</v>
      </c>
      <c r="E277" s="156">
        <v>2.5720020538673481E-2</v>
      </c>
      <c r="G277" s="156"/>
    </row>
    <row r="278" spans="2:7" x14ac:dyDescent="0.2">
      <c r="B278" s="230">
        <v>45590</v>
      </c>
      <c r="C278" s="124">
        <v>456.26</v>
      </c>
      <c r="D278" s="156">
        <f t="shared" si="5"/>
        <v>-3.8208772734219776E-3</v>
      </c>
      <c r="E278" s="156">
        <v>2.5712830957230055E-2</v>
      </c>
      <c r="G278" s="156"/>
    </row>
    <row r="279" spans="2:7" x14ac:dyDescent="0.2">
      <c r="B279" s="230">
        <v>45589</v>
      </c>
      <c r="C279" s="124">
        <v>446.23</v>
      </c>
      <c r="D279" s="156">
        <f t="shared" si="5"/>
        <v>-2.1983079822907932E-2</v>
      </c>
      <c r="E279" s="156">
        <v>2.5677200902934603E-2</v>
      </c>
      <c r="G279" s="156"/>
    </row>
    <row r="280" spans="2:7" x14ac:dyDescent="0.2">
      <c r="B280" s="230">
        <v>45588</v>
      </c>
      <c r="C280" s="124">
        <v>454.42</v>
      </c>
      <c r="D280" s="156">
        <f t="shared" si="5"/>
        <v>1.8353763754117826E-2</v>
      </c>
      <c r="E280" s="156">
        <v>2.5551684088269321E-2</v>
      </c>
      <c r="G280" s="156"/>
    </row>
    <row r="281" spans="2:7" x14ac:dyDescent="0.2">
      <c r="B281" s="230">
        <v>45587</v>
      </c>
      <c r="C281" s="124">
        <v>455.79</v>
      </c>
      <c r="D281" s="156">
        <f t="shared" si="5"/>
        <v>3.0148320936578595E-3</v>
      </c>
      <c r="E281" s="156">
        <v>2.5420489296636054E-2</v>
      </c>
      <c r="G281" s="156"/>
    </row>
    <row r="282" spans="2:7" x14ac:dyDescent="0.2">
      <c r="B282" s="230">
        <v>45586</v>
      </c>
      <c r="C282" s="124">
        <v>457.54</v>
      </c>
      <c r="D282" s="156">
        <f t="shared" si="5"/>
        <v>3.8394874832708044E-3</v>
      </c>
      <c r="E282" s="156">
        <v>2.5314082130133135E-2</v>
      </c>
      <c r="G282" s="156"/>
    </row>
    <row r="283" spans="2:7" x14ac:dyDescent="0.2">
      <c r="B283" s="230">
        <v>45583</v>
      </c>
      <c r="C283" s="124">
        <v>460.42</v>
      </c>
      <c r="D283" s="156">
        <f t="shared" si="5"/>
        <v>6.294531625650206E-3</v>
      </c>
      <c r="E283" s="156">
        <v>2.528800224782245E-2</v>
      </c>
      <c r="G283" s="156"/>
    </row>
    <row r="284" spans="2:7" x14ac:dyDescent="0.2">
      <c r="B284" s="230">
        <v>45582</v>
      </c>
      <c r="C284" s="124">
        <v>462.51</v>
      </c>
      <c r="D284" s="156">
        <f t="shared" si="5"/>
        <v>4.5393336518830089E-3</v>
      </c>
      <c r="E284" s="156">
        <v>2.5284268099601697E-2</v>
      </c>
      <c r="G284" s="156"/>
    </row>
    <row r="285" spans="2:7" x14ac:dyDescent="0.2">
      <c r="B285" s="230">
        <v>45581</v>
      </c>
      <c r="C285" s="124">
        <v>466.57</v>
      </c>
      <c r="D285" s="156">
        <f t="shared" si="5"/>
        <v>8.7781885797063898E-3</v>
      </c>
      <c r="E285" s="156">
        <v>2.5217932752179401E-2</v>
      </c>
      <c r="G285" s="156"/>
    </row>
    <row r="286" spans="2:7" x14ac:dyDescent="0.2">
      <c r="B286" s="230">
        <v>45580</v>
      </c>
      <c r="C286" s="124">
        <v>471.64</v>
      </c>
      <c r="D286" s="156">
        <f t="shared" si="5"/>
        <v>1.0866536639732501E-2</v>
      </c>
      <c r="E286" s="156">
        <v>2.5147928994082885E-2</v>
      </c>
      <c r="G286" s="156"/>
    </row>
    <row r="287" spans="2:7" x14ac:dyDescent="0.2">
      <c r="B287" s="230">
        <v>45579</v>
      </c>
      <c r="C287" s="124">
        <v>470.12</v>
      </c>
      <c r="D287" s="156">
        <f t="shared" si="5"/>
        <v>-3.2227970485963486E-3</v>
      </c>
      <c r="E287" s="156">
        <v>2.5125628140703519E-2</v>
      </c>
      <c r="G287" s="156"/>
    </row>
    <row r="288" spans="2:7" x14ac:dyDescent="0.2">
      <c r="B288" s="230">
        <v>45576</v>
      </c>
      <c r="C288" s="124">
        <v>461.84</v>
      </c>
      <c r="D288" s="156">
        <f t="shared" si="5"/>
        <v>-1.7612524461839592E-2</v>
      </c>
      <c r="E288" s="156">
        <v>2.5124408301978311E-2</v>
      </c>
      <c r="G288" s="156"/>
    </row>
    <row r="289" spans="2:7" x14ac:dyDescent="0.2">
      <c r="B289" s="230">
        <v>45575</v>
      </c>
      <c r="C289" s="124">
        <v>465.49</v>
      </c>
      <c r="D289" s="156">
        <f t="shared" si="5"/>
        <v>7.9031699289798078E-3</v>
      </c>
      <c r="E289" s="156">
        <v>2.5019344854268735E-2</v>
      </c>
      <c r="G289" s="156"/>
    </row>
    <row r="290" spans="2:7" x14ac:dyDescent="0.2">
      <c r="B290" s="230">
        <v>45574</v>
      </c>
      <c r="C290" s="124">
        <v>465.15</v>
      </c>
      <c r="D290" s="156">
        <f t="shared" si="5"/>
        <v>-7.3041311306372176E-4</v>
      </c>
      <c r="E290" s="156">
        <v>2.4919265435966585E-2</v>
      </c>
      <c r="G290" s="156"/>
    </row>
    <row r="291" spans="2:7" x14ac:dyDescent="0.2">
      <c r="B291" s="230">
        <v>45573</v>
      </c>
      <c r="C291" s="124">
        <v>480.53</v>
      </c>
      <c r="D291" s="156">
        <f t="shared" si="5"/>
        <v>3.3064602816295807E-2</v>
      </c>
      <c r="E291" s="156">
        <v>2.4830220713072983E-2</v>
      </c>
      <c r="G291" s="156"/>
    </row>
    <row r="292" spans="2:7" x14ac:dyDescent="0.2">
      <c r="B292" s="230">
        <v>45572</v>
      </c>
      <c r="C292" s="124">
        <v>482.66</v>
      </c>
      <c r="D292" s="156">
        <f t="shared" si="5"/>
        <v>4.4326056645788035E-3</v>
      </c>
      <c r="E292" s="156">
        <v>2.4828239753612796E-2</v>
      </c>
      <c r="G292" s="156"/>
    </row>
    <row r="293" spans="2:7" x14ac:dyDescent="0.2">
      <c r="B293" s="230">
        <v>45569</v>
      </c>
      <c r="C293" s="124">
        <v>476.36</v>
      </c>
      <c r="D293" s="156">
        <f t="shared" si="5"/>
        <v>-1.3052666473293853E-2</v>
      </c>
      <c r="E293" s="156">
        <v>2.4787535410764869E-2</v>
      </c>
      <c r="G293" s="156"/>
    </row>
    <row r="294" spans="2:7" x14ac:dyDescent="0.2">
      <c r="B294" s="230">
        <v>45568</v>
      </c>
      <c r="C294" s="124">
        <v>485.07</v>
      </c>
      <c r="D294" s="156">
        <f t="shared" si="5"/>
        <v>1.8284490721303174E-2</v>
      </c>
      <c r="E294" s="156">
        <v>2.4735615701738788E-2</v>
      </c>
      <c r="G294" s="156"/>
    </row>
    <row r="295" spans="2:7" x14ac:dyDescent="0.2">
      <c r="B295" s="230">
        <v>45566</v>
      </c>
      <c r="C295" s="124">
        <v>488.33</v>
      </c>
      <c r="D295" s="156">
        <f t="shared" si="5"/>
        <v>6.7206794895581894E-3</v>
      </c>
      <c r="E295" s="156">
        <v>2.4730215827338163E-2</v>
      </c>
      <c r="G295" s="156"/>
    </row>
    <row r="296" spans="2:7" x14ac:dyDescent="0.2">
      <c r="B296" s="230">
        <v>45565</v>
      </c>
      <c r="C296" s="124">
        <v>490.18</v>
      </c>
      <c r="D296" s="156">
        <f t="shared" si="5"/>
        <v>3.7884217639711317E-3</v>
      </c>
      <c r="E296" s="156">
        <v>2.4710424710424769E-2</v>
      </c>
      <c r="G296" s="156"/>
    </row>
    <row r="297" spans="2:7" x14ac:dyDescent="0.2">
      <c r="B297" s="230">
        <v>45562</v>
      </c>
      <c r="C297" s="124">
        <v>494.48</v>
      </c>
      <c r="D297" s="156">
        <f t="shared" si="5"/>
        <v>8.7722877310376004E-3</v>
      </c>
      <c r="E297" s="156">
        <v>2.4568983775998695E-2</v>
      </c>
      <c r="G297" s="156"/>
    </row>
    <row r="298" spans="2:7" x14ac:dyDescent="0.2">
      <c r="B298" s="230">
        <v>45561</v>
      </c>
      <c r="C298" s="124">
        <v>494.53</v>
      </c>
      <c r="D298" s="156">
        <f t="shared" si="5"/>
        <v>1.0111632421929E-4</v>
      </c>
      <c r="E298" s="156">
        <v>2.4559111691704896E-2</v>
      </c>
      <c r="G298" s="156"/>
    </row>
    <row r="299" spans="2:7" x14ac:dyDescent="0.2">
      <c r="B299" s="230">
        <v>45560</v>
      </c>
      <c r="C299" s="124">
        <v>489.61</v>
      </c>
      <c r="D299" s="156">
        <f t="shared" si="5"/>
        <v>-9.9488403130244055E-3</v>
      </c>
      <c r="E299" s="156">
        <v>2.4408848207475232E-2</v>
      </c>
      <c r="G299" s="156"/>
    </row>
    <row r="300" spans="2:7" x14ac:dyDescent="0.2">
      <c r="B300" s="230">
        <v>45559</v>
      </c>
      <c r="C300" s="124">
        <v>487.43</v>
      </c>
      <c r="D300" s="156">
        <f t="shared" si="5"/>
        <v>-4.4525234370213166E-3</v>
      </c>
      <c r="E300" s="156">
        <v>2.4330474356730272E-2</v>
      </c>
      <c r="G300" s="156"/>
    </row>
    <row r="301" spans="2:7" x14ac:dyDescent="0.2">
      <c r="B301" s="230">
        <v>45558</v>
      </c>
      <c r="C301" s="124">
        <v>489.04</v>
      </c>
      <c r="D301" s="156">
        <f t="shared" si="5"/>
        <v>3.3030383849988994E-3</v>
      </c>
      <c r="E301" s="156">
        <v>2.4192050520059339E-2</v>
      </c>
      <c r="G301" s="156"/>
    </row>
    <row r="302" spans="2:7" x14ac:dyDescent="0.2">
      <c r="B302" s="230">
        <v>45555</v>
      </c>
      <c r="C302" s="124">
        <v>486.63</v>
      </c>
      <c r="D302" s="156">
        <f t="shared" si="5"/>
        <v>-4.9280222476689537E-3</v>
      </c>
      <c r="E302" s="156">
        <v>2.4068732359418102E-2</v>
      </c>
      <c r="G302" s="156"/>
    </row>
    <row r="303" spans="2:7" x14ac:dyDescent="0.2">
      <c r="B303" s="230">
        <v>45554</v>
      </c>
      <c r="C303" s="124">
        <v>480.81</v>
      </c>
      <c r="D303" s="156">
        <f t="shared" si="5"/>
        <v>-1.1959805190802033E-2</v>
      </c>
      <c r="E303" s="156">
        <v>2.4021536550010433E-2</v>
      </c>
      <c r="G303" s="156"/>
    </row>
    <row r="304" spans="2:7" x14ac:dyDescent="0.2">
      <c r="B304" s="230">
        <v>45553</v>
      </c>
      <c r="C304" s="124">
        <v>479.96</v>
      </c>
      <c r="D304" s="156">
        <f t="shared" si="5"/>
        <v>-1.7678500863127279E-3</v>
      </c>
      <c r="E304" s="156">
        <v>2.4020283795204864E-2</v>
      </c>
      <c r="G304" s="156"/>
    </row>
    <row r="305" spans="2:7" x14ac:dyDescent="0.2">
      <c r="B305" s="230">
        <v>45552</v>
      </c>
      <c r="C305" s="124">
        <v>480.34</v>
      </c>
      <c r="D305" s="156">
        <f t="shared" si="5"/>
        <v>7.9173264438702276E-4</v>
      </c>
      <c r="E305" s="156">
        <v>2.3984142715560007E-2</v>
      </c>
      <c r="G305" s="156"/>
    </row>
    <row r="306" spans="2:7" x14ac:dyDescent="0.2">
      <c r="B306" s="230">
        <v>45551</v>
      </c>
      <c r="C306" s="124">
        <v>483.51</v>
      </c>
      <c r="D306" s="156">
        <f t="shared" si="5"/>
        <v>6.5994920264812757E-3</v>
      </c>
      <c r="E306" s="156">
        <v>2.3975031919421366E-2</v>
      </c>
      <c r="G306" s="156"/>
    </row>
    <row r="307" spans="2:7" x14ac:dyDescent="0.2">
      <c r="B307" s="230">
        <v>45548</v>
      </c>
      <c r="C307" s="124">
        <v>486.11</v>
      </c>
      <c r="D307" s="156">
        <f t="shared" si="5"/>
        <v>5.3773448325784836E-3</v>
      </c>
      <c r="E307" s="156">
        <v>2.3790182197980736E-2</v>
      </c>
      <c r="G307" s="156"/>
    </row>
    <row r="308" spans="2:7" x14ac:dyDescent="0.2">
      <c r="B308" s="230">
        <v>45547</v>
      </c>
      <c r="C308" s="124">
        <v>491.45</v>
      </c>
      <c r="D308" s="156">
        <f t="shared" si="5"/>
        <v>1.0985167966098157E-2</v>
      </c>
      <c r="E308" s="156">
        <v>2.3673905304378906E-2</v>
      </c>
      <c r="G308" s="156"/>
    </row>
    <row r="309" spans="2:7" x14ac:dyDescent="0.2">
      <c r="B309" s="230">
        <v>45546</v>
      </c>
      <c r="C309" s="124">
        <v>486.58</v>
      </c>
      <c r="D309" s="156">
        <f t="shared" si="5"/>
        <v>-9.909451622749017E-3</v>
      </c>
      <c r="E309" s="156">
        <v>2.3667758261387371E-2</v>
      </c>
      <c r="G309" s="156"/>
    </row>
    <row r="310" spans="2:7" x14ac:dyDescent="0.2">
      <c r="B310" s="230">
        <v>45545</v>
      </c>
      <c r="C310" s="124">
        <v>485.87</v>
      </c>
      <c r="D310" s="156">
        <f t="shared" si="5"/>
        <v>-1.4591639607052891E-3</v>
      </c>
      <c r="E310" s="156">
        <v>2.3667029379760576E-2</v>
      </c>
      <c r="G310" s="156"/>
    </row>
    <row r="311" spans="2:7" x14ac:dyDescent="0.2">
      <c r="B311" s="230">
        <v>45544</v>
      </c>
      <c r="C311" s="124">
        <v>484.12</v>
      </c>
      <c r="D311" s="156">
        <f t="shared" si="5"/>
        <v>-3.601786486097104E-3</v>
      </c>
      <c r="E311" s="156">
        <v>2.3659021130576167E-2</v>
      </c>
      <c r="G311" s="156"/>
    </row>
    <row r="312" spans="2:7" x14ac:dyDescent="0.2">
      <c r="B312" s="230">
        <v>45541</v>
      </c>
      <c r="C312" s="124">
        <v>474.61</v>
      </c>
      <c r="D312" s="156">
        <f t="shared" si="5"/>
        <v>-1.9643889944641807E-2</v>
      </c>
      <c r="E312" s="156">
        <v>2.3659003831417613E-2</v>
      </c>
      <c r="G312" s="156"/>
    </row>
    <row r="313" spans="2:7" x14ac:dyDescent="0.2">
      <c r="B313" s="230">
        <v>45540</v>
      </c>
      <c r="C313" s="124">
        <v>483.6</v>
      </c>
      <c r="D313" s="156">
        <f t="shared" si="5"/>
        <v>1.8941868060091464E-2</v>
      </c>
      <c r="E313" s="156">
        <v>2.3652075134893844E-2</v>
      </c>
      <c r="G313" s="156"/>
    </row>
    <row r="314" spans="2:7" x14ac:dyDescent="0.2">
      <c r="B314" s="230">
        <v>45539</v>
      </c>
      <c r="C314" s="124">
        <v>479.01</v>
      </c>
      <c r="D314" s="156">
        <f t="shared" si="5"/>
        <v>-9.4913151364764917E-3</v>
      </c>
      <c r="E314" s="156">
        <v>2.3644444444444412E-2</v>
      </c>
      <c r="G314" s="156"/>
    </row>
    <row r="315" spans="2:7" x14ac:dyDescent="0.2">
      <c r="B315" s="230">
        <v>45538</v>
      </c>
      <c r="C315" s="124">
        <v>481.9</v>
      </c>
      <c r="D315" s="156">
        <f t="shared" si="5"/>
        <v>6.0332769670779036E-3</v>
      </c>
      <c r="E315" s="156">
        <v>2.3641563393708251E-2</v>
      </c>
      <c r="G315" s="156"/>
    </row>
    <row r="316" spans="2:7" x14ac:dyDescent="0.2">
      <c r="B316" s="230">
        <v>45537</v>
      </c>
      <c r="C316" s="124">
        <v>482.51</v>
      </c>
      <c r="D316" s="156">
        <f t="shared" si="5"/>
        <v>1.265822784810155E-3</v>
      </c>
      <c r="E316" s="156">
        <v>2.3606319230070817E-2</v>
      </c>
      <c r="G316" s="156"/>
    </row>
    <row r="317" spans="2:7" x14ac:dyDescent="0.2">
      <c r="B317" s="230">
        <v>45534</v>
      </c>
      <c r="C317" s="124">
        <v>474.8</v>
      </c>
      <c r="D317" s="156">
        <f t="shared" si="5"/>
        <v>-1.5978943441586662E-2</v>
      </c>
      <c r="E317" s="156">
        <v>2.3555665757500691E-2</v>
      </c>
      <c r="G317" s="156"/>
    </row>
    <row r="318" spans="2:7" x14ac:dyDescent="0.2">
      <c r="B318" s="230">
        <v>45533</v>
      </c>
      <c r="C318" s="124">
        <v>477.83</v>
      </c>
      <c r="D318" s="156">
        <f t="shared" si="5"/>
        <v>6.3816343723672548E-3</v>
      </c>
      <c r="E318" s="156">
        <v>2.3517721099701797E-2</v>
      </c>
      <c r="G318" s="156"/>
    </row>
    <row r="319" spans="2:7" x14ac:dyDescent="0.2">
      <c r="B319" s="230">
        <v>45532</v>
      </c>
      <c r="C319" s="124">
        <v>470.45</v>
      </c>
      <c r="D319" s="156">
        <f t="shared" si="5"/>
        <v>-1.5444823472783198E-2</v>
      </c>
      <c r="E319" s="156">
        <v>2.3396530859217356E-2</v>
      </c>
      <c r="G319" s="156"/>
    </row>
    <row r="320" spans="2:7" x14ac:dyDescent="0.2">
      <c r="B320" s="230">
        <v>45531</v>
      </c>
      <c r="C320" s="124">
        <v>473.57</v>
      </c>
      <c r="D320" s="156">
        <f t="shared" si="5"/>
        <v>6.6319481347645965E-3</v>
      </c>
      <c r="E320" s="156">
        <v>2.336052784093446E-2</v>
      </c>
      <c r="G320" s="156"/>
    </row>
    <row r="321" spans="2:7" x14ac:dyDescent="0.2">
      <c r="B321" s="230">
        <v>45530</v>
      </c>
      <c r="C321" s="124">
        <v>478.4</v>
      </c>
      <c r="D321" s="156">
        <f t="shared" si="5"/>
        <v>1.0199125789218033E-2</v>
      </c>
      <c r="E321" s="156">
        <v>2.3322732091473453E-2</v>
      </c>
      <c r="G321" s="156"/>
    </row>
    <row r="322" spans="2:7" x14ac:dyDescent="0.2">
      <c r="B322" s="230">
        <v>45527</v>
      </c>
      <c r="C322" s="124">
        <v>478.49</v>
      </c>
      <c r="D322" s="156">
        <f t="shared" si="5"/>
        <v>1.8812709030106988E-4</v>
      </c>
      <c r="E322" s="156">
        <v>2.3318125859946404E-2</v>
      </c>
      <c r="G322" s="156"/>
    </row>
    <row r="323" spans="2:7" x14ac:dyDescent="0.2">
      <c r="B323" s="230">
        <v>45526</v>
      </c>
      <c r="C323" s="124">
        <v>477.31</v>
      </c>
      <c r="D323" s="156">
        <f t="shared" si="5"/>
        <v>-2.4660912453760933E-3</v>
      </c>
      <c r="E323" s="156">
        <v>2.3306469178828202E-2</v>
      </c>
      <c r="G323" s="156"/>
    </row>
    <row r="324" spans="2:7" x14ac:dyDescent="0.2">
      <c r="B324" s="230">
        <v>45525</v>
      </c>
      <c r="C324" s="124">
        <v>478.11</v>
      </c>
      <c r="D324" s="156">
        <f t="shared" si="5"/>
        <v>1.6760595839182321E-3</v>
      </c>
      <c r="E324" s="156">
        <v>2.3286237571951949E-2</v>
      </c>
      <c r="G324" s="156"/>
    </row>
    <row r="325" spans="2:7" x14ac:dyDescent="0.2">
      <c r="B325" s="230">
        <v>45524</v>
      </c>
      <c r="C325" s="124">
        <v>471.87</v>
      </c>
      <c r="D325" s="156">
        <f t="shared" si="5"/>
        <v>-1.3051389847524648E-2</v>
      </c>
      <c r="E325" s="156">
        <v>2.3184759166067562E-2</v>
      </c>
      <c r="G325" s="156"/>
    </row>
    <row r="326" spans="2:7" x14ac:dyDescent="0.2">
      <c r="B326" s="230">
        <v>45523</v>
      </c>
      <c r="C326" s="124">
        <v>474.38</v>
      </c>
      <c r="D326" s="156">
        <f t="shared" si="5"/>
        <v>5.3192616610506938E-3</v>
      </c>
      <c r="E326" s="156">
        <v>2.3152192905818679E-2</v>
      </c>
      <c r="G326" s="156"/>
    </row>
    <row r="327" spans="2:7" x14ac:dyDescent="0.2">
      <c r="B327" s="230">
        <v>45520</v>
      </c>
      <c r="C327" s="124">
        <v>475.51</v>
      </c>
      <c r="D327" s="156">
        <f t="shared" si="5"/>
        <v>2.3820565791137813E-3</v>
      </c>
      <c r="E327" s="156">
        <v>2.3150396632669577E-2</v>
      </c>
      <c r="G327" s="156"/>
    </row>
    <row r="328" spans="2:7" x14ac:dyDescent="0.2">
      <c r="B328" s="230">
        <v>45518</v>
      </c>
      <c r="C328" s="124">
        <v>465.63</v>
      </c>
      <c r="D328" s="156">
        <f t="shared" ref="D328:D391" si="6">(C328-C327)/C327</f>
        <v>-2.0777691320897552E-2</v>
      </c>
      <c r="E328" s="156">
        <v>2.3022432113341238E-2</v>
      </c>
      <c r="G328" s="156"/>
    </row>
    <row r="329" spans="2:7" x14ac:dyDescent="0.2">
      <c r="B329" s="230">
        <v>45517</v>
      </c>
      <c r="C329" s="124">
        <v>463.55</v>
      </c>
      <c r="D329" s="156">
        <f t="shared" si="6"/>
        <v>-4.4670661254643902E-3</v>
      </c>
      <c r="E329" s="156">
        <v>2.3007992249939407E-2</v>
      </c>
      <c r="G329" s="156"/>
    </row>
    <row r="330" spans="2:7" x14ac:dyDescent="0.2">
      <c r="B330" s="230">
        <v>45516</v>
      </c>
      <c r="C330" s="124">
        <v>467.9</v>
      </c>
      <c r="D330" s="156">
        <f t="shared" si="6"/>
        <v>9.3841009599826674E-3</v>
      </c>
      <c r="E330" s="156">
        <v>2.2947368421052584E-2</v>
      </c>
      <c r="G330" s="156"/>
    </row>
    <row r="331" spans="2:7" x14ac:dyDescent="0.2">
      <c r="B331" s="230">
        <v>45513</v>
      </c>
      <c r="C331" s="124">
        <v>469.13</v>
      </c>
      <c r="D331" s="156">
        <f t="shared" si="6"/>
        <v>2.6287668305193805E-3</v>
      </c>
      <c r="E331" s="156">
        <v>2.2926500337154408E-2</v>
      </c>
      <c r="G331" s="156"/>
    </row>
    <row r="332" spans="2:7" x14ac:dyDescent="0.2">
      <c r="B332" s="230">
        <v>45512</v>
      </c>
      <c r="C332" s="124">
        <v>468.04</v>
      </c>
      <c r="D332" s="156">
        <f t="shared" si="6"/>
        <v>-2.3234497900368233E-3</v>
      </c>
      <c r="E332" s="156">
        <v>2.2918707149853175E-2</v>
      </c>
      <c r="G332" s="156"/>
    </row>
    <row r="333" spans="2:7" x14ac:dyDescent="0.2">
      <c r="B333" s="230">
        <v>45511</v>
      </c>
      <c r="C333" s="124">
        <v>466.05</v>
      </c>
      <c r="D333" s="156">
        <f t="shared" si="6"/>
        <v>-4.251773352704916E-3</v>
      </c>
      <c r="E333" s="156">
        <v>2.2904737116085375E-2</v>
      </c>
      <c r="G333" s="156"/>
    </row>
    <row r="334" spans="2:7" x14ac:dyDescent="0.2">
      <c r="B334" s="230">
        <v>45510</v>
      </c>
      <c r="C334" s="124">
        <v>460.05</v>
      </c>
      <c r="D334" s="156">
        <f t="shared" si="6"/>
        <v>-1.2874155133569359E-2</v>
      </c>
      <c r="E334" s="156">
        <v>2.2731277533039631E-2</v>
      </c>
      <c r="G334" s="156"/>
    </row>
    <row r="335" spans="2:7" x14ac:dyDescent="0.2">
      <c r="B335" s="230">
        <v>45509</v>
      </c>
      <c r="C335" s="124">
        <v>459.76</v>
      </c>
      <c r="D335" s="156">
        <f t="shared" si="6"/>
        <v>-6.3036626453650787E-4</v>
      </c>
      <c r="E335" s="156">
        <v>2.2711631108052386E-2</v>
      </c>
      <c r="G335" s="156"/>
    </row>
    <row r="336" spans="2:7" x14ac:dyDescent="0.2">
      <c r="B336" s="230">
        <v>45506</v>
      </c>
      <c r="C336" s="124">
        <v>462.7</v>
      </c>
      <c r="D336" s="156">
        <f t="shared" si="6"/>
        <v>6.3946406820950012E-3</v>
      </c>
      <c r="E336" s="156">
        <v>2.2669297781200266E-2</v>
      </c>
      <c r="G336" s="156"/>
    </row>
    <row r="337" spans="2:7" x14ac:dyDescent="0.2">
      <c r="B337" s="230">
        <v>45505</v>
      </c>
      <c r="C337" s="124">
        <v>467.05</v>
      </c>
      <c r="D337" s="156">
        <f t="shared" si="6"/>
        <v>9.4013399610979528E-3</v>
      </c>
      <c r="E337" s="156">
        <v>2.2651933701657374E-2</v>
      </c>
      <c r="G337" s="156"/>
    </row>
    <row r="338" spans="2:7" x14ac:dyDescent="0.2">
      <c r="B338" s="230">
        <v>45504</v>
      </c>
      <c r="C338" s="124">
        <v>468.61</v>
      </c>
      <c r="D338" s="156">
        <f t="shared" si="6"/>
        <v>3.3401134782143288E-3</v>
      </c>
      <c r="E338" s="156">
        <v>2.2544898739014271E-2</v>
      </c>
      <c r="G338" s="156"/>
    </row>
    <row r="339" spans="2:7" x14ac:dyDescent="0.2">
      <c r="B339" s="230">
        <v>45503</v>
      </c>
      <c r="C339" s="124">
        <v>463.45</v>
      </c>
      <c r="D339" s="156">
        <f t="shared" si="6"/>
        <v>-1.1011288704893247E-2</v>
      </c>
      <c r="E339" s="156">
        <v>2.2484626702380425E-2</v>
      </c>
      <c r="G339" s="156"/>
    </row>
    <row r="340" spans="2:7" x14ac:dyDescent="0.2">
      <c r="B340" s="230">
        <v>45502</v>
      </c>
      <c r="C340" s="124">
        <v>469.27</v>
      </c>
      <c r="D340" s="156">
        <f t="shared" si="6"/>
        <v>1.2557988995576639E-2</v>
      </c>
      <c r="E340" s="156">
        <v>2.246197382384154E-2</v>
      </c>
      <c r="G340" s="156"/>
    </row>
    <row r="341" spans="2:7" x14ac:dyDescent="0.2">
      <c r="B341" s="230">
        <v>45499</v>
      </c>
      <c r="C341" s="124">
        <v>475.09</v>
      </c>
      <c r="D341" s="156">
        <f t="shared" si="6"/>
        <v>1.2402241779785611E-2</v>
      </c>
      <c r="E341" s="156">
        <v>2.2421524663677129E-2</v>
      </c>
      <c r="G341" s="156"/>
    </row>
    <row r="342" spans="2:7" x14ac:dyDescent="0.2">
      <c r="B342" s="230">
        <v>45498</v>
      </c>
      <c r="C342" s="124">
        <v>463.5</v>
      </c>
      <c r="D342" s="156">
        <f t="shared" si="6"/>
        <v>-2.4395377717906029E-2</v>
      </c>
      <c r="E342" s="156">
        <v>2.2411953041622162E-2</v>
      </c>
      <c r="G342" s="156"/>
    </row>
    <row r="343" spans="2:7" x14ac:dyDescent="0.2">
      <c r="B343" s="230">
        <v>45497</v>
      </c>
      <c r="C343" s="124">
        <v>467.38</v>
      </c>
      <c r="D343" s="156">
        <f t="shared" si="6"/>
        <v>8.3710895361380697E-3</v>
      </c>
      <c r="E343" s="156">
        <v>2.2384135807105975E-2</v>
      </c>
      <c r="G343" s="156"/>
    </row>
    <row r="344" spans="2:7" x14ac:dyDescent="0.2">
      <c r="B344" s="230">
        <v>45496</v>
      </c>
      <c r="C344" s="124">
        <v>465.63</v>
      </c>
      <c r="D344" s="156">
        <f t="shared" si="6"/>
        <v>-3.7442766057597674E-3</v>
      </c>
      <c r="E344" s="156">
        <v>2.2374052106013887E-2</v>
      </c>
      <c r="G344" s="156"/>
    </row>
    <row r="345" spans="2:7" x14ac:dyDescent="0.2">
      <c r="B345" s="230">
        <v>45495</v>
      </c>
      <c r="C345" s="124">
        <v>441.36</v>
      </c>
      <c r="D345" s="156">
        <f t="shared" si="6"/>
        <v>-5.212293022356803E-2</v>
      </c>
      <c r="E345" s="156">
        <v>2.2353145035522423E-2</v>
      </c>
      <c r="G345" s="156"/>
    </row>
    <row r="346" spans="2:7" x14ac:dyDescent="0.2">
      <c r="B346" s="230">
        <v>45492</v>
      </c>
      <c r="C346" s="124">
        <v>448.93</v>
      </c>
      <c r="D346" s="156">
        <f t="shared" si="6"/>
        <v>1.7151531629508776E-2</v>
      </c>
      <c r="E346" s="156">
        <v>2.2313686498485391E-2</v>
      </c>
      <c r="G346" s="156"/>
    </row>
    <row r="347" spans="2:7" x14ac:dyDescent="0.2">
      <c r="B347" s="230">
        <v>45491</v>
      </c>
      <c r="C347" s="124">
        <v>444.86</v>
      </c>
      <c r="D347" s="156">
        <f t="shared" si="6"/>
        <v>-9.0660013810616204E-3</v>
      </c>
      <c r="E347" s="156">
        <v>2.2295970832943865E-2</v>
      </c>
      <c r="G347" s="156"/>
    </row>
    <row r="348" spans="2:7" x14ac:dyDescent="0.2">
      <c r="B348" s="230">
        <v>45489</v>
      </c>
      <c r="C348" s="124">
        <v>440.42</v>
      </c>
      <c r="D348" s="156">
        <f t="shared" si="6"/>
        <v>-9.9806680753495424E-3</v>
      </c>
      <c r="E348" s="156">
        <v>2.2290920924178285E-2</v>
      </c>
      <c r="G348" s="156"/>
    </row>
    <row r="349" spans="2:7" x14ac:dyDescent="0.2">
      <c r="B349" s="230">
        <v>45488</v>
      </c>
      <c r="C349" s="124">
        <v>438.38</v>
      </c>
      <c r="D349" s="156">
        <f t="shared" si="6"/>
        <v>-4.6319422369556799E-3</v>
      </c>
      <c r="E349" s="156">
        <v>2.2275571647841302E-2</v>
      </c>
      <c r="G349" s="156"/>
    </row>
    <row r="350" spans="2:7" x14ac:dyDescent="0.2">
      <c r="B350" s="230">
        <v>45485</v>
      </c>
      <c r="C350" s="124">
        <v>434.27</v>
      </c>
      <c r="D350" s="156">
        <f t="shared" si="6"/>
        <v>-9.3754277111182394E-3</v>
      </c>
      <c r="E350" s="156">
        <v>2.2273249138920918E-2</v>
      </c>
      <c r="G350" s="156"/>
    </row>
    <row r="351" spans="2:7" x14ac:dyDescent="0.2">
      <c r="B351" s="230">
        <v>45484</v>
      </c>
      <c r="C351" s="124">
        <v>433.89</v>
      </c>
      <c r="D351" s="156">
        <f t="shared" si="6"/>
        <v>-8.7503166232987646E-4</v>
      </c>
      <c r="E351" s="156">
        <v>2.2180248246087345E-2</v>
      </c>
      <c r="G351" s="156"/>
    </row>
    <row r="352" spans="2:7" x14ac:dyDescent="0.2">
      <c r="B352" s="230">
        <v>45483</v>
      </c>
      <c r="C352" s="124">
        <v>427.08</v>
      </c>
      <c r="D352" s="156">
        <f t="shared" si="6"/>
        <v>-1.5695222291364178E-2</v>
      </c>
      <c r="E352" s="156">
        <v>2.2144112478031601E-2</v>
      </c>
      <c r="G352" s="156"/>
    </row>
    <row r="353" spans="2:7" x14ac:dyDescent="0.2">
      <c r="B353" s="230">
        <v>45482</v>
      </c>
      <c r="C353" s="124">
        <v>428.17</v>
      </c>
      <c r="D353" s="156">
        <f t="shared" si="6"/>
        <v>2.5522150416784485E-3</v>
      </c>
      <c r="E353" s="156">
        <v>2.2085889570552186E-2</v>
      </c>
      <c r="G353" s="156"/>
    </row>
    <row r="354" spans="2:7" x14ac:dyDescent="0.2">
      <c r="B354" s="230">
        <v>45481</v>
      </c>
      <c r="C354" s="124">
        <v>419.65</v>
      </c>
      <c r="D354" s="156">
        <f t="shared" si="6"/>
        <v>-1.9898638391293268E-2</v>
      </c>
      <c r="E354" s="156">
        <v>2.2084321956561431E-2</v>
      </c>
      <c r="G354" s="156"/>
    </row>
    <row r="355" spans="2:7" x14ac:dyDescent="0.2">
      <c r="B355" s="230">
        <v>45478</v>
      </c>
      <c r="C355" s="124">
        <v>410.24</v>
      </c>
      <c r="D355" s="156">
        <f t="shared" si="6"/>
        <v>-2.2423448111521433E-2</v>
      </c>
      <c r="E355" s="156">
        <v>2.2077182530991373E-2</v>
      </c>
      <c r="G355" s="156"/>
    </row>
    <row r="356" spans="2:7" x14ac:dyDescent="0.2">
      <c r="B356" s="230">
        <v>45477</v>
      </c>
      <c r="C356" s="124">
        <v>405.89</v>
      </c>
      <c r="D356" s="156">
        <f t="shared" si="6"/>
        <v>-1.0603549141965735E-2</v>
      </c>
      <c r="E356" s="156">
        <v>2.2060271814063403E-2</v>
      </c>
      <c r="G356" s="156"/>
    </row>
    <row r="357" spans="2:7" x14ac:dyDescent="0.2">
      <c r="B357" s="230">
        <v>45476</v>
      </c>
      <c r="C357" s="124">
        <v>405.18</v>
      </c>
      <c r="D357" s="156">
        <f t="shared" si="6"/>
        <v>-1.7492424055778155E-3</v>
      </c>
      <c r="E357" s="156">
        <v>2.2045617816091941E-2</v>
      </c>
      <c r="G357" s="156"/>
    </row>
    <row r="358" spans="2:7" x14ac:dyDescent="0.2">
      <c r="B358" s="230">
        <v>45475</v>
      </c>
      <c r="C358" s="124">
        <v>402.53</v>
      </c>
      <c r="D358" s="156">
        <f t="shared" si="6"/>
        <v>-6.5403030751765489E-3</v>
      </c>
      <c r="E358" s="156">
        <v>2.2026624627780576E-2</v>
      </c>
      <c r="G358" s="156"/>
    </row>
    <row r="359" spans="2:7" x14ac:dyDescent="0.2">
      <c r="B359" s="230">
        <v>45474</v>
      </c>
      <c r="C359" s="124">
        <v>405.89</v>
      </c>
      <c r="D359" s="156">
        <f t="shared" si="6"/>
        <v>8.3472039351104605E-3</v>
      </c>
      <c r="E359" s="156">
        <v>2.2023308370629678E-2</v>
      </c>
      <c r="G359" s="156"/>
    </row>
    <row r="360" spans="2:7" x14ac:dyDescent="0.2">
      <c r="B360" s="230">
        <v>45471</v>
      </c>
      <c r="C360" s="124">
        <v>401.96</v>
      </c>
      <c r="D360" s="156">
        <f t="shared" si="6"/>
        <v>-9.682426273128205E-3</v>
      </c>
      <c r="E360" s="156">
        <v>2.201834862385323E-2</v>
      </c>
      <c r="G360" s="156"/>
    </row>
    <row r="361" spans="2:7" x14ac:dyDescent="0.2">
      <c r="B361" s="230">
        <v>45470</v>
      </c>
      <c r="C361" s="124">
        <v>402.62</v>
      </c>
      <c r="D361" s="156">
        <f t="shared" si="6"/>
        <v>1.6419544233257663E-3</v>
      </c>
      <c r="E361" s="156">
        <v>2.196880764715739E-2</v>
      </c>
      <c r="G361" s="156"/>
    </row>
    <row r="362" spans="2:7" x14ac:dyDescent="0.2">
      <c r="B362" s="230">
        <v>45469</v>
      </c>
      <c r="C362" s="124">
        <v>401.06</v>
      </c>
      <c r="D362" s="156">
        <f t="shared" si="6"/>
        <v>-3.874621230937366E-3</v>
      </c>
      <c r="E362" s="156">
        <v>2.1921182266009795E-2</v>
      </c>
      <c r="G362" s="156"/>
    </row>
    <row r="363" spans="2:7" x14ac:dyDescent="0.2">
      <c r="B363" s="230">
        <v>45468</v>
      </c>
      <c r="C363" s="124">
        <v>400.45</v>
      </c>
      <c r="D363" s="156">
        <f t="shared" si="6"/>
        <v>-1.5209694310078634E-3</v>
      </c>
      <c r="E363" s="156">
        <v>2.190132370637795E-2</v>
      </c>
      <c r="G363" s="156"/>
    </row>
    <row r="364" spans="2:7" x14ac:dyDescent="0.2">
      <c r="B364" s="230">
        <v>45467</v>
      </c>
      <c r="C364" s="124">
        <v>400.45</v>
      </c>
      <c r="D364" s="156">
        <f t="shared" si="6"/>
        <v>0</v>
      </c>
      <c r="E364" s="156">
        <v>2.1881838074398249E-2</v>
      </c>
      <c r="G364" s="156"/>
    </row>
    <row r="365" spans="2:7" x14ac:dyDescent="0.2">
      <c r="B365" s="230">
        <v>45464</v>
      </c>
      <c r="C365" s="124">
        <v>396.95</v>
      </c>
      <c r="D365" s="156">
        <f t="shared" si="6"/>
        <v>-8.7401673117742541E-3</v>
      </c>
      <c r="E365" s="156">
        <v>2.1873693015474774E-2</v>
      </c>
      <c r="G365" s="156"/>
    </row>
    <row r="366" spans="2:7" x14ac:dyDescent="0.2">
      <c r="B366" s="230">
        <v>45463</v>
      </c>
      <c r="C366" s="124">
        <v>400.45</v>
      </c>
      <c r="D366" s="156">
        <f t="shared" si="6"/>
        <v>8.8172313893437465E-3</v>
      </c>
      <c r="E366" s="156">
        <v>2.1769804474904161E-2</v>
      </c>
      <c r="G366" s="156"/>
    </row>
    <row r="367" spans="2:7" x14ac:dyDescent="0.2">
      <c r="B367" s="230">
        <v>45462</v>
      </c>
      <c r="C367" s="124">
        <v>400.78</v>
      </c>
      <c r="D367" s="156">
        <f t="shared" si="6"/>
        <v>8.2407291796724705E-4</v>
      </c>
      <c r="E367" s="156">
        <v>2.1687509893937067E-2</v>
      </c>
      <c r="G367" s="156"/>
    </row>
    <row r="368" spans="2:7" x14ac:dyDescent="0.2">
      <c r="B368" s="230">
        <v>45461</v>
      </c>
      <c r="C368" s="124">
        <v>405.6</v>
      </c>
      <c r="D368" s="156">
        <f t="shared" si="6"/>
        <v>1.2026548230949775E-2</v>
      </c>
      <c r="E368" s="156">
        <v>2.1669341894061018E-2</v>
      </c>
      <c r="G368" s="156"/>
    </row>
    <row r="369" spans="2:7" x14ac:dyDescent="0.2">
      <c r="B369" s="230">
        <v>45457</v>
      </c>
      <c r="C369" s="124">
        <v>407.87</v>
      </c>
      <c r="D369" s="156">
        <f t="shared" si="6"/>
        <v>5.596646942800744E-3</v>
      </c>
      <c r="E369" s="156">
        <v>2.1628385021002786E-2</v>
      </c>
      <c r="G369" s="156"/>
    </row>
    <row r="370" spans="2:7" x14ac:dyDescent="0.2">
      <c r="B370" s="230">
        <v>45456</v>
      </c>
      <c r="C370" s="124">
        <v>407.07</v>
      </c>
      <c r="D370" s="156">
        <f t="shared" si="6"/>
        <v>-1.9614092725623641E-3</v>
      </c>
      <c r="E370" s="156">
        <v>2.155556721036353E-2</v>
      </c>
      <c r="G370" s="156"/>
    </row>
    <row r="371" spans="2:7" x14ac:dyDescent="0.2">
      <c r="B371" s="230">
        <v>45455</v>
      </c>
      <c r="C371" s="124">
        <v>408.96</v>
      </c>
      <c r="D371" s="156">
        <f t="shared" si="6"/>
        <v>4.6429361043554829E-3</v>
      </c>
      <c r="E371" s="156">
        <v>2.1535426598717777E-2</v>
      </c>
      <c r="G371" s="156"/>
    </row>
    <row r="372" spans="2:7" x14ac:dyDescent="0.2">
      <c r="B372" s="230">
        <v>45454</v>
      </c>
      <c r="C372" s="124">
        <v>409.62</v>
      </c>
      <c r="D372" s="156">
        <f t="shared" si="6"/>
        <v>1.6138497652582772E-3</v>
      </c>
      <c r="E372" s="156">
        <v>2.1521035598705589E-2</v>
      </c>
      <c r="G372" s="156"/>
    </row>
    <row r="373" spans="2:7" x14ac:dyDescent="0.2">
      <c r="B373" s="230">
        <v>45453</v>
      </c>
      <c r="C373" s="124">
        <v>413.31</v>
      </c>
      <c r="D373" s="156">
        <f t="shared" si="6"/>
        <v>9.0083492016991302E-3</v>
      </c>
      <c r="E373" s="156">
        <v>2.1471978392977764E-2</v>
      </c>
      <c r="G373" s="156"/>
    </row>
    <row r="374" spans="2:7" x14ac:dyDescent="0.2">
      <c r="B374" s="230">
        <v>45450</v>
      </c>
      <c r="C374" s="124">
        <v>415.44</v>
      </c>
      <c r="D374" s="156">
        <f t="shared" si="6"/>
        <v>5.1535167307831782E-3</v>
      </c>
      <c r="E374" s="156">
        <v>2.1457403866581643E-2</v>
      </c>
      <c r="G374" s="156"/>
    </row>
    <row r="375" spans="2:7" x14ac:dyDescent="0.2">
      <c r="B375" s="230">
        <v>45449</v>
      </c>
      <c r="C375" s="124">
        <v>411.89</v>
      </c>
      <c r="D375" s="156">
        <f t="shared" si="6"/>
        <v>-8.5451569420373855E-3</v>
      </c>
      <c r="E375" s="156">
        <v>2.1406261902948139E-2</v>
      </c>
      <c r="G375" s="156"/>
    </row>
    <row r="376" spans="2:7" x14ac:dyDescent="0.2">
      <c r="B376" s="230">
        <v>45448</v>
      </c>
      <c r="C376" s="124">
        <v>407.07</v>
      </c>
      <c r="D376" s="156">
        <f t="shared" si="6"/>
        <v>-1.1702153487581619E-2</v>
      </c>
      <c r="E376" s="156">
        <v>2.1379372036854822E-2</v>
      </c>
      <c r="G376" s="156"/>
    </row>
    <row r="377" spans="2:7" x14ac:dyDescent="0.2">
      <c r="B377" s="230">
        <v>45447</v>
      </c>
      <c r="C377" s="124">
        <v>392.79</v>
      </c>
      <c r="D377" s="156">
        <f t="shared" si="6"/>
        <v>-3.5079961677352722E-2</v>
      </c>
      <c r="E377" s="156">
        <v>2.1373441519889142E-2</v>
      </c>
      <c r="G377" s="156"/>
    </row>
    <row r="378" spans="2:7" x14ac:dyDescent="0.2">
      <c r="B378" s="230">
        <v>45446</v>
      </c>
      <c r="C378" s="124">
        <v>407.12</v>
      </c>
      <c r="D378" s="156">
        <f t="shared" si="6"/>
        <v>3.6482598844166055E-2</v>
      </c>
      <c r="E378" s="156">
        <v>2.1332385227323281E-2</v>
      </c>
      <c r="G378" s="156"/>
    </row>
    <row r="379" spans="2:7" x14ac:dyDescent="0.2">
      <c r="B379" s="230">
        <v>45443</v>
      </c>
      <c r="C379" s="124">
        <v>403.43</v>
      </c>
      <c r="D379" s="156">
        <f t="shared" si="6"/>
        <v>-9.063666732167415E-3</v>
      </c>
      <c r="E379" s="156">
        <v>2.1318879855465139E-2</v>
      </c>
      <c r="G379" s="156"/>
    </row>
    <row r="380" spans="2:7" x14ac:dyDescent="0.2">
      <c r="B380" s="230">
        <v>45442</v>
      </c>
      <c r="C380" s="124">
        <v>400.97</v>
      </c>
      <c r="D380" s="156">
        <f t="shared" si="6"/>
        <v>-6.097712118583099E-3</v>
      </c>
      <c r="E380" s="156">
        <v>2.1313586606567948E-2</v>
      </c>
      <c r="G380" s="156"/>
    </row>
    <row r="381" spans="2:7" x14ac:dyDescent="0.2">
      <c r="B381" s="230">
        <v>45441</v>
      </c>
      <c r="C381" s="124">
        <v>407.68</v>
      </c>
      <c r="D381" s="156">
        <f t="shared" si="6"/>
        <v>1.673441903384288E-2</v>
      </c>
      <c r="E381" s="156">
        <v>2.1295344397121496E-2</v>
      </c>
      <c r="G381" s="156"/>
    </row>
    <row r="382" spans="2:7" x14ac:dyDescent="0.2">
      <c r="B382" s="230">
        <v>45440</v>
      </c>
      <c r="C382" s="124">
        <v>405.84</v>
      </c>
      <c r="D382" s="156">
        <f t="shared" si="6"/>
        <v>-4.5133437990581629E-3</v>
      </c>
      <c r="E382" s="156">
        <v>2.1285601983430984E-2</v>
      </c>
      <c r="G382" s="156"/>
    </row>
    <row r="383" spans="2:7" x14ac:dyDescent="0.2">
      <c r="B383" s="230">
        <v>45439</v>
      </c>
      <c r="C383" s="124">
        <v>408.2</v>
      </c>
      <c r="D383" s="156">
        <f t="shared" si="6"/>
        <v>5.815099546619391E-3</v>
      </c>
      <c r="E383" s="156">
        <v>2.1276595744680795E-2</v>
      </c>
      <c r="G383" s="156"/>
    </row>
    <row r="384" spans="2:7" x14ac:dyDescent="0.2">
      <c r="B384" s="230">
        <v>45436</v>
      </c>
      <c r="C384" s="124">
        <v>412.65</v>
      </c>
      <c r="D384" s="156">
        <f t="shared" si="6"/>
        <v>1.0901518863302276E-2</v>
      </c>
      <c r="E384" s="156">
        <v>2.1252825482605438E-2</v>
      </c>
      <c r="G384" s="156"/>
    </row>
    <row r="385" spans="2:7" x14ac:dyDescent="0.2">
      <c r="B385" s="230">
        <v>45435</v>
      </c>
      <c r="C385" s="124">
        <v>417.52</v>
      </c>
      <c r="D385" s="156">
        <f t="shared" si="6"/>
        <v>1.1801769053677462E-2</v>
      </c>
      <c r="E385" s="156">
        <v>2.1238586740770123E-2</v>
      </c>
      <c r="G385" s="156"/>
    </row>
    <row r="386" spans="2:7" x14ac:dyDescent="0.2">
      <c r="B386" s="230">
        <v>45434</v>
      </c>
      <c r="C386" s="124">
        <v>416.15</v>
      </c>
      <c r="D386" s="156">
        <f t="shared" si="6"/>
        <v>-3.281279938685583E-3</v>
      </c>
      <c r="E386" s="156">
        <v>2.1232439335887723E-2</v>
      </c>
      <c r="G386" s="156"/>
    </row>
    <row r="387" spans="2:7" x14ac:dyDescent="0.2">
      <c r="B387" s="230">
        <v>45433</v>
      </c>
      <c r="C387" s="124">
        <v>411.33</v>
      </c>
      <c r="D387" s="156">
        <f t="shared" si="6"/>
        <v>-1.1582362129039995E-2</v>
      </c>
      <c r="E387" s="156">
        <v>2.1197351480595979E-2</v>
      </c>
      <c r="G387" s="156"/>
    </row>
    <row r="388" spans="2:7" x14ac:dyDescent="0.2">
      <c r="B388" s="230">
        <v>45430</v>
      </c>
      <c r="C388" s="124">
        <v>436.65</v>
      </c>
      <c r="D388" s="156">
        <f t="shared" si="6"/>
        <v>6.1556414557654426E-2</v>
      </c>
      <c r="E388" s="156">
        <v>2.10793840633876E-2</v>
      </c>
      <c r="G388" s="156"/>
    </row>
    <row r="389" spans="2:7" x14ac:dyDescent="0.2">
      <c r="B389" s="230">
        <v>45429</v>
      </c>
      <c r="C389" s="124">
        <v>412.74</v>
      </c>
      <c r="D389" s="156">
        <f t="shared" si="6"/>
        <v>-5.4757815183785571E-2</v>
      </c>
      <c r="E389" s="156">
        <v>2.1023765996343691E-2</v>
      </c>
      <c r="G389" s="156"/>
    </row>
    <row r="390" spans="2:7" x14ac:dyDescent="0.2">
      <c r="B390" s="230">
        <v>45428</v>
      </c>
      <c r="C390" s="124">
        <v>408.16</v>
      </c>
      <c r="D390" s="156">
        <f t="shared" si="6"/>
        <v>-1.1096574114454581E-2</v>
      </c>
      <c r="E390" s="156">
        <v>2.0995568558275588E-2</v>
      </c>
      <c r="G390" s="156"/>
    </row>
    <row r="391" spans="2:7" x14ac:dyDescent="0.2">
      <c r="B391" s="230">
        <v>45427</v>
      </c>
      <c r="C391" s="124">
        <v>404.7</v>
      </c>
      <c r="D391" s="156">
        <f t="shared" si="6"/>
        <v>-8.4770678165426213E-3</v>
      </c>
      <c r="E391" s="156">
        <v>2.098932122253579E-2</v>
      </c>
      <c r="G391" s="156"/>
    </row>
    <row r="392" spans="2:7" x14ac:dyDescent="0.2">
      <c r="B392" s="230">
        <v>45426</v>
      </c>
      <c r="C392" s="124">
        <v>406.5</v>
      </c>
      <c r="D392" s="156">
        <f t="shared" ref="D392:D445" si="7">(C392-C391)/C391</f>
        <v>4.4477390659748246E-3</v>
      </c>
      <c r="E392" s="156">
        <v>2.0975160993560268E-2</v>
      </c>
      <c r="G392" s="156"/>
    </row>
    <row r="393" spans="2:7" x14ac:dyDescent="0.2">
      <c r="B393" s="230">
        <v>45425</v>
      </c>
      <c r="C393" s="124">
        <v>408.54</v>
      </c>
      <c r="D393" s="156">
        <f t="shared" si="7"/>
        <v>5.0184501845018954E-3</v>
      </c>
      <c r="E393" s="156">
        <v>2.0973657086699106E-2</v>
      </c>
      <c r="G393" s="156"/>
    </row>
    <row r="394" spans="2:7" x14ac:dyDescent="0.2">
      <c r="B394" s="230">
        <v>45422</v>
      </c>
      <c r="C394" s="124">
        <v>409.95</v>
      </c>
      <c r="D394" s="156">
        <f t="shared" si="7"/>
        <v>3.4513144367747787E-3</v>
      </c>
      <c r="E394" s="156">
        <v>2.0971302428256136E-2</v>
      </c>
      <c r="G394" s="156"/>
    </row>
    <row r="395" spans="2:7" x14ac:dyDescent="0.2">
      <c r="B395" s="230">
        <v>45421</v>
      </c>
      <c r="C395" s="124">
        <v>402.15</v>
      </c>
      <c r="D395" s="156">
        <f t="shared" si="7"/>
        <v>-1.9026710574460329E-2</v>
      </c>
      <c r="E395" s="156">
        <v>2.0934761441090542E-2</v>
      </c>
      <c r="G395" s="156"/>
    </row>
    <row r="396" spans="2:7" x14ac:dyDescent="0.2">
      <c r="B396" s="230">
        <v>45420</v>
      </c>
      <c r="C396" s="124">
        <v>417.19</v>
      </c>
      <c r="D396" s="156">
        <f t="shared" si="7"/>
        <v>3.7398980479920484E-2</v>
      </c>
      <c r="E396" s="156">
        <v>2.0915303375440099E-2</v>
      </c>
      <c r="G396" s="156"/>
    </row>
    <row r="397" spans="2:7" x14ac:dyDescent="0.2">
      <c r="B397" s="230">
        <v>45419</v>
      </c>
      <c r="C397" s="124">
        <v>416.58</v>
      </c>
      <c r="D397" s="156">
        <f t="shared" si="7"/>
        <v>-1.4621635226156275E-3</v>
      </c>
      <c r="E397" s="156">
        <v>2.0879940343027557E-2</v>
      </c>
      <c r="G397" s="156"/>
    </row>
    <row r="398" spans="2:7" x14ac:dyDescent="0.2">
      <c r="B398" s="230">
        <v>45418</v>
      </c>
      <c r="C398" s="124">
        <v>411.28</v>
      </c>
      <c r="D398" s="156">
        <f t="shared" si="7"/>
        <v>-1.2722646310432597E-2</v>
      </c>
      <c r="E398" s="156">
        <v>2.0796106907957374E-2</v>
      </c>
      <c r="G398" s="156"/>
    </row>
    <row r="399" spans="2:7" x14ac:dyDescent="0.2">
      <c r="B399" s="230">
        <v>45415</v>
      </c>
      <c r="C399" s="124">
        <v>412.89</v>
      </c>
      <c r="D399" s="156">
        <f t="shared" si="7"/>
        <v>3.9146080529080278E-3</v>
      </c>
      <c r="E399" s="156">
        <v>2.0791537479482203E-2</v>
      </c>
      <c r="G399" s="156"/>
    </row>
    <row r="400" spans="2:7" x14ac:dyDescent="0.2">
      <c r="B400" s="230">
        <v>45414</v>
      </c>
      <c r="C400" s="124">
        <v>415.3</v>
      </c>
      <c r="D400" s="156">
        <f t="shared" si="7"/>
        <v>5.8369057133861929E-3</v>
      </c>
      <c r="E400" s="156">
        <v>2.0751341681574307E-2</v>
      </c>
      <c r="G400" s="156"/>
    </row>
    <row r="401" spans="2:7" x14ac:dyDescent="0.2">
      <c r="B401" s="230">
        <v>45412</v>
      </c>
      <c r="C401" s="124">
        <v>412.13</v>
      </c>
      <c r="D401" s="156">
        <f t="shared" si="7"/>
        <v>-7.6330363592584053E-3</v>
      </c>
      <c r="E401" s="156">
        <v>2.074210647614658E-2</v>
      </c>
      <c r="G401" s="156"/>
    </row>
    <row r="402" spans="2:7" x14ac:dyDescent="0.2">
      <c r="B402" s="230">
        <v>45411</v>
      </c>
      <c r="C402" s="124">
        <v>414.54</v>
      </c>
      <c r="D402" s="156">
        <f t="shared" si="7"/>
        <v>5.8476694246961522E-3</v>
      </c>
      <c r="E402" s="156">
        <v>2.0727848101265857E-2</v>
      </c>
      <c r="G402" s="156"/>
    </row>
    <row r="403" spans="2:7" x14ac:dyDescent="0.2">
      <c r="B403" s="230">
        <v>45408</v>
      </c>
      <c r="C403" s="124">
        <v>416.25</v>
      </c>
      <c r="D403" s="156">
        <f t="shared" si="7"/>
        <v>4.1250542770299116E-3</v>
      </c>
      <c r="E403" s="156">
        <v>2.0711196540124953E-2</v>
      </c>
      <c r="G403" s="156"/>
    </row>
    <row r="404" spans="2:7" x14ac:dyDescent="0.2">
      <c r="B404" s="230">
        <v>45407</v>
      </c>
      <c r="C404" s="124">
        <v>413.93</v>
      </c>
      <c r="D404" s="156">
        <f t="shared" si="7"/>
        <v>-5.5735735735735568E-3</v>
      </c>
      <c r="E404" s="156">
        <v>2.0697811945594211E-2</v>
      </c>
      <c r="G404" s="156"/>
    </row>
    <row r="405" spans="2:7" x14ac:dyDescent="0.2">
      <c r="B405" s="230">
        <v>45406</v>
      </c>
      <c r="C405" s="124">
        <v>405.74</v>
      </c>
      <c r="D405" s="156">
        <f t="shared" si="7"/>
        <v>-1.9785954146836416E-2</v>
      </c>
      <c r="E405" s="156">
        <v>2.0587329294588719E-2</v>
      </c>
      <c r="G405" s="156"/>
    </row>
    <row r="406" spans="2:7" x14ac:dyDescent="0.2">
      <c r="B406" s="230">
        <v>45405</v>
      </c>
      <c r="C406" s="124">
        <v>406.03</v>
      </c>
      <c r="D406" s="156">
        <f t="shared" si="7"/>
        <v>7.1474343175423577E-4</v>
      </c>
      <c r="E406" s="156">
        <v>2.0575470181642748E-2</v>
      </c>
      <c r="G406" s="156"/>
    </row>
    <row r="407" spans="2:7" x14ac:dyDescent="0.2">
      <c r="B407" s="230">
        <v>45404</v>
      </c>
      <c r="C407" s="124">
        <v>402.34</v>
      </c>
      <c r="D407" s="156">
        <f t="shared" si="7"/>
        <v>-9.087998423761786E-3</v>
      </c>
      <c r="E407" s="156">
        <v>2.0572966737165799E-2</v>
      </c>
      <c r="G407" s="156"/>
    </row>
    <row r="408" spans="2:7" x14ac:dyDescent="0.2">
      <c r="B408" s="230">
        <v>45401</v>
      </c>
      <c r="C408" s="124">
        <v>401.82</v>
      </c>
      <c r="D408" s="156">
        <f t="shared" si="7"/>
        <v>-1.2924392305015207E-3</v>
      </c>
      <c r="E408" s="156">
        <v>2.0557655954631354E-2</v>
      </c>
      <c r="G408" s="156"/>
    </row>
    <row r="409" spans="2:7" x14ac:dyDescent="0.2">
      <c r="B409" s="230">
        <v>45400</v>
      </c>
      <c r="C409" s="124">
        <v>396.24</v>
      </c>
      <c r="D409" s="156">
        <f t="shared" si="7"/>
        <v>-1.3886814991787328E-2</v>
      </c>
      <c r="E409" s="156">
        <v>2.0537428023032718E-2</v>
      </c>
      <c r="G409" s="156"/>
    </row>
    <row r="410" spans="2:7" x14ac:dyDescent="0.2">
      <c r="B410" s="230">
        <v>45398</v>
      </c>
      <c r="C410" s="124">
        <v>402.91</v>
      </c>
      <c r="D410" s="156">
        <f t="shared" si="7"/>
        <v>1.6833232384413525E-2</v>
      </c>
      <c r="E410" s="156">
        <v>2.051709758131769E-2</v>
      </c>
      <c r="G410" s="156"/>
    </row>
    <row r="411" spans="2:7" x14ac:dyDescent="0.2">
      <c r="B411" s="230">
        <v>45397</v>
      </c>
      <c r="C411" s="124">
        <v>402.91</v>
      </c>
      <c r="D411" s="156">
        <f t="shared" si="7"/>
        <v>0</v>
      </c>
      <c r="E411" s="156">
        <v>2.0492803122712941E-2</v>
      </c>
      <c r="G411" s="156"/>
    </row>
    <row r="412" spans="2:7" x14ac:dyDescent="0.2">
      <c r="B412" s="230">
        <v>45394</v>
      </c>
      <c r="C412" s="124">
        <v>406.88</v>
      </c>
      <c r="D412" s="156">
        <f t="shared" si="7"/>
        <v>9.8533171179667183E-3</v>
      </c>
      <c r="E412" s="156">
        <v>2.0486815415821546E-2</v>
      </c>
      <c r="G412" s="156"/>
    </row>
    <row r="413" spans="2:7" x14ac:dyDescent="0.2">
      <c r="B413" s="230">
        <v>45392</v>
      </c>
      <c r="C413" s="124">
        <v>413.36</v>
      </c>
      <c r="D413" s="156">
        <f t="shared" si="7"/>
        <v>1.5926071569013021E-2</v>
      </c>
      <c r="E413" s="156">
        <v>2.0418163998693239E-2</v>
      </c>
      <c r="G413" s="156"/>
    </row>
    <row r="414" spans="2:7" x14ac:dyDescent="0.2">
      <c r="B414" s="230">
        <v>45391</v>
      </c>
      <c r="C414" s="124">
        <v>403.33</v>
      </c>
      <c r="D414" s="156">
        <f t="shared" si="7"/>
        <v>-2.4264563576543521E-2</v>
      </c>
      <c r="E414" s="156">
        <v>2.0366948824818498E-2</v>
      </c>
      <c r="G414" s="156"/>
    </row>
    <row r="415" spans="2:7" x14ac:dyDescent="0.2">
      <c r="B415" s="230">
        <v>45390</v>
      </c>
      <c r="C415" s="124">
        <v>405.93</v>
      </c>
      <c r="D415" s="156">
        <f t="shared" si="7"/>
        <v>6.4463342672254056E-3</v>
      </c>
      <c r="E415" s="156">
        <v>2.0350020350020349E-2</v>
      </c>
      <c r="G415" s="156"/>
    </row>
    <row r="416" spans="2:7" x14ac:dyDescent="0.2">
      <c r="B416" s="230">
        <v>45387</v>
      </c>
      <c r="C416" s="124">
        <v>404.47</v>
      </c>
      <c r="D416" s="156">
        <f t="shared" si="7"/>
        <v>-3.5966792304091334E-3</v>
      </c>
      <c r="E416" s="156">
        <v>2.032136105860112E-2</v>
      </c>
      <c r="G416" s="156"/>
    </row>
    <row r="417" spans="2:7" x14ac:dyDescent="0.2">
      <c r="B417" s="230">
        <v>45386</v>
      </c>
      <c r="C417" s="124">
        <v>399.93</v>
      </c>
      <c r="D417" s="156">
        <f t="shared" si="7"/>
        <v>-1.122456548075264E-2</v>
      </c>
      <c r="E417" s="156">
        <v>2.0318359225529971E-2</v>
      </c>
      <c r="G417" s="156"/>
    </row>
    <row r="418" spans="2:7" x14ac:dyDescent="0.2">
      <c r="B418" s="230">
        <v>45385</v>
      </c>
      <c r="C418" s="124">
        <v>402.24</v>
      </c>
      <c r="D418" s="156">
        <f t="shared" si="7"/>
        <v>5.7760108018903361E-3</v>
      </c>
      <c r="E418" s="156">
        <v>2.0315617631053957E-2</v>
      </c>
      <c r="G418" s="156"/>
    </row>
    <row r="419" spans="2:7" x14ac:dyDescent="0.2">
      <c r="B419" s="230">
        <v>45384</v>
      </c>
      <c r="C419" s="124">
        <v>402.86</v>
      </c>
      <c r="D419" s="156">
        <f t="shared" si="7"/>
        <v>1.5413683373110693E-3</v>
      </c>
      <c r="E419" s="156">
        <v>2.0307966971658035E-2</v>
      </c>
      <c r="G419" s="156"/>
    </row>
    <row r="420" spans="2:7" x14ac:dyDescent="0.2">
      <c r="B420" s="230">
        <v>45383</v>
      </c>
      <c r="C420" s="124">
        <v>403.66</v>
      </c>
      <c r="D420" s="156">
        <f t="shared" si="7"/>
        <v>1.9858015191381905E-3</v>
      </c>
      <c r="E420" s="156">
        <v>2.029796056120731E-2</v>
      </c>
      <c r="G420" s="156"/>
    </row>
    <row r="421" spans="2:7" x14ac:dyDescent="0.2">
      <c r="B421" s="230">
        <v>45379</v>
      </c>
      <c r="C421" s="124">
        <v>405.23</v>
      </c>
      <c r="D421" s="156">
        <f t="shared" si="7"/>
        <v>3.8894118812862139E-3</v>
      </c>
      <c r="E421" s="156">
        <v>2.0259319286871958E-2</v>
      </c>
      <c r="G421" s="156"/>
    </row>
    <row r="422" spans="2:7" x14ac:dyDescent="0.2">
      <c r="B422" s="230">
        <v>45378</v>
      </c>
      <c r="C422" s="124">
        <v>404.89</v>
      </c>
      <c r="D422" s="156">
        <f t="shared" si="7"/>
        <v>-8.3902968684458656E-4</v>
      </c>
      <c r="E422" s="156">
        <v>2.0248962655601641E-2</v>
      </c>
      <c r="G422" s="156"/>
    </row>
    <row r="423" spans="2:7" x14ac:dyDescent="0.2">
      <c r="B423" s="230">
        <v>45377</v>
      </c>
      <c r="C423" s="124">
        <v>404.56</v>
      </c>
      <c r="D423" s="156">
        <f t="shared" si="7"/>
        <v>-8.1503618266685787E-4</v>
      </c>
      <c r="E423" s="156">
        <v>2.0221473278767537E-2</v>
      </c>
      <c r="G423" s="156"/>
    </row>
    <row r="424" spans="2:7" x14ac:dyDescent="0.2">
      <c r="B424" s="230">
        <v>45373</v>
      </c>
      <c r="C424" s="124">
        <v>405.46</v>
      </c>
      <c r="D424" s="156">
        <f t="shared" si="7"/>
        <v>2.2246391140992123E-3</v>
      </c>
      <c r="E424" s="156">
        <v>2.0209651525167634E-2</v>
      </c>
      <c r="G424" s="156"/>
    </row>
    <row r="425" spans="2:7" x14ac:dyDescent="0.2">
      <c r="B425" s="230">
        <v>45372</v>
      </c>
      <c r="C425" s="124">
        <v>398.51</v>
      </c>
      <c r="D425" s="156">
        <f t="shared" si="7"/>
        <v>-1.7141025008632144E-2</v>
      </c>
      <c r="E425" s="156">
        <v>2.0165208940719277E-2</v>
      </c>
      <c r="G425" s="156"/>
    </row>
    <row r="426" spans="2:7" x14ac:dyDescent="0.2">
      <c r="B426" s="230">
        <v>45371</v>
      </c>
      <c r="C426" s="124">
        <v>393.26</v>
      </c>
      <c r="D426" s="156">
        <f t="shared" si="7"/>
        <v>-1.3174073423502547E-2</v>
      </c>
      <c r="E426" s="156">
        <v>2.0137606981037087E-2</v>
      </c>
      <c r="G426" s="156"/>
    </row>
    <row r="427" spans="2:7" x14ac:dyDescent="0.2">
      <c r="B427" s="230">
        <v>45370</v>
      </c>
      <c r="C427" s="124">
        <v>387.44</v>
      </c>
      <c r="D427" s="156">
        <f t="shared" si="7"/>
        <v>-1.4799369373951059E-2</v>
      </c>
      <c r="E427" s="156">
        <v>2.0127434049901718E-2</v>
      </c>
      <c r="G427" s="156"/>
    </row>
    <row r="428" spans="2:7" x14ac:dyDescent="0.2">
      <c r="B428" s="230">
        <v>45369</v>
      </c>
      <c r="C428" s="124">
        <v>394.91</v>
      </c>
      <c r="D428" s="156">
        <f t="shared" si="7"/>
        <v>1.9280404707825799E-2</v>
      </c>
      <c r="E428" s="156">
        <v>2.0099118942731309E-2</v>
      </c>
      <c r="G428" s="156"/>
    </row>
    <row r="429" spans="2:7" x14ac:dyDescent="0.2">
      <c r="B429" s="230">
        <v>45366</v>
      </c>
      <c r="C429" s="124">
        <v>396.47</v>
      </c>
      <c r="D429" s="156">
        <f t="shared" si="7"/>
        <v>3.9502671494771012E-3</v>
      </c>
      <c r="E429" s="156">
        <v>2.0049849717762729E-2</v>
      </c>
      <c r="G429" s="156"/>
    </row>
    <row r="430" spans="2:7" x14ac:dyDescent="0.2">
      <c r="B430" s="230">
        <v>45365</v>
      </c>
      <c r="C430" s="124">
        <v>396.99</v>
      </c>
      <c r="D430" s="156">
        <f t="shared" si="7"/>
        <v>1.3115746462531385E-3</v>
      </c>
      <c r="E430" s="156">
        <v>2.0049177227161003E-2</v>
      </c>
      <c r="G430" s="156"/>
    </row>
    <row r="431" spans="2:7" x14ac:dyDescent="0.2">
      <c r="B431" s="230">
        <v>45364</v>
      </c>
      <c r="C431" s="124">
        <v>399.64</v>
      </c>
      <c r="D431" s="156">
        <f t="shared" si="7"/>
        <v>6.6752311141337999E-3</v>
      </c>
      <c r="E431" s="156">
        <v>1.9974309569685381E-2</v>
      </c>
      <c r="G431" s="156"/>
    </row>
    <row r="432" spans="2:7" x14ac:dyDescent="0.2">
      <c r="B432" s="230">
        <v>45363</v>
      </c>
      <c r="C432" s="124">
        <v>382.61</v>
      </c>
      <c r="D432" s="156">
        <f t="shared" si="7"/>
        <v>-4.2613352016815063E-2</v>
      </c>
      <c r="E432" s="156">
        <v>1.9934102141680461E-2</v>
      </c>
      <c r="G432" s="156"/>
    </row>
    <row r="433" spans="2:7" x14ac:dyDescent="0.2">
      <c r="B433" s="230">
        <v>45362</v>
      </c>
      <c r="C433" s="124">
        <v>387.3</v>
      </c>
      <c r="D433" s="156">
        <f t="shared" si="7"/>
        <v>1.2257912757115595E-2</v>
      </c>
      <c r="E433" s="156">
        <v>1.9927249723232614E-2</v>
      </c>
      <c r="G433" s="156"/>
    </row>
    <row r="434" spans="2:7" x14ac:dyDescent="0.2">
      <c r="B434" s="230">
        <v>45358</v>
      </c>
      <c r="C434" s="124">
        <v>391.22</v>
      </c>
      <c r="D434" s="156">
        <f t="shared" si="7"/>
        <v>1.0121352956364616E-2</v>
      </c>
      <c r="E434" s="156">
        <v>1.9898874571847965E-2</v>
      </c>
      <c r="G434" s="156"/>
    </row>
    <row r="435" spans="2:7" x14ac:dyDescent="0.2">
      <c r="B435" s="230">
        <v>45357</v>
      </c>
      <c r="C435" s="124">
        <v>385.83</v>
      </c>
      <c r="D435" s="156">
        <f t="shared" si="7"/>
        <v>-1.3777414242625742E-2</v>
      </c>
      <c r="E435" s="156">
        <v>1.9886363636363716E-2</v>
      </c>
      <c r="G435" s="156"/>
    </row>
    <row r="436" spans="2:7" x14ac:dyDescent="0.2">
      <c r="B436" s="230">
        <v>45356</v>
      </c>
      <c r="C436" s="124">
        <v>384.22</v>
      </c>
      <c r="D436" s="156">
        <f t="shared" si="7"/>
        <v>-4.1728222274057406E-3</v>
      </c>
      <c r="E436" s="156">
        <v>1.9839594765723886E-2</v>
      </c>
      <c r="G436" s="156"/>
    </row>
    <row r="437" spans="2:7" x14ac:dyDescent="0.2">
      <c r="B437" s="230">
        <v>45355</v>
      </c>
      <c r="C437" s="124">
        <v>387.01</v>
      </c>
      <c r="D437" s="156">
        <f t="shared" si="7"/>
        <v>7.261464785799707E-3</v>
      </c>
      <c r="E437" s="156">
        <v>1.9830028328611825E-2</v>
      </c>
      <c r="G437" s="156"/>
    </row>
    <row r="438" spans="2:7" x14ac:dyDescent="0.2">
      <c r="B438" s="230">
        <v>45353</v>
      </c>
      <c r="C438" s="124">
        <v>412.05</v>
      </c>
      <c r="D438" s="156">
        <f t="shared" si="7"/>
        <v>6.4701170512389911E-2</v>
      </c>
      <c r="E438" s="156">
        <v>1.9723376542827062E-2</v>
      </c>
      <c r="G438" s="156"/>
    </row>
    <row r="439" spans="2:7" x14ac:dyDescent="0.2">
      <c r="B439" s="230">
        <v>45352</v>
      </c>
      <c r="C439" s="124">
        <v>387.39</v>
      </c>
      <c r="D439" s="156">
        <f t="shared" si="7"/>
        <v>-5.9847105933745967E-2</v>
      </c>
      <c r="E439" s="156">
        <v>1.9695378151260504E-2</v>
      </c>
      <c r="G439" s="156"/>
    </row>
    <row r="440" spans="2:7" x14ac:dyDescent="0.2">
      <c r="B440" s="230">
        <v>45351</v>
      </c>
      <c r="C440" s="124">
        <v>384.36</v>
      </c>
      <c r="D440" s="156">
        <f t="shared" si="7"/>
        <v>-7.8215751568186404E-3</v>
      </c>
      <c r="E440" s="156">
        <v>1.9693200663349918E-2</v>
      </c>
      <c r="G440" s="156"/>
    </row>
    <row r="441" spans="2:7" x14ac:dyDescent="0.2">
      <c r="B441" s="230">
        <v>45350</v>
      </c>
      <c r="C441" s="124">
        <v>386.26</v>
      </c>
      <c r="D441" s="156">
        <f t="shared" si="7"/>
        <v>4.9432823394733507E-3</v>
      </c>
      <c r="E441" s="156">
        <v>1.9688191795016751E-2</v>
      </c>
      <c r="G441" s="156"/>
    </row>
    <row r="442" spans="2:7" x14ac:dyDescent="0.2">
      <c r="B442" s="230">
        <v>45349</v>
      </c>
      <c r="C442" s="124">
        <v>388.95</v>
      </c>
      <c r="D442" s="156">
        <f t="shared" si="7"/>
        <v>6.964220991042297E-3</v>
      </c>
      <c r="E442" s="156">
        <v>1.9686086725192863E-2</v>
      </c>
      <c r="G442" s="156"/>
    </row>
    <row r="443" spans="2:7" x14ac:dyDescent="0.2">
      <c r="B443" s="230">
        <v>45348</v>
      </c>
      <c r="C443" s="124">
        <v>387.11</v>
      </c>
      <c r="D443" s="156">
        <f t="shared" si="7"/>
        <v>-4.7306851780433866E-3</v>
      </c>
      <c r="E443" s="156">
        <v>1.9674711437565582E-2</v>
      </c>
      <c r="G443" s="156"/>
    </row>
    <row r="444" spans="2:7" x14ac:dyDescent="0.2">
      <c r="B444" s="230">
        <v>45345</v>
      </c>
      <c r="C444" s="124">
        <v>389.19</v>
      </c>
      <c r="D444" s="156">
        <f t="shared" si="7"/>
        <v>5.3731497507168088E-3</v>
      </c>
      <c r="E444" s="156">
        <v>1.9657808518383817E-2</v>
      </c>
      <c r="G444" s="156"/>
    </row>
    <row r="445" spans="2:7" x14ac:dyDescent="0.2">
      <c r="B445" s="230">
        <v>45344</v>
      </c>
      <c r="C445" s="124">
        <v>392.08</v>
      </c>
      <c r="D445" s="156">
        <f t="shared" si="7"/>
        <v>7.4256789742798797E-3</v>
      </c>
      <c r="E445" s="156">
        <v>1.9633086578693254E-2</v>
      </c>
      <c r="G445" s="156"/>
    </row>
    <row r="446" spans="2:7" x14ac:dyDescent="0.2">
      <c r="B446" s="230">
        <v>45343</v>
      </c>
      <c r="C446" s="124">
        <v>381.57</v>
      </c>
      <c r="D446" s="156">
        <f t="shared" ref="D446:D509" si="8">(C446-C445)/C445</f>
        <v>-2.6805753927769821E-2</v>
      </c>
      <c r="E446" s="156">
        <v>1.9631071247249898E-2</v>
      </c>
      <c r="G446" s="156"/>
    </row>
    <row r="447" spans="2:7" x14ac:dyDescent="0.2">
      <c r="B447" s="230">
        <v>45342</v>
      </c>
      <c r="C447" s="124">
        <v>384.18</v>
      </c>
      <c r="D447" s="156">
        <f t="shared" si="8"/>
        <v>6.8401603899678007E-3</v>
      </c>
      <c r="E447" s="156">
        <v>1.960309777347537E-2</v>
      </c>
      <c r="G447" s="156"/>
    </row>
    <row r="448" spans="2:7" x14ac:dyDescent="0.2">
      <c r="B448" s="230">
        <v>45341</v>
      </c>
      <c r="C448" s="124">
        <v>387.16</v>
      </c>
      <c r="D448" s="156">
        <f t="shared" si="8"/>
        <v>7.7567806757249677E-3</v>
      </c>
      <c r="E448" s="156">
        <v>1.9600591715976376E-2</v>
      </c>
      <c r="G448" s="156"/>
    </row>
    <row r="449" spans="2:7" x14ac:dyDescent="0.2">
      <c r="B449" s="230">
        <v>45338</v>
      </c>
      <c r="C449" s="124">
        <v>382.76</v>
      </c>
      <c r="D449" s="156">
        <f t="shared" si="8"/>
        <v>-1.1364810414299086E-2</v>
      </c>
      <c r="E449" s="156">
        <v>1.9576928130337602E-2</v>
      </c>
      <c r="G449" s="156"/>
    </row>
    <row r="450" spans="2:7" x14ac:dyDescent="0.2">
      <c r="B450" s="230">
        <v>45337</v>
      </c>
      <c r="C450" s="124">
        <v>382.1</v>
      </c>
      <c r="D450" s="156">
        <f t="shared" si="8"/>
        <v>-1.7243181105652842E-3</v>
      </c>
      <c r="E450" s="156">
        <v>1.9572872364750544E-2</v>
      </c>
      <c r="G450" s="156"/>
    </row>
    <row r="451" spans="2:7" x14ac:dyDescent="0.2">
      <c r="B451" s="230">
        <v>45336</v>
      </c>
      <c r="C451" s="124">
        <v>389.33</v>
      </c>
      <c r="D451" s="156">
        <f t="shared" si="8"/>
        <v>1.8921748233446639E-2</v>
      </c>
      <c r="E451" s="156">
        <v>1.953860640301331E-2</v>
      </c>
      <c r="G451" s="156"/>
    </row>
    <row r="452" spans="2:7" x14ac:dyDescent="0.2">
      <c r="B452" s="230">
        <v>45335</v>
      </c>
      <c r="C452" s="124">
        <v>384.79</v>
      </c>
      <c r="D452" s="156">
        <f t="shared" si="8"/>
        <v>-1.1661058741941191E-2</v>
      </c>
      <c r="E452" s="156">
        <v>1.9484736956051216E-2</v>
      </c>
      <c r="G452" s="156"/>
    </row>
    <row r="453" spans="2:7" x14ac:dyDescent="0.2">
      <c r="B453" s="230">
        <v>45334</v>
      </c>
      <c r="C453" s="124">
        <v>384.89</v>
      </c>
      <c r="D453" s="156">
        <f t="shared" si="8"/>
        <v>2.5988201356575243E-4</v>
      </c>
      <c r="E453" s="156">
        <v>1.9452573592700903E-2</v>
      </c>
      <c r="G453" s="156"/>
    </row>
    <row r="454" spans="2:7" x14ac:dyDescent="0.2">
      <c r="B454" s="230">
        <v>45331</v>
      </c>
      <c r="C454" s="124">
        <v>393.07</v>
      </c>
      <c r="D454" s="156">
        <f t="shared" si="8"/>
        <v>2.1252825482605438E-2</v>
      </c>
      <c r="E454" s="156">
        <v>1.9438444924406127E-2</v>
      </c>
      <c r="G454" s="156"/>
    </row>
    <row r="455" spans="2:7" x14ac:dyDescent="0.2">
      <c r="B455" s="230">
        <v>45330</v>
      </c>
      <c r="C455" s="124">
        <v>392.17</v>
      </c>
      <c r="D455" s="156">
        <f t="shared" si="8"/>
        <v>-2.2896685068816681E-3</v>
      </c>
      <c r="E455" s="156">
        <v>1.9425333872925988E-2</v>
      </c>
      <c r="G455" s="156"/>
    </row>
    <row r="456" spans="2:7" x14ac:dyDescent="0.2">
      <c r="B456" s="230">
        <v>45329</v>
      </c>
      <c r="C456" s="124">
        <v>408.49</v>
      </c>
      <c r="D456" s="156">
        <f t="shared" si="8"/>
        <v>4.1614605910701971E-2</v>
      </c>
      <c r="E456" s="156">
        <v>1.941298821354295E-2</v>
      </c>
      <c r="G456" s="156"/>
    </row>
    <row r="457" spans="2:7" x14ac:dyDescent="0.2">
      <c r="B457" s="230">
        <v>45328</v>
      </c>
      <c r="C457" s="124">
        <v>408.11</v>
      </c>
      <c r="D457" s="156">
        <f t="shared" si="8"/>
        <v>-9.3025533060783728E-4</v>
      </c>
      <c r="E457" s="156">
        <v>1.9390205228106742E-2</v>
      </c>
      <c r="G457" s="156"/>
    </row>
    <row r="458" spans="2:7" x14ac:dyDescent="0.2">
      <c r="B458" s="230">
        <v>45327</v>
      </c>
      <c r="C458" s="124">
        <v>414.4</v>
      </c>
      <c r="D458" s="156">
        <f t="shared" si="8"/>
        <v>1.5412511332728831E-2</v>
      </c>
      <c r="E458" s="156">
        <v>1.938579654510561E-2</v>
      </c>
      <c r="G458" s="156"/>
    </row>
    <row r="459" spans="2:7" x14ac:dyDescent="0.2">
      <c r="B459" s="230">
        <v>45324</v>
      </c>
      <c r="C459" s="124">
        <v>416.34</v>
      </c>
      <c r="D459" s="156">
        <f t="shared" si="8"/>
        <v>4.6814671814671763E-3</v>
      </c>
      <c r="E459" s="156">
        <v>1.9381971109892163E-2</v>
      </c>
      <c r="G459" s="156"/>
    </row>
    <row r="460" spans="2:7" x14ac:dyDescent="0.2">
      <c r="B460" s="230">
        <v>45323</v>
      </c>
      <c r="C460" s="124">
        <v>418.99</v>
      </c>
      <c r="D460" s="156">
        <f t="shared" si="8"/>
        <v>6.3649901522794695E-3</v>
      </c>
      <c r="E460" s="156">
        <v>1.9360394334412327E-2</v>
      </c>
      <c r="G460" s="156"/>
    </row>
    <row r="461" spans="2:7" x14ac:dyDescent="0.2">
      <c r="B461" s="230">
        <v>45322</v>
      </c>
      <c r="C461" s="124">
        <v>417.71</v>
      </c>
      <c r="D461" s="156">
        <f t="shared" si="8"/>
        <v>-3.0549655123034668E-3</v>
      </c>
      <c r="E461" s="156">
        <v>1.9337887545979916E-2</v>
      </c>
      <c r="G461" s="156"/>
    </row>
    <row r="462" spans="2:7" x14ac:dyDescent="0.2">
      <c r="B462" s="230">
        <v>45321</v>
      </c>
      <c r="C462" s="124">
        <v>414.4</v>
      </c>
      <c r="D462" s="156">
        <f t="shared" si="8"/>
        <v>-7.9241579085968794E-3</v>
      </c>
      <c r="E462" s="156">
        <v>1.9299967288191031E-2</v>
      </c>
      <c r="G462" s="156"/>
    </row>
    <row r="463" spans="2:7" x14ac:dyDescent="0.2">
      <c r="B463" s="230">
        <v>45320</v>
      </c>
      <c r="C463" s="124">
        <v>425.52</v>
      </c>
      <c r="D463" s="156">
        <f t="shared" si="8"/>
        <v>2.6833976833976845E-2</v>
      </c>
      <c r="E463" s="156">
        <v>1.9280404707825799E-2</v>
      </c>
      <c r="G463" s="156"/>
    </row>
    <row r="464" spans="2:7" x14ac:dyDescent="0.2">
      <c r="B464" s="230">
        <v>45316</v>
      </c>
      <c r="C464" s="124">
        <v>431.05</v>
      </c>
      <c r="D464" s="156">
        <f t="shared" si="8"/>
        <v>1.2995863884188828E-2</v>
      </c>
      <c r="E464" s="156">
        <v>1.9067034416596688E-2</v>
      </c>
      <c r="G464" s="156"/>
    </row>
    <row r="465" spans="2:7" x14ac:dyDescent="0.2">
      <c r="B465" s="230">
        <v>45315</v>
      </c>
      <c r="C465" s="124">
        <v>438.57</v>
      </c>
      <c r="D465" s="156">
        <f t="shared" si="8"/>
        <v>1.7445771952209678E-2</v>
      </c>
      <c r="E465" s="156">
        <v>1.906116642958745E-2</v>
      </c>
      <c r="G465" s="156"/>
    </row>
    <row r="466" spans="2:7" x14ac:dyDescent="0.2">
      <c r="B466" s="230">
        <v>45314</v>
      </c>
      <c r="C466" s="124">
        <v>434.5</v>
      </c>
      <c r="D466" s="156">
        <f t="shared" si="8"/>
        <v>-9.2801605216954949E-3</v>
      </c>
      <c r="E466" s="156">
        <v>1.9058433587036697E-2</v>
      </c>
      <c r="G466" s="156"/>
    </row>
    <row r="467" spans="2:7" x14ac:dyDescent="0.2">
      <c r="B467" s="230">
        <v>45311</v>
      </c>
      <c r="C467" s="124">
        <v>468.4</v>
      </c>
      <c r="D467" s="156">
        <f t="shared" si="8"/>
        <v>7.802071346375139E-2</v>
      </c>
      <c r="E467" s="156">
        <v>1.9013001537816293E-2</v>
      </c>
      <c r="G467" s="156"/>
    </row>
    <row r="468" spans="2:7" x14ac:dyDescent="0.2">
      <c r="B468" s="230">
        <v>45310</v>
      </c>
      <c r="C468" s="124">
        <v>446.05</v>
      </c>
      <c r="D468" s="156">
        <f t="shared" si="8"/>
        <v>-4.7715627668659194E-2</v>
      </c>
      <c r="E468" s="156">
        <v>1.8984446477584592E-2</v>
      </c>
      <c r="G468" s="156"/>
    </row>
    <row r="469" spans="2:7" x14ac:dyDescent="0.2">
      <c r="B469" s="230">
        <v>45309</v>
      </c>
      <c r="C469" s="124">
        <v>440.37</v>
      </c>
      <c r="D469" s="156">
        <f t="shared" si="8"/>
        <v>-1.2733998430669222E-2</v>
      </c>
      <c r="E469" s="156">
        <v>1.8942787661589772E-2</v>
      </c>
      <c r="G469" s="156"/>
    </row>
    <row r="470" spans="2:7" x14ac:dyDescent="0.2">
      <c r="B470" s="230">
        <v>45308</v>
      </c>
      <c r="C470" s="124">
        <v>441.41</v>
      </c>
      <c r="D470" s="156">
        <f t="shared" si="8"/>
        <v>2.3616504303200048E-3</v>
      </c>
      <c r="E470" s="156">
        <v>1.8941868060091464E-2</v>
      </c>
      <c r="G470" s="156"/>
    </row>
    <row r="471" spans="2:7" x14ac:dyDescent="0.2">
      <c r="B471" s="230">
        <v>45307</v>
      </c>
      <c r="C471" s="124">
        <v>446.8</v>
      </c>
      <c r="D471" s="156">
        <f t="shared" si="8"/>
        <v>1.2210869712965238E-2</v>
      </c>
      <c r="E471" s="156">
        <v>1.8921748233446639E-2</v>
      </c>
      <c r="G471" s="156"/>
    </row>
    <row r="472" spans="2:7" x14ac:dyDescent="0.2">
      <c r="B472" s="230">
        <v>45306</v>
      </c>
      <c r="C472" s="124">
        <v>442.36</v>
      </c>
      <c r="D472" s="156">
        <f t="shared" si="8"/>
        <v>-9.9373321396597977E-3</v>
      </c>
      <c r="E472" s="156">
        <v>1.8889970788704944E-2</v>
      </c>
      <c r="G472" s="156"/>
    </row>
    <row r="473" spans="2:7" x14ac:dyDescent="0.2">
      <c r="B473" s="230">
        <v>45303</v>
      </c>
      <c r="C473" s="124">
        <v>441.5</v>
      </c>
      <c r="D473" s="156">
        <f t="shared" si="8"/>
        <v>-1.9441179130120572E-3</v>
      </c>
      <c r="E473" s="156">
        <v>1.8880878819086851E-2</v>
      </c>
      <c r="G473" s="156"/>
    </row>
    <row r="474" spans="2:7" x14ac:dyDescent="0.2">
      <c r="B474" s="230">
        <v>45302</v>
      </c>
      <c r="C474" s="124">
        <v>437.67</v>
      </c>
      <c r="D474" s="156">
        <f t="shared" si="8"/>
        <v>-8.6749716874291831E-3</v>
      </c>
      <c r="E474" s="156">
        <v>1.8861113617904553E-2</v>
      </c>
      <c r="G474" s="156"/>
    </row>
    <row r="475" spans="2:7" x14ac:dyDescent="0.2">
      <c r="B475" s="230">
        <v>45301</v>
      </c>
      <c r="C475" s="124">
        <v>438.29</v>
      </c>
      <c r="D475" s="156">
        <f t="shared" si="8"/>
        <v>1.4165924098064856E-3</v>
      </c>
      <c r="E475" s="156">
        <v>1.8828716961050169E-2</v>
      </c>
      <c r="G475" s="156"/>
    </row>
    <row r="476" spans="2:7" x14ac:dyDescent="0.2">
      <c r="B476" s="230">
        <v>45300</v>
      </c>
      <c r="C476" s="124">
        <v>439.47</v>
      </c>
      <c r="D476" s="156">
        <f t="shared" si="8"/>
        <v>2.6922813662187289E-3</v>
      </c>
      <c r="E476" s="156">
        <v>1.8825722273998098E-2</v>
      </c>
      <c r="G476" s="156"/>
    </row>
    <row r="477" spans="2:7" x14ac:dyDescent="0.2">
      <c r="B477" s="230">
        <v>45299</v>
      </c>
      <c r="C477" s="124">
        <v>440.37</v>
      </c>
      <c r="D477" s="156">
        <f t="shared" si="8"/>
        <v>2.0479213598197312E-3</v>
      </c>
      <c r="E477" s="156">
        <v>1.8822968787229055E-2</v>
      </c>
      <c r="G477" s="156"/>
    </row>
    <row r="478" spans="2:7" x14ac:dyDescent="0.2">
      <c r="B478" s="230">
        <v>45296</v>
      </c>
      <c r="C478" s="124">
        <v>448.36</v>
      </c>
      <c r="D478" s="156">
        <f t="shared" si="8"/>
        <v>1.8143833594477392E-2</v>
      </c>
      <c r="E478" s="156">
        <v>1.8807296096777195E-2</v>
      </c>
      <c r="G478" s="156"/>
    </row>
    <row r="479" spans="2:7" x14ac:dyDescent="0.2">
      <c r="B479" s="230">
        <v>45295</v>
      </c>
      <c r="C479" s="124">
        <v>450.68</v>
      </c>
      <c r="D479" s="156">
        <f t="shared" si="8"/>
        <v>5.1744134177892608E-3</v>
      </c>
      <c r="E479" s="156">
        <v>1.8781528909584913E-2</v>
      </c>
      <c r="G479" s="156"/>
    </row>
    <row r="480" spans="2:7" x14ac:dyDescent="0.2">
      <c r="B480" s="230">
        <v>45294</v>
      </c>
      <c r="C480" s="124">
        <v>451.48</v>
      </c>
      <c r="D480" s="156">
        <f t="shared" si="8"/>
        <v>1.7750954113783868E-3</v>
      </c>
      <c r="E480" s="156">
        <v>1.8771642063058053E-2</v>
      </c>
      <c r="G480" s="156"/>
    </row>
    <row r="481" spans="2:7" x14ac:dyDescent="0.2">
      <c r="B481" s="230">
        <v>45293</v>
      </c>
      <c r="C481" s="124">
        <v>444.96</v>
      </c>
      <c r="D481" s="156">
        <f t="shared" si="8"/>
        <v>-1.4441392752724458E-2</v>
      </c>
      <c r="E481" s="156">
        <v>1.8759536845884602E-2</v>
      </c>
      <c r="G481" s="156"/>
    </row>
    <row r="482" spans="2:7" x14ac:dyDescent="0.2">
      <c r="B482" s="230">
        <v>45292</v>
      </c>
      <c r="C482" s="124">
        <v>442.78</v>
      </c>
      <c r="D482" s="156">
        <f t="shared" si="8"/>
        <v>-4.8993167925206913E-3</v>
      </c>
      <c r="E482" s="156">
        <v>1.8746789933230715E-2</v>
      </c>
      <c r="G482" s="156"/>
    </row>
    <row r="483" spans="2:7" x14ac:dyDescent="0.2">
      <c r="B483" s="230">
        <v>45289</v>
      </c>
      <c r="C483" s="124">
        <v>437.15</v>
      </c>
      <c r="D483" s="156">
        <f t="shared" si="8"/>
        <v>-1.2715118117349464E-2</v>
      </c>
      <c r="E483" s="156">
        <v>1.8728288778130157E-2</v>
      </c>
      <c r="G483" s="156"/>
    </row>
    <row r="484" spans="2:7" x14ac:dyDescent="0.2">
      <c r="B484" s="230">
        <v>45288</v>
      </c>
      <c r="C484" s="124">
        <v>439.05</v>
      </c>
      <c r="D484" s="156">
        <f t="shared" si="8"/>
        <v>4.3463342102254016E-3</v>
      </c>
      <c r="E484" s="156">
        <v>1.8723404255319178E-2</v>
      </c>
      <c r="G484" s="156"/>
    </row>
    <row r="485" spans="2:7" x14ac:dyDescent="0.2">
      <c r="B485" s="230">
        <v>45287</v>
      </c>
      <c r="C485" s="124">
        <v>432.42</v>
      </c>
      <c r="D485" s="156">
        <f t="shared" si="8"/>
        <v>-1.5100785787495718E-2</v>
      </c>
      <c r="E485" s="156">
        <v>1.8708312998210488E-2</v>
      </c>
      <c r="G485" s="156"/>
    </row>
    <row r="486" spans="2:7" x14ac:dyDescent="0.2">
      <c r="B486" s="230">
        <v>45286</v>
      </c>
      <c r="C486" s="124">
        <v>431.81</v>
      </c>
      <c r="D486" s="156">
        <f t="shared" si="8"/>
        <v>-1.4106655566347847E-3</v>
      </c>
      <c r="E486" s="156">
        <v>1.8633246630409071E-2</v>
      </c>
      <c r="G486" s="156"/>
    </row>
    <row r="487" spans="2:7" x14ac:dyDescent="0.2">
      <c r="B487" s="230">
        <v>45282</v>
      </c>
      <c r="C487" s="124">
        <v>430.63</v>
      </c>
      <c r="D487" s="156">
        <f t="shared" si="8"/>
        <v>-2.7326833561057105E-3</v>
      </c>
      <c r="E487" s="156">
        <v>1.8629807692307831E-2</v>
      </c>
      <c r="G487" s="156"/>
    </row>
    <row r="488" spans="2:7" x14ac:dyDescent="0.2">
      <c r="B488" s="230">
        <v>45281</v>
      </c>
      <c r="C488" s="124">
        <v>427.08</v>
      </c>
      <c r="D488" s="156">
        <f t="shared" si="8"/>
        <v>-8.2437359217890326E-3</v>
      </c>
      <c r="E488" s="156">
        <v>1.8598429274186597E-2</v>
      </c>
      <c r="G488" s="156"/>
    </row>
    <row r="489" spans="2:7" x14ac:dyDescent="0.2">
      <c r="B489" s="230">
        <v>45280</v>
      </c>
      <c r="C489" s="124">
        <v>426.65</v>
      </c>
      <c r="D489" s="156">
        <f t="shared" si="8"/>
        <v>-1.0068371265336865E-3</v>
      </c>
      <c r="E489" s="156">
        <v>1.8483855872718846E-2</v>
      </c>
      <c r="G489" s="156"/>
    </row>
    <row r="490" spans="2:7" x14ac:dyDescent="0.2">
      <c r="B490" s="230">
        <v>45279</v>
      </c>
      <c r="C490" s="124">
        <v>431.48</v>
      </c>
      <c r="D490" s="156">
        <f t="shared" si="8"/>
        <v>1.1320754716981228E-2</v>
      </c>
      <c r="E490" s="156">
        <v>1.8476621417798017E-2</v>
      </c>
      <c r="G490" s="156"/>
    </row>
    <row r="491" spans="2:7" x14ac:dyDescent="0.2">
      <c r="B491" s="230">
        <v>45278</v>
      </c>
      <c r="C491" s="124">
        <v>427.27</v>
      </c>
      <c r="D491" s="156">
        <f t="shared" si="8"/>
        <v>-9.7571150458886542E-3</v>
      </c>
      <c r="E491" s="156">
        <v>1.841409691629959E-2</v>
      </c>
      <c r="G491" s="156"/>
    </row>
    <row r="492" spans="2:7" x14ac:dyDescent="0.2">
      <c r="B492" s="230">
        <v>45275</v>
      </c>
      <c r="C492" s="124">
        <v>433.46</v>
      </c>
      <c r="D492" s="156">
        <f t="shared" si="8"/>
        <v>1.448732651485009E-2</v>
      </c>
      <c r="E492" s="156">
        <v>1.8406439133961366E-2</v>
      </c>
      <c r="G492" s="156"/>
    </row>
    <row r="493" spans="2:7" x14ac:dyDescent="0.2">
      <c r="B493" s="230">
        <v>45274</v>
      </c>
      <c r="C493" s="124">
        <v>435.26</v>
      </c>
      <c r="D493" s="156">
        <f t="shared" si="8"/>
        <v>4.1526323074793786E-3</v>
      </c>
      <c r="E493" s="156">
        <v>1.8353763754117826E-2</v>
      </c>
      <c r="G493" s="156"/>
    </row>
    <row r="494" spans="2:7" x14ac:dyDescent="0.2">
      <c r="B494" s="230">
        <v>45273</v>
      </c>
      <c r="C494" s="124">
        <v>431.05</v>
      </c>
      <c r="D494" s="156">
        <f t="shared" si="8"/>
        <v>-9.6723797270596417E-3</v>
      </c>
      <c r="E494" s="156">
        <v>1.8300653594771316E-2</v>
      </c>
      <c r="G494" s="156"/>
    </row>
    <row r="495" spans="2:7" x14ac:dyDescent="0.2">
      <c r="B495" s="230">
        <v>45272</v>
      </c>
      <c r="C495" s="124">
        <v>428.64</v>
      </c>
      <c r="D495" s="156">
        <f t="shared" si="8"/>
        <v>-5.5909987240459922E-3</v>
      </c>
      <c r="E495" s="156">
        <v>1.8293561242617766E-2</v>
      </c>
      <c r="G495" s="156"/>
    </row>
    <row r="496" spans="2:7" x14ac:dyDescent="0.2">
      <c r="B496" s="230">
        <v>45271</v>
      </c>
      <c r="C496" s="124">
        <v>428.02</v>
      </c>
      <c r="D496" s="156">
        <f t="shared" si="8"/>
        <v>-1.4464352370287528E-3</v>
      </c>
      <c r="E496" s="156">
        <v>1.8284490721303174E-2</v>
      </c>
      <c r="G496" s="156"/>
    </row>
    <row r="497" spans="2:7" x14ac:dyDescent="0.2">
      <c r="B497" s="230">
        <v>45268</v>
      </c>
      <c r="C497" s="124">
        <v>424.9</v>
      </c>
      <c r="D497" s="156">
        <f t="shared" si="8"/>
        <v>-7.2893790009812736E-3</v>
      </c>
      <c r="E497" s="156">
        <v>1.8202360030128043E-2</v>
      </c>
      <c r="G497" s="156"/>
    </row>
    <row r="498" spans="2:7" x14ac:dyDescent="0.2">
      <c r="B498" s="230">
        <v>45267</v>
      </c>
      <c r="C498" s="124">
        <v>433.37</v>
      </c>
      <c r="D498" s="156">
        <f t="shared" si="8"/>
        <v>1.9934102141680461E-2</v>
      </c>
      <c r="E498" s="156">
        <v>1.8143833594477392E-2</v>
      </c>
      <c r="G498" s="156"/>
    </row>
    <row r="499" spans="2:7" x14ac:dyDescent="0.2">
      <c r="B499" s="230">
        <v>45266</v>
      </c>
      <c r="C499" s="124">
        <v>438.24</v>
      </c>
      <c r="D499" s="156">
        <f t="shared" si="8"/>
        <v>1.1237510672173903E-2</v>
      </c>
      <c r="E499" s="156">
        <v>1.8126032570214792E-2</v>
      </c>
      <c r="G499" s="156"/>
    </row>
    <row r="500" spans="2:7" x14ac:dyDescent="0.2">
      <c r="B500" s="230">
        <v>45265</v>
      </c>
      <c r="C500" s="124">
        <v>427.36</v>
      </c>
      <c r="D500" s="156">
        <f t="shared" si="8"/>
        <v>-2.4826579043446501E-2</v>
      </c>
      <c r="E500" s="156">
        <v>1.8125960061444037E-2</v>
      </c>
      <c r="G500" s="156"/>
    </row>
    <row r="501" spans="2:7" x14ac:dyDescent="0.2">
      <c r="B501" s="230">
        <v>45264</v>
      </c>
      <c r="C501" s="124">
        <v>429.54</v>
      </c>
      <c r="D501" s="156">
        <f t="shared" si="8"/>
        <v>5.1010857356795364E-3</v>
      </c>
      <c r="E501" s="156">
        <v>1.8090839107005343E-2</v>
      </c>
      <c r="G501" s="156"/>
    </row>
    <row r="502" spans="2:7" x14ac:dyDescent="0.2">
      <c r="B502" s="230">
        <v>45261</v>
      </c>
      <c r="C502" s="124">
        <v>425.52</v>
      </c>
      <c r="D502" s="156">
        <f t="shared" si="8"/>
        <v>-9.3588490012572485E-3</v>
      </c>
      <c r="E502" s="156">
        <v>1.8085315510123878E-2</v>
      </c>
      <c r="G502" s="156"/>
    </row>
    <row r="503" spans="2:7" x14ac:dyDescent="0.2">
      <c r="B503" s="230">
        <v>45260</v>
      </c>
      <c r="C503" s="124">
        <v>412.27</v>
      </c>
      <c r="D503" s="156">
        <f t="shared" si="8"/>
        <v>-3.1138371874412485E-2</v>
      </c>
      <c r="E503" s="156">
        <v>1.8069567836169368E-2</v>
      </c>
      <c r="G503" s="156"/>
    </row>
    <row r="504" spans="2:7" x14ac:dyDescent="0.2">
      <c r="B504" s="230">
        <v>45259</v>
      </c>
      <c r="C504" s="124">
        <v>413.6</v>
      </c>
      <c r="D504" s="156">
        <f t="shared" si="8"/>
        <v>3.2260411866011133E-3</v>
      </c>
      <c r="E504" s="156">
        <v>1.805796836426803E-2</v>
      </c>
      <c r="G504" s="156"/>
    </row>
    <row r="505" spans="2:7" x14ac:dyDescent="0.2">
      <c r="B505" s="230">
        <v>45258</v>
      </c>
      <c r="C505" s="124">
        <v>411.75</v>
      </c>
      <c r="D505" s="156">
        <f t="shared" si="8"/>
        <v>-4.4729206963250064E-3</v>
      </c>
      <c r="E505" s="156">
        <v>1.8047760537030898E-2</v>
      </c>
      <c r="G505" s="156"/>
    </row>
    <row r="506" spans="2:7" x14ac:dyDescent="0.2">
      <c r="B506" s="230">
        <v>45254</v>
      </c>
      <c r="C506" s="124">
        <v>414.16</v>
      </c>
      <c r="D506" s="156">
        <f t="shared" si="8"/>
        <v>5.8530661809350938E-3</v>
      </c>
      <c r="E506" s="156">
        <v>1.8023617153511473E-2</v>
      </c>
      <c r="G506" s="156"/>
    </row>
    <row r="507" spans="2:7" x14ac:dyDescent="0.2">
      <c r="B507" s="230">
        <v>45253</v>
      </c>
      <c r="C507" s="124">
        <v>416.58</v>
      </c>
      <c r="D507" s="156">
        <f t="shared" si="8"/>
        <v>5.8431524048675847E-3</v>
      </c>
      <c r="E507" s="156">
        <v>1.8015910154422193E-2</v>
      </c>
      <c r="G507" s="156"/>
    </row>
    <row r="508" spans="2:7" x14ac:dyDescent="0.2">
      <c r="B508" s="230">
        <v>45252</v>
      </c>
      <c r="C508" s="124">
        <v>415.96</v>
      </c>
      <c r="D508" s="156">
        <f t="shared" si="8"/>
        <v>-1.4883095683902361E-3</v>
      </c>
      <c r="E508" s="156">
        <v>1.8012422360248484E-2</v>
      </c>
      <c r="G508" s="156"/>
    </row>
    <row r="509" spans="2:7" x14ac:dyDescent="0.2">
      <c r="B509" s="230">
        <v>45251</v>
      </c>
      <c r="C509" s="124">
        <v>412.7</v>
      </c>
      <c r="D509" s="156">
        <f t="shared" si="8"/>
        <v>-7.8372920473122193E-3</v>
      </c>
      <c r="E509" s="156">
        <v>1.8010963194988239E-2</v>
      </c>
      <c r="G509" s="156"/>
    </row>
    <row r="510" spans="2:7" x14ac:dyDescent="0.2">
      <c r="B510" s="230">
        <v>45250</v>
      </c>
      <c r="C510" s="124">
        <v>413.22</v>
      </c>
      <c r="D510" s="156">
        <f t="shared" ref="D510:D573" si="9">(C510-C509)/C509</f>
        <v>1.2599951538648866E-3</v>
      </c>
      <c r="E510" s="156">
        <v>1.8009004502251048E-2</v>
      </c>
      <c r="G510" s="156"/>
    </row>
    <row r="511" spans="2:7" x14ac:dyDescent="0.2">
      <c r="B511" s="230">
        <v>45247</v>
      </c>
      <c r="C511" s="124">
        <v>415.54</v>
      </c>
      <c r="D511" s="156">
        <f t="shared" si="9"/>
        <v>5.6144426697642734E-3</v>
      </c>
      <c r="E511" s="156">
        <v>1.7988252569750441E-2</v>
      </c>
      <c r="G511" s="156"/>
    </row>
    <row r="512" spans="2:7" x14ac:dyDescent="0.2">
      <c r="B512" s="230">
        <v>45246</v>
      </c>
      <c r="C512" s="124">
        <v>414.97</v>
      </c>
      <c r="D512" s="156">
        <f t="shared" si="9"/>
        <v>-1.3717091014101967E-3</v>
      </c>
      <c r="E512" s="156">
        <v>1.7982456140350853E-2</v>
      </c>
      <c r="G512" s="156"/>
    </row>
    <row r="513" spans="2:7" x14ac:dyDescent="0.2">
      <c r="B513" s="230">
        <v>45245</v>
      </c>
      <c r="C513" s="124">
        <v>418.09</v>
      </c>
      <c r="D513" s="156">
        <f t="shared" si="9"/>
        <v>7.5186158035519379E-3</v>
      </c>
      <c r="E513" s="156">
        <v>1.7969795450200683E-2</v>
      </c>
      <c r="G513" s="156"/>
    </row>
    <row r="514" spans="2:7" x14ac:dyDescent="0.2">
      <c r="B514" s="230">
        <v>45243</v>
      </c>
      <c r="C514" s="124">
        <v>412.46</v>
      </c>
      <c r="D514" s="156">
        <f t="shared" si="9"/>
        <v>-1.346600014350976E-2</v>
      </c>
      <c r="E514" s="156">
        <v>1.7964463025868824E-2</v>
      </c>
      <c r="G514" s="156"/>
    </row>
    <row r="515" spans="2:7" x14ac:dyDescent="0.2">
      <c r="B515" s="230">
        <v>45242</v>
      </c>
      <c r="C515" s="124">
        <v>438.45</v>
      </c>
      <c r="D515" s="156">
        <f t="shared" si="9"/>
        <v>6.3012170877175991E-2</v>
      </c>
      <c r="E515" s="156">
        <v>1.7945266935845767E-2</v>
      </c>
      <c r="G515" s="156"/>
    </row>
    <row r="516" spans="2:7" x14ac:dyDescent="0.2">
      <c r="B516" s="230">
        <v>45240</v>
      </c>
      <c r="C516" s="124">
        <v>412.98</v>
      </c>
      <c r="D516" s="156">
        <f t="shared" si="9"/>
        <v>-5.80910023947998E-2</v>
      </c>
      <c r="E516" s="156">
        <v>1.7929910350448153E-2</v>
      </c>
      <c r="G516" s="156"/>
    </row>
    <row r="517" spans="2:7" x14ac:dyDescent="0.2">
      <c r="B517" s="230">
        <v>45239</v>
      </c>
      <c r="C517" s="124">
        <v>410.95</v>
      </c>
      <c r="D517" s="156">
        <f t="shared" si="9"/>
        <v>-4.915492275655067E-3</v>
      </c>
      <c r="E517" s="156">
        <v>1.7917133258678629E-2</v>
      </c>
      <c r="G517" s="156"/>
    </row>
    <row r="518" spans="2:7" x14ac:dyDescent="0.2">
      <c r="B518" s="230">
        <v>45238</v>
      </c>
      <c r="C518" s="124">
        <v>413.36</v>
      </c>
      <c r="D518" s="156">
        <f t="shared" si="9"/>
        <v>5.8644603966419885E-3</v>
      </c>
      <c r="E518" s="156">
        <v>1.7903930131004341E-2</v>
      </c>
      <c r="G518" s="156"/>
    </row>
    <row r="519" spans="2:7" x14ac:dyDescent="0.2">
      <c r="B519" s="230">
        <v>45237</v>
      </c>
      <c r="C519" s="124">
        <v>409.34</v>
      </c>
      <c r="D519" s="156">
        <f t="shared" si="9"/>
        <v>-9.7251790207084354E-3</v>
      </c>
      <c r="E519" s="156">
        <v>1.7889908256880759E-2</v>
      </c>
      <c r="G519" s="156"/>
    </row>
    <row r="520" spans="2:7" x14ac:dyDescent="0.2">
      <c r="B520" s="230">
        <v>45236</v>
      </c>
      <c r="C520" s="124">
        <v>411.85</v>
      </c>
      <c r="D520" s="156">
        <f t="shared" si="9"/>
        <v>6.1318219572972293E-3</v>
      </c>
      <c r="E520" s="156">
        <v>1.7850830682219956E-2</v>
      </c>
      <c r="G520" s="156"/>
    </row>
    <row r="521" spans="2:7" x14ac:dyDescent="0.2">
      <c r="B521" s="230">
        <v>45233</v>
      </c>
      <c r="C521" s="124">
        <v>409.86</v>
      </c>
      <c r="D521" s="156">
        <f t="shared" si="9"/>
        <v>-4.8318562583465072E-3</v>
      </c>
      <c r="E521" s="156">
        <v>1.7844646606018075E-2</v>
      </c>
      <c r="G521" s="156"/>
    </row>
    <row r="522" spans="2:7" x14ac:dyDescent="0.2">
      <c r="B522" s="230">
        <v>45232</v>
      </c>
      <c r="C522" s="124">
        <v>407.87</v>
      </c>
      <c r="D522" s="156">
        <f t="shared" si="9"/>
        <v>-4.8553164495193698E-3</v>
      </c>
      <c r="E522" s="156">
        <v>1.7810599478714263E-2</v>
      </c>
      <c r="G522" s="156"/>
    </row>
    <row r="523" spans="2:7" x14ac:dyDescent="0.2">
      <c r="B523" s="230">
        <v>45231</v>
      </c>
      <c r="C523" s="124">
        <v>404.99</v>
      </c>
      <c r="D523" s="156">
        <f t="shared" si="9"/>
        <v>-7.0610733812243986E-3</v>
      </c>
      <c r="E523" s="156">
        <v>1.7783191230207093E-2</v>
      </c>
      <c r="G523" s="156"/>
    </row>
    <row r="524" spans="2:7" x14ac:dyDescent="0.2">
      <c r="B524" s="230">
        <v>45230</v>
      </c>
      <c r="C524" s="124">
        <v>405.27</v>
      </c>
      <c r="D524" s="156">
        <f t="shared" si="9"/>
        <v>6.9137509568130743E-4</v>
      </c>
      <c r="E524" s="156">
        <v>1.7761159149334009E-2</v>
      </c>
      <c r="G524" s="156"/>
    </row>
    <row r="525" spans="2:7" x14ac:dyDescent="0.2">
      <c r="B525" s="230">
        <v>45229</v>
      </c>
      <c r="C525" s="124">
        <v>407.21</v>
      </c>
      <c r="D525" s="156">
        <f t="shared" si="9"/>
        <v>4.7869321686776663E-3</v>
      </c>
      <c r="E525" s="156">
        <v>1.7731629392971238E-2</v>
      </c>
      <c r="G525" s="156"/>
    </row>
    <row r="526" spans="2:7" x14ac:dyDescent="0.2">
      <c r="B526" s="230">
        <v>45226</v>
      </c>
      <c r="C526" s="124">
        <v>410.33</v>
      </c>
      <c r="D526" s="156">
        <f t="shared" si="9"/>
        <v>7.6618943542643963E-3</v>
      </c>
      <c r="E526" s="156">
        <v>1.7709563164108731E-2</v>
      </c>
      <c r="G526" s="156"/>
    </row>
    <row r="527" spans="2:7" x14ac:dyDescent="0.2">
      <c r="B527" s="230">
        <v>45225</v>
      </c>
      <c r="C527" s="124">
        <v>410.9</v>
      </c>
      <c r="D527" s="156">
        <f t="shared" si="9"/>
        <v>1.3891258255550245E-3</v>
      </c>
      <c r="E527" s="156">
        <v>1.7694272163443873E-2</v>
      </c>
      <c r="G527" s="156"/>
    </row>
    <row r="528" spans="2:7" x14ac:dyDescent="0.2">
      <c r="B528" s="230">
        <v>45224</v>
      </c>
      <c r="C528" s="124">
        <v>409.34</v>
      </c>
      <c r="D528" s="156">
        <f t="shared" si="9"/>
        <v>-3.7965441713312298E-3</v>
      </c>
      <c r="E528" s="156">
        <v>1.7679700606529933E-2</v>
      </c>
      <c r="G528" s="156"/>
    </row>
    <row r="529" spans="2:7" x14ac:dyDescent="0.2">
      <c r="B529" s="230">
        <v>45222</v>
      </c>
      <c r="C529" s="124">
        <v>412.37</v>
      </c>
      <c r="D529" s="156">
        <f t="shared" si="9"/>
        <v>7.4021595739483794E-3</v>
      </c>
      <c r="E529" s="156">
        <v>1.7674579795529253E-2</v>
      </c>
      <c r="G529" s="156"/>
    </row>
    <row r="530" spans="2:7" x14ac:dyDescent="0.2">
      <c r="B530" s="230">
        <v>45219</v>
      </c>
      <c r="C530" s="124">
        <v>414.64</v>
      </c>
      <c r="D530" s="156">
        <f t="shared" si="9"/>
        <v>5.5047651381040855E-3</v>
      </c>
      <c r="E530" s="156">
        <v>1.7657110309474078E-2</v>
      </c>
      <c r="G530" s="156"/>
    </row>
    <row r="531" spans="2:7" x14ac:dyDescent="0.2">
      <c r="B531" s="230">
        <v>45218</v>
      </c>
      <c r="C531" s="124">
        <v>426.08</v>
      </c>
      <c r="D531" s="156">
        <f t="shared" si="9"/>
        <v>2.7590198726606209E-2</v>
      </c>
      <c r="E531" s="156">
        <v>1.7648002566982214E-2</v>
      </c>
      <c r="G531" s="156"/>
    </row>
    <row r="532" spans="2:7" x14ac:dyDescent="0.2">
      <c r="B532" s="230">
        <v>45217</v>
      </c>
      <c r="C532" s="124">
        <v>427.27</v>
      </c>
      <c r="D532" s="156">
        <f t="shared" si="9"/>
        <v>2.7929027412692399E-3</v>
      </c>
      <c r="E532" s="156">
        <v>1.7648002566982214E-2</v>
      </c>
      <c r="G532" s="156"/>
    </row>
    <row r="533" spans="2:7" x14ac:dyDescent="0.2">
      <c r="B533" s="230">
        <v>45216</v>
      </c>
      <c r="C533" s="124">
        <v>428.97</v>
      </c>
      <c r="D533" s="156">
        <f t="shared" si="9"/>
        <v>3.9787488005243654E-3</v>
      </c>
      <c r="E533" s="156">
        <v>1.7641487094482704E-2</v>
      </c>
      <c r="G533" s="156"/>
    </row>
    <row r="534" spans="2:7" x14ac:dyDescent="0.2">
      <c r="B534" s="230">
        <v>45215</v>
      </c>
      <c r="C534" s="124">
        <v>424.71</v>
      </c>
      <c r="D534" s="156">
        <f t="shared" si="9"/>
        <v>-9.9307643891182306E-3</v>
      </c>
      <c r="E534" s="156">
        <v>1.7629466393829757E-2</v>
      </c>
      <c r="G534" s="156"/>
    </row>
    <row r="535" spans="2:7" x14ac:dyDescent="0.2">
      <c r="B535" s="230">
        <v>45212</v>
      </c>
      <c r="C535" s="124">
        <v>424.14</v>
      </c>
      <c r="D535" s="156">
        <f t="shared" si="9"/>
        <v>-1.3420922511831442E-3</v>
      </c>
      <c r="E535" s="156">
        <v>1.7616307165136368E-2</v>
      </c>
      <c r="G535" s="156"/>
    </row>
    <row r="536" spans="2:7" x14ac:dyDescent="0.2">
      <c r="B536" s="230">
        <v>45211</v>
      </c>
      <c r="C536" s="124">
        <v>426.37</v>
      </c>
      <c r="D536" s="156">
        <f t="shared" si="9"/>
        <v>5.2576979299288401E-3</v>
      </c>
      <c r="E536" s="156">
        <v>1.7612397043982056E-2</v>
      </c>
      <c r="G536" s="156"/>
    </row>
    <row r="537" spans="2:7" x14ac:dyDescent="0.2">
      <c r="B537" s="230">
        <v>45210</v>
      </c>
      <c r="C537" s="124">
        <v>424.05</v>
      </c>
      <c r="D537" s="156">
        <f t="shared" si="9"/>
        <v>-5.4412833923587331E-3</v>
      </c>
      <c r="E537" s="156">
        <v>1.7582861762328188E-2</v>
      </c>
      <c r="G537" s="156"/>
    </row>
    <row r="538" spans="2:7" x14ac:dyDescent="0.2">
      <c r="B538" s="230">
        <v>45209</v>
      </c>
      <c r="C538" s="124">
        <v>420.41</v>
      </c>
      <c r="D538" s="156">
        <f t="shared" si="9"/>
        <v>-8.5838934087960998E-3</v>
      </c>
      <c r="E538" s="156">
        <v>1.757196252609099E-2</v>
      </c>
      <c r="G538" s="156"/>
    </row>
    <row r="539" spans="2:7" x14ac:dyDescent="0.2">
      <c r="B539" s="230">
        <v>45208</v>
      </c>
      <c r="C539" s="124">
        <v>416.67</v>
      </c>
      <c r="D539" s="156">
        <f t="shared" si="9"/>
        <v>-8.8960776384957758E-3</v>
      </c>
      <c r="E539" s="156">
        <v>1.7529039070749701E-2</v>
      </c>
      <c r="G539" s="156"/>
    </row>
    <row r="540" spans="2:7" x14ac:dyDescent="0.2">
      <c r="B540" s="230">
        <v>45205</v>
      </c>
      <c r="C540" s="124">
        <v>418.28</v>
      </c>
      <c r="D540" s="156">
        <f t="shared" si="9"/>
        <v>3.86396908824719E-3</v>
      </c>
      <c r="E540" s="156">
        <v>1.7517704062616431E-2</v>
      </c>
      <c r="G540" s="156"/>
    </row>
    <row r="541" spans="2:7" x14ac:dyDescent="0.2">
      <c r="B541" s="230">
        <v>45204</v>
      </c>
      <c r="C541" s="124">
        <v>412.51</v>
      </c>
      <c r="D541" s="156">
        <f t="shared" si="9"/>
        <v>-1.3794587357750746E-2</v>
      </c>
      <c r="E541" s="156">
        <v>1.7504655493482266E-2</v>
      </c>
      <c r="G541" s="156"/>
    </row>
    <row r="542" spans="2:7" x14ac:dyDescent="0.2">
      <c r="B542" s="230">
        <v>45203</v>
      </c>
      <c r="C542" s="124">
        <v>412.56</v>
      </c>
      <c r="D542" s="156">
        <f t="shared" si="9"/>
        <v>1.2120918280771707E-4</v>
      </c>
      <c r="E542" s="156">
        <v>1.747206044388477E-2</v>
      </c>
      <c r="G542" s="156"/>
    </row>
    <row r="543" spans="2:7" x14ac:dyDescent="0.2">
      <c r="B543" s="230">
        <v>45202</v>
      </c>
      <c r="C543" s="124">
        <v>416.01</v>
      </c>
      <c r="D543" s="156">
        <f t="shared" si="9"/>
        <v>8.3624200116346435E-3</v>
      </c>
      <c r="E543" s="156">
        <v>1.7445771952209678E-2</v>
      </c>
      <c r="G543" s="156"/>
    </row>
    <row r="544" spans="2:7" x14ac:dyDescent="0.2">
      <c r="B544" s="230">
        <v>45198</v>
      </c>
      <c r="C544" s="124">
        <v>420.41</v>
      </c>
      <c r="D544" s="156">
        <f t="shared" si="9"/>
        <v>1.0576668830076283E-2</v>
      </c>
      <c r="E544" s="156">
        <v>1.7440543601358979E-2</v>
      </c>
      <c r="G544" s="156"/>
    </row>
    <row r="545" spans="2:7" x14ac:dyDescent="0.2">
      <c r="B545" s="230">
        <v>45197</v>
      </c>
      <c r="C545" s="124">
        <v>416.95</v>
      </c>
      <c r="D545" s="156">
        <f t="shared" si="9"/>
        <v>-8.2300611308009711E-3</v>
      </c>
      <c r="E545" s="156">
        <v>1.743003436908195E-2</v>
      </c>
      <c r="G545" s="156"/>
    </row>
    <row r="546" spans="2:7" x14ac:dyDescent="0.2">
      <c r="B546" s="230">
        <v>45196</v>
      </c>
      <c r="C546" s="124">
        <v>424.9</v>
      </c>
      <c r="D546" s="156">
        <f t="shared" si="9"/>
        <v>1.9067034416596688E-2</v>
      </c>
      <c r="E546" s="156">
        <v>1.7422867513611655E-2</v>
      </c>
      <c r="G546" s="156"/>
    </row>
    <row r="547" spans="2:7" x14ac:dyDescent="0.2">
      <c r="B547" s="230">
        <v>45195</v>
      </c>
      <c r="C547" s="124">
        <v>418.56</v>
      </c>
      <c r="D547" s="156">
        <f t="shared" si="9"/>
        <v>-1.4921157919510415E-2</v>
      </c>
      <c r="E547" s="156">
        <v>1.7378100219335144E-2</v>
      </c>
      <c r="G547" s="156"/>
    </row>
    <row r="548" spans="2:7" x14ac:dyDescent="0.2">
      <c r="B548" s="230">
        <v>45194</v>
      </c>
      <c r="C548" s="124">
        <v>418.7</v>
      </c>
      <c r="D548" s="156">
        <f t="shared" si="9"/>
        <v>3.3448012232412642E-4</v>
      </c>
      <c r="E548" s="156">
        <v>1.7377567140600316E-2</v>
      </c>
      <c r="G548" s="156"/>
    </row>
    <row r="549" spans="2:7" x14ac:dyDescent="0.2">
      <c r="B549" s="230">
        <v>45191</v>
      </c>
      <c r="C549" s="124">
        <v>419.18</v>
      </c>
      <c r="D549" s="156">
        <f t="shared" si="9"/>
        <v>1.146405540960158E-3</v>
      </c>
      <c r="E549" s="156">
        <v>1.7367729910619707E-2</v>
      </c>
      <c r="G549" s="156"/>
    </row>
    <row r="550" spans="2:7" x14ac:dyDescent="0.2">
      <c r="B550" s="230">
        <v>45190</v>
      </c>
      <c r="C550" s="124">
        <v>423.34</v>
      </c>
      <c r="D550" s="156">
        <f t="shared" si="9"/>
        <v>9.9241376019847515E-3</v>
      </c>
      <c r="E550" s="156">
        <v>1.7363344051446915E-2</v>
      </c>
      <c r="G550" s="156"/>
    </row>
    <row r="551" spans="2:7" x14ac:dyDescent="0.2">
      <c r="B551" s="230">
        <v>45189</v>
      </c>
      <c r="C551" s="124">
        <v>428.5</v>
      </c>
      <c r="D551" s="156">
        <f t="shared" si="9"/>
        <v>1.2188784428591736E-2</v>
      </c>
      <c r="E551" s="156">
        <v>1.7347103437147054E-2</v>
      </c>
      <c r="G551" s="156"/>
    </row>
    <row r="552" spans="2:7" x14ac:dyDescent="0.2">
      <c r="B552" s="230">
        <v>45187</v>
      </c>
      <c r="C552" s="124">
        <v>427.64</v>
      </c>
      <c r="D552" s="156">
        <f t="shared" si="9"/>
        <v>-2.0070011668611755E-3</v>
      </c>
      <c r="E552" s="156">
        <v>1.7334882820065775E-2</v>
      </c>
      <c r="G552" s="156"/>
    </row>
    <row r="553" spans="2:7" x14ac:dyDescent="0.2">
      <c r="B553" s="230">
        <v>45184</v>
      </c>
      <c r="C553" s="124">
        <v>424.14</v>
      </c>
      <c r="D553" s="156">
        <f t="shared" si="9"/>
        <v>-8.1844542138247121E-3</v>
      </c>
      <c r="E553" s="156">
        <v>1.7331614077669876E-2</v>
      </c>
      <c r="G553" s="156"/>
    </row>
    <row r="554" spans="2:7" x14ac:dyDescent="0.2">
      <c r="B554" s="230">
        <v>45183</v>
      </c>
      <c r="C554" s="124">
        <v>425.66</v>
      </c>
      <c r="D554" s="156">
        <f t="shared" si="9"/>
        <v>3.5837223558259977E-3</v>
      </c>
      <c r="E554" s="156">
        <v>1.7326092578225986E-2</v>
      </c>
      <c r="G554" s="156"/>
    </row>
    <row r="555" spans="2:7" x14ac:dyDescent="0.2">
      <c r="B555" s="230">
        <v>45182</v>
      </c>
      <c r="C555" s="124">
        <v>429.02</v>
      </c>
      <c r="D555" s="156">
        <f t="shared" si="9"/>
        <v>7.8936240191701274E-3</v>
      </c>
      <c r="E555" s="156">
        <v>1.7313347879707834E-2</v>
      </c>
      <c r="G555" s="156"/>
    </row>
    <row r="556" spans="2:7" x14ac:dyDescent="0.2">
      <c r="B556" s="230">
        <v>45181</v>
      </c>
      <c r="C556" s="124">
        <v>426.79</v>
      </c>
      <c r="D556" s="156">
        <f t="shared" si="9"/>
        <v>-5.1978928721270841E-3</v>
      </c>
      <c r="E556" s="156">
        <v>1.7273184638604628E-2</v>
      </c>
      <c r="G556" s="156"/>
    </row>
    <row r="557" spans="2:7" x14ac:dyDescent="0.2">
      <c r="B557" s="230">
        <v>45180</v>
      </c>
      <c r="C557" s="124">
        <v>423.06</v>
      </c>
      <c r="D557" s="156">
        <f t="shared" si="9"/>
        <v>-8.7396611916868202E-3</v>
      </c>
      <c r="E557" s="156">
        <v>1.7257563723012393E-2</v>
      </c>
      <c r="G557" s="156"/>
    </row>
    <row r="558" spans="2:7" x14ac:dyDescent="0.2">
      <c r="B558" s="230">
        <v>45177</v>
      </c>
      <c r="C558" s="124">
        <v>418.75</v>
      </c>
      <c r="D558" s="156">
        <f t="shared" si="9"/>
        <v>-1.0187680234482112E-2</v>
      </c>
      <c r="E558" s="156">
        <v>1.7234919445485098E-2</v>
      </c>
      <c r="G558" s="156"/>
    </row>
    <row r="559" spans="2:7" x14ac:dyDescent="0.2">
      <c r="B559" s="230">
        <v>45176</v>
      </c>
      <c r="C559" s="124">
        <v>421.83</v>
      </c>
      <c r="D559" s="156">
        <f t="shared" si="9"/>
        <v>7.3552238805969766E-3</v>
      </c>
      <c r="E559" s="156">
        <v>1.7209729233593391E-2</v>
      </c>
      <c r="G559" s="156"/>
    </row>
    <row r="560" spans="2:7" x14ac:dyDescent="0.2">
      <c r="B560" s="230">
        <v>45175</v>
      </c>
      <c r="C560" s="124">
        <v>423.29</v>
      </c>
      <c r="D560" s="156">
        <f t="shared" si="9"/>
        <v>3.4611099257995789E-3</v>
      </c>
      <c r="E560" s="156">
        <v>1.717956378846737E-2</v>
      </c>
      <c r="G560" s="156"/>
    </row>
    <row r="561" spans="2:7" x14ac:dyDescent="0.2">
      <c r="B561" s="230">
        <v>45174</v>
      </c>
      <c r="C561" s="124">
        <v>419.18</v>
      </c>
      <c r="D561" s="156">
        <f t="shared" si="9"/>
        <v>-9.709655319048438E-3</v>
      </c>
      <c r="E561" s="156">
        <v>1.7153901908673649E-2</v>
      </c>
      <c r="G561" s="156"/>
    </row>
    <row r="562" spans="2:7" x14ac:dyDescent="0.2">
      <c r="B562" s="230">
        <v>45173</v>
      </c>
      <c r="C562" s="124">
        <v>413.88</v>
      </c>
      <c r="D562" s="156">
        <f t="shared" si="9"/>
        <v>-1.2643733002528773E-2</v>
      </c>
      <c r="E562" s="156">
        <v>1.7151531629508776E-2</v>
      </c>
      <c r="G562" s="156"/>
    </row>
    <row r="563" spans="2:7" x14ac:dyDescent="0.2">
      <c r="B563" s="230">
        <v>45170</v>
      </c>
      <c r="C563" s="124">
        <v>417.24</v>
      </c>
      <c r="D563" s="156">
        <f t="shared" si="9"/>
        <v>8.1182951580168489E-3</v>
      </c>
      <c r="E563" s="156">
        <v>1.7144146176404165E-2</v>
      </c>
      <c r="G563" s="156"/>
    </row>
    <row r="564" spans="2:7" x14ac:dyDescent="0.2">
      <c r="B564" s="230">
        <v>45169</v>
      </c>
      <c r="C564" s="124">
        <v>415.96</v>
      </c>
      <c r="D564" s="156">
        <f t="shared" si="9"/>
        <v>-3.0677787364587037E-3</v>
      </c>
      <c r="E564" s="156">
        <v>1.7128221546342248E-2</v>
      </c>
      <c r="G564" s="156"/>
    </row>
    <row r="565" spans="2:7" x14ac:dyDescent="0.2">
      <c r="B565" s="230">
        <v>45168</v>
      </c>
      <c r="C565" s="124">
        <v>418.89</v>
      </c>
      <c r="D565" s="156">
        <f t="shared" si="9"/>
        <v>7.0439465333205281E-3</v>
      </c>
      <c r="E565" s="156">
        <v>1.7127799736495416E-2</v>
      </c>
      <c r="G565" s="156"/>
    </row>
    <row r="566" spans="2:7" x14ac:dyDescent="0.2">
      <c r="B566" s="230">
        <v>45167</v>
      </c>
      <c r="C566" s="124">
        <v>416.34</v>
      </c>
      <c r="D566" s="156">
        <f t="shared" si="9"/>
        <v>-6.0875170092387293E-3</v>
      </c>
      <c r="E566" s="156">
        <v>1.7115320704553027E-2</v>
      </c>
      <c r="G566" s="156"/>
    </row>
    <row r="567" spans="2:7" x14ac:dyDescent="0.2">
      <c r="B567" s="230">
        <v>45166</v>
      </c>
      <c r="C567" s="124">
        <v>417.57</v>
      </c>
      <c r="D567" s="156">
        <f t="shared" si="9"/>
        <v>2.9543161838882122E-3</v>
      </c>
      <c r="E567" s="156">
        <v>1.7103984450923138E-2</v>
      </c>
      <c r="G567" s="156"/>
    </row>
    <row r="568" spans="2:7" x14ac:dyDescent="0.2">
      <c r="B568" s="230">
        <v>45163</v>
      </c>
      <c r="C568" s="124">
        <v>419.42</v>
      </c>
      <c r="D568" s="156">
        <f t="shared" si="9"/>
        <v>4.4303949038485115E-3</v>
      </c>
      <c r="E568" s="156">
        <v>1.7101710171017154E-2</v>
      </c>
      <c r="G568" s="156"/>
    </row>
    <row r="569" spans="2:7" x14ac:dyDescent="0.2">
      <c r="B569" s="230">
        <v>45162</v>
      </c>
      <c r="C569" s="124">
        <v>426.56</v>
      </c>
      <c r="D569" s="156">
        <f t="shared" si="9"/>
        <v>1.7023508654808988E-2</v>
      </c>
      <c r="E569" s="156">
        <v>1.7052980132450254E-2</v>
      </c>
      <c r="G569" s="156"/>
    </row>
    <row r="570" spans="2:7" x14ac:dyDescent="0.2">
      <c r="B570" s="230">
        <v>45161</v>
      </c>
      <c r="C570" s="124">
        <v>426.13</v>
      </c>
      <c r="D570" s="156">
        <f t="shared" si="9"/>
        <v>-1.0080645161290483E-3</v>
      </c>
      <c r="E570" s="156">
        <v>1.7040799606750763E-2</v>
      </c>
      <c r="G570" s="156"/>
    </row>
    <row r="571" spans="2:7" x14ac:dyDescent="0.2">
      <c r="B571" s="230">
        <v>45160</v>
      </c>
      <c r="C571" s="124">
        <v>429.73</v>
      </c>
      <c r="D571" s="156">
        <f t="shared" si="9"/>
        <v>8.4481261586840228E-3</v>
      </c>
      <c r="E571" s="156">
        <v>1.7023508654808988E-2</v>
      </c>
      <c r="G571" s="156"/>
    </row>
    <row r="572" spans="2:7" x14ac:dyDescent="0.2">
      <c r="B572" s="230">
        <v>45159</v>
      </c>
      <c r="C572" s="124">
        <v>423.63</v>
      </c>
      <c r="D572" s="156">
        <f t="shared" si="9"/>
        <v>-1.4194959625811609E-2</v>
      </c>
      <c r="E572" s="156">
        <v>1.7014193906329498E-2</v>
      </c>
      <c r="G572" s="156"/>
    </row>
    <row r="573" spans="2:7" x14ac:dyDescent="0.2">
      <c r="B573" s="230">
        <v>45156</v>
      </c>
      <c r="C573" s="124">
        <v>417.81</v>
      </c>
      <c r="D573" s="156">
        <f t="shared" si="9"/>
        <v>-1.3738403795765157E-2</v>
      </c>
      <c r="E573" s="156">
        <v>1.6984692807716553E-2</v>
      </c>
      <c r="G573" s="156"/>
    </row>
    <row r="574" spans="2:7" x14ac:dyDescent="0.2">
      <c r="B574" s="230">
        <v>45155</v>
      </c>
      <c r="C574" s="124">
        <v>417.19</v>
      </c>
      <c r="D574" s="156">
        <f t="shared" ref="D574:D637" si="10">(C574-C573)/C573</f>
        <v>-1.483928101290071E-3</v>
      </c>
      <c r="E574" s="156">
        <v>1.697371144690538E-2</v>
      </c>
      <c r="G574" s="156"/>
    </row>
    <row r="575" spans="2:7" x14ac:dyDescent="0.2">
      <c r="B575" s="230">
        <v>45154</v>
      </c>
      <c r="C575" s="124">
        <v>425.94</v>
      </c>
      <c r="D575" s="156">
        <f t="shared" si="10"/>
        <v>2.0973657086699106E-2</v>
      </c>
      <c r="E575" s="156">
        <v>1.696908602150534E-2</v>
      </c>
      <c r="G575" s="156"/>
    </row>
    <row r="576" spans="2:7" x14ac:dyDescent="0.2">
      <c r="B576" s="230">
        <v>45152</v>
      </c>
      <c r="C576" s="124">
        <v>424.95</v>
      </c>
      <c r="D576" s="156">
        <f t="shared" si="10"/>
        <v>-2.324271024087921E-3</v>
      </c>
      <c r="E576" s="156">
        <v>1.6893010930771855E-2</v>
      </c>
      <c r="G576" s="156"/>
    </row>
    <row r="577" spans="2:7" x14ac:dyDescent="0.2">
      <c r="B577" s="230">
        <v>45149</v>
      </c>
      <c r="C577" s="124">
        <v>424.52</v>
      </c>
      <c r="D577" s="156">
        <f t="shared" si="10"/>
        <v>-1.011883751029549E-3</v>
      </c>
      <c r="E577" s="156">
        <v>1.687216093445813E-2</v>
      </c>
      <c r="G577" s="156"/>
    </row>
    <row r="578" spans="2:7" x14ac:dyDescent="0.2">
      <c r="B578" s="230">
        <v>45148</v>
      </c>
      <c r="C578" s="124">
        <v>427.36</v>
      </c>
      <c r="D578" s="156">
        <f t="shared" si="10"/>
        <v>6.6899086026571937E-3</v>
      </c>
      <c r="E578" s="156">
        <v>1.6860698514652626E-2</v>
      </c>
      <c r="G578" s="156"/>
    </row>
    <row r="579" spans="2:7" x14ac:dyDescent="0.2">
      <c r="B579" s="230">
        <v>45147</v>
      </c>
      <c r="C579" s="124">
        <v>433.89</v>
      </c>
      <c r="D579" s="156">
        <f t="shared" si="10"/>
        <v>1.5279857731186758E-2</v>
      </c>
      <c r="E579" s="156">
        <v>1.6833232384413525E-2</v>
      </c>
      <c r="G579" s="156"/>
    </row>
    <row r="580" spans="2:7" x14ac:dyDescent="0.2">
      <c r="B580" s="230">
        <v>45146</v>
      </c>
      <c r="C580" s="124">
        <v>427.93</v>
      </c>
      <c r="D580" s="156">
        <f t="shared" si="10"/>
        <v>-1.3736200419461107E-2</v>
      </c>
      <c r="E580" s="156">
        <v>1.6823626222912946E-2</v>
      </c>
      <c r="G580" s="156"/>
    </row>
    <row r="581" spans="2:7" x14ac:dyDescent="0.2">
      <c r="B581" s="230">
        <v>45145</v>
      </c>
      <c r="C581" s="124">
        <v>430.34</v>
      </c>
      <c r="D581" s="156">
        <f t="shared" si="10"/>
        <v>5.6317622040987269E-3</v>
      </c>
      <c r="E581" s="156">
        <v>1.6778523489932935E-2</v>
      </c>
      <c r="G581" s="156"/>
    </row>
    <row r="582" spans="2:7" x14ac:dyDescent="0.2">
      <c r="B582" s="230">
        <v>45142</v>
      </c>
      <c r="C582" s="124">
        <v>430.39</v>
      </c>
      <c r="D582" s="156">
        <f t="shared" si="10"/>
        <v>1.1618720081798432E-4</v>
      </c>
      <c r="E582" s="156">
        <v>1.6750948166877406E-2</v>
      </c>
      <c r="G582" s="156"/>
    </row>
    <row r="583" spans="2:7" x14ac:dyDescent="0.2">
      <c r="B583" s="230">
        <v>45141</v>
      </c>
      <c r="C583" s="124">
        <v>431.43</v>
      </c>
      <c r="D583" s="156">
        <f t="shared" si="10"/>
        <v>2.4164130207486711E-3</v>
      </c>
      <c r="E583" s="156">
        <v>1.674932160568908E-2</v>
      </c>
      <c r="G583" s="156"/>
    </row>
    <row r="584" spans="2:7" x14ac:dyDescent="0.2">
      <c r="B584" s="230">
        <v>45140</v>
      </c>
      <c r="C584" s="124">
        <v>435.26</v>
      </c>
      <c r="D584" s="156">
        <f t="shared" si="10"/>
        <v>8.8774540481653657E-3</v>
      </c>
      <c r="E584" s="156">
        <v>1.673441903384288E-2</v>
      </c>
      <c r="G584" s="156"/>
    </row>
    <row r="585" spans="2:7" x14ac:dyDescent="0.2">
      <c r="B585" s="230">
        <v>45139</v>
      </c>
      <c r="C585" s="124">
        <v>439.71</v>
      </c>
      <c r="D585" s="156">
        <f t="shared" si="10"/>
        <v>1.0223774295823161E-2</v>
      </c>
      <c r="E585" s="156">
        <v>1.6730199068191516E-2</v>
      </c>
      <c r="G585" s="156"/>
    </row>
    <row r="586" spans="2:7" x14ac:dyDescent="0.2">
      <c r="B586" s="230">
        <v>45138</v>
      </c>
      <c r="C586" s="124">
        <v>440.56</v>
      </c>
      <c r="D586" s="156">
        <f t="shared" si="10"/>
        <v>1.9330922653567641E-3</v>
      </c>
      <c r="E586" s="156">
        <v>1.6730038022813747E-2</v>
      </c>
      <c r="G586" s="156"/>
    </row>
    <row r="587" spans="2:7" x14ac:dyDescent="0.2">
      <c r="B587" s="230">
        <v>45135</v>
      </c>
      <c r="C587" s="124">
        <v>443.16</v>
      </c>
      <c r="D587" s="156">
        <f t="shared" si="10"/>
        <v>5.9015798075177563E-3</v>
      </c>
      <c r="E587" s="156">
        <v>1.6724013763303219E-2</v>
      </c>
      <c r="G587" s="156"/>
    </row>
    <row r="588" spans="2:7" x14ac:dyDescent="0.2">
      <c r="B588" s="230">
        <v>45134</v>
      </c>
      <c r="C588" s="124">
        <v>439.94</v>
      </c>
      <c r="D588" s="156">
        <f t="shared" si="10"/>
        <v>-7.2659987363481067E-3</v>
      </c>
      <c r="E588" s="156">
        <v>1.6708860759493727E-2</v>
      </c>
      <c r="G588" s="156"/>
    </row>
    <row r="589" spans="2:7" x14ac:dyDescent="0.2">
      <c r="B589" s="230">
        <v>45133</v>
      </c>
      <c r="C589" s="124">
        <v>446.76</v>
      </c>
      <c r="D589" s="156">
        <f t="shared" si="10"/>
        <v>1.550211392462607E-2</v>
      </c>
      <c r="E589" s="156">
        <v>1.668726823238571E-2</v>
      </c>
      <c r="G589" s="156"/>
    </row>
    <row r="590" spans="2:7" x14ac:dyDescent="0.2">
      <c r="B590" s="230">
        <v>45132</v>
      </c>
      <c r="C590" s="124">
        <v>437.34</v>
      </c>
      <c r="D590" s="156">
        <f t="shared" si="10"/>
        <v>-2.1085146387322087E-2</v>
      </c>
      <c r="E590" s="156">
        <v>1.6684723726977223E-2</v>
      </c>
      <c r="G590" s="156"/>
    </row>
    <row r="591" spans="2:7" x14ac:dyDescent="0.2">
      <c r="B591" s="230">
        <v>45131</v>
      </c>
      <c r="C591" s="124">
        <v>445.9</v>
      </c>
      <c r="D591" s="156">
        <f t="shared" si="10"/>
        <v>1.9572872364750544E-2</v>
      </c>
      <c r="E591" s="156">
        <v>1.6661617691608604E-2</v>
      </c>
      <c r="G591" s="156"/>
    </row>
    <row r="592" spans="2:7" x14ac:dyDescent="0.2">
      <c r="B592" s="230">
        <v>45128</v>
      </c>
      <c r="C592" s="124">
        <v>463.97</v>
      </c>
      <c r="D592" s="156">
        <f t="shared" si="10"/>
        <v>4.0524781341107985E-2</v>
      </c>
      <c r="E592" s="156">
        <v>1.6645024200212515E-2</v>
      </c>
      <c r="G592" s="156"/>
    </row>
    <row r="593" spans="2:7" x14ac:dyDescent="0.2">
      <c r="B593" s="230">
        <v>45127</v>
      </c>
      <c r="C593" s="124">
        <v>465.58</v>
      </c>
      <c r="D593" s="156">
        <f t="shared" si="10"/>
        <v>3.4700519430134638E-3</v>
      </c>
      <c r="E593" s="156">
        <v>1.6606442684708209E-2</v>
      </c>
      <c r="G593" s="156"/>
    </row>
    <row r="594" spans="2:7" x14ac:dyDescent="0.2">
      <c r="B594" s="230">
        <v>45126</v>
      </c>
      <c r="C594" s="124">
        <v>453</v>
      </c>
      <c r="D594" s="156">
        <f t="shared" si="10"/>
        <v>-2.7020060999183779E-2</v>
      </c>
      <c r="E594" s="156">
        <v>1.6601098093467655E-2</v>
      </c>
      <c r="G594" s="156"/>
    </row>
    <row r="595" spans="2:7" x14ac:dyDescent="0.2">
      <c r="B595" s="230">
        <v>45125</v>
      </c>
      <c r="C595" s="124">
        <v>446.99</v>
      </c>
      <c r="D595" s="156">
        <f t="shared" si="10"/>
        <v>-1.32671081677704E-2</v>
      </c>
      <c r="E595" s="156">
        <v>1.6573396470081766E-2</v>
      </c>
      <c r="G595" s="156"/>
    </row>
    <row r="596" spans="2:7" x14ac:dyDescent="0.2">
      <c r="B596" s="230">
        <v>45124</v>
      </c>
      <c r="C596" s="124">
        <v>446.85</v>
      </c>
      <c r="D596" s="156">
        <f t="shared" si="10"/>
        <v>-3.1320611199352639E-4</v>
      </c>
      <c r="E596" s="156">
        <v>1.6542750929368043E-2</v>
      </c>
      <c r="G596" s="156"/>
    </row>
    <row r="597" spans="2:7" x14ac:dyDescent="0.2">
      <c r="B597" s="230">
        <v>45121</v>
      </c>
      <c r="C597" s="124">
        <v>447.37</v>
      </c>
      <c r="D597" s="156">
        <f t="shared" si="10"/>
        <v>1.1637014658162287E-3</v>
      </c>
      <c r="E597" s="156">
        <v>1.6540317022742952E-2</v>
      </c>
      <c r="G597" s="156"/>
    </row>
    <row r="598" spans="2:7" x14ac:dyDescent="0.2">
      <c r="B598" s="230">
        <v>45120</v>
      </c>
      <c r="C598" s="124">
        <v>446.52</v>
      </c>
      <c r="D598" s="156">
        <f t="shared" si="10"/>
        <v>-1.8999932941413656E-3</v>
      </c>
      <c r="E598" s="156">
        <v>1.6502294697783398E-2</v>
      </c>
      <c r="G598" s="156"/>
    </row>
    <row r="599" spans="2:7" x14ac:dyDescent="0.2">
      <c r="B599" s="230">
        <v>45119</v>
      </c>
      <c r="C599" s="124">
        <v>446.8</v>
      </c>
      <c r="D599" s="156">
        <f t="shared" si="10"/>
        <v>6.2707157574135443E-4</v>
      </c>
      <c r="E599" s="156">
        <v>1.6482164821648188E-2</v>
      </c>
      <c r="G599" s="156"/>
    </row>
    <row r="600" spans="2:7" x14ac:dyDescent="0.2">
      <c r="B600" s="230">
        <v>45118</v>
      </c>
      <c r="C600" s="124">
        <v>447.61</v>
      </c>
      <c r="D600" s="156">
        <f t="shared" si="10"/>
        <v>1.8128916741271314E-3</v>
      </c>
      <c r="E600" s="156">
        <v>1.641462117182154E-2</v>
      </c>
      <c r="G600" s="156"/>
    </row>
    <row r="601" spans="2:7" x14ac:dyDescent="0.2">
      <c r="B601" s="230">
        <v>45117</v>
      </c>
      <c r="C601" s="124">
        <v>440.7</v>
      </c>
      <c r="D601" s="156">
        <f t="shared" si="10"/>
        <v>-1.543754607805908E-2</v>
      </c>
      <c r="E601" s="156">
        <v>1.6401350699469359E-2</v>
      </c>
      <c r="G601" s="156"/>
    </row>
    <row r="602" spans="2:7" x14ac:dyDescent="0.2">
      <c r="B602" s="230">
        <v>45114</v>
      </c>
      <c r="C602" s="124">
        <v>443.11</v>
      </c>
      <c r="D602" s="156">
        <f t="shared" si="10"/>
        <v>5.4685727252099499E-3</v>
      </c>
      <c r="E602" s="156">
        <v>1.6400817995909985E-2</v>
      </c>
      <c r="G602" s="156"/>
    </row>
    <row r="603" spans="2:7" x14ac:dyDescent="0.2">
      <c r="B603" s="230">
        <v>45113</v>
      </c>
      <c r="C603" s="124">
        <v>448.32</v>
      </c>
      <c r="D603" s="156">
        <f t="shared" si="10"/>
        <v>1.1757802802915707E-2</v>
      </c>
      <c r="E603" s="156">
        <v>1.6343663481289617E-2</v>
      </c>
      <c r="G603" s="156"/>
    </row>
    <row r="604" spans="2:7" x14ac:dyDescent="0.2">
      <c r="B604" s="230">
        <v>45112</v>
      </c>
      <c r="C604" s="124">
        <v>449.45</v>
      </c>
      <c r="D604" s="156">
        <f t="shared" si="10"/>
        <v>2.5205210563882838E-3</v>
      </c>
      <c r="E604" s="156">
        <v>1.6311166875784232E-2</v>
      </c>
      <c r="G604" s="156"/>
    </row>
    <row r="605" spans="2:7" x14ac:dyDescent="0.2">
      <c r="B605" s="230">
        <v>45111</v>
      </c>
      <c r="C605" s="124">
        <v>441.17</v>
      </c>
      <c r="D605" s="156">
        <f t="shared" si="10"/>
        <v>-1.8422516408944205E-2</v>
      </c>
      <c r="E605" s="156">
        <v>1.6293279022403202E-2</v>
      </c>
      <c r="G605" s="156"/>
    </row>
    <row r="606" spans="2:7" x14ac:dyDescent="0.2">
      <c r="B606" s="230">
        <v>45110</v>
      </c>
      <c r="C606" s="124">
        <v>438.24</v>
      </c>
      <c r="D606" s="156">
        <f t="shared" si="10"/>
        <v>-6.6414307409842161E-3</v>
      </c>
      <c r="E606" s="156">
        <v>1.6280107047279242E-2</v>
      </c>
      <c r="G606" s="156"/>
    </row>
    <row r="607" spans="2:7" x14ac:dyDescent="0.2">
      <c r="B607" s="230">
        <v>45107</v>
      </c>
      <c r="C607" s="124">
        <v>427.22</v>
      </c>
      <c r="D607" s="156">
        <f t="shared" si="10"/>
        <v>-2.5146038700255526E-2</v>
      </c>
      <c r="E607" s="156">
        <v>1.6272643536997273E-2</v>
      </c>
      <c r="G607" s="156"/>
    </row>
    <row r="608" spans="2:7" x14ac:dyDescent="0.2">
      <c r="B608" s="230">
        <v>45105</v>
      </c>
      <c r="C608" s="124">
        <v>425.09</v>
      </c>
      <c r="D608" s="156">
        <f t="shared" si="10"/>
        <v>-4.9857216422453353E-3</v>
      </c>
      <c r="E608" s="156">
        <v>1.6256964929531232E-2</v>
      </c>
      <c r="G608" s="156"/>
    </row>
    <row r="609" spans="2:7" x14ac:dyDescent="0.2">
      <c r="B609" s="230">
        <v>45104</v>
      </c>
      <c r="C609" s="124">
        <v>421.07</v>
      </c>
      <c r="D609" s="156">
        <f t="shared" si="10"/>
        <v>-9.4568209085134497E-3</v>
      </c>
      <c r="E609" s="156">
        <v>1.623285754268125E-2</v>
      </c>
      <c r="G609" s="156"/>
    </row>
    <row r="610" spans="2:7" x14ac:dyDescent="0.2">
      <c r="B610" s="230">
        <v>45103</v>
      </c>
      <c r="C610" s="124">
        <v>421.64</v>
      </c>
      <c r="D610" s="156">
        <f t="shared" si="10"/>
        <v>1.353694160115879E-3</v>
      </c>
      <c r="E610" s="156">
        <v>1.6211779191463119E-2</v>
      </c>
      <c r="G610" s="156"/>
    </row>
    <row r="611" spans="2:7" x14ac:dyDescent="0.2">
      <c r="B611" s="230">
        <v>45100</v>
      </c>
      <c r="C611" s="124">
        <v>420.74</v>
      </c>
      <c r="D611" s="156">
        <f t="shared" si="10"/>
        <v>-2.1345223413337853E-3</v>
      </c>
      <c r="E611" s="156">
        <v>1.6196542311191952E-2</v>
      </c>
      <c r="G611" s="156"/>
    </row>
    <row r="612" spans="2:7" x14ac:dyDescent="0.2">
      <c r="B612" s="230">
        <v>45099</v>
      </c>
      <c r="C612" s="124">
        <v>423.48</v>
      </c>
      <c r="D612" s="156">
        <f t="shared" si="10"/>
        <v>6.5123354090412342E-3</v>
      </c>
      <c r="E612" s="156">
        <v>1.6193381835249886E-2</v>
      </c>
      <c r="G612" s="156"/>
    </row>
    <row r="613" spans="2:7" x14ac:dyDescent="0.2">
      <c r="B613" s="230">
        <v>45098</v>
      </c>
      <c r="C613" s="124">
        <v>422.92</v>
      </c>
      <c r="D613" s="156">
        <f t="shared" si="10"/>
        <v>-1.3223764994805003E-3</v>
      </c>
      <c r="E613" s="156">
        <v>1.6192300675059217E-2</v>
      </c>
      <c r="G613" s="156"/>
    </row>
    <row r="614" spans="2:7" x14ac:dyDescent="0.2">
      <c r="B614" s="230">
        <v>45097</v>
      </c>
      <c r="C614" s="124">
        <v>428.4</v>
      </c>
      <c r="D614" s="156">
        <f t="shared" si="10"/>
        <v>1.2957533339638611E-2</v>
      </c>
      <c r="E614" s="156">
        <v>1.6164005519416571E-2</v>
      </c>
      <c r="G614" s="156"/>
    </row>
    <row r="615" spans="2:7" x14ac:dyDescent="0.2">
      <c r="B615" s="230">
        <v>45096</v>
      </c>
      <c r="C615" s="124">
        <v>429.11</v>
      </c>
      <c r="D615" s="156">
        <f t="shared" si="10"/>
        <v>1.6573295985061541E-3</v>
      </c>
      <c r="E615" s="156">
        <v>1.6162310866574926E-2</v>
      </c>
      <c r="G615" s="156"/>
    </row>
    <row r="616" spans="2:7" x14ac:dyDescent="0.2">
      <c r="B616" s="230">
        <v>45093</v>
      </c>
      <c r="C616" s="124">
        <v>428.64</v>
      </c>
      <c r="D616" s="156">
        <f t="shared" si="10"/>
        <v>-1.0952902519168215E-3</v>
      </c>
      <c r="E616" s="156">
        <v>1.615790887118438E-2</v>
      </c>
      <c r="G616" s="156"/>
    </row>
    <row r="617" spans="2:7" x14ac:dyDescent="0.2">
      <c r="B617" s="230">
        <v>45092</v>
      </c>
      <c r="C617" s="124">
        <v>423.91</v>
      </c>
      <c r="D617" s="156">
        <f t="shared" si="10"/>
        <v>-1.1034901082493378E-2</v>
      </c>
      <c r="E617" s="156">
        <v>1.6131341573998929E-2</v>
      </c>
      <c r="G617" s="156"/>
    </row>
    <row r="618" spans="2:7" x14ac:dyDescent="0.2">
      <c r="B618" s="230">
        <v>45091</v>
      </c>
      <c r="C618" s="124">
        <v>420.5</v>
      </c>
      <c r="D618" s="156">
        <f t="shared" si="10"/>
        <v>-8.044160317048488E-3</v>
      </c>
      <c r="E618" s="156">
        <v>1.6129032258064415E-2</v>
      </c>
      <c r="G618" s="156"/>
    </row>
    <row r="619" spans="2:7" x14ac:dyDescent="0.2">
      <c r="B619" s="230">
        <v>45090</v>
      </c>
      <c r="C619" s="124">
        <v>421.35</v>
      </c>
      <c r="D619" s="156">
        <f t="shared" si="10"/>
        <v>2.0214030915577234E-3</v>
      </c>
      <c r="E619" s="156">
        <v>1.6112789526686894E-2</v>
      </c>
      <c r="G619" s="156"/>
    </row>
    <row r="620" spans="2:7" x14ac:dyDescent="0.2">
      <c r="B620" s="230">
        <v>45089</v>
      </c>
      <c r="C620" s="124">
        <v>413.36</v>
      </c>
      <c r="D620" s="156">
        <f t="shared" si="10"/>
        <v>-1.8962857481903427E-2</v>
      </c>
      <c r="E620" s="156">
        <v>1.6098738932116986E-2</v>
      </c>
      <c r="G620" s="156"/>
    </row>
    <row r="621" spans="2:7" x14ac:dyDescent="0.2">
      <c r="B621" s="230">
        <v>45086</v>
      </c>
      <c r="C621" s="124">
        <v>414.78</v>
      </c>
      <c r="D621" s="156">
        <f t="shared" si="10"/>
        <v>3.4352622411456335E-3</v>
      </c>
      <c r="E621" s="156">
        <v>1.6061054789839348E-2</v>
      </c>
      <c r="G621" s="156"/>
    </row>
    <row r="622" spans="2:7" x14ac:dyDescent="0.2">
      <c r="B622" s="230">
        <v>45085</v>
      </c>
      <c r="C622" s="124">
        <v>418.99</v>
      </c>
      <c r="D622" s="156">
        <f t="shared" si="10"/>
        <v>1.014995901441737E-2</v>
      </c>
      <c r="E622" s="156">
        <v>1.6039310216947933E-2</v>
      </c>
      <c r="G622" s="156"/>
    </row>
    <row r="623" spans="2:7" x14ac:dyDescent="0.2">
      <c r="B623" s="230">
        <v>45084</v>
      </c>
      <c r="C623" s="124">
        <v>419.98</v>
      </c>
      <c r="D623" s="156">
        <f t="shared" si="10"/>
        <v>2.3628248884221795E-3</v>
      </c>
      <c r="E623" s="156">
        <v>1.6036184210526341E-2</v>
      </c>
      <c r="G623" s="156"/>
    </row>
    <row r="624" spans="2:7" x14ac:dyDescent="0.2">
      <c r="B624" s="230">
        <v>45083</v>
      </c>
      <c r="C624" s="124">
        <v>418.89</v>
      </c>
      <c r="D624" s="156">
        <f t="shared" si="10"/>
        <v>-2.5953616838897847E-3</v>
      </c>
      <c r="E624" s="156">
        <v>1.6019310950186553E-2</v>
      </c>
      <c r="G624" s="156"/>
    </row>
    <row r="625" spans="2:7" x14ac:dyDescent="0.2">
      <c r="B625" s="230">
        <v>45082</v>
      </c>
      <c r="C625" s="124">
        <v>416.86</v>
      </c>
      <c r="D625" s="156">
        <f t="shared" si="10"/>
        <v>-4.846140991668392E-3</v>
      </c>
      <c r="E625" s="156">
        <v>1.598277034686002E-2</v>
      </c>
      <c r="G625" s="156"/>
    </row>
    <row r="626" spans="2:7" x14ac:dyDescent="0.2">
      <c r="B626" s="230">
        <v>45079</v>
      </c>
      <c r="C626" s="124">
        <v>419.46</v>
      </c>
      <c r="D626" s="156">
        <f t="shared" si="10"/>
        <v>6.237105982823888E-3</v>
      </c>
      <c r="E626" s="156">
        <v>1.5948422124194058E-2</v>
      </c>
      <c r="G626" s="156"/>
    </row>
    <row r="627" spans="2:7" x14ac:dyDescent="0.2">
      <c r="B627" s="230">
        <v>45078</v>
      </c>
      <c r="C627" s="124">
        <v>415.96</v>
      </c>
      <c r="D627" s="156">
        <f t="shared" si="10"/>
        <v>-8.3440614122919955E-3</v>
      </c>
      <c r="E627" s="156">
        <v>1.5946597441127378E-2</v>
      </c>
      <c r="G627" s="156"/>
    </row>
    <row r="628" spans="2:7" x14ac:dyDescent="0.2">
      <c r="B628" s="230">
        <v>45077</v>
      </c>
      <c r="C628" s="124">
        <v>421.45</v>
      </c>
      <c r="D628" s="156">
        <f t="shared" si="10"/>
        <v>1.3198384460044258E-2</v>
      </c>
      <c r="E628" s="156">
        <v>1.5928231417063222E-2</v>
      </c>
      <c r="G628" s="156"/>
    </row>
    <row r="629" spans="2:7" x14ac:dyDescent="0.2">
      <c r="B629" s="230">
        <v>45076</v>
      </c>
      <c r="C629" s="124">
        <v>425.61</v>
      </c>
      <c r="D629" s="156">
        <f t="shared" si="10"/>
        <v>9.8706845414640535E-3</v>
      </c>
      <c r="E629" s="156">
        <v>1.5926071569013021E-2</v>
      </c>
      <c r="G629" s="156"/>
    </row>
    <row r="630" spans="2:7" x14ac:dyDescent="0.2">
      <c r="B630" s="230">
        <v>45075</v>
      </c>
      <c r="C630" s="124">
        <v>422.25</v>
      </c>
      <c r="D630" s="156">
        <f t="shared" si="10"/>
        <v>-7.8945513498273386E-3</v>
      </c>
      <c r="E630" s="156">
        <v>1.5902872777017778E-2</v>
      </c>
      <c r="G630" s="156"/>
    </row>
    <row r="631" spans="2:7" x14ac:dyDescent="0.2">
      <c r="B631" s="230">
        <v>45072</v>
      </c>
      <c r="C631" s="124">
        <v>417.08</v>
      </c>
      <c r="D631" s="156">
        <f t="shared" si="10"/>
        <v>-1.2243931320307912E-2</v>
      </c>
      <c r="E631" s="156">
        <v>1.5859558126776755E-2</v>
      </c>
      <c r="G631" s="156"/>
    </row>
    <row r="632" spans="2:7" x14ac:dyDescent="0.2">
      <c r="B632" s="230">
        <v>45071</v>
      </c>
      <c r="C632" s="124">
        <v>414.78</v>
      </c>
      <c r="D632" s="156">
        <f t="shared" si="10"/>
        <v>-5.5145295866500703E-3</v>
      </c>
      <c r="E632" s="156">
        <v>1.5840090514803114E-2</v>
      </c>
      <c r="G632" s="156"/>
    </row>
    <row r="633" spans="2:7" x14ac:dyDescent="0.2">
      <c r="B633" s="230">
        <v>45070</v>
      </c>
      <c r="C633" s="124">
        <v>407.59</v>
      </c>
      <c r="D633" s="156">
        <f t="shared" si="10"/>
        <v>-1.7334490573315972E-2</v>
      </c>
      <c r="E633" s="156">
        <v>1.5812859383167906E-2</v>
      </c>
      <c r="G633" s="156"/>
    </row>
    <row r="634" spans="2:7" x14ac:dyDescent="0.2">
      <c r="B634" s="230">
        <v>45069</v>
      </c>
      <c r="C634" s="124">
        <v>403.5</v>
      </c>
      <c r="D634" s="156">
        <f t="shared" si="10"/>
        <v>-1.0034593586692449E-2</v>
      </c>
      <c r="E634" s="156">
        <v>1.581027667984207E-2</v>
      </c>
      <c r="G634" s="156"/>
    </row>
    <row r="635" spans="2:7" x14ac:dyDescent="0.2">
      <c r="B635" s="230">
        <v>45068</v>
      </c>
      <c r="C635" s="124">
        <v>399.36</v>
      </c>
      <c r="D635" s="156">
        <f t="shared" si="10"/>
        <v>-1.0260223048327103E-2</v>
      </c>
      <c r="E635" s="156">
        <v>1.58044869323875E-2</v>
      </c>
      <c r="G635" s="156"/>
    </row>
    <row r="636" spans="2:7" x14ac:dyDescent="0.2">
      <c r="B636" s="230">
        <v>45065</v>
      </c>
      <c r="C636" s="124">
        <v>394.75</v>
      </c>
      <c r="D636" s="156">
        <f t="shared" si="10"/>
        <v>-1.1543469551282085E-2</v>
      </c>
      <c r="E636" s="156">
        <v>1.577626389386869E-2</v>
      </c>
      <c r="G636" s="156"/>
    </row>
    <row r="637" spans="2:7" x14ac:dyDescent="0.2">
      <c r="B637" s="230">
        <v>45064</v>
      </c>
      <c r="C637" s="124">
        <v>394.61</v>
      </c>
      <c r="D637" s="156">
        <f t="shared" si="10"/>
        <v>-3.5465484483847081E-4</v>
      </c>
      <c r="E637" s="156">
        <v>1.5755759892550795E-2</v>
      </c>
      <c r="G637" s="156"/>
    </row>
    <row r="638" spans="2:7" x14ac:dyDescent="0.2">
      <c r="B638" s="230">
        <v>45063</v>
      </c>
      <c r="C638" s="124">
        <v>402.04</v>
      </c>
      <c r="D638" s="156">
        <f t="shared" ref="D638:D701" si="11">(C638-C637)/C637</f>
        <v>1.8828716961050169E-2</v>
      </c>
      <c r="E638" s="156">
        <v>1.5744385274369062E-2</v>
      </c>
      <c r="G638" s="156"/>
    </row>
    <row r="639" spans="2:7" x14ac:dyDescent="0.2">
      <c r="B639" s="230">
        <v>45062</v>
      </c>
      <c r="C639" s="124">
        <v>398.61</v>
      </c>
      <c r="D639" s="156">
        <f t="shared" si="11"/>
        <v>-8.5314894040394162E-3</v>
      </c>
      <c r="E639" s="156">
        <v>1.5730748125114154E-2</v>
      </c>
      <c r="G639" s="156"/>
    </row>
    <row r="640" spans="2:7" x14ac:dyDescent="0.2">
      <c r="B640" s="230">
        <v>45061</v>
      </c>
      <c r="C640" s="124">
        <v>402.23</v>
      </c>
      <c r="D640" s="156">
        <f t="shared" si="11"/>
        <v>9.0815584154938529E-3</v>
      </c>
      <c r="E640" s="156">
        <v>1.5717926932880075E-2</v>
      </c>
      <c r="G640" s="156"/>
    </row>
    <row r="641" spans="2:7" x14ac:dyDescent="0.2">
      <c r="B641" s="230">
        <v>45058</v>
      </c>
      <c r="C641" s="124">
        <v>395.32</v>
      </c>
      <c r="D641" s="156">
        <f t="shared" si="11"/>
        <v>-1.7179225816075443E-2</v>
      </c>
      <c r="E641" s="156">
        <v>1.5658225401121252E-2</v>
      </c>
      <c r="G641" s="156"/>
    </row>
    <row r="642" spans="2:7" x14ac:dyDescent="0.2">
      <c r="B642" s="230">
        <v>45057</v>
      </c>
      <c r="C642" s="124">
        <v>395.27</v>
      </c>
      <c r="D642" s="156">
        <f t="shared" si="11"/>
        <v>-1.264798138217428E-4</v>
      </c>
      <c r="E642" s="156">
        <v>1.5649905810752041E-2</v>
      </c>
      <c r="G642" s="156"/>
    </row>
    <row r="643" spans="2:7" x14ac:dyDescent="0.2">
      <c r="B643" s="230">
        <v>45056</v>
      </c>
      <c r="C643" s="124">
        <v>399.92</v>
      </c>
      <c r="D643" s="156">
        <f t="shared" si="11"/>
        <v>1.1764110607938964E-2</v>
      </c>
      <c r="E643" s="156">
        <v>1.5644650133306574E-2</v>
      </c>
      <c r="G643" s="156"/>
    </row>
    <row r="644" spans="2:7" x14ac:dyDescent="0.2">
      <c r="B644" s="230">
        <v>45055</v>
      </c>
      <c r="C644" s="124">
        <v>398.46</v>
      </c>
      <c r="D644" s="156">
        <f t="shared" si="11"/>
        <v>-3.6507301460292968E-3</v>
      </c>
      <c r="E644" s="156">
        <v>1.5620718004932931E-2</v>
      </c>
      <c r="G644" s="156"/>
    </row>
    <row r="645" spans="2:7" x14ac:dyDescent="0.2">
      <c r="B645" s="230">
        <v>45054</v>
      </c>
      <c r="C645" s="124">
        <v>405.66</v>
      </c>
      <c r="D645" s="156">
        <f t="shared" si="11"/>
        <v>1.8069567836169368E-2</v>
      </c>
      <c r="E645" s="156">
        <v>1.5619770166238982E-2</v>
      </c>
      <c r="G645" s="156"/>
    </row>
    <row r="646" spans="2:7" x14ac:dyDescent="0.2">
      <c r="B646" s="230">
        <v>45051</v>
      </c>
      <c r="C646" s="124">
        <v>403.12</v>
      </c>
      <c r="D646" s="156">
        <f t="shared" si="11"/>
        <v>-6.2614011733964905E-3</v>
      </c>
      <c r="E646" s="156">
        <v>1.5599001663893511E-2</v>
      </c>
      <c r="G646" s="156"/>
    </row>
    <row r="647" spans="2:7" x14ac:dyDescent="0.2">
      <c r="B647" s="230">
        <v>45050</v>
      </c>
      <c r="C647" s="124">
        <v>399.22</v>
      </c>
      <c r="D647" s="156">
        <f t="shared" si="11"/>
        <v>-9.6745385989283027E-3</v>
      </c>
      <c r="E647" s="156">
        <v>1.5594929988718524E-2</v>
      </c>
      <c r="G647" s="156"/>
    </row>
    <row r="648" spans="2:7" x14ac:dyDescent="0.2">
      <c r="B648" s="230">
        <v>45049</v>
      </c>
      <c r="C648" s="124">
        <v>401.61</v>
      </c>
      <c r="D648" s="156">
        <f t="shared" si="11"/>
        <v>5.9866740143279052E-3</v>
      </c>
      <c r="E648" s="156">
        <v>1.5567086730911787E-2</v>
      </c>
      <c r="G648" s="156"/>
    </row>
    <row r="649" spans="2:7" x14ac:dyDescent="0.2">
      <c r="B649" s="230">
        <v>45048</v>
      </c>
      <c r="C649" s="124">
        <v>399.08</v>
      </c>
      <c r="D649" s="156">
        <f t="shared" si="11"/>
        <v>-6.2996439331690678E-3</v>
      </c>
      <c r="E649" s="156">
        <v>1.5564370095714469E-2</v>
      </c>
      <c r="G649" s="156"/>
    </row>
    <row r="650" spans="2:7" x14ac:dyDescent="0.2">
      <c r="B650" s="230">
        <v>45044</v>
      </c>
      <c r="C650" s="124">
        <v>400.11</v>
      </c>
      <c r="D650" s="156">
        <f t="shared" si="11"/>
        <v>2.5809361531523244E-3</v>
      </c>
      <c r="E650" s="156">
        <v>1.5561679364564774E-2</v>
      </c>
      <c r="G650" s="156"/>
    </row>
    <row r="651" spans="2:7" x14ac:dyDescent="0.2">
      <c r="B651" s="230">
        <v>45043</v>
      </c>
      <c r="C651" s="124">
        <v>391.13</v>
      </c>
      <c r="D651" s="156">
        <f t="shared" si="11"/>
        <v>-2.2443827947314532E-2</v>
      </c>
      <c r="E651" s="156">
        <v>1.5557042489126793E-2</v>
      </c>
      <c r="G651" s="156"/>
    </row>
    <row r="652" spans="2:7" x14ac:dyDescent="0.2">
      <c r="B652" s="230">
        <v>45042</v>
      </c>
      <c r="C652" s="124">
        <v>387.61</v>
      </c>
      <c r="D652" s="156">
        <f t="shared" si="11"/>
        <v>-8.9995653619000891E-3</v>
      </c>
      <c r="E652" s="156">
        <v>1.5553561509208162E-2</v>
      </c>
      <c r="G652" s="156"/>
    </row>
    <row r="653" spans="2:7" x14ac:dyDescent="0.2">
      <c r="B653" s="230">
        <v>45041</v>
      </c>
      <c r="C653" s="124">
        <v>386.95</v>
      </c>
      <c r="D653" s="156">
        <f t="shared" si="11"/>
        <v>-1.7027424473053455E-3</v>
      </c>
      <c r="E653" s="156">
        <v>1.5523284927391202E-2</v>
      </c>
      <c r="G653" s="156"/>
    </row>
    <row r="654" spans="2:7" x14ac:dyDescent="0.2">
      <c r="B654" s="230">
        <v>45040</v>
      </c>
      <c r="C654" s="124">
        <v>384.27</v>
      </c>
      <c r="D654" s="156">
        <f t="shared" si="11"/>
        <v>-6.925959426282483E-3</v>
      </c>
      <c r="E654" s="156">
        <v>1.550211392462607E-2</v>
      </c>
      <c r="G654" s="156"/>
    </row>
    <row r="655" spans="2:7" x14ac:dyDescent="0.2">
      <c r="B655" s="230">
        <v>45037</v>
      </c>
      <c r="C655" s="124">
        <v>383.85</v>
      </c>
      <c r="D655" s="156">
        <f t="shared" si="11"/>
        <v>-1.092981497384545E-3</v>
      </c>
      <c r="E655" s="156">
        <v>1.5498972006958673E-2</v>
      </c>
      <c r="G655" s="156"/>
    </row>
    <row r="656" spans="2:7" x14ac:dyDescent="0.2">
      <c r="B656" s="230">
        <v>45036</v>
      </c>
      <c r="C656" s="124">
        <v>376.37</v>
      </c>
      <c r="D656" s="156">
        <f t="shared" si="11"/>
        <v>-1.9486778689592334E-2</v>
      </c>
      <c r="E656" s="156">
        <v>1.5474100087796212E-2</v>
      </c>
      <c r="G656" s="156"/>
    </row>
    <row r="657" spans="2:7" x14ac:dyDescent="0.2">
      <c r="B657" s="230">
        <v>45035</v>
      </c>
      <c r="C657" s="124">
        <v>374.91</v>
      </c>
      <c r="D657" s="156">
        <f t="shared" si="11"/>
        <v>-3.8791614634534621E-3</v>
      </c>
      <c r="E657" s="156">
        <v>1.5460804444981361E-2</v>
      </c>
      <c r="G657" s="156"/>
    </row>
    <row r="658" spans="2:7" x14ac:dyDescent="0.2">
      <c r="B658" s="230">
        <v>45034</v>
      </c>
      <c r="C658" s="124">
        <v>374.68</v>
      </c>
      <c r="D658" s="156">
        <f t="shared" si="11"/>
        <v>-6.1348056866986252E-4</v>
      </c>
      <c r="E658" s="156">
        <v>1.5440163428191362E-2</v>
      </c>
      <c r="G658" s="156"/>
    </row>
    <row r="659" spans="2:7" x14ac:dyDescent="0.2">
      <c r="B659" s="230">
        <v>45033</v>
      </c>
      <c r="C659" s="124">
        <v>376.23</v>
      </c>
      <c r="D659" s="156">
        <f t="shared" si="11"/>
        <v>4.1368634568165136E-3</v>
      </c>
      <c r="E659" s="156">
        <v>1.5439246564767641E-2</v>
      </c>
      <c r="G659" s="156"/>
    </row>
    <row r="660" spans="2:7" x14ac:dyDescent="0.2">
      <c r="B660" s="230">
        <v>45029</v>
      </c>
      <c r="C660" s="124">
        <v>371.95</v>
      </c>
      <c r="D660" s="156">
        <f t="shared" si="11"/>
        <v>-1.1376019987773515E-2</v>
      </c>
      <c r="E660" s="156">
        <v>1.5435717076983263E-2</v>
      </c>
      <c r="G660" s="156"/>
    </row>
    <row r="661" spans="2:7" x14ac:dyDescent="0.2">
      <c r="B661" s="230">
        <v>45028</v>
      </c>
      <c r="C661" s="124">
        <v>370.02</v>
      </c>
      <c r="D661" s="156">
        <f t="shared" si="11"/>
        <v>-5.1888694717032047E-3</v>
      </c>
      <c r="E661" s="156">
        <v>1.5430008706587972E-2</v>
      </c>
      <c r="G661" s="156"/>
    </row>
    <row r="662" spans="2:7" x14ac:dyDescent="0.2">
      <c r="B662" s="230">
        <v>45027</v>
      </c>
      <c r="C662" s="124">
        <v>372.33</v>
      </c>
      <c r="D662" s="156">
        <f t="shared" si="11"/>
        <v>6.2429057888762837E-3</v>
      </c>
      <c r="E662" s="156">
        <v>1.5426228815350057E-2</v>
      </c>
      <c r="G662" s="156"/>
    </row>
    <row r="663" spans="2:7" x14ac:dyDescent="0.2">
      <c r="B663" s="230">
        <v>45026</v>
      </c>
      <c r="C663" s="124">
        <v>365.32</v>
      </c>
      <c r="D663" s="156">
        <f t="shared" si="11"/>
        <v>-1.8827384309617789E-2</v>
      </c>
      <c r="E663" s="156">
        <v>1.5418159165239203E-2</v>
      </c>
      <c r="G663" s="156"/>
    </row>
    <row r="664" spans="2:7" x14ac:dyDescent="0.2">
      <c r="B664" s="230">
        <v>45022</v>
      </c>
      <c r="C664" s="124">
        <v>364.19</v>
      </c>
      <c r="D664" s="156">
        <f t="shared" si="11"/>
        <v>-3.0931785831599568E-3</v>
      </c>
      <c r="E664" s="156">
        <v>1.5412511332728831E-2</v>
      </c>
      <c r="G664" s="156"/>
    </row>
    <row r="665" spans="2:7" x14ac:dyDescent="0.2">
      <c r="B665" s="230">
        <v>45021</v>
      </c>
      <c r="C665" s="124">
        <v>363.3</v>
      </c>
      <c r="D665" s="156">
        <f t="shared" si="11"/>
        <v>-2.44377934594576E-3</v>
      </c>
      <c r="E665" s="156">
        <v>1.5387433595896644E-2</v>
      </c>
      <c r="G665" s="156"/>
    </row>
    <row r="666" spans="2:7" x14ac:dyDescent="0.2">
      <c r="B666" s="230">
        <v>45019</v>
      </c>
      <c r="C666" s="124">
        <v>356.25</v>
      </c>
      <c r="D666" s="156">
        <f t="shared" si="11"/>
        <v>-1.9405450041288221E-2</v>
      </c>
      <c r="E666" s="156">
        <v>1.538461538461546E-2</v>
      </c>
      <c r="G666" s="156"/>
    </row>
    <row r="667" spans="2:7" x14ac:dyDescent="0.2">
      <c r="B667" s="230">
        <v>45016</v>
      </c>
      <c r="C667" s="124">
        <v>360.58</v>
      </c>
      <c r="D667" s="156">
        <f t="shared" si="11"/>
        <v>1.2154385964912235E-2</v>
      </c>
      <c r="E667" s="156">
        <v>1.5313653136531333E-2</v>
      </c>
      <c r="G667" s="156"/>
    </row>
    <row r="668" spans="2:7" x14ac:dyDescent="0.2">
      <c r="B668" s="230">
        <v>45014</v>
      </c>
      <c r="C668" s="124">
        <v>359.87</v>
      </c>
      <c r="D668" s="156">
        <f t="shared" si="11"/>
        <v>-1.9690498641077698E-3</v>
      </c>
      <c r="E668" s="156">
        <v>1.5306935955354746E-2</v>
      </c>
      <c r="G668" s="156"/>
    </row>
    <row r="669" spans="2:7" x14ac:dyDescent="0.2">
      <c r="B669" s="230">
        <v>45013</v>
      </c>
      <c r="C669" s="124">
        <v>357.05</v>
      </c>
      <c r="D669" s="156">
        <f t="shared" si="11"/>
        <v>-7.8361630588823557E-3</v>
      </c>
      <c r="E669" s="156">
        <v>1.5289058767319582E-2</v>
      </c>
      <c r="G669" s="156"/>
    </row>
    <row r="670" spans="2:7" x14ac:dyDescent="0.2">
      <c r="B670" s="230">
        <v>45012</v>
      </c>
      <c r="C670" s="124">
        <v>357.47</v>
      </c>
      <c r="D670" s="156">
        <f t="shared" si="11"/>
        <v>1.1763058395183193E-3</v>
      </c>
      <c r="E670" s="156">
        <v>1.5285731943471548E-2</v>
      </c>
      <c r="G670" s="156"/>
    </row>
    <row r="671" spans="2:7" x14ac:dyDescent="0.2">
      <c r="B671" s="230">
        <v>45009</v>
      </c>
      <c r="C671" s="124">
        <v>356.06</v>
      </c>
      <c r="D671" s="156">
        <f t="shared" si="11"/>
        <v>-3.9443869415615989E-3</v>
      </c>
      <c r="E671" s="156">
        <v>1.5280464216634385E-2</v>
      </c>
      <c r="G671" s="156"/>
    </row>
    <row r="672" spans="2:7" x14ac:dyDescent="0.2">
      <c r="B672" s="230">
        <v>45008</v>
      </c>
      <c r="C672" s="124">
        <v>357.89</v>
      </c>
      <c r="D672" s="156">
        <f t="shared" si="11"/>
        <v>5.1395832163118127E-3</v>
      </c>
      <c r="E672" s="156">
        <v>1.5279857731186758E-2</v>
      </c>
      <c r="G672" s="156"/>
    </row>
    <row r="673" spans="2:7" x14ac:dyDescent="0.2">
      <c r="B673" s="230">
        <v>45007</v>
      </c>
      <c r="C673" s="124">
        <v>355.17</v>
      </c>
      <c r="D673" s="156">
        <f t="shared" si="11"/>
        <v>-7.6001005895665443E-3</v>
      </c>
      <c r="E673" s="156">
        <v>1.5224913494809741E-2</v>
      </c>
      <c r="G673" s="156"/>
    </row>
    <row r="674" spans="2:7" x14ac:dyDescent="0.2">
      <c r="B674" s="230">
        <v>45006</v>
      </c>
      <c r="C674" s="124">
        <v>354.42</v>
      </c>
      <c r="D674" s="156">
        <f t="shared" si="11"/>
        <v>-2.1116648365571413E-3</v>
      </c>
      <c r="E674" s="156">
        <v>1.5218188485515188E-2</v>
      </c>
      <c r="G674" s="156"/>
    </row>
    <row r="675" spans="2:7" x14ac:dyDescent="0.2">
      <c r="B675" s="230">
        <v>45005</v>
      </c>
      <c r="C675" s="124">
        <v>356.16</v>
      </c>
      <c r="D675" s="156">
        <f t="shared" si="11"/>
        <v>4.9094294904351021E-3</v>
      </c>
      <c r="E675" s="156">
        <v>1.5211815689396066E-2</v>
      </c>
      <c r="G675" s="156"/>
    </row>
    <row r="676" spans="2:7" x14ac:dyDescent="0.2">
      <c r="B676" s="230">
        <v>45002</v>
      </c>
      <c r="C676" s="124">
        <v>353.1</v>
      </c>
      <c r="D676" s="156">
        <f t="shared" si="11"/>
        <v>-8.5916442048517578E-3</v>
      </c>
      <c r="E676" s="156">
        <v>1.5211152111521147E-2</v>
      </c>
      <c r="G676" s="156"/>
    </row>
    <row r="677" spans="2:7" x14ac:dyDescent="0.2">
      <c r="B677" s="230">
        <v>45001</v>
      </c>
      <c r="C677" s="124">
        <v>358.65</v>
      </c>
      <c r="D677" s="156">
        <f t="shared" si="11"/>
        <v>1.5717926932880075E-2</v>
      </c>
      <c r="E677" s="156">
        <v>1.5189533112285986E-2</v>
      </c>
      <c r="G677" s="156"/>
    </row>
    <row r="678" spans="2:7" x14ac:dyDescent="0.2">
      <c r="B678" s="230">
        <v>45000</v>
      </c>
      <c r="C678" s="124">
        <v>356.72</v>
      </c>
      <c r="D678" s="156">
        <f t="shared" si="11"/>
        <v>-5.3812909521816533E-3</v>
      </c>
      <c r="E678" s="156">
        <v>1.5161395500489071E-2</v>
      </c>
      <c r="G678" s="156"/>
    </row>
    <row r="679" spans="2:7" x14ac:dyDescent="0.2">
      <c r="B679" s="230">
        <v>44999</v>
      </c>
      <c r="C679" s="124">
        <v>357</v>
      </c>
      <c r="D679" s="156">
        <f t="shared" si="11"/>
        <v>7.8492935635785129E-4</v>
      </c>
      <c r="E679" s="156">
        <v>1.5132139812446767E-2</v>
      </c>
      <c r="G679" s="156"/>
    </row>
    <row r="680" spans="2:7" x14ac:dyDescent="0.2">
      <c r="B680" s="230">
        <v>44998</v>
      </c>
      <c r="C680" s="124">
        <v>360.72</v>
      </c>
      <c r="D680" s="156">
        <f t="shared" si="11"/>
        <v>1.0420168067226968E-2</v>
      </c>
      <c r="E680" s="156">
        <v>1.5131943162945277E-2</v>
      </c>
      <c r="G680" s="156"/>
    </row>
    <row r="681" spans="2:7" x14ac:dyDescent="0.2">
      <c r="B681" s="230">
        <v>44995</v>
      </c>
      <c r="C681" s="124">
        <v>364.81</v>
      </c>
      <c r="D681" s="156">
        <f t="shared" si="11"/>
        <v>1.1338434242625789E-2</v>
      </c>
      <c r="E681" s="156">
        <v>1.5086004323714671E-2</v>
      </c>
      <c r="G681" s="156"/>
    </row>
    <row r="682" spans="2:7" x14ac:dyDescent="0.2">
      <c r="B682" s="230">
        <v>44994</v>
      </c>
      <c r="C682" s="124">
        <v>364.33</v>
      </c>
      <c r="D682" s="156">
        <f t="shared" si="11"/>
        <v>-1.3157534058825641E-3</v>
      </c>
      <c r="E682" s="156">
        <v>1.5084294587400203E-2</v>
      </c>
      <c r="G682" s="156"/>
    </row>
    <row r="683" spans="2:7" x14ac:dyDescent="0.2">
      <c r="B683" s="230">
        <v>44993</v>
      </c>
      <c r="C683" s="124">
        <v>368.94</v>
      </c>
      <c r="D683" s="156">
        <f t="shared" si="11"/>
        <v>1.2653363708725643E-2</v>
      </c>
      <c r="E683" s="156">
        <v>1.5023076198549486E-2</v>
      </c>
      <c r="G683" s="156"/>
    </row>
    <row r="684" spans="2:7" x14ac:dyDescent="0.2">
      <c r="B684" s="230">
        <v>44991</v>
      </c>
      <c r="C684" s="124">
        <v>364.95</v>
      </c>
      <c r="D684" s="156">
        <f t="shared" si="11"/>
        <v>-1.0814766628720142E-2</v>
      </c>
      <c r="E684" s="156">
        <v>1.5019590770570385E-2</v>
      </c>
      <c r="G684" s="156"/>
    </row>
    <row r="685" spans="2:7" x14ac:dyDescent="0.2">
      <c r="B685" s="230">
        <v>44988</v>
      </c>
      <c r="C685" s="124">
        <v>361.94</v>
      </c>
      <c r="D685" s="156">
        <f t="shared" si="11"/>
        <v>-8.2477051650910842E-3</v>
      </c>
      <c r="E685" s="156">
        <v>1.5018246467670906E-2</v>
      </c>
      <c r="G685" s="156"/>
    </row>
    <row r="686" spans="2:7" x14ac:dyDescent="0.2">
      <c r="B686" s="230">
        <v>44987</v>
      </c>
      <c r="C686" s="124">
        <v>353.1</v>
      </c>
      <c r="D686" s="156">
        <f t="shared" si="11"/>
        <v>-2.4423937669226875E-2</v>
      </c>
      <c r="E686" s="156">
        <v>1.5010544597444513E-2</v>
      </c>
      <c r="G686" s="156"/>
    </row>
    <row r="687" spans="2:7" x14ac:dyDescent="0.2">
      <c r="B687" s="230">
        <v>44986</v>
      </c>
      <c r="C687" s="124">
        <v>356.06</v>
      </c>
      <c r="D687" s="156">
        <f t="shared" si="11"/>
        <v>8.3828943642027167E-3</v>
      </c>
      <c r="E687" s="156">
        <v>1.498244245025351E-2</v>
      </c>
      <c r="G687" s="156"/>
    </row>
    <row r="688" spans="2:7" x14ac:dyDescent="0.2">
      <c r="B688" s="230">
        <v>44985</v>
      </c>
      <c r="C688" s="124">
        <v>354.18</v>
      </c>
      <c r="D688" s="156">
        <f t="shared" si="11"/>
        <v>-5.2800089872493275E-3</v>
      </c>
      <c r="E688" s="156">
        <v>1.4958448753462646E-2</v>
      </c>
      <c r="G688" s="156"/>
    </row>
    <row r="689" spans="2:7" x14ac:dyDescent="0.2">
      <c r="B689" s="230">
        <v>44984</v>
      </c>
      <c r="C689" s="124">
        <v>359.35</v>
      </c>
      <c r="D689" s="156">
        <f t="shared" si="11"/>
        <v>1.4597097521034547E-2</v>
      </c>
      <c r="E689" s="156">
        <v>1.4948061819103202E-2</v>
      </c>
      <c r="G689" s="156"/>
    </row>
    <row r="690" spans="2:7" x14ac:dyDescent="0.2">
      <c r="B690" s="230">
        <v>44981</v>
      </c>
      <c r="C690" s="124">
        <v>362.08</v>
      </c>
      <c r="D690" s="156">
        <f t="shared" si="11"/>
        <v>7.59705022958108E-3</v>
      </c>
      <c r="E690" s="156">
        <v>1.4947161308749259E-2</v>
      </c>
      <c r="G690" s="156"/>
    </row>
    <row r="691" spans="2:7" x14ac:dyDescent="0.2">
      <c r="B691" s="230">
        <v>44980</v>
      </c>
      <c r="C691" s="124">
        <v>364.43</v>
      </c>
      <c r="D691" s="156">
        <f t="shared" si="11"/>
        <v>6.4902783915157499E-3</v>
      </c>
      <c r="E691" s="156">
        <v>1.494546923387639E-2</v>
      </c>
      <c r="G691" s="156"/>
    </row>
    <row r="692" spans="2:7" x14ac:dyDescent="0.2">
      <c r="B692" s="230">
        <v>44979</v>
      </c>
      <c r="C692" s="124">
        <v>360.9</v>
      </c>
      <c r="D692" s="156">
        <f t="shared" si="11"/>
        <v>-9.6863595203469238E-3</v>
      </c>
      <c r="E692" s="156">
        <v>1.492537313432828E-2</v>
      </c>
      <c r="G692" s="156"/>
    </row>
    <row r="693" spans="2:7" x14ac:dyDescent="0.2">
      <c r="B693" s="230">
        <v>44978</v>
      </c>
      <c r="C693" s="124">
        <v>359.4</v>
      </c>
      <c r="D693" s="156">
        <f t="shared" si="11"/>
        <v>-4.1562759767248547E-3</v>
      </c>
      <c r="E693" s="156">
        <v>1.491891891891887E-2</v>
      </c>
      <c r="G693" s="156"/>
    </row>
    <row r="694" spans="2:7" x14ac:dyDescent="0.2">
      <c r="B694" s="230">
        <v>44977</v>
      </c>
      <c r="C694" s="124">
        <v>361.09</v>
      </c>
      <c r="D694" s="156">
        <f t="shared" si="11"/>
        <v>4.7022815804117915E-3</v>
      </c>
      <c r="E694" s="156">
        <v>1.486876696978834E-2</v>
      </c>
      <c r="G694" s="156"/>
    </row>
    <row r="695" spans="2:7" x14ac:dyDescent="0.2">
      <c r="B695" s="230">
        <v>44974</v>
      </c>
      <c r="C695" s="124">
        <v>360.48</v>
      </c>
      <c r="D695" s="156">
        <f t="shared" si="11"/>
        <v>-1.6893295300339441E-3</v>
      </c>
      <c r="E695" s="156">
        <v>1.4856289660321084E-2</v>
      </c>
      <c r="G695" s="156"/>
    </row>
    <row r="696" spans="2:7" x14ac:dyDescent="0.2">
      <c r="B696" s="230">
        <v>44973</v>
      </c>
      <c r="C696" s="124">
        <v>359.68</v>
      </c>
      <c r="D696" s="156">
        <f t="shared" si="11"/>
        <v>-2.2192632046160988E-3</v>
      </c>
      <c r="E696" s="156">
        <v>1.4842300556586172E-2</v>
      </c>
      <c r="G696" s="156"/>
    </row>
    <row r="697" spans="2:7" x14ac:dyDescent="0.2">
      <c r="B697" s="230">
        <v>44972</v>
      </c>
      <c r="C697" s="124">
        <v>359.35</v>
      </c>
      <c r="D697" s="156">
        <f t="shared" si="11"/>
        <v>-9.1748220640564969E-4</v>
      </c>
      <c r="E697" s="156">
        <v>1.4814149757586692E-2</v>
      </c>
      <c r="G697" s="156"/>
    </row>
    <row r="698" spans="2:7" x14ac:dyDescent="0.2">
      <c r="B698" s="230">
        <v>44971</v>
      </c>
      <c r="C698" s="124">
        <v>363.35</v>
      </c>
      <c r="D698" s="156">
        <f t="shared" si="11"/>
        <v>1.1131209127591484E-2</v>
      </c>
      <c r="E698" s="156">
        <v>1.4808468975645674E-2</v>
      </c>
      <c r="G698" s="156"/>
    </row>
    <row r="699" spans="2:7" x14ac:dyDescent="0.2">
      <c r="B699" s="230">
        <v>44970</v>
      </c>
      <c r="C699" s="124">
        <v>351.83</v>
      </c>
      <c r="D699" s="156">
        <f t="shared" si="11"/>
        <v>-3.1704967662033956E-2</v>
      </c>
      <c r="E699" s="156">
        <v>1.4802232467847527E-2</v>
      </c>
      <c r="G699" s="156"/>
    </row>
    <row r="700" spans="2:7" x14ac:dyDescent="0.2">
      <c r="B700" s="230">
        <v>44967</v>
      </c>
      <c r="C700" s="124">
        <v>349.15</v>
      </c>
      <c r="D700" s="156">
        <f t="shared" si="11"/>
        <v>-7.6173151806270267E-3</v>
      </c>
      <c r="E700" s="156">
        <v>1.4800088358736445E-2</v>
      </c>
      <c r="G700" s="156"/>
    </row>
    <row r="701" spans="2:7" x14ac:dyDescent="0.2">
      <c r="B701" s="230">
        <v>44966</v>
      </c>
      <c r="C701" s="124">
        <v>351.88</v>
      </c>
      <c r="D701" s="156">
        <f t="shared" si="11"/>
        <v>7.8189889732207321E-3</v>
      </c>
      <c r="E701" s="156">
        <v>1.4796067361043472E-2</v>
      </c>
      <c r="G701" s="156"/>
    </row>
    <row r="702" spans="2:7" x14ac:dyDescent="0.2">
      <c r="B702" s="230">
        <v>44965</v>
      </c>
      <c r="C702" s="124">
        <v>353.1</v>
      </c>
      <c r="D702" s="156">
        <f t="shared" ref="D702:D765" si="12">(C702-C701)/C701</f>
        <v>3.4670910537684075E-3</v>
      </c>
      <c r="E702" s="156">
        <v>1.4793507294020935E-2</v>
      </c>
      <c r="G702" s="156"/>
    </row>
    <row r="703" spans="2:7" x14ac:dyDescent="0.2">
      <c r="B703" s="230">
        <v>44964</v>
      </c>
      <c r="C703" s="124">
        <v>350.94</v>
      </c>
      <c r="D703" s="156">
        <f t="shared" si="12"/>
        <v>-6.117247238742636E-3</v>
      </c>
      <c r="E703" s="156">
        <v>1.4750378214826151E-2</v>
      </c>
      <c r="G703" s="156"/>
    </row>
    <row r="704" spans="2:7" x14ac:dyDescent="0.2">
      <c r="B704" s="230">
        <v>44963</v>
      </c>
      <c r="C704" s="124">
        <v>360.48</v>
      </c>
      <c r="D704" s="156">
        <f t="shared" si="12"/>
        <v>2.7184134040006896E-2</v>
      </c>
      <c r="E704" s="156">
        <v>1.4748690083446496E-2</v>
      </c>
      <c r="G704" s="156"/>
    </row>
    <row r="705" spans="2:7" x14ac:dyDescent="0.2">
      <c r="B705" s="230">
        <v>44960</v>
      </c>
      <c r="C705" s="124">
        <v>357.89</v>
      </c>
      <c r="D705" s="156">
        <f t="shared" si="12"/>
        <v>-7.1848646249446065E-3</v>
      </c>
      <c r="E705" s="156">
        <v>1.472803347280339E-2</v>
      </c>
      <c r="G705" s="156"/>
    </row>
    <row r="706" spans="2:7" x14ac:dyDescent="0.2">
      <c r="B706" s="230">
        <v>44959</v>
      </c>
      <c r="C706" s="124">
        <v>355.97</v>
      </c>
      <c r="D706" s="156">
        <f t="shared" si="12"/>
        <v>-5.3647768867527987E-3</v>
      </c>
      <c r="E706" s="156">
        <v>1.4673834083975086E-2</v>
      </c>
      <c r="G706" s="156"/>
    </row>
    <row r="707" spans="2:7" x14ac:dyDescent="0.2">
      <c r="B707" s="230">
        <v>44958</v>
      </c>
      <c r="C707" s="124">
        <v>339.8</v>
      </c>
      <c r="D707" s="156">
        <f t="shared" si="12"/>
        <v>-4.5425176278899949E-2</v>
      </c>
      <c r="E707" s="156">
        <v>1.4668133480014747E-2</v>
      </c>
      <c r="G707" s="156"/>
    </row>
    <row r="708" spans="2:7" x14ac:dyDescent="0.2">
      <c r="B708" s="230">
        <v>44957</v>
      </c>
      <c r="C708" s="124">
        <v>331.29</v>
      </c>
      <c r="D708" s="156">
        <f t="shared" si="12"/>
        <v>-2.5044143613890495E-2</v>
      </c>
      <c r="E708" s="156">
        <v>1.4667106130520774E-2</v>
      </c>
      <c r="G708" s="156"/>
    </row>
    <row r="709" spans="2:7" x14ac:dyDescent="0.2">
      <c r="B709" s="230">
        <v>44956</v>
      </c>
      <c r="C709" s="124">
        <v>324.19</v>
      </c>
      <c r="D709" s="156">
        <f t="shared" si="12"/>
        <v>-2.1431374324609925E-2</v>
      </c>
      <c r="E709" s="156">
        <v>1.4661391668606031E-2</v>
      </c>
      <c r="G709" s="156"/>
    </row>
    <row r="710" spans="2:7" x14ac:dyDescent="0.2">
      <c r="B710" s="230">
        <v>44953</v>
      </c>
      <c r="C710" s="124">
        <v>325.32</v>
      </c>
      <c r="D710" s="156">
        <f t="shared" si="12"/>
        <v>3.4856102902618693E-3</v>
      </c>
      <c r="E710" s="156">
        <v>1.4619883040935672E-2</v>
      </c>
      <c r="G710" s="156"/>
    </row>
    <row r="711" spans="2:7" x14ac:dyDescent="0.2">
      <c r="B711" s="230">
        <v>44951</v>
      </c>
      <c r="C711" s="124">
        <v>318.97000000000003</v>
      </c>
      <c r="D711" s="156">
        <f t="shared" si="12"/>
        <v>-1.9519242591909399E-2</v>
      </c>
      <c r="E711" s="156">
        <v>1.4613025437488767E-2</v>
      </c>
      <c r="G711" s="156"/>
    </row>
    <row r="712" spans="2:7" x14ac:dyDescent="0.2">
      <c r="B712" s="230">
        <v>44950</v>
      </c>
      <c r="C712" s="124">
        <v>318.69</v>
      </c>
      <c r="D712" s="156">
        <f t="shared" si="12"/>
        <v>-8.7782550083089178E-4</v>
      </c>
      <c r="E712" s="156">
        <v>1.4600477833820017E-2</v>
      </c>
      <c r="G712" s="156"/>
    </row>
    <row r="713" spans="2:7" x14ac:dyDescent="0.2">
      <c r="B713" s="230">
        <v>44949</v>
      </c>
      <c r="C713" s="124">
        <v>317.56</v>
      </c>
      <c r="D713" s="156">
        <f t="shared" si="12"/>
        <v>-3.5457654774231871E-3</v>
      </c>
      <c r="E713" s="156">
        <v>1.4597097521034547E-2</v>
      </c>
      <c r="G713" s="156"/>
    </row>
    <row r="714" spans="2:7" x14ac:dyDescent="0.2">
      <c r="B714" s="230">
        <v>44946</v>
      </c>
      <c r="C714" s="124">
        <v>314.60000000000002</v>
      </c>
      <c r="D714" s="156">
        <f t="shared" si="12"/>
        <v>-9.3210731830204677E-3</v>
      </c>
      <c r="E714" s="156">
        <v>1.4514328247115764E-2</v>
      </c>
      <c r="G714" s="156"/>
    </row>
    <row r="715" spans="2:7" x14ac:dyDescent="0.2">
      <c r="B715" s="230">
        <v>44945</v>
      </c>
      <c r="C715" s="124">
        <v>312.29000000000002</v>
      </c>
      <c r="D715" s="156">
        <f t="shared" si="12"/>
        <v>-7.3426573426573494E-3</v>
      </c>
      <c r="E715" s="156">
        <v>1.4502336242616556E-2</v>
      </c>
      <c r="G715" s="156"/>
    </row>
    <row r="716" spans="2:7" x14ac:dyDescent="0.2">
      <c r="B716" s="230">
        <v>44944</v>
      </c>
      <c r="C716" s="124">
        <v>314.64</v>
      </c>
      <c r="D716" s="156">
        <f t="shared" si="12"/>
        <v>7.5250568381951578E-3</v>
      </c>
      <c r="E716" s="156">
        <v>1.448732651485009E-2</v>
      </c>
      <c r="G716" s="156"/>
    </row>
    <row r="717" spans="2:7" x14ac:dyDescent="0.2">
      <c r="B717" s="230">
        <v>44943</v>
      </c>
      <c r="C717" s="124">
        <v>312.39</v>
      </c>
      <c r="D717" s="156">
        <f t="shared" si="12"/>
        <v>-7.1510297482837533E-3</v>
      </c>
      <c r="E717" s="156">
        <v>1.4475271411338898E-2</v>
      </c>
      <c r="G717" s="156"/>
    </row>
    <row r="718" spans="2:7" x14ac:dyDescent="0.2">
      <c r="B718" s="230">
        <v>44942</v>
      </c>
      <c r="C718" s="124">
        <v>310.45999999999998</v>
      </c>
      <c r="D718" s="156">
        <f t="shared" si="12"/>
        <v>-6.1781747175005822E-3</v>
      </c>
      <c r="E718" s="156">
        <v>1.4468442021388203E-2</v>
      </c>
      <c r="G718" s="156"/>
    </row>
    <row r="719" spans="2:7" x14ac:dyDescent="0.2">
      <c r="B719" s="230">
        <v>44939</v>
      </c>
      <c r="C719" s="124">
        <v>309.10000000000002</v>
      </c>
      <c r="D719" s="156">
        <f t="shared" si="12"/>
        <v>-4.3805965341749565E-3</v>
      </c>
      <c r="E719" s="156">
        <v>1.4461931093151874E-2</v>
      </c>
      <c r="G719" s="156"/>
    </row>
    <row r="720" spans="2:7" x14ac:dyDescent="0.2">
      <c r="B720" s="230">
        <v>44938</v>
      </c>
      <c r="C720" s="124">
        <v>310.13</v>
      </c>
      <c r="D720" s="156">
        <f t="shared" si="12"/>
        <v>3.3322549336783328E-3</v>
      </c>
      <c r="E720" s="156">
        <v>1.4409221902017291E-2</v>
      </c>
      <c r="G720" s="156"/>
    </row>
    <row r="721" spans="2:7" x14ac:dyDescent="0.2">
      <c r="B721" s="230">
        <v>44937</v>
      </c>
      <c r="C721" s="124">
        <v>311.95999999999998</v>
      </c>
      <c r="D721" s="156">
        <f t="shared" si="12"/>
        <v>5.9007512978427887E-3</v>
      </c>
      <c r="E721" s="156">
        <v>1.4402560455191948E-2</v>
      </c>
      <c r="G721" s="156"/>
    </row>
    <row r="722" spans="2:7" x14ac:dyDescent="0.2">
      <c r="B722" s="230">
        <v>44936</v>
      </c>
      <c r="C722" s="124">
        <v>313.47000000000003</v>
      </c>
      <c r="D722" s="156">
        <f t="shared" si="12"/>
        <v>4.8403641492500574E-3</v>
      </c>
      <c r="E722" s="156">
        <v>1.4400643604183477E-2</v>
      </c>
      <c r="G722" s="156"/>
    </row>
    <row r="723" spans="2:7" x14ac:dyDescent="0.2">
      <c r="B723" s="230">
        <v>44935</v>
      </c>
      <c r="C723" s="124">
        <v>317.83999999999997</v>
      </c>
      <c r="D723" s="156">
        <f t="shared" si="12"/>
        <v>1.3940727980348828E-2</v>
      </c>
      <c r="E723" s="156">
        <v>1.4392324093816673E-2</v>
      </c>
      <c r="G723" s="156"/>
    </row>
    <row r="724" spans="2:7" x14ac:dyDescent="0.2">
      <c r="B724" s="230">
        <v>44932</v>
      </c>
      <c r="C724" s="124">
        <v>315.02</v>
      </c>
      <c r="D724" s="156">
        <f t="shared" si="12"/>
        <v>-8.8723886232066236E-3</v>
      </c>
      <c r="E724" s="156">
        <v>1.4386136995259039E-2</v>
      </c>
      <c r="G724" s="156"/>
    </row>
    <row r="725" spans="2:7" x14ac:dyDescent="0.2">
      <c r="B725" s="230">
        <v>44931</v>
      </c>
      <c r="C725" s="124">
        <v>313.52</v>
      </c>
      <c r="D725" s="156">
        <f t="shared" si="12"/>
        <v>-4.7616024379404489E-3</v>
      </c>
      <c r="E725" s="156">
        <v>1.4384236453201908E-2</v>
      </c>
      <c r="G725" s="156"/>
    </row>
    <row r="726" spans="2:7" x14ac:dyDescent="0.2">
      <c r="B726" s="230">
        <v>44930</v>
      </c>
      <c r="C726" s="124">
        <v>307.45</v>
      </c>
      <c r="D726" s="156">
        <f t="shared" si="12"/>
        <v>-1.9360806328144915E-2</v>
      </c>
      <c r="E726" s="156">
        <v>1.4380124831722083E-2</v>
      </c>
      <c r="G726" s="156"/>
    </row>
    <row r="727" spans="2:7" x14ac:dyDescent="0.2">
      <c r="B727" s="230">
        <v>44929</v>
      </c>
      <c r="C727" s="124">
        <v>311.31</v>
      </c>
      <c r="D727" s="156">
        <f t="shared" si="12"/>
        <v>1.2554886973491669E-2</v>
      </c>
      <c r="E727" s="156">
        <v>1.4345583494519674E-2</v>
      </c>
      <c r="G727" s="156"/>
    </row>
    <row r="728" spans="2:7" x14ac:dyDescent="0.2">
      <c r="B728" s="230">
        <v>44928</v>
      </c>
      <c r="C728" s="124">
        <v>312.95</v>
      </c>
      <c r="D728" s="156">
        <f t="shared" si="12"/>
        <v>5.2680607754328045E-3</v>
      </c>
      <c r="E728" s="156">
        <v>1.4311449159327388E-2</v>
      </c>
      <c r="G728" s="156"/>
    </row>
    <row r="729" spans="2:7" x14ac:dyDescent="0.2">
      <c r="B729" s="230">
        <v>44925</v>
      </c>
      <c r="C729" s="124">
        <v>311.73</v>
      </c>
      <c r="D729" s="156">
        <f t="shared" si="12"/>
        <v>-3.8983863236937864E-3</v>
      </c>
      <c r="E729" s="156">
        <v>1.430951680878167E-2</v>
      </c>
      <c r="G729" s="156"/>
    </row>
    <row r="730" spans="2:7" x14ac:dyDescent="0.2">
      <c r="B730" s="230">
        <v>44924</v>
      </c>
      <c r="C730" s="124">
        <v>315.3</v>
      </c>
      <c r="D730" s="156">
        <f t="shared" si="12"/>
        <v>1.1452218265806925E-2</v>
      </c>
      <c r="E730" s="156">
        <v>1.4281864726488848E-2</v>
      </c>
      <c r="G730" s="156"/>
    </row>
    <row r="731" spans="2:7" x14ac:dyDescent="0.2">
      <c r="B731" s="230">
        <v>44923</v>
      </c>
      <c r="C731" s="124">
        <v>314.41000000000003</v>
      </c>
      <c r="D731" s="156">
        <f t="shared" si="12"/>
        <v>-2.8227085315572038E-3</v>
      </c>
      <c r="E731" s="156">
        <v>1.4259597806215638E-2</v>
      </c>
      <c r="G731" s="156"/>
    </row>
    <row r="732" spans="2:7" x14ac:dyDescent="0.2">
      <c r="B732" s="230">
        <v>44922</v>
      </c>
      <c r="C732" s="124">
        <v>313.23</v>
      </c>
      <c r="D732" s="156">
        <f t="shared" si="12"/>
        <v>-3.7530612893992136E-3</v>
      </c>
      <c r="E732" s="156">
        <v>1.4253526645768009E-2</v>
      </c>
      <c r="G732" s="156"/>
    </row>
    <row r="733" spans="2:7" x14ac:dyDescent="0.2">
      <c r="B733" s="230">
        <v>44921</v>
      </c>
      <c r="C733" s="124">
        <v>314.60000000000002</v>
      </c>
      <c r="D733" s="156">
        <f t="shared" si="12"/>
        <v>4.3737828432781163E-3</v>
      </c>
      <c r="E733" s="156">
        <v>1.423825344091125E-2</v>
      </c>
      <c r="G733" s="156"/>
    </row>
    <row r="734" spans="2:7" x14ac:dyDescent="0.2">
      <c r="B734" s="230">
        <v>44918</v>
      </c>
      <c r="C734" s="124">
        <v>307.17</v>
      </c>
      <c r="D734" s="156">
        <f t="shared" si="12"/>
        <v>-2.3617291799110002E-2</v>
      </c>
      <c r="E734" s="156">
        <v>1.4222658165767491E-2</v>
      </c>
      <c r="G734" s="156"/>
    </row>
    <row r="735" spans="2:7" x14ac:dyDescent="0.2">
      <c r="B735" s="230">
        <v>44917</v>
      </c>
      <c r="C735" s="124">
        <v>312.58</v>
      </c>
      <c r="D735" s="156">
        <f t="shared" si="12"/>
        <v>1.7612397043982056E-2</v>
      </c>
      <c r="E735" s="156">
        <v>1.4214801444043218E-2</v>
      </c>
      <c r="G735" s="156"/>
    </row>
    <row r="736" spans="2:7" x14ac:dyDescent="0.2">
      <c r="B736" s="230">
        <v>44916</v>
      </c>
      <c r="C736" s="124">
        <v>315.11</v>
      </c>
      <c r="D736" s="156">
        <f t="shared" si="12"/>
        <v>8.0939279544437574E-3</v>
      </c>
      <c r="E736" s="156">
        <v>1.4211886304909641E-2</v>
      </c>
      <c r="G736" s="156"/>
    </row>
    <row r="737" spans="2:7" x14ac:dyDescent="0.2">
      <c r="B737" s="230">
        <v>44915</v>
      </c>
      <c r="C737" s="124">
        <v>319.82</v>
      </c>
      <c r="D737" s="156">
        <f t="shared" si="12"/>
        <v>1.4947161308749259E-2</v>
      </c>
      <c r="E737" s="156">
        <v>1.4211095948426004E-2</v>
      </c>
      <c r="G737" s="156"/>
    </row>
    <row r="738" spans="2:7" x14ac:dyDescent="0.2">
      <c r="B738" s="230">
        <v>44914</v>
      </c>
      <c r="C738" s="124">
        <v>320.14</v>
      </c>
      <c r="D738" s="156">
        <f t="shared" si="12"/>
        <v>1.0005628165843073E-3</v>
      </c>
      <c r="E738" s="156">
        <v>1.4202600958247869E-2</v>
      </c>
      <c r="G738" s="156"/>
    </row>
    <row r="739" spans="2:7" x14ac:dyDescent="0.2">
      <c r="B739" s="230">
        <v>44911</v>
      </c>
      <c r="C739" s="124">
        <v>333.05</v>
      </c>
      <c r="D739" s="156">
        <f t="shared" si="12"/>
        <v>4.0326107328044064E-2</v>
      </c>
      <c r="E739" s="156">
        <v>1.419499439671271E-2</v>
      </c>
      <c r="G739" s="156"/>
    </row>
    <row r="740" spans="2:7" x14ac:dyDescent="0.2">
      <c r="B740" s="230">
        <v>44910</v>
      </c>
      <c r="C740" s="124">
        <v>336.77</v>
      </c>
      <c r="D740" s="156">
        <f t="shared" si="12"/>
        <v>1.1169494069959377E-2</v>
      </c>
      <c r="E740" s="156">
        <v>1.4164305949008499E-2</v>
      </c>
      <c r="G740" s="156"/>
    </row>
    <row r="741" spans="2:7" x14ac:dyDescent="0.2">
      <c r="B741" s="230">
        <v>44909</v>
      </c>
      <c r="C741" s="124">
        <v>343.29</v>
      </c>
      <c r="D741" s="156">
        <f t="shared" si="12"/>
        <v>1.9360394334412327E-2</v>
      </c>
      <c r="E741" s="156">
        <v>1.4160485502360107E-2</v>
      </c>
      <c r="G741" s="156"/>
    </row>
    <row r="742" spans="2:7" x14ac:dyDescent="0.2">
      <c r="B742" s="230">
        <v>44908</v>
      </c>
      <c r="C742" s="124">
        <v>343.48</v>
      </c>
      <c r="D742" s="156">
        <f t="shared" si="12"/>
        <v>5.5346791342595974E-4</v>
      </c>
      <c r="E742" s="156">
        <v>1.4160156249999889E-2</v>
      </c>
      <c r="G742" s="156"/>
    </row>
    <row r="743" spans="2:7" x14ac:dyDescent="0.2">
      <c r="B743" s="230">
        <v>44907</v>
      </c>
      <c r="C743" s="124">
        <v>341.1</v>
      </c>
      <c r="D743" s="156">
        <f t="shared" si="12"/>
        <v>-6.9290788401071253E-3</v>
      </c>
      <c r="E743" s="156">
        <v>1.4127468293466157E-2</v>
      </c>
      <c r="G743" s="156"/>
    </row>
    <row r="744" spans="2:7" x14ac:dyDescent="0.2">
      <c r="B744" s="230">
        <v>44904</v>
      </c>
      <c r="C744" s="124">
        <v>339.31</v>
      </c>
      <c r="D744" s="156">
        <f t="shared" si="12"/>
        <v>-5.2477279390208747E-3</v>
      </c>
      <c r="E744" s="156">
        <v>1.412066752246474E-2</v>
      </c>
      <c r="G744" s="156"/>
    </row>
    <row r="745" spans="2:7" x14ac:dyDescent="0.2">
      <c r="B745" s="230">
        <v>44903</v>
      </c>
      <c r="C745" s="124">
        <v>336.33</v>
      </c>
      <c r="D745" s="156">
        <f t="shared" si="12"/>
        <v>-8.7825292505379106E-3</v>
      </c>
      <c r="E745" s="156">
        <v>1.4116575591985533E-2</v>
      </c>
      <c r="G745" s="156"/>
    </row>
    <row r="746" spans="2:7" x14ac:dyDescent="0.2">
      <c r="B746" s="230">
        <v>44902</v>
      </c>
      <c r="C746" s="124">
        <v>338.02</v>
      </c>
      <c r="D746" s="156">
        <f t="shared" si="12"/>
        <v>5.024826807005018E-3</v>
      </c>
      <c r="E746" s="156">
        <v>1.4096488030137277E-2</v>
      </c>
      <c r="G746" s="156"/>
    </row>
    <row r="747" spans="2:7" x14ac:dyDescent="0.2">
      <c r="B747" s="230">
        <v>44901</v>
      </c>
      <c r="C747" s="124">
        <v>335.23</v>
      </c>
      <c r="D747" s="156">
        <f t="shared" si="12"/>
        <v>-8.2539494704454291E-3</v>
      </c>
      <c r="E747" s="156">
        <v>1.4087832520069196E-2</v>
      </c>
      <c r="G747" s="156"/>
    </row>
    <row r="748" spans="2:7" x14ac:dyDescent="0.2">
      <c r="B748" s="230">
        <v>44900</v>
      </c>
      <c r="C748" s="124">
        <v>334.69</v>
      </c>
      <c r="D748" s="156">
        <f t="shared" si="12"/>
        <v>-1.6108343525341421E-3</v>
      </c>
      <c r="E748" s="156">
        <v>1.4079129480265301E-2</v>
      </c>
      <c r="G748" s="156"/>
    </row>
    <row r="749" spans="2:7" x14ac:dyDescent="0.2">
      <c r="B749" s="230">
        <v>44897</v>
      </c>
      <c r="C749" s="124">
        <v>335.09</v>
      </c>
      <c r="D749" s="156">
        <f t="shared" si="12"/>
        <v>1.1951357973049009E-3</v>
      </c>
      <c r="E749" s="156">
        <v>1.4074323998650348E-2</v>
      </c>
      <c r="G749" s="156"/>
    </row>
    <row r="750" spans="2:7" x14ac:dyDescent="0.2">
      <c r="B750" s="230">
        <v>44896</v>
      </c>
      <c r="C750" s="124">
        <v>337.47</v>
      </c>
      <c r="D750" s="156">
        <f t="shared" si="12"/>
        <v>7.1025694589514831E-3</v>
      </c>
      <c r="E750" s="156">
        <v>1.4059228238109449E-2</v>
      </c>
      <c r="G750" s="156"/>
    </row>
    <row r="751" spans="2:7" x14ac:dyDescent="0.2">
      <c r="B751" s="230">
        <v>44895</v>
      </c>
      <c r="C751" s="124">
        <v>337.92</v>
      </c>
      <c r="D751" s="156">
        <f t="shared" si="12"/>
        <v>1.333451862387734E-3</v>
      </c>
      <c r="E751" s="156">
        <v>1.4023545706371231E-2</v>
      </c>
      <c r="G751" s="156"/>
    </row>
    <row r="752" spans="2:7" x14ac:dyDescent="0.2">
      <c r="B752" s="230">
        <v>44894</v>
      </c>
      <c r="C752" s="124">
        <v>340.2</v>
      </c>
      <c r="D752" s="156">
        <f t="shared" si="12"/>
        <v>6.7471590909090095E-3</v>
      </c>
      <c r="E752" s="156">
        <v>1.4004767580452885E-2</v>
      </c>
      <c r="G752" s="156"/>
    </row>
    <row r="753" spans="2:7" x14ac:dyDescent="0.2">
      <c r="B753" s="230">
        <v>44893</v>
      </c>
      <c r="C753" s="124">
        <v>337.97</v>
      </c>
      <c r="D753" s="156">
        <f t="shared" si="12"/>
        <v>-6.5549676660786637E-3</v>
      </c>
      <c r="E753" s="156">
        <v>1.4001473839351554E-2</v>
      </c>
      <c r="G753" s="156"/>
    </row>
    <row r="754" spans="2:7" x14ac:dyDescent="0.2">
      <c r="B754" s="230">
        <v>44890</v>
      </c>
      <c r="C754" s="124">
        <v>338.22</v>
      </c>
      <c r="D754" s="156">
        <f t="shared" si="12"/>
        <v>7.3971062520342037E-4</v>
      </c>
      <c r="E754" s="156">
        <v>1.3965381589299809E-2</v>
      </c>
      <c r="G754" s="156"/>
    </row>
    <row r="755" spans="2:7" x14ac:dyDescent="0.2">
      <c r="B755" s="230">
        <v>44889</v>
      </c>
      <c r="C755" s="124">
        <v>338.66</v>
      </c>
      <c r="D755" s="156">
        <f t="shared" si="12"/>
        <v>1.3009283898054453E-3</v>
      </c>
      <c r="E755" s="156">
        <v>1.3961162584084202E-2</v>
      </c>
      <c r="G755" s="156"/>
    </row>
    <row r="756" spans="2:7" x14ac:dyDescent="0.2">
      <c r="B756" s="230">
        <v>44888</v>
      </c>
      <c r="C756" s="124">
        <v>337.72</v>
      </c>
      <c r="D756" s="156">
        <f t="shared" si="12"/>
        <v>-2.7756451898659352E-3</v>
      </c>
      <c r="E756" s="156">
        <v>1.3955726660250131E-2</v>
      </c>
      <c r="G756" s="156"/>
    </row>
    <row r="757" spans="2:7" x14ac:dyDescent="0.2">
      <c r="B757" s="230">
        <v>44887</v>
      </c>
      <c r="C757" s="124">
        <v>338.17</v>
      </c>
      <c r="D757" s="156">
        <f t="shared" si="12"/>
        <v>1.3324647637095481E-3</v>
      </c>
      <c r="E757" s="156">
        <v>1.3952240407834689E-2</v>
      </c>
      <c r="G757" s="156"/>
    </row>
    <row r="758" spans="2:7" x14ac:dyDescent="0.2">
      <c r="B758" s="230">
        <v>44886</v>
      </c>
      <c r="C758" s="124">
        <v>335.14</v>
      </c>
      <c r="D758" s="156">
        <f t="shared" si="12"/>
        <v>-8.9599905373038101E-3</v>
      </c>
      <c r="E758" s="156">
        <v>1.3940727980348828E-2</v>
      </c>
      <c r="G758" s="156"/>
    </row>
    <row r="759" spans="2:7" x14ac:dyDescent="0.2">
      <c r="B759" s="230">
        <v>44883</v>
      </c>
      <c r="C759" s="124">
        <v>338.96</v>
      </c>
      <c r="D759" s="156">
        <f t="shared" si="12"/>
        <v>1.1398221638718127E-2</v>
      </c>
      <c r="E759" s="156">
        <v>1.3913844736235807E-2</v>
      </c>
      <c r="G759" s="156"/>
    </row>
    <row r="760" spans="2:7" x14ac:dyDescent="0.2">
      <c r="B760" s="230">
        <v>44882</v>
      </c>
      <c r="C760" s="124">
        <v>341.6</v>
      </c>
      <c r="D760" s="156">
        <f t="shared" si="12"/>
        <v>7.7885296200142888E-3</v>
      </c>
      <c r="E760" s="156">
        <v>1.3897743210506045E-2</v>
      </c>
      <c r="G760" s="156"/>
    </row>
    <row r="761" spans="2:7" x14ac:dyDescent="0.2">
      <c r="B761" s="230">
        <v>44881</v>
      </c>
      <c r="C761" s="124">
        <v>341.99</v>
      </c>
      <c r="D761" s="156">
        <f t="shared" si="12"/>
        <v>1.1416861826697492E-3</v>
      </c>
      <c r="E761" s="156">
        <v>1.3873330461008181E-2</v>
      </c>
      <c r="G761" s="156"/>
    </row>
    <row r="762" spans="2:7" x14ac:dyDescent="0.2">
      <c r="B762" s="230">
        <v>44880</v>
      </c>
      <c r="C762" s="124">
        <v>343.14</v>
      </c>
      <c r="D762" s="156">
        <f t="shared" si="12"/>
        <v>3.3626714231409609E-3</v>
      </c>
      <c r="E762" s="156">
        <v>1.3869511694706705E-2</v>
      </c>
      <c r="G762" s="156"/>
    </row>
    <row r="763" spans="2:7" x14ac:dyDescent="0.2">
      <c r="B763" s="230">
        <v>44879</v>
      </c>
      <c r="C763" s="124">
        <v>345.07</v>
      </c>
      <c r="D763" s="156">
        <f t="shared" si="12"/>
        <v>5.6245264323599902E-3</v>
      </c>
      <c r="E763" s="156">
        <v>1.3854930725346279E-2</v>
      </c>
      <c r="G763" s="156"/>
    </row>
    <row r="764" spans="2:7" x14ac:dyDescent="0.2">
      <c r="B764" s="230">
        <v>44876</v>
      </c>
      <c r="C764" s="124">
        <v>354.17</v>
      </c>
      <c r="D764" s="156">
        <f t="shared" si="12"/>
        <v>2.6371460863013368E-2</v>
      </c>
      <c r="E764" s="156">
        <v>1.3808018632507042E-2</v>
      </c>
      <c r="G764" s="156"/>
    </row>
    <row r="765" spans="2:7" x14ac:dyDescent="0.2">
      <c r="B765" s="230">
        <v>44875</v>
      </c>
      <c r="C765" s="124">
        <v>353.82</v>
      </c>
      <c r="D765" s="156">
        <f t="shared" si="12"/>
        <v>-9.8822599316718729E-4</v>
      </c>
      <c r="E765" s="156">
        <v>1.3798823706831428E-2</v>
      </c>
      <c r="G765" s="156"/>
    </row>
    <row r="766" spans="2:7" x14ac:dyDescent="0.2">
      <c r="B766" s="230">
        <v>44874</v>
      </c>
      <c r="C766" s="124">
        <v>358.49</v>
      </c>
      <c r="D766" s="156">
        <f t="shared" ref="D766:D829" si="13">(C766-C765)/C765</f>
        <v>1.3198801650556825E-2</v>
      </c>
      <c r="E766" s="156">
        <v>1.3783418287735388E-2</v>
      </c>
      <c r="G766" s="156"/>
    </row>
    <row r="767" spans="2:7" x14ac:dyDescent="0.2">
      <c r="B767" s="230">
        <v>44872</v>
      </c>
      <c r="C767" s="124">
        <v>351.34</v>
      </c>
      <c r="D767" s="156">
        <f t="shared" si="13"/>
        <v>-1.9944768333844832E-2</v>
      </c>
      <c r="E767" s="156">
        <v>1.3779709608804301E-2</v>
      </c>
      <c r="G767" s="156"/>
    </row>
    <row r="768" spans="2:7" x14ac:dyDescent="0.2">
      <c r="B768" s="230">
        <v>44869</v>
      </c>
      <c r="C768" s="124">
        <v>351.43</v>
      </c>
      <c r="D768" s="156">
        <f t="shared" si="13"/>
        <v>2.5616212216096043E-4</v>
      </c>
      <c r="E768" s="156">
        <v>1.3779623747862169E-2</v>
      </c>
      <c r="G768" s="156"/>
    </row>
    <row r="769" spans="2:7" x14ac:dyDescent="0.2">
      <c r="B769" s="230">
        <v>44868</v>
      </c>
      <c r="C769" s="124">
        <v>351.53</v>
      </c>
      <c r="D769" s="156">
        <f t="shared" si="13"/>
        <v>2.8455168881417607E-4</v>
      </c>
      <c r="E769" s="156">
        <v>1.3710368466152478E-2</v>
      </c>
      <c r="G769" s="156"/>
    </row>
    <row r="770" spans="2:7" x14ac:dyDescent="0.2">
      <c r="B770" s="230">
        <v>44867</v>
      </c>
      <c r="C770" s="124">
        <v>352.48</v>
      </c>
      <c r="D770" s="156">
        <f t="shared" si="13"/>
        <v>2.70247205074971E-3</v>
      </c>
      <c r="E770" s="156">
        <v>1.3659676027014664E-2</v>
      </c>
      <c r="G770" s="156"/>
    </row>
    <row r="771" spans="2:7" x14ac:dyDescent="0.2">
      <c r="B771" s="230">
        <v>44866</v>
      </c>
      <c r="C771" s="124">
        <v>347.36</v>
      </c>
      <c r="D771" s="156">
        <f t="shared" si="13"/>
        <v>-1.4525646845211088E-2</v>
      </c>
      <c r="E771" s="156">
        <v>1.3657853265627755E-2</v>
      </c>
      <c r="G771" s="156"/>
    </row>
    <row r="772" spans="2:7" x14ac:dyDescent="0.2">
      <c r="B772" s="230">
        <v>44865</v>
      </c>
      <c r="C772" s="124">
        <v>346.57</v>
      </c>
      <c r="D772" s="156">
        <f t="shared" si="13"/>
        <v>-2.2742975587287553E-3</v>
      </c>
      <c r="E772" s="156">
        <v>1.3651030032266072E-2</v>
      </c>
      <c r="G772" s="156"/>
    </row>
    <row r="773" spans="2:7" x14ac:dyDescent="0.2">
      <c r="B773" s="230">
        <v>44862</v>
      </c>
      <c r="C773" s="124">
        <v>343.68</v>
      </c>
      <c r="D773" s="156">
        <f t="shared" si="13"/>
        <v>-8.3388637216146415E-3</v>
      </c>
      <c r="E773" s="156">
        <v>1.3609612555174098E-2</v>
      </c>
      <c r="G773" s="156"/>
    </row>
    <row r="774" spans="2:7" x14ac:dyDescent="0.2">
      <c r="B774" s="230">
        <v>44861</v>
      </c>
      <c r="C774" s="124">
        <v>343.68</v>
      </c>
      <c r="D774" s="156">
        <f t="shared" si="13"/>
        <v>0</v>
      </c>
      <c r="E774" s="156">
        <v>1.3579957855303101E-2</v>
      </c>
      <c r="G774" s="156"/>
    </row>
    <row r="775" spans="2:7" x14ac:dyDescent="0.2">
      <c r="B775" s="230">
        <v>44859</v>
      </c>
      <c r="C775" s="124">
        <v>344.18</v>
      </c>
      <c r="D775" s="156">
        <f t="shared" si="13"/>
        <v>1.4548417132216015E-3</v>
      </c>
      <c r="E775" s="156">
        <v>1.3554216867469904E-2</v>
      </c>
      <c r="G775" s="156"/>
    </row>
    <row r="776" spans="2:7" x14ac:dyDescent="0.2">
      <c r="B776" s="230">
        <v>44858</v>
      </c>
      <c r="C776" s="124">
        <v>345.57</v>
      </c>
      <c r="D776" s="156">
        <f t="shared" si="13"/>
        <v>4.0385844616188807E-3</v>
      </c>
      <c r="E776" s="156">
        <v>1.3535977202564683E-2</v>
      </c>
      <c r="G776" s="156"/>
    </row>
    <row r="777" spans="2:7" x14ac:dyDescent="0.2">
      <c r="B777" s="230">
        <v>44855</v>
      </c>
      <c r="C777" s="124">
        <v>343.48</v>
      </c>
      <c r="D777" s="156">
        <f t="shared" si="13"/>
        <v>-6.0479787018548345E-3</v>
      </c>
      <c r="E777" s="156">
        <v>1.3534218590398248E-2</v>
      </c>
      <c r="G777" s="156"/>
    </row>
    <row r="778" spans="2:7" x14ac:dyDescent="0.2">
      <c r="B778" s="230">
        <v>44854</v>
      </c>
      <c r="C778" s="124">
        <v>347.56</v>
      </c>
      <c r="D778" s="156">
        <f t="shared" si="13"/>
        <v>1.1878420868755048E-2</v>
      </c>
      <c r="E778" s="156">
        <v>1.3533020570191266E-2</v>
      </c>
      <c r="G778" s="156"/>
    </row>
    <row r="779" spans="2:7" x14ac:dyDescent="0.2">
      <c r="B779" s="230">
        <v>44853</v>
      </c>
      <c r="C779" s="124">
        <v>344.23</v>
      </c>
      <c r="D779" s="156">
        <f t="shared" si="13"/>
        <v>-9.5810795258372203E-3</v>
      </c>
      <c r="E779" s="156">
        <v>1.3494062612450524E-2</v>
      </c>
      <c r="G779" s="156"/>
    </row>
    <row r="780" spans="2:7" x14ac:dyDescent="0.2">
      <c r="B780" s="230">
        <v>44852</v>
      </c>
      <c r="C780" s="124">
        <v>338.22</v>
      </c>
      <c r="D780" s="156">
        <f t="shared" si="13"/>
        <v>-1.7459256892194144E-2</v>
      </c>
      <c r="E780" s="156">
        <v>1.3492499085254378E-2</v>
      </c>
      <c r="G780" s="156"/>
    </row>
    <row r="781" spans="2:7" x14ac:dyDescent="0.2">
      <c r="B781" s="230">
        <v>44851</v>
      </c>
      <c r="C781" s="124">
        <v>330.22</v>
      </c>
      <c r="D781" s="156">
        <f t="shared" si="13"/>
        <v>-2.3653243451008218E-2</v>
      </c>
      <c r="E781" s="156">
        <v>1.3484899141870038E-2</v>
      </c>
      <c r="G781" s="156"/>
    </row>
    <row r="782" spans="2:7" x14ac:dyDescent="0.2">
      <c r="B782" s="230">
        <v>44848</v>
      </c>
      <c r="C782" s="124">
        <v>330.07</v>
      </c>
      <c r="D782" s="156">
        <f t="shared" si="13"/>
        <v>-4.5424262612813907E-4</v>
      </c>
      <c r="E782" s="156">
        <v>1.3474314587816952E-2</v>
      </c>
      <c r="G782" s="156"/>
    </row>
    <row r="783" spans="2:7" x14ac:dyDescent="0.2">
      <c r="B783" s="230">
        <v>44847</v>
      </c>
      <c r="C783" s="124">
        <v>326.64</v>
      </c>
      <c r="D783" s="156">
        <f t="shared" si="13"/>
        <v>-1.0391735086496824E-2</v>
      </c>
      <c r="E783" s="156">
        <v>1.3469044157036959E-2</v>
      </c>
      <c r="G783" s="156"/>
    </row>
    <row r="784" spans="2:7" x14ac:dyDescent="0.2">
      <c r="B784" s="230">
        <v>44846</v>
      </c>
      <c r="C784" s="124">
        <v>328.08</v>
      </c>
      <c r="D784" s="156">
        <f t="shared" si="13"/>
        <v>4.4085231447465031E-3</v>
      </c>
      <c r="E784" s="156">
        <v>1.3429034498726584E-2</v>
      </c>
      <c r="G784" s="156"/>
    </row>
    <row r="785" spans="2:7" x14ac:dyDescent="0.2">
      <c r="B785" s="230">
        <v>44845</v>
      </c>
      <c r="C785" s="124">
        <v>324.3</v>
      </c>
      <c r="D785" s="156">
        <f t="shared" si="13"/>
        <v>-1.1521580102413963E-2</v>
      </c>
      <c r="E785" s="156">
        <v>1.3422818791946281E-2</v>
      </c>
      <c r="G785" s="156"/>
    </row>
    <row r="786" spans="2:7" x14ac:dyDescent="0.2">
      <c r="B786" s="230">
        <v>44844</v>
      </c>
      <c r="C786" s="124">
        <v>325.83999999999997</v>
      </c>
      <c r="D786" s="156">
        <f t="shared" si="13"/>
        <v>4.7486894850445995E-3</v>
      </c>
      <c r="E786" s="156">
        <v>1.3407441016333866E-2</v>
      </c>
      <c r="G786" s="156"/>
    </row>
    <row r="787" spans="2:7" x14ac:dyDescent="0.2">
      <c r="B787" s="230">
        <v>44841</v>
      </c>
      <c r="C787" s="124">
        <v>332.05</v>
      </c>
      <c r="D787" s="156">
        <f t="shared" si="13"/>
        <v>1.9058433587036697E-2</v>
      </c>
      <c r="E787" s="156">
        <v>1.3381995133820006E-2</v>
      </c>
      <c r="G787" s="156"/>
    </row>
    <row r="788" spans="2:7" x14ac:dyDescent="0.2">
      <c r="B788" s="230">
        <v>44840</v>
      </c>
      <c r="C788" s="124">
        <v>334.59</v>
      </c>
      <c r="D788" s="156">
        <f t="shared" si="13"/>
        <v>7.6494503839782063E-3</v>
      </c>
      <c r="E788" s="156">
        <v>1.3361611876988391E-2</v>
      </c>
      <c r="G788" s="156"/>
    </row>
    <row r="789" spans="2:7" x14ac:dyDescent="0.2">
      <c r="B789" s="230">
        <v>44838</v>
      </c>
      <c r="C789" s="124">
        <v>330.81</v>
      </c>
      <c r="D789" s="156">
        <f t="shared" si="13"/>
        <v>-1.1297408768941012E-2</v>
      </c>
      <c r="E789" s="156">
        <v>1.3357307988697633E-2</v>
      </c>
      <c r="G789" s="156"/>
    </row>
    <row r="790" spans="2:7" x14ac:dyDescent="0.2">
      <c r="B790" s="230">
        <v>44837</v>
      </c>
      <c r="C790" s="124">
        <v>322.41000000000003</v>
      </c>
      <c r="D790" s="156">
        <f t="shared" si="13"/>
        <v>-2.5392219098576155E-2</v>
      </c>
      <c r="E790" s="156">
        <v>1.3324222753672624E-2</v>
      </c>
      <c r="G790" s="156"/>
    </row>
    <row r="791" spans="2:7" x14ac:dyDescent="0.2">
      <c r="B791" s="230">
        <v>44834</v>
      </c>
      <c r="C791" s="124">
        <v>330.17</v>
      </c>
      <c r="D791" s="156">
        <f t="shared" si="13"/>
        <v>2.4068732359418102E-2</v>
      </c>
      <c r="E791" s="156">
        <v>1.3322723655791648E-2</v>
      </c>
      <c r="G791" s="156"/>
    </row>
    <row r="792" spans="2:7" x14ac:dyDescent="0.2">
      <c r="B792" s="230">
        <v>44833</v>
      </c>
      <c r="C792" s="124">
        <v>331.01</v>
      </c>
      <c r="D792" s="156">
        <f t="shared" si="13"/>
        <v>2.5441439258563009E-3</v>
      </c>
      <c r="E792" s="156">
        <v>1.3321873657069081E-2</v>
      </c>
      <c r="G792" s="156"/>
    </row>
    <row r="793" spans="2:7" x14ac:dyDescent="0.2">
      <c r="B793" s="230">
        <v>44832</v>
      </c>
      <c r="C793" s="124">
        <v>322.95999999999998</v>
      </c>
      <c r="D793" s="156">
        <f t="shared" si="13"/>
        <v>-2.4319506963535881E-2</v>
      </c>
      <c r="E793" s="156">
        <v>1.3311148086522548E-2</v>
      </c>
      <c r="G793" s="156"/>
    </row>
    <row r="794" spans="2:7" x14ac:dyDescent="0.2">
      <c r="B794" s="230">
        <v>44831</v>
      </c>
      <c r="C794" s="124">
        <v>332.8</v>
      </c>
      <c r="D794" s="156">
        <f t="shared" si="13"/>
        <v>3.0468169432747189E-2</v>
      </c>
      <c r="E794" s="156">
        <v>1.3310607905202505E-2</v>
      </c>
      <c r="G794" s="156"/>
    </row>
    <row r="795" spans="2:7" x14ac:dyDescent="0.2">
      <c r="B795" s="230">
        <v>44830</v>
      </c>
      <c r="C795" s="124">
        <v>330.56</v>
      </c>
      <c r="D795" s="156">
        <f t="shared" si="13"/>
        <v>-6.730769230769258E-3</v>
      </c>
      <c r="E795" s="156">
        <v>1.330724070450089E-2</v>
      </c>
      <c r="G795" s="156"/>
    </row>
    <row r="796" spans="2:7" x14ac:dyDescent="0.2">
      <c r="B796" s="230">
        <v>44827</v>
      </c>
      <c r="C796" s="124">
        <v>344.28</v>
      </c>
      <c r="D796" s="156">
        <f t="shared" si="13"/>
        <v>4.150532429816061E-2</v>
      </c>
      <c r="E796" s="156">
        <v>1.3295261889890329E-2</v>
      </c>
      <c r="G796" s="156"/>
    </row>
    <row r="797" spans="2:7" x14ac:dyDescent="0.2">
      <c r="B797" s="230">
        <v>44826</v>
      </c>
      <c r="C797" s="124">
        <v>342.94</v>
      </c>
      <c r="D797" s="156">
        <f t="shared" si="13"/>
        <v>-3.8921807830834643E-3</v>
      </c>
      <c r="E797" s="156">
        <v>1.3291634089132046E-2</v>
      </c>
      <c r="G797" s="156"/>
    </row>
    <row r="798" spans="2:7" x14ac:dyDescent="0.2">
      <c r="B798" s="230">
        <v>44825</v>
      </c>
      <c r="C798" s="124">
        <v>338.86</v>
      </c>
      <c r="D798" s="156">
        <f t="shared" si="13"/>
        <v>-1.189712486149176E-2</v>
      </c>
      <c r="E798" s="156">
        <v>1.3288387317406804E-2</v>
      </c>
      <c r="G798" s="156"/>
    </row>
    <row r="799" spans="2:7" x14ac:dyDescent="0.2">
      <c r="B799" s="230">
        <v>44824</v>
      </c>
      <c r="C799" s="124">
        <v>333.94</v>
      </c>
      <c r="D799" s="156">
        <f t="shared" si="13"/>
        <v>-1.45192704951898E-2</v>
      </c>
      <c r="E799" s="156">
        <v>1.328777524677297E-2</v>
      </c>
      <c r="G799" s="156"/>
    </row>
    <row r="800" spans="2:7" x14ac:dyDescent="0.2">
      <c r="B800" s="230">
        <v>44823</v>
      </c>
      <c r="C800" s="124">
        <v>333.55</v>
      </c>
      <c r="D800" s="156">
        <f t="shared" si="13"/>
        <v>-1.1678744684673484E-3</v>
      </c>
      <c r="E800" s="156">
        <v>1.3280827735310008E-2</v>
      </c>
      <c r="G800" s="156"/>
    </row>
    <row r="801" spans="2:7" x14ac:dyDescent="0.2">
      <c r="B801" s="230">
        <v>44820</v>
      </c>
      <c r="C801" s="124">
        <v>329.27</v>
      </c>
      <c r="D801" s="156">
        <f t="shared" si="13"/>
        <v>-1.2831659421376193E-2</v>
      </c>
      <c r="E801" s="156">
        <v>1.3269749118805674E-2</v>
      </c>
      <c r="G801" s="156"/>
    </row>
    <row r="802" spans="2:7" x14ac:dyDescent="0.2">
      <c r="B802" s="230">
        <v>44819</v>
      </c>
      <c r="C802" s="124">
        <v>332.05</v>
      </c>
      <c r="D802" s="156">
        <f t="shared" si="13"/>
        <v>8.442919184863576E-3</v>
      </c>
      <c r="E802" s="156">
        <v>1.3255599877263118E-2</v>
      </c>
      <c r="G802" s="156"/>
    </row>
    <row r="803" spans="2:7" x14ac:dyDescent="0.2">
      <c r="B803" s="230">
        <v>44818</v>
      </c>
      <c r="C803" s="124">
        <v>333.3</v>
      </c>
      <c r="D803" s="156">
        <f t="shared" si="13"/>
        <v>3.7644932992019274E-3</v>
      </c>
      <c r="E803" s="156">
        <v>1.3237427466150857E-2</v>
      </c>
      <c r="G803" s="156"/>
    </row>
    <row r="804" spans="2:7" x14ac:dyDescent="0.2">
      <c r="B804" s="230">
        <v>44817</v>
      </c>
      <c r="C804" s="124">
        <v>332.35</v>
      </c>
      <c r="D804" s="156">
        <f t="shared" si="13"/>
        <v>-2.8502850285028161E-3</v>
      </c>
      <c r="E804" s="156">
        <v>1.3213722875500104E-2</v>
      </c>
      <c r="G804" s="156"/>
    </row>
    <row r="805" spans="2:7" x14ac:dyDescent="0.2">
      <c r="B805" s="230">
        <v>44816</v>
      </c>
      <c r="C805" s="124">
        <v>328.87</v>
      </c>
      <c r="D805" s="156">
        <f t="shared" si="13"/>
        <v>-1.0470889122912646E-2</v>
      </c>
      <c r="E805" s="156">
        <v>1.3204225352112678E-2</v>
      </c>
      <c r="G805" s="156"/>
    </row>
    <row r="806" spans="2:7" x14ac:dyDescent="0.2">
      <c r="B806" s="230">
        <v>44813</v>
      </c>
      <c r="C806" s="124">
        <v>328.48</v>
      </c>
      <c r="D806" s="156">
        <f t="shared" si="13"/>
        <v>-1.1858789187216418E-3</v>
      </c>
      <c r="E806" s="156">
        <v>1.3198801650556825E-2</v>
      </c>
      <c r="G806" s="156"/>
    </row>
    <row r="807" spans="2:7" x14ac:dyDescent="0.2">
      <c r="B807" s="230">
        <v>44812</v>
      </c>
      <c r="C807" s="124">
        <v>327.88</v>
      </c>
      <c r="D807" s="156">
        <f t="shared" si="13"/>
        <v>-1.8265952264978772E-3</v>
      </c>
      <c r="E807" s="156">
        <v>1.3198384460044258E-2</v>
      </c>
      <c r="G807" s="156"/>
    </row>
    <row r="808" spans="2:7" x14ac:dyDescent="0.2">
      <c r="B808" s="230">
        <v>44811</v>
      </c>
      <c r="C808" s="124">
        <v>324.10000000000002</v>
      </c>
      <c r="D808" s="156">
        <f t="shared" si="13"/>
        <v>-1.1528608027326987E-2</v>
      </c>
      <c r="E808" s="156">
        <v>1.3162988772744782E-2</v>
      </c>
      <c r="G808" s="156"/>
    </row>
    <row r="809" spans="2:7" x14ac:dyDescent="0.2">
      <c r="B809" s="230">
        <v>44810</v>
      </c>
      <c r="C809" s="124">
        <v>325.14999999999998</v>
      </c>
      <c r="D809" s="156">
        <f t="shared" si="13"/>
        <v>3.2397408207342007E-3</v>
      </c>
      <c r="E809" s="156">
        <v>1.3160780872998339E-2</v>
      </c>
      <c r="G809" s="156"/>
    </row>
    <row r="810" spans="2:7" x14ac:dyDescent="0.2">
      <c r="B810" s="230">
        <v>44809</v>
      </c>
      <c r="C810" s="124">
        <v>326.83999999999997</v>
      </c>
      <c r="D810" s="156">
        <f t="shared" si="13"/>
        <v>5.1976011071812947E-3</v>
      </c>
      <c r="E810" s="156">
        <v>1.3137592029272978E-2</v>
      </c>
      <c r="G810" s="156"/>
    </row>
    <row r="811" spans="2:7" x14ac:dyDescent="0.2">
      <c r="B811" s="230">
        <v>44806</v>
      </c>
      <c r="C811" s="124">
        <v>321.17</v>
      </c>
      <c r="D811" s="156">
        <f t="shared" si="13"/>
        <v>-1.7347937828906985E-2</v>
      </c>
      <c r="E811" s="156">
        <v>1.3116370808678484E-2</v>
      </c>
      <c r="G811" s="156"/>
    </row>
    <row r="812" spans="2:7" x14ac:dyDescent="0.2">
      <c r="B812" s="230">
        <v>44805</v>
      </c>
      <c r="C812" s="124">
        <v>315.64999999999998</v>
      </c>
      <c r="D812" s="156">
        <f t="shared" si="13"/>
        <v>-1.7187159448267392E-2</v>
      </c>
      <c r="E812" s="156">
        <v>1.3102282333051539E-2</v>
      </c>
      <c r="G812" s="156"/>
    </row>
    <row r="813" spans="2:7" x14ac:dyDescent="0.2">
      <c r="B813" s="230">
        <v>44803</v>
      </c>
      <c r="C813" s="124">
        <v>318.54000000000002</v>
      </c>
      <c r="D813" s="156">
        <f t="shared" si="13"/>
        <v>9.1557104387772637E-3</v>
      </c>
      <c r="E813" s="156">
        <v>1.3089509143407035E-2</v>
      </c>
      <c r="G813" s="156"/>
    </row>
    <row r="814" spans="2:7" x14ac:dyDescent="0.2">
      <c r="B814" s="230">
        <v>44802</v>
      </c>
      <c r="C814" s="124">
        <v>311.63</v>
      </c>
      <c r="D814" s="156">
        <f t="shared" si="13"/>
        <v>-2.1692723048910734E-2</v>
      </c>
      <c r="E814" s="156">
        <v>1.3070725156669594E-2</v>
      </c>
      <c r="G814" s="156"/>
    </row>
    <row r="815" spans="2:7" x14ac:dyDescent="0.2">
      <c r="B815" s="230">
        <v>44799</v>
      </c>
      <c r="C815" s="124">
        <v>310.98</v>
      </c>
      <c r="D815" s="156">
        <f t="shared" si="13"/>
        <v>-2.0858068863715859E-3</v>
      </c>
      <c r="E815" s="156">
        <v>1.3059033989266619E-2</v>
      </c>
      <c r="G815" s="156"/>
    </row>
    <row r="816" spans="2:7" x14ac:dyDescent="0.2">
      <c r="B816" s="230">
        <v>44798</v>
      </c>
      <c r="C816" s="124">
        <v>310.44</v>
      </c>
      <c r="D816" s="156">
        <f t="shared" si="13"/>
        <v>-1.7364460737025547E-3</v>
      </c>
      <c r="E816" s="156">
        <v>1.3054363376251706E-2</v>
      </c>
      <c r="G816" s="156"/>
    </row>
    <row r="817" spans="2:7" x14ac:dyDescent="0.2">
      <c r="B817" s="230">
        <v>44797</v>
      </c>
      <c r="C817" s="124">
        <v>312.18</v>
      </c>
      <c r="D817" s="156">
        <f t="shared" si="13"/>
        <v>5.6049478160031217E-3</v>
      </c>
      <c r="E817" s="156">
        <v>1.3052506674577209E-2</v>
      </c>
      <c r="G817" s="156"/>
    </row>
    <row r="818" spans="2:7" x14ac:dyDescent="0.2">
      <c r="B818" s="230">
        <v>44796</v>
      </c>
      <c r="C818" s="124">
        <v>313.97000000000003</v>
      </c>
      <c r="D818" s="156">
        <f t="shared" si="13"/>
        <v>5.733871484400091E-3</v>
      </c>
      <c r="E818" s="156">
        <v>1.3044303197040129E-2</v>
      </c>
      <c r="G818" s="156"/>
    </row>
    <row r="819" spans="2:7" x14ac:dyDescent="0.2">
      <c r="B819" s="230">
        <v>44795</v>
      </c>
      <c r="C819" s="124">
        <v>312.48</v>
      </c>
      <c r="D819" s="156">
        <f t="shared" si="13"/>
        <v>-4.7456763385037076E-3</v>
      </c>
      <c r="E819" s="156">
        <v>1.3030219018575094E-2</v>
      </c>
      <c r="G819" s="156"/>
    </row>
    <row r="820" spans="2:7" x14ac:dyDescent="0.2">
      <c r="B820" s="230">
        <v>44792</v>
      </c>
      <c r="C820" s="124">
        <v>310.08999999999997</v>
      </c>
      <c r="D820" s="156">
        <f t="shared" si="13"/>
        <v>-7.6484895033283509E-3</v>
      </c>
      <c r="E820" s="156">
        <v>1.301832208293157E-2</v>
      </c>
      <c r="G820" s="156"/>
    </row>
    <row r="821" spans="2:7" x14ac:dyDescent="0.2">
      <c r="B821" s="230">
        <v>44791</v>
      </c>
      <c r="C821" s="124">
        <v>313.72000000000003</v>
      </c>
      <c r="D821" s="156">
        <f t="shared" si="13"/>
        <v>1.1706278822277573E-2</v>
      </c>
      <c r="E821" s="156">
        <v>1.3010053222944936E-2</v>
      </c>
      <c r="G821" s="156"/>
    </row>
    <row r="822" spans="2:7" x14ac:dyDescent="0.2">
      <c r="B822" s="230">
        <v>44790</v>
      </c>
      <c r="C822" s="124">
        <v>310.64</v>
      </c>
      <c r="D822" s="156">
        <f t="shared" si="13"/>
        <v>-9.8176718092567918E-3</v>
      </c>
      <c r="E822" s="156">
        <v>1.2995863884188828E-2</v>
      </c>
      <c r="G822" s="156"/>
    </row>
    <row r="823" spans="2:7" x14ac:dyDescent="0.2">
      <c r="B823" s="230">
        <v>44789</v>
      </c>
      <c r="C823" s="124">
        <v>308.64999999999998</v>
      </c>
      <c r="D823" s="156">
        <f t="shared" si="13"/>
        <v>-6.406129281483419E-3</v>
      </c>
      <c r="E823" s="156">
        <v>1.2993356779992167E-2</v>
      </c>
      <c r="G823" s="156"/>
    </row>
    <row r="824" spans="2:7" x14ac:dyDescent="0.2">
      <c r="B824" s="230">
        <v>44785</v>
      </c>
      <c r="C824" s="124">
        <v>306.66000000000003</v>
      </c>
      <c r="D824" s="156">
        <f t="shared" si="13"/>
        <v>-6.4474323667583098E-3</v>
      </c>
      <c r="E824" s="156">
        <v>1.2972271769093562E-2</v>
      </c>
      <c r="G824" s="156"/>
    </row>
    <row r="825" spans="2:7" x14ac:dyDescent="0.2">
      <c r="B825" s="230">
        <v>44784</v>
      </c>
      <c r="C825" s="124">
        <v>304.38</v>
      </c>
      <c r="D825" s="156">
        <f t="shared" si="13"/>
        <v>-7.4349442379183115E-3</v>
      </c>
      <c r="E825" s="156">
        <v>1.2968299711815541E-2</v>
      </c>
      <c r="G825" s="156"/>
    </row>
    <row r="826" spans="2:7" x14ac:dyDescent="0.2">
      <c r="B826" s="230">
        <v>44783</v>
      </c>
      <c r="C826" s="124">
        <v>309.3</v>
      </c>
      <c r="D826" s="156">
        <f t="shared" si="13"/>
        <v>1.6164005519416571E-2</v>
      </c>
      <c r="E826" s="156">
        <v>1.2966287652104528E-2</v>
      </c>
      <c r="G826" s="156"/>
    </row>
    <row r="827" spans="2:7" x14ac:dyDescent="0.2">
      <c r="B827" s="230">
        <v>44781</v>
      </c>
      <c r="C827" s="124">
        <v>311.23</v>
      </c>
      <c r="D827" s="156">
        <f t="shared" si="13"/>
        <v>6.2398965405755149E-3</v>
      </c>
      <c r="E827" s="156">
        <v>1.2964677867442648E-2</v>
      </c>
      <c r="G827" s="156"/>
    </row>
    <row r="828" spans="2:7" x14ac:dyDescent="0.2">
      <c r="B828" s="230">
        <v>44778</v>
      </c>
      <c r="C828" s="124">
        <v>308.95</v>
      </c>
      <c r="D828" s="156">
        <f t="shared" si="13"/>
        <v>-7.3257719371526827E-3</v>
      </c>
      <c r="E828" s="156">
        <v>1.2957533339638611E-2</v>
      </c>
      <c r="G828" s="156"/>
    </row>
    <row r="829" spans="2:7" x14ac:dyDescent="0.2">
      <c r="B829" s="230">
        <v>44777</v>
      </c>
      <c r="C829" s="124">
        <v>307.61</v>
      </c>
      <c r="D829" s="156">
        <f t="shared" si="13"/>
        <v>-4.3372714031395861E-3</v>
      </c>
      <c r="E829" s="156">
        <v>1.2914798206278109E-2</v>
      </c>
      <c r="G829" s="156"/>
    </row>
    <row r="830" spans="2:7" x14ac:dyDescent="0.2">
      <c r="B830" s="230">
        <v>44776</v>
      </c>
      <c r="C830" s="124">
        <v>306.26</v>
      </c>
      <c r="D830" s="156">
        <f t="shared" ref="D830:D893" si="14">(C830-C829)/C829</f>
        <v>-4.3886739702871259E-3</v>
      </c>
      <c r="E830" s="156">
        <v>1.2830635609948677E-2</v>
      </c>
      <c r="G830" s="156"/>
    </row>
    <row r="831" spans="2:7" x14ac:dyDescent="0.2">
      <c r="B831" s="230">
        <v>44775</v>
      </c>
      <c r="C831" s="124">
        <v>308.05</v>
      </c>
      <c r="D831" s="156">
        <f t="shared" si="14"/>
        <v>5.844707111604586E-3</v>
      </c>
      <c r="E831" s="156">
        <v>1.2820512820512792E-2</v>
      </c>
      <c r="G831" s="156"/>
    </row>
    <row r="832" spans="2:7" x14ac:dyDescent="0.2">
      <c r="B832" s="230">
        <v>44774</v>
      </c>
      <c r="C832" s="124">
        <v>305.62</v>
      </c>
      <c r="D832" s="156">
        <f t="shared" si="14"/>
        <v>-7.8883298165882375E-3</v>
      </c>
      <c r="E832" s="156">
        <v>1.2808303971050365E-2</v>
      </c>
      <c r="G832" s="156"/>
    </row>
    <row r="833" spans="2:7" x14ac:dyDescent="0.2">
      <c r="B833" s="230">
        <v>44771</v>
      </c>
      <c r="C833" s="124">
        <v>301.19</v>
      </c>
      <c r="D833" s="156">
        <f t="shared" si="14"/>
        <v>-1.4495124664616213E-2</v>
      </c>
      <c r="E833" s="156">
        <v>1.2806911185207621E-2</v>
      </c>
      <c r="G833" s="156"/>
    </row>
    <row r="834" spans="2:7" x14ac:dyDescent="0.2">
      <c r="B834" s="230">
        <v>44770</v>
      </c>
      <c r="C834" s="124">
        <v>301.58999999999997</v>
      </c>
      <c r="D834" s="156">
        <f t="shared" si="14"/>
        <v>1.3280653408146927E-3</v>
      </c>
      <c r="E834" s="156">
        <v>1.277955271565483E-2</v>
      </c>
      <c r="G834" s="156"/>
    </row>
    <row r="835" spans="2:7" x14ac:dyDescent="0.2">
      <c r="B835" s="230">
        <v>44769</v>
      </c>
      <c r="C835" s="124">
        <v>302.29000000000002</v>
      </c>
      <c r="D835" s="156">
        <f t="shared" si="14"/>
        <v>2.3210318644518902E-3</v>
      </c>
      <c r="E835" s="156">
        <v>1.2771133184674693E-2</v>
      </c>
      <c r="G835" s="156"/>
    </row>
    <row r="836" spans="2:7" x14ac:dyDescent="0.2">
      <c r="B836" s="230">
        <v>44768</v>
      </c>
      <c r="C836" s="124">
        <v>300.60000000000002</v>
      </c>
      <c r="D836" s="156">
        <f t="shared" si="14"/>
        <v>-5.5906579774388752E-3</v>
      </c>
      <c r="E836" s="156">
        <v>1.2732070929209685E-2</v>
      </c>
      <c r="G836" s="156"/>
    </row>
    <row r="837" spans="2:7" x14ac:dyDescent="0.2">
      <c r="B837" s="230">
        <v>44767</v>
      </c>
      <c r="C837" s="124">
        <v>299.26</v>
      </c>
      <c r="D837" s="156">
        <f t="shared" si="14"/>
        <v>-4.4577511643380963E-3</v>
      </c>
      <c r="E837" s="156">
        <v>1.2722231283640442E-2</v>
      </c>
      <c r="G837" s="156"/>
    </row>
    <row r="838" spans="2:7" x14ac:dyDescent="0.2">
      <c r="B838" s="230">
        <v>44764</v>
      </c>
      <c r="C838" s="124">
        <v>298.70999999999998</v>
      </c>
      <c r="D838" s="156">
        <f t="shared" si="14"/>
        <v>-1.837866737953657E-3</v>
      </c>
      <c r="E838" s="156">
        <v>1.2714370195150791E-2</v>
      </c>
      <c r="G838" s="156"/>
    </row>
    <row r="839" spans="2:7" x14ac:dyDescent="0.2">
      <c r="B839" s="230">
        <v>44763</v>
      </c>
      <c r="C839" s="124">
        <v>297.72000000000003</v>
      </c>
      <c r="D839" s="156">
        <f t="shared" si="14"/>
        <v>-3.3142512805060171E-3</v>
      </c>
      <c r="E839" s="156">
        <v>1.2692656391659111E-2</v>
      </c>
      <c r="G839" s="156"/>
    </row>
    <row r="840" spans="2:7" x14ac:dyDescent="0.2">
      <c r="B840" s="230">
        <v>44762</v>
      </c>
      <c r="C840" s="124">
        <v>296.37</v>
      </c>
      <c r="D840" s="156">
        <f t="shared" si="14"/>
        <v>-4.5344619105200275E-3</v>
      </c>
      <c r="E840" s="156">
        <v>1.2683578104138954E-2</v>
      </c>
      <c r="G840" s="156"/>
    </row>
    <row r="841" spans="2:7" x14ac:dyDescent="0.2">
      <c r="B841" s="230">
        <v>44761</v>
      </c>
      <c r="C841" s="124">
        <v>292.8</v>
      </c>
      <c r="D841" s="156">
        <f t="shared" si="14"/>
        <v>-1.2045753618787304E-2</v>
      </c>
      <c r="E841" s="156">
        <v>1.2675363032242129E-2</v>
      </c>
      <c r="G841" s="156"/>
    </row>
    <row r="842" spans="2:7" x14ac:dyDescent="0.2">
      <c r="B842" s="230">
        <v>44760</v>
      </c>
      <c r="C842" s="124">
        <v>293.49</v>
      </c>
      <c r="D842" s="156">
        <f t="shared" si="14"/>
        <v>2.3565573770491723E-3</v>
      </c>
      <c r="E842" s="156">
        <v>1.2653363708725643E-2</v>
      </c>
      <c r="G842" s="156"/>
    </row>
    <row r="843" spans="2:7" x14ac:dyDescent="0.2">
      <c r="B843" s="230">
        <v>44757</v>
      </c>
      <c r="C843" s="124">
        <v>291.75</v>
      </c>
      <c r="D843" s="156">
        <f t="shared" si="14"/>
        <v>-5.9286517428192072E-3</v>
      </c>
      <c r="E843" s="156">
        <v>1.2635700302544952E-2</v>
      </c>
      <c r="G843" s="156"/>
    </row>
    <row r="844" spans="2:7" x14ac:dyDescent="0.2">
      <c r="B844" s="230">
        <v>44756</v>
      </c>
      <c r="C844" s="124">
        <v>289.07</v>
      </c>
      <c r="D844" s="156">
        <f t="shared" si="14"/>
        <v>-9.1859468723222166E-3</v>
      </c>
      <c r="E844" s="156">
        <v>1.2603005332040689E-2</v>
      </c>
      <c r="G844" s="156"/>
    </row>
    <row r="845" spans="2:7" x14ac:dyDescent="0.2">
      <c r="B845" s="230">
        <v>44755</v>
      </c>
      <c r="C845" s="124">
        <v>292.25</v>
      </c>
      <c r="D845" s="156">
        <f t="shared" si="14"/>
        <v>1.1000795655031677E-2</v>
      </c>
      <c r="E845" s="156">
        <v>1.2582268679829655E-2</v>
      </c>
      <c r="G845" s="156"/>
    </row>
    <row r="846" spans="2:7" x14ac:dyDescent="0.2">
      <c r="B846" s="230">
        <v>44754</v>
      </c>
      <c r="C846" s="124">
        <v>290.91000000000003</v>
      </c>
      <c r="D846" s="156">
        <f t="shared" si="14"/>
        <v>-4.5851154833189906E-3</v>
      </c>
      <c r="E846" s="156">
        <v>1.2570356472795582E-2</v>
      </c>
      <c r="G846" s="156"/>
    </row>
    <row r="847" spans="2:7" x14ac:dyDescent="0.2">
      <c r="B847" s="230">
        <v>44753</v>
      </c>
      <c r="C847" s="124">
        <v>293.19</v>
      </c>
      <c r="D847" s="156">
        <f t="shared" si="14"/>
        <v>7.8374755078889427E-3</v>
      </c>
      <c r="E847" s="156">
        <v>1.2561334641805703E-2</v>
      </c>
      <c r="G847" s="156"/>
    </row>
    <row r="848" spans="2:7" x14ac:dyDescent="0.2">
      <c r="B848" s="230">
        <v>44750</v>
      </c>
      <c r="C848" s="124">
        <v>291.26</v>
      </c>
      <c r="D848" s="156">
        <f t="shared" si="14"/>
        <v>-6.5827620314472075E-3</v>
      </c>
      <c r="E848" s="156">
        <v>1.2557988995576639E-2</v>
      </c>
      <c r="G848" s="156"/>
    </row>
    <row r="849" spans="2:7" x14ac:dyDescent="0.2">
      <c r="B849" s="230">
        <v>44749</v>
      </c>
      <c r="C849" s="124">
        <v>290.16000000000003</v>
      </c>
      <c r="D849" s="156">
        <f t="shared" si="14"/>
        <v>-3.7766943624252076E-3</v>
      </c>
      <c r="E849" s="156">
        <v>1.2554886973491669E-2</v>
      </c>
      <c r="G849" s="156"/>
    </row>
    <row r="850" spans="2:7" x14ac:dyDescent="0.2">
      <c r="B850" s="230">
        <v>44748</v>
      </c>
      <c r="C850" s="124">
        <v>287.52999999999997</v>
      </c>
      <c r="D850" s="156">
        <f t="shared" si="14"/>
        <v>-9.0639647091261787E-3</v>
      </c>
      <c r="E850" s="156">
        <v>1.2512245079704221E-2</v>
      </c>
      <c r="G850" s="156"/>
    </row>
    <row r="851" spans="2:7" x14ac:dyDescent="0.2">
      <c r="B851" s="230">
        <v>44747</v>
      </c>
      <c r="C851" s="124">
        <v>285.14</v>
      </c>
      <c r="D851" s="156">
        <f t="shared" si="14"/>
        <v>-8.3121761207525704E-3</v>
      </c>
      <c r="E851" s="156">
        <v>1.2494981934965923E-2</v>
      </c>
      <c r="G851" s="156"/>
    </row>
    <row r="852" spans="2:7" x14ac:dyDescent="0.2">
      <c r="B852" s="230">
        <v>44746</v>
      </c>
      <c r="C852" s="124">
        <v>290.11</v>
      </c>
      <c r="D852" s="156">
        <f t="shared" si="14"/>
        <v>1.743003436908195E-2</v>
      </c>
      <c r="E852" s="156">
        <v>1.2472806381435815E-2</v>
      </c>
      <c r="G852" s="156"/>
    </row>
    <row r="853" spans="2:7" x14ac:dyDescent="0.2">
      <c r="B853" s="230">
        <v>44743</v>
      </c>
      <c r="C853" s="124">
        <v>282.61</v>
      </c>
      <c r="D853" s="156">
        <f t="shared" si="14"/>
        <v>-2.5852262934748887E-2</v>
      </c>
      <c r="E853" s="156">
        <v>1.2461059190031152E-2</v>
      </c>
      <c r="G853" s="156"/>
    </row>
    <row r="854" spans="2:7" x14ac:dyDescent="0.2">
      <c r="B854" s="230">
        <v>44742</v>
      </c>
      <c r="C854" s="124">
        <v>271.83</v>
      </c>
      <c r="D854" s="156">
        <f t="shared" si="14"/>
        <v>-3.8144439333357025E-2</v>
      </c>
      <c r="E854" s="156">
        <v>1.2456084318109248E-2</v>
      </c>
      <c r="G854" s="156"/>
    </row>
    <row r="855" spans="2:7" x14ac:dyDescent="0.2">
      <c r="B855" s="230">
        <v>44741</v>
      </c>
      <c r="C855" s="124">
        <v>272.37</v>
      </c>
      <c r="D855" s="156">
        <f t="shared" si="14"/>
        <v>1.9865357024611723E-3</v>
      </c>
      <c r="E855" s="156">
        <v>1.2437381240283277E-2</v>
      </c>
      <c r="G855" s="156"/>
    </row>
    <row r="856" spans="2:7" x14ac:dyDescent="0.2">
      <c r="B856" s="230">
        <v>44740</v>
      </c>
      <c r="C856" s="124">
        <v>270.18</v>
      </c>
      <c r="D856" s="156">
        <f t="shared" si="14"/>
        <v>-8.0405330983588409E-3</v>
      </c>
      <c r="E856" s="156">
        <v>1.2415555961292594E-2</v>
      </c>
      <c r="G856" s="156"/>
    </row>
    <row r="857" spans="2:7" x14ac:dyDescent="0.2">
      <c r="B857" s="230">
        <v>44739</v>
      </c>
      <c r="C857" s="124">
        <v>268.3</v>
      </c>
      <c r="D857" s="156">
        <f t="shared" si="14"/>
        <v>-6.9583240802427839E-3</v>
      </c>
      <c r="E857" s="156">
        <v>1.2402241779785611E-2</v>
      </c>
      <c r="G857" s="156"/>
    </row>
    <row r="858" spans="2:7" x14ac:dyDescent="0.2">
      <c r="B858" s="230">
        <v>44736</v>
      </c>
      <c r="C858" s="124">
        <v>264.22000000000003</v>
      </c>
      <c r="D858" s="156">
        <f t="shared" si="14"/>
        <v>-1.52068579947819E-2</v>
      </c>
      <c r="E858" s="156">
        <v>1.2367183417523095E-2</v>
      </c>
      <c r="G858" s="156"/>
    </row>
    <row r="859" spans="2:7" x14ac:dyDescent="0.2">
      <c r="B859" s="230">
        <v>44735</v>
      </c>
      <c r="C859" s="124">
        <v>263.87</v>
      </c>
      <c r="D859" s="156">
        <f t="shared" si="14"/>
        <v>-1.3246536976762649E-3</v>
      </c>
      <c r="E859" s="156">
        <v>1.2350207874786039E-2</v>
      </c>
      <c r="G859" s="156"/>
    </row>
    <row r="860" spans="2:7" x14ac:dyDescent="0.2">
      <c r="B860" s="230">
        <v>44734</v>
      </c>
      <c r="C860" s="124">
        <v>263.68</v>
      </c>
      <c r="D860" s="156">
        <f t="shared" si="14"/>
        <v>-7.2005154053131359E-4</v>
      </c>
      <c r="E860" s="156">
        <v>1.2323943661971882E-2</v>
      </c>
      <c r="G860" s="156"/>
    </row>
    <row r="861" spans="2:7" x14ac:dyDescent="0.2">
      <c r="B861" s="230">
        <v>44733</v>
      </c>
      <c r="C861" s="124">
        <v>268.25</v>
      </c>
      <c r="D861" s="156">
        <f t="shared" si="14"/>
        <v>1.7331614077669876E-2</v>
      </c>
      <c r="E861" s="156">
        <v>1.2302054704881531E-2</v>
      </c>
      <c r="G861" s="156"/>
    </row>
    <row r="862" spans="2:7" x14ac:dyDescent="0.2">
      <c r="B862" s="230">
        <v>44732</v>
      </c>
      <c r="C862" s="124">
        <v>262.48</v>
      </c>
      <c r="D862" s="156">
        <f t="shared" si="14"/>
        <v>-2.1509785647716613E-2</v>
      </c>
      <c r="E862" s="156">
        <v>1.2282930961456974E-2</v>
      </c>
      <c r="G862" s="156"/>
    </row>
    <row r="863" spans="2:7" x14ac:dyDescent="0.2">
      <c r="B863" s="230">
        <v>44729</v>
      </c>
      <c r="C863" s="124">
        <v>261.69</v>
      </c>
      <c r="D863" s="156">
        <f t="shared" si="14"/>
        <v>-3.0097531240476242E-3</v>
      </c>
      <c r="E863" s="156">
        <v>1.2257912757115595E-2</v>
      </c>
      <c r="G863" s="156"/>
    </row>
    <row r="864" spans="2:7" x14ac:dyDescent="0.2">
      <c r="B864" s="230">
        <v>44728</v>
      </c>
      <c r="C864" s="124">
        <v>259.10000000000002</v>
      </c>
      <c r="D864" s="156">
        <f t="shared" si="14"/>
        <v>-9.8972066185179976E-3</v>
      </c>
      <c r="E864" s="156">
        <v>1.2236818427208921E-2</v>
      </c>
      <c r="G864" s="156"/>
    </row>
    <row r="865" spans="2:7" x14ac:dyDescent="0.2">
      <c r="B865" s="230">
        <v>44727</v>
      </c>
      <c r="C865" s="124">
        <v>261.79000000000002</v>
      </c>
      <c r="D865" s="156">
        <f t="shared" si="14"/>
        <v>1.0382091856426081E-2</v>
      </c>
      <c r="E865" s="156">
        <v>1.223475434907279E-2</v>
      </c>
      <c r="G865" s="156"/>
    </row>
    <row r="866" spans="2:7" x14ac:dyDescent="0.2">
      <c r="B866" s="230">
        <v>44726</v>
      </c>
      <c r="C866" s="124">
        <v>263.83</v>
      </c>
      <c r="D866" s="156">
        <f t="shared" si="14"/>
        <v>7.7925054432941036E-3</v>
      </c>
      <c r="E866" s="156">
        <v>1.223277909738712E-2</v>
      </c>
      <c r="G866" s="156"/>
    </row>
    <row r="867" spans="2:7" x14ac:dyDescent="0.2">
      <c r="B867" s="230">
        <v>44725</v>
      </c>
      <c r="C867" s="124">
        <v>263.02999999999997</v>
      </c>
      <c r="D867" s="156">
        <f t="shared" si="14"/>
        <v>-3.0322556191487377E-3</v>
      </c>
      <c r="E867" s="156">
        <v>1.2223811061395848E-2</v>
      </c>
      <c r="G867" s="156"/>
    </row>
    <row r="868" spans="2:7" x14ac:dyDescent="0.2">
      <c r="B868" s="230">
        <v>44722</v>
      </c>
      <c r="C868" s="124">
        <v>268.5</v>
      </c>
      <c r="D868" s="156">
        <f t="shared" si="14"/>
        <v>2.0796106907957374E-2</v>
      </c>
      <c r="E868" s="156">
        <v>1.2216071769421603E-2</v>
      </c>
      <c r="G868" s="156"/>
    </row>
    <row r="869" spans="2:7" x14ac:dyDescent="0.2">
      <c r="B869" s="230">
        <v>44721</v>
      </c>
      <c r="C869" s="124">
        <v>269.19</v>
      </c>
      <c r="D869" s="156">
        <f t="shared" si="14"/>
        <v>2.5698324022346286E-3</v>
      </c>
      <c r="E869" s="156">
        <v>1.2210869712965238E-2</v>
      </c>
      <c r="G869" s="156"/>
    </row>
    <row r="870" spans="2:7" x14ac:dyDescent="0.2">
      <c r="B870" s="230">
        <v>44720</v>
      </c>
      <c r="C870" s="124">
        <v>266.26</v>
      </c>
      <c r="D870" s="156">
        <f t="shared" si="14"/>
        <v>-1.0884505367955745E-2</v>
      </c>
      <c r="E870" s="156">
        <v>1.2207394443229018E-2</v>
      </c>
      <c r="G870" s="156"/>
    </row>
    <row r="871" spans="2:7" x14ac:dyDescent="0.2">
      <c r="B871" s="230">
        <v>44719</v>
      </c>
      <c r="C871" s="124">
        <v>272.22000000000003</v>
      </c>
      <c r="D871" s="156">
        <f t="shared" si="14"/>
        <v>2.2384135807105975E-2</v>
      </c>
      <c r="E871" s="156">
        <v>1.2196609342602758E-2</v>
      </c>
      <c r="G871" s="156"/>
    </row>
    <row r="872" spans="2:7" x14ac:dyDescent="0.2">
      <c r="B872" s="230">
        <v>44718</v>
      </c>
      <c r="C872" s="124">
        <v>273.12</v>
      </c>
      <c r="D872" s="156">
        <f t="shared" si="14"/>
        <v>3.3061494379545116E-3</v>
      </c>
      <c r="E872" s="156">
        <v>1.2188784428591736E-2</v>
      </c>
      <c r="G872" s="156"/>
    </row>
    <row r="873" spans="2:7" x14ac:dyDescent="0.2">
      <c r="B873" s="230">
        <v>44715</v>
      </c>
      <c r="C873" s="124">
        <v>271.02999999999997</v>
      </c>
      <c r="D873" s="156">
        <f t="shared" si="14"/>
        <v>-7.6523140011717627E-3</v>
      </c>
      <c r="E873" s="156">
        <v>1.2174149167270084E-2</v>
      </c>
      <c r="G873" s="156"/>
    </row>
    <row r="874" spans="2:7" x14ac:dyDescent="0.2">
      <c r="B874" s="230">
        <v>44714</v>
      </c>
      <c r="C874" s="124">
        <v>271.83</v>
      </c>
      <c r="D874" s="156">
        <f t="shared" si="14"/>
        <v>2.9517027635317548E-3</v>
      </c>
      <c r="E874" s="156">
        <v>1.2170490444870239E-2</v>
      </c>
      <c r="G874" s="156"/>
    </row>
    <row r="875" spans="2:7" x14ac:dyDescent="0.2">
      <c r="B875" s="230">
        <v>44713</v>
      </c>
      <c r="C875" s="124">
        <v>270.18</v>
      </c>
      <c r="D875" s="156">
        <f t="shared" si="14"/>
        <v>-6.0699702019643802E-3</v>
      </c>
      <c r="E875" s="156">
        <v>1.2155317951603968E-2</v>
      </c>
      <c r="G875" s="156"/>
    </row>
    <row r="876" spans="2:7" x14ac:dyDescent="0.2">
      <c r="B876" s="230">
        <v>44712</v>
      </c>
      <c r="C876" s="124">
        <v>268.99</v>
      </c>
      <c r="D876" s="156">
        <f t="shared" si="14"/>
        <v>-4.4044710933451685E-3</v>
      </c>
      <c r="E876" s="156">
        <v>1.2154385964912235E-2</v>
      </c>
      <c r="G876" s="156"/>
    </row>
    <row r="877" spans="2:7" x14ac:dyDescent="0.2">
      <c r="B877" s="230">
        <v>44711</v>
      </c>
      <c r="C877" s="124">
        <v>267.39999999999998</v>
      </c>
      <c r="D877" s="156">
        <f t="shared" si="14"/>
        <v>-5.9110004089372534E-3</v>
      </c>
      <c r="E877" s="156">
        <v>1.2150445719868171E-2</v>
      </c>
      <c r="G877" s="156"/>
    </row>
    <row r="878" spans="2:7" x14ac:dyDescent="0.2">
      <c r="B878" s="230">
        <v>44708</v>
      </c>
      <c r="C878" s="124">
        <v>267.55</v>
      </c>
      <c r="D878" s="156">
        <f t="shared" si="14"/>
        <v>5.6095736724021735E-4</v>
      </c>
      <c r="E878" s="156">
        <v>1.2139966674601203E-2</v>
      </c>
      <c r="G878" s="156"/>
    </row>
    <row r="879" spans="2:7" x14ac:dyDescent="0.2">
      <c r="B879" s="230">
        <v>44707</v>
      </c>
      <c r="C879" s="124">
        <v>265.07</v>
      </c>
      <c r="D879" s="156">
        <f t="shared" si="14"/>
        <v>-9.2692954587928165E-3</v>
      </c>
      <c r="E879" s="156">
        <v>1.2127697520955943E-2</v>
      </c>
      <c r="G879" s="156"/>
    </row>
    <row r="880" spans="2:7" x14ac:dyDescent="0.2">
      <c r="B880" s="230">
        <v>44706</v>
      </c>
      <c r="C880" s="124">
        <v>271.02999999999997</v>
      </c>
      <c r="D880" s="156">
        <f t="shared" si="14"/>
        <v>2.2484626702380425E-2</v>
      </c>
      <c r="E880" s="156">
        <v>1.2113366313745455E-2</v>
      </c>
      <c r="G880" s="156"/>
    </row>
    <row r="881" spans="2:7" x14ac:dyDescent="0.2">
      <c r="B881" s="230">
        <v>44705</v>
      </c>
      <c r="C881" s="124">
        <v>269.19</v>
      </c>
      <c r="D881" s="156">
        <f t="shared" si="14"/>
        <v>-6.7889163561228472E-3</v>
      </c>
      <c r="E881" s="156">
        <v>1.2079062957540306E-2</v>
      </c>
      <c r="G881" s="156"/>
    </row>
    <row r="882" spans="2:7" x14ac:dyDescent="0.2">
      <c r="B882" s="230">
        <v>44704</v>
      </c>
      <c r="C882" s="124">
        <v>272.82</v>
      </c>
      <c r="D882" s="156">
        <f t="shared" si="14"/>
        <v>1.3484899141870038E-2</v>
      </c>
      <c r="E882" s="156">
        <v>1.2048192771084237E-2</v>
      </c>
      <c r="G882" s="156"/>
    </row>
    <row r="883" spans="2:7" x14ac:dyDescent="0.2">
      <c r="B883" s="230">
        <v>44701</v>
      </c>
      <c r="C883" s="124">
        <v>278.29000000000002</v>
      </c>
      <c r="D883" s="156">
        <f t="shared" si="14"/>
        <v>2.0049849717762729E-2</v>
      </c>
      <c r="E883" s="156">
        <v>1.2046148625721087E-2</v>
      </c>
      <c r="G883" s="156"/>
    </row>
    <row r="884" spans="2:7" x14ac:dyDescent="0.2">
      <c r="B884" s="230">
        <v>44700</v>
      </c>
      <c r="C884" s="124">
        <v>273.95999999999998</v>
      </c>
      <c r="D884" s="156">
        <f t="shared" si="14"/>
        <v>-1.5559308634877433E-2</v>
      </c>
      <c r="E884" s="156">
        <v>1.2026548230949775E-2</v>
      </c>
      <c r="G884" s="156"/>
    </row>
    <row r="885" spans="2:7" x14ac:dyDescent="0.2">
      <c r="B885" s="230">
        <v>44699</v>
      </c>
      <c r="C885" s="124">
        <v>266.8</v>
      </c>
      <c r="D885" s="156">
        <f t="shared" si="14"/>
        <v>-2.6135202219301972E-2</v>
      </c>
      <c r="E885" s="156">
        <v>1.202519564802448E-2</v>
      </c>
      <c r="G885" s="156"/>
    </row>
    <row r="886" spans="2:7" x14ac:dyDescent="0.2">
      <c r="B886" s="230">
        <v>44698</v>
      </c>
      <c r="C886" s="124">
        <v>264.7</v>
      </c>
      <c r="D886" s="156">
        <f t="shared" si="14"/>
        <v>-7.8710644677662013E-3</v>
      </c>
      <c r="E886" s="156">
        <v>1.2014016352411222E-2</v>
      </c>
      <c r="G886" s="156"/>
    </row>
    <row r="887" spans="2:7" x14ac:dyDescent="0.2">
      <c r="B887" s="230">
        <v>44697</v>
      </c>
      <c r="C887" s="124">
        <v>254.1</v>
      </c>
      <c r="D887" s="156">
        <f t="shared" si="14"/>
        <v>-4.0045334340763107E-2</v>
      </c>
      <c r="E887" s="156">
        <v>1.1999999999999993E-2</v>
      </c>
      <c r="G887" s="156"/>
    </row>
    <row r="888" spans="2:7" x14ac:dyDescent="0.2">
      <c r="B888" s="230">
        <v>44694</v>
      </c>
      <c r="C888" s="124">
        <v>258.60000000000002</v>
      </c>
      <c r="D888" s="156">
        <f t="shared" si="14"/>
        <v>1.7709563164108731E-2</v>
      </c>
      <c r="E888" s="156">
        <v>1.199487597531153E-2</v>
      </c>
      <c r="G888" s="156"/>
    </row>
    <row r="889" spans="2:7" x14ac:dyDescent="0.2">
      <c r="B889" s="230">
        <v>44693</v>
      </c>
      <c r="C889" s="124">
        <v>251.35</v>
      </c>
      <c r="D889" s="156">
        <f t="shared" si="14"/>
        <v>-2.8035576179427795E-2</v>
      </c>
      <c r="E889" s="156">
        <v>1.1985505899842109E-2</v>
      </c>
      <c r="G889" s="156"/>
    </row>
    <row r="890" spans="2:7" x14ac:dyDescent="0.2">
      <c r="B890" s="230">
        <v>44692</v>
      </c>
      <c r="C890" s="124">
        <v>254.09</v>
      </c>
      <c r="D890" s="156">
        <f t="shared" si="14"/>
        <v>1.0901133877063892E-2</v>
      </c>
      <c r="E890" s="156">
        <v>1.198202695956058E-2</v>
      </c>
      <c r="G890" s="156"/>
    </row>
    <row r="891" spans="2:7" x14ac:dyDescent="0.2">
      <c r="B891" s="230">
        <v>44691</v>
      </c>
      <c r="C891" s="124">
        <v>259.75</v>
      </c>
      <c r="D891" s="156">
        <f t="shared" si="14"/>
        <v>2.2275571647841302E-2</v>
      </c>
      <c r="E891" s="156">
        <v>1.1981787682722261E-2</v>
      </c>
      <c r="G891" s="156"/>
    </row>
    <row r="892" spans="2:7" x14ac:dyDescent="0.2">
      <c r="B892" s="230">
        <v>44690</v>
      </c>
      <c r="C892" s="124">
        <v>261.33999999999997</v>
      </c>
      <c r="D892" s="156">
        <f t="shared" si="14"/>
        <v>6.12127045235794E-3</v>
      </c>
      <c r="E892" s="156">
        <v>1.1974909712982236E-2</v>
      </c>
      <c r="G892" s="156"/>
    </row>
    <row r="893" spans="2:7" x14ac:dyDescent="0.2">
      <c r="B893" s="230">
        <v>44687</v>
      </c>
      <c r="C893" s="124">
        <v>266.64999999999998</v>
      </c>
      <c r="D893" s="156">
        <f t="shared" si="14"/>
        <v>2.0318359225529971E-2</v>
      </c>
      <c r="E893" s="156">
        <v>1.1952861952861967E-2</v>
      </c>
      <c r="G893" s="156"/>
    </row>
    <row r="894" spans="2:7" x14ac:dyDescent="0.2">
      <c r="B894" s="230">
        <v>44686</v>
      </c>
      <c r="C894" s="124">
        <v>262.05</v>
      </c>
      <c r="D894" s="156">
        <f t="shared" ref="D894:D957" si="15">(C894-C893)/C893</f>
        <v>-1.7251078192386898E-2</v>
      </c>
      <c r="E894" s="156">
        <v>1.1952191235059667E-2</v>
      </c>
      <c r="G894" s="156"/>
    </row>
    <row r="895" spans="2:7" x14ac:dyDescent="0.2">
      <c r="B895" s="230">
        <v>44685</v>
      </c>
      <c r="C895" s="124">
        <v>259.75</v>
      </c>
      <c r="D895" s="156">
        <f t="shared" si="15"/>
        <v>-8.7769509635566168E-3</v>
      </c>
      <c r="E895" s="156">
        <v>1.1931917880329877E-2</v>
      </c>
      <c r="G895" s="156"/>
    </row>
    <row r="896" spans="2:7" x14ac:dyDescent="0.2">
      <c r="B896" s="230">
        <v>44683</v>
      </c>
      <c r="C896" s="124">
        <v>263.14999999999998</v>
      </c>
      <c r="D896" s="156">
        <f t="shared" si="15"/>
        <v>1.3089509143407035E-2</v>
      </c>
      <c r="E896" s="156">
        <v>1.1930688381782076E-2</v>
      </c>
      <c r="G896" s="156"/>
    </row>
    <row r="897" spans="2:7" x14ac:dyDescent="0.2">
      <c r="B897" s="230">
        <v>44680</v>
      </c>
      <c r="C897" s="124">
        <v>259.55</v>
      </c>
      <c r="D897" s="156">
        <f t="shared" si="15"/>
        <v>-1.368041041231224E-2</v>
      </c>
      <c r="E897" s="156">
        <v>1.1917611081129596E-2</v>
      </c>
      <c r="G897" s="156"/>
    </row>
    <row r="898" spans="2:7" x14ac:dyDescent="0.2">
      <c r="B898" s="230">
        <v>44679</v>
      </c>
      <c r="C898" s="124">
        <v>261.10000000000002</v>
      </c>
      <c r="D898" s="156">
        <f t="shared" si="15"/>
        <v>5.9718743979965761E-3</v>
      </c>
      <c r="E898" s="156">
        <v>1.1904761904761934E-2</v>
      </c>
      <c r="G898" s="156"/>
    </row>
    <row r="899" spans="2:7" x14ac:dyDescent="0.2">
      <c r="B899" s="230">
        <v>44678</v>
      </c>
      <c r="C899" s="124">
        <v>257.5</v>
      </c>
      <c r="D899" s="156">
        <f t="shared" si="15"/>
        <v>-1.3787820758330228E-2</v>
      </c>
      <c r="E899" s="156">
        <v>1.1902929557231509E-2</v>
      </c>
      <c r="G899" s="156"/>
    </row>
    <row r="900" spans="2:7" x14ac:dyDescent="0.2">
      <c r="B900" s="230">
        <v>44677</v>
      </c>
      <c r="C900" s="124">
        <v>258.95</v>
      </c>
      <c r="D900" s="156">
        <f t="shared" si="15"/>
        <v>5.6310679611650044E-3</v>
      </c>
      <c r="E900" s="156">
        <v>1.1891891891891831E-2</v>
      </c>
      <c r="G900" s="156"/>
    </row>
    <row r="901" spans="2:7" x14ac:dyDescent="0.2">
      <c r="B901" s="230">
        <v>44676</v>
      </c>
      <c r="C901" s="124">
        <v>255.25</v>
      </c>
      <c r="D901" s="156">
        <f t="shared" si="15"/>
        <v>-1.4288472678123146E-2</v>
      </c>
      <c r="E901" s="156">
        <v>1.1889704022261544E-2</v>
      </c>
      <c r="G901" s="156"/>
    </row>
    <row r="902" spans="2:7" x14ac:dyDescent="0.2">
      <c r="B902" s="230">
        <v>44673</v>
      </c>
      <c r="C902" s="124">
        <v>261.10000000000002</v>
      </c>
      <c r="D902" s="156">
        <f t="shared" si="15"/>
        <v>2.2918707149853175E-2</v>
      </c>
      <c r="E902" s="156">
        <v>1.1878420868755048E-2</v>
      </c>
      <c r="G902" s="156"/>
    </row>
    <row r="903" spans="2:7" x14ac:dyDescent="0.2">
      <c r="B903" s="230">
        <v>44672</v>
      </c>
      <c r="C903" s="124">
        <v>260.39999999999998</v>
      </c>
      <c r="D903" s="156">
        <f t="shared" si="15"/>
        <v>-2.6809651474532571E-3</v>
      </c>
      <c r="E903" s="156">
        <v>1.1853668506029045E-2</v>
      </c>
      <c r="G903" s="156"/>
    </row>
    <row r="904" spans="2:7" x14ac:dyDescent="0.2">
      <c r="B904" s="230">
        <v>44671</v>
      </c>
      <c r="C904" s="124">
        <v>259.55</v>
      </c>
      <c r="D904" s="156">
        <f t="shared" si="15"/>
        <v>-3.264208909370069E-3</v>
      </c>
      <c r="E904" s="156">
        <v>1.1835987036776151E-2</v>
      </c>
      <c r="G904" s="156"/>
    </row>
    <row r="905" spans="2:7" x14ac:dyDescent="0.2">
      <c r="B905" s="230">
        <v>44670</v>
      </c>
      <c r="C905" s="124">
        <v>261.55</v>
      </c>
      <c r="D905" s="156">
        <f t="shared" si="15"/>
        <v>7.7056443845116545E-3</v>
      </c>
      <c r="E905" s="156">
        <v>1.1801769053677462E-2</v>
      </c>
      <c r="G905" s="156"/>
    </row>
    <row r="906" spans="2:7" x14ac:dyDescent="0.2">
      <c r="B906" s="230">
        <v>44669</v>
      </c>
      <c r="C906" s="124">
        <v>268.45</v>
      </c>
      <c r="D906" s="156">
        <f t="shared" si="15"/>
        <v>2.6381189065188212E-2</v>
      </c>
      <c r="E906" s="156">
        <v>1.1794439764111132E-2</v>
      </c>
      <c r="G906" s="156"/>
    </row>
    <row r="907" spans="2:7" x14ac:dyDescent="0.2">
      <c r="B907" s="230">
        <v>44664</v>
      </c>
      <c r="C907" s="124">
        <v>269.55</v>
      </c>
      <c r="D907" s="156">
        <f t="shared" si="15"/>
        <v>4.0975973179363861E-3</v>
      </c>
      <c r="E907" s="156">
        <v>1.1764110607938964E-2</v>
      </c>
      <c r="G907" s="156"/>
    </row>
    <row r="908" spans="2:7" x14ac:dyDescent="0.2">
      <c r="B908" s="230">
        <v>44663</v>
      </c>
      <c r="C908" s="124">
        <v>263.18</v>
      </c>
      <c r="D908" s="156">
        <f t="shared" si="15"/>
        <v>-2.3631979224633663E-2</v>
      </c>
      <c r="E908" s="156">
        <v>1.1758118701007967E-2</v>
      </c>
      <c r="G908" s="156"/>
    </row>
    <row r="909" spans="2:7" x14ac:dyDescent="0.2">
      <c r="B909" s="230">
        <v>44662</v>
      </c>
      <c r="C909" s="124">
        <v>267.5</v>
      </c>
      <c r="D909" s="156">
        <f t="shared" si="15"/>
        <v>1.641462117182154E-2</v>
      </c>
      <c r="E909" s="156">
        <v>1.1757802802915707E-2</v>
      </c>
      <c r="G909" s="156"/>
    </row>
    <row r="910" spans="2:7" x14ac:dyDescent="0.2">
      <c r="B910" s="230">
        <v>44659</v>
      </c>
      <c r="C910" s="124">
        <v>266.16000000000003</v>
      </c>
      <c r="D910" s="156">
        <f t="shared" si="15"/>
        <v>-5.0093457943924296E-3</v>
      </c>
      <c r="E910" s="156">
        <v>1.1757263764069423E-2</v>
      </c>
      <c r="G910" s="156"/>
    </row>
    <row r="911" spans="2:7" x14ac:dyDescent="0.2">
      <c r="B911" s="230">
        <v>44658</v>
      </c>
      <c r="C911" s="124">
        <v>256.64999999999998</v>
      </c>
      <c r="D911" s="156">
        <f t="shared" si="15"/>
        <v>-3.5730387736699905E-2</v>
      </c>
      <c r="E911" s="156">
        <v>1.1735639283508324E-2</v>
      </c>
      <c r="G911" s="156"/>
    </row>
    <row r="912" spans="2:7" x14ac:dyDescent="0.2">
      <c r="B912" s="230">
        <v>44657</v>
      </c>
      <c r="C912" s="124">
        <v>259.60000000000002</v>
      </c>
      <c r="D912" s="156">
        <f t="shared" si="15"/>
        <v>1.1494252873563397E-2</v>
      </c>
      <c r="E912" s="156">
        <v>1.1721999546245266E-2</v>
      </c>
      <c r="G912" s="156"/>
    </row>
    <row r="913" spans="2:7" x14ac:dyDescent="0.2">
      <c r="B913" s="230">
        <v>44656</v>
      </c>
      <c r="C913" s="124">
        <v>259.45</v>
      </c>
      <c r="D913" s="156">
        <f t="shared" si="15"/>
        <v>-5.7781201849011594E-4</v>
      </c>
      <c r="E913" s="156">
        <v>1.1721208307111462E-2</v>
      </c>
      <c r="G913" s="156"/>
    </row>
    <row r="914" spans="2:7" x14ac:dyDescent="0.2">
      <c r="B914" s="230">
        <v>44655</v>
      </c>
      <c r="C914" s="124">
        <v>255.45</v>
      </c>
      <c r="D914" s="156">
        <f t="shared" si="15"/>
        <v>-1.5417228753131625E-2</v>
      </c>
      <c r="E914" s="156">
        <v>1.1706278822277573E-2</v>
      </c>
      <c r="G914" s="156"/>
    </row>
    <row r="915" spans="2:7" x14ac:dyDescent="0.2">
      <c r="B915" s="230">
        <v>44652</v>
      </c>
      <c r="C915" s="124">
        <v>253.3</v>
      </c>
      <c r="D915" s="156">
        <f t="shared" si="15"/>
        <v>-8.4165198669014576E-3</v>
      </c>
      <c r="E915" s="156">
        <v>1.1688019779725884E-2</v>
      </c>
      <c r="G915" s="156"/>
    </row>
    <row r="916" spans="2:7" x14ac:dyDescent="0.2">
      <c r="B916" s="230">
        <v>44651</v>
      </c>
      <c r="C916" s="124">
        <v>250.65</v>
      </c>
      <c r="D916" s="156">
        <f t="shared" si="15"/>
        <v>-1.0461902881958174E-2</v>
      </c>
      <c r="E916" s="156">
        <v>1.1677378473793847E-2</v>
      </c>
      <c r="G916" s="156"/>
    </row>
    <row r="917" spans="2:7" x14ac:dyDescent="0.2">
      <c r="B917" s="230">
        <v>44650</v>
      </c>
      <c r="C917" s="124">
        <v>249.2</v>
      </c>
      <c r="D917" s="156">
        <f t="shared" si="15"/>
        <v>-5.7849591063236262E-3</v>
      </c>
      <c r="E917" s="156">
        <v>1.1672278338945023E-2</v>
      </c>
      <c r="G917" s="156"/>
    </row>
    <row r="918" spans="2:7" x14ac:dyDescent="0.2">
      <c r="B918" s="230">
        <v>44649</v>
      </c>
      <c r="C918" s="124">
        <v>254.6</v>
      </c>
      <c r="D918" s="156">
        <f t="shared" si="15"/>
        <v>2.1669341894061018E-2</v>
      </c>
      <c r="E918" s="156">
        <v>1.1665586519766669E-2</v>
      </c>
      <c r="G918" s="156"/>
    </row>
    <row r="919" spans="2:7" x14ac:dyDescent="0.2">
      <c r="B919" s="230">
        <v>44648</v>
      </c>
      <c r="C919" s="124">
        <v>257.05</v>
      </c>
      <c r="D919" s="156">
        <f t="shared" si="15"/>
        <v>9.6229379418696671E-3</v>
      </c>
      <c r="E919" s="156">
        <v>1.1645813282001864E-2</v>
      </c>
      <c r="G919" s="156"/>
    </row>
    <row r="920" spans="2:7" x14ac:dyDescent="0.2">
      <c r="B920" s="230">
        <v>44645</v>
      </c>
      <c r="C920" s="124">
        <v>253.35</v>
      </c>
      <c r="D920" s="156">
        <f t="shared" si="15"/>
        <v>-1.4394086753549959E-2</v>
      </c>
      <c r="E920" s="156">
        <v>1.1627906976744075E-2</v>
      </c>
      <c r="G920" s="156"/>
    </row>
    <row r="921" spans="2:7" x14ac:dyDescent="0.2">
      <c r="B921" s="230">
        <v>44644</v>
      </c>
      <c r="C921" s="124">
        <v>254.85</v>
      </c>
      <c r="D921" s="156">
        <f t="shared" si="15"/>
        <v>5.920663114268798E-3</v>
      </c>
      <c r="E921" s="156">
        <v>1.1613614207603868E-2</v>
      </c>
      <c r="G921" s="156"/>
    </row>
    <row r="922" spans="2:7" x14ac:dyDescent="0.2">
      <c r="B922" s="230">
        <v>44643</v>
      </c>
      <c r="C922" s="124">
        <v>252</v>
      </c>
      <c r="D922" s="156">
        <f t="shared" si="15"/>
        <v>-1.1183048852266017E-2</v>
      </c>
      <c r="E922" s="156">
        <v>1.1575714623198624E-2</v>
      </c>
      <c r="G922" s="156"/>
    </row>
    <row r="923" spans="2:7" x14ac:dyDescent="0.2">
      <c r="B923" s="230">
        <v>44642</v>
      </c>
      <c r="C923" s="124">
        <v>249.75</v>
      </c>
      <c r="D923" s="156">
        <f t="shared" si="15"/>
        <v>-8.9285714285714281E-3</v>
      </c>
      <c r="E923" s="156">
        <v>1.1568123393316242E-2</v>
      </c>
      <c r="G923" s="156"/>
    </row>
    <row r="924" spans="2:7" x14ac:dyDescent="0.2">
      <c r="B924" s="230">
        <v>44641</v>
      </c>
      <c r="C924" s="124">
        <v>244.5</v>
      </c>
      <c r="D924" s="156">
        <f t="shared" si="15"/>
        <v>-2.1021021021021023E-2</v>
      </c>
      <c r="E924" s="156">
        <v>1.1531190926276035E-2</v>
      </c>
      <c r="G924" s="156"/>
    </row>
    <row r="925" spans="2:7" x14ac:dyDescent="0.2">
      <c r="B925" s="230">
        <v>44637</v>
      </c>
      <c r="C925" s="124">
        <v>244.9</v>
      </c>
      <c r="D925" s="156">
        <f t="shared" si="15"/>
        <v>1.635991820040923E-3</v>
      </c>
      <c r="E925" s="156">
        <v>1.1526525786907065E-2</v>
      </c>
      <c r="G925" s="156"/>
    </row>
    <row r="926" spans="2:7" x14ac:dyDescent="0.2">
      <c r="B926" s="230">
        <v>44636</v>
      </c>
      <c r="C926" s="124">
        <v>242.6</v>
      </c>
      <c r="D926" s="156">
        <f t="shared" si="15"/>
        <v>-9.3915884034300179E-3</v>
      </c>
      <c r="E926" s="156">
        <v>1.1520737327188939E-2</v>
      </c>
      <c r="G926" s="156"/>
    </row>
    <row r="927" spans="2:7" x14ac:dyDescent="0.2">
      <c r="B927" s="230">
        <v>44635</v>
      </c>
      <c r="C927" s="124">
        <v>237.85</v>
      </c>
      <c r="D927" s="156">
        <f t="shared" si="15"/>
        <v>-1.9579554822753503E-2</v>
      </c>
      <c r="E927" s="156">
        <v>1.1518872864010602E-2</v>
      </c>
      <c r="G927" s="156"/>
    </row>
    <row r="928" spans="2:7" x14ac:dyDescent="0.2">
      <c r="B928" s="230">
        <v>44634</v>
      </c>
      <c r="C928" s="124">
        <v>239</v>
      </c>
      <c r="D928" s="156">
        <f t="shared" si="15"/>
        <v>4.8349800294303375E-3</v>
      </c>
      <c r="E928" s="156">
        <v>1.1494252873563397E-2</v>
      </c>
      <c r="G928" s="156"/>
    </row>
    <row r="929" spans="2:7" x14ac:dyDescent="0.2">
      <c r="B929" s="230">
        <v>44631</v>
      </c>
      <c r="C929" s="124">
        <v>236.35</v>
      </c>
      <c r="D929" s="156">
        <f t="shared" si="15"/>
        <v>-1.1087866108786634E-2</v>
      </c>
      <c r="E929" s="156">
        <v>1.1494252873563371E-2</v>
      </c>
      <c r="G929" s="156"/>
    </row>
    <row r="930" spans="2:7" x14ac:dyDescent="0.2">
      <c r="B930" s="230">
        <v>44630</v>
      </c>
      <c r="C930" s="124">
        <v>232</v>
      </c>
      <c r="D930" s="156">
        <f t="shared" si="15"/>
        <v>-1.84049079754601E-2</v>
      </c>
      <c r="E930" s="156">
        <v>1.1493668311040995E-2</v>
      </c>
      <c r="G930" s="156"/>
    </row>
    <row r="931" spans="2:7" x14ac:dyDescent="0.2">
      <c r="B931" s="230">
        <v>44629</v>
      </c>
      <c r="C931" s="124">
        <v>229.25</v>
      </c>
      <c r="D931" s="156">
        <f t="shared" si="15"/>
        <v>-1.1853448275862068E-2</v>
      </c>
      <c r="E931" s="156">
        <v>1.1478163493841049E-2</v>
      </c>
      <c r="G931" s="156"/>
    </row>
    <row r="932" spans="2:7" x14ac:dyDescent="0.2">
      <c r="B932" s="230">
        <v>44628</v>
      </c>
      <c r="C932" s="124">
        <v>226.9</v>
      </c>
      <c r="D932" s="156">
        <f t="shared" si="15"/>
        <v>-1.0250817884405647E-2</v>
      </c>
      <c r="E932" s="156">
        <v>1.1469378922311089E-2</v>
      </c>
      <c r="G932" s="156"/>
    </row>
    <row r="933" spans="2:7" x14ac:dyDescent="0.2">
      <c r="B933" s="230">
        <v>44627</v>
      </c>
      <c r="C933" s="124">
        <v>224.95</v>
      </c>
      <c r="D933" s="156">
        <f t="shared" si="15"/>
        <v>-8.5940943146761446E-3</v>
      </c>
      <c r="E933" s="156">
        <v>1.1452218265806925E-2</v>
      </c>
      <c r="G933" s="156"/>
    </row>
    <row r="934" spans="2:7" x14ac:dyDescent="0.2">
      <c r="B934" s="230">
        <v>44624</v>
      </c>
      <c r="C934" s="124">
        <v>225.5</v>
      </c>
      <c r="D934" s="156">
        <f t="shared" si="15"/>
        <v>2.4449877750611754E-3</v>
      </c>
      <c r="E934" s="156">
        <v>1.1445756093181972E-2</v>
      </c>
      <c r="G934" s="156"/>
    </row>
    <row r="935" spans="2:7" x14ac:dyDescent="0.2">
      <c r="B935" s="230">
        <v>44623</v>
      </c>
      <c r="C935" s="124">
        <v>219.4</v>
      </c>
      <c r="D935" s="156">
        <f t="shared" si="15"/>
        <v>-2.7050997782705075E-2</v>
      </c>
      <c r="E935" s="156">
        <v>1.1429961089494137E-2</v>
      </c>
      <c r="G935" s="156"/>
    </row>
    <row r="936" spans="2:7" x14ac:dyDescent="0.2">
      <c r="B936" s="230">
        <v>44622</v>
      </c>
      <c r="C936" s="124">
        <v>215.3</v>
      </c>
      <c r="D936" s="156">
        <f t="shared" si="15"/>
        <v>-1.8687329079307174E-2</v>
      </c>
      <c r="E936" s="156">
        <v>1.1398221638718127E-2</v>
      </c>
      <c r="G936" s="156"/>
    </row>
    <row r="937" spans="2:7" x14ac:dyDescent="0.2">
      <c r="B937" s="230">
        <v>44620</v>
      </c>
      <c r="C937" s="124">
        <v>215.85</v>
      </c>
      <c r="D937" s="156">
        <f t="shared" si="15"/>
        <v>2.5545750116116252E-3</v>
      </c>
      <c r="E937" s="156">
        <v>1.1353925039677779E-2</v>
      </c>
      <c r="G937" s="156"/>
    </row>
    <row r="938" spans="2:7" x14ac:dyDescent="0.2">
      <c r="B938" s="230">
        <v>44617</v>
      </c>
      <c r="C938" s="124">
        <v>213.95</v>
      </c>
      <c r="D938" s="156">
        <f t="shared" si="15"/>
        <v>-8.8024090803799204E-3</v>
      </c>
      <c r="E938" s="156">
        <v>1.1338434242625789E-2</v>
      </c>
      <c r="G938" s="156"/>
    </row>
    <row r="939" spans="2:7" x14ac:dyDescent="0.2">
      <c r="B939" s="230">
        <v>44616</v>
      </c>
      <c r="C939" s="124">
        <v>208.5</v>
      </c>
      <c r="D939" s="156">
        <f t="shared" si="15"/>
        <v>-2.5473241411544702E-2</v>
      </c>
      <c r="E939" s="156">
        <v>1.1320754716981228E-2</v>
      </c>
      <c r="G939" s="156"/>
    </row>
    <row r="940" spans="2:7" x14ac:dyDescent="0.2">
      <c r="B940" s="230">
        <v>44615</v>
      </c>
      <c r="C940" s="124">
        <v>215.95</v>
      </c>
      <c r="D940" s="156">
        <f t="shared" si="15"/>
        <v>3.5731414868105459E-2</v>
      </c>
      <c r="E940" s="156">
        <v>1.1293054771315687E-2</v>
      </c>
      <c r="G940" s="156"/>
    </row>
    <row r="941" spans="2:7" x14ac:dyDescent="0.2">
      <c r="B941" s="230">
        <v>44614</v>
      </c>
      <c r="C941" s="124">
        <v>214.85</v>
      </c>
      <c r="D941" s="156">
        <f t="shared" si="15"/>
        <v>-5.0937717064134958E-3</v>
      </c>
      <c r="E941" s="156">
        <v>1.1286681715575621E-2</v>
      </c>
      <c r="G941" s="156"/>
    </row>
    <row r="942" spans="2:7" x14ac:dyDescent="0.2">
      <c r="B942" s="230">
        <v>44613</v>
      </c>
      <c r="C942" s="124">
        <v>218</v>
      </c>
      <c r="D942" s="156">
        <f t="shared" si="15"/>
        <v>1.4661391668606031E-2</v>
      </c>
      <c r="E942" s="156">
        <v>1.126237623762372E-2</v>
      </c>
      <c r="G942" s="156"/>
    </row>
    <row r="943" spans="2:7" x14ac:dyDescent="0.2">
      <c r="B943" s="230">
        <v>44610</v>
      </c>
      <c r="C943" s="124">
        <v>221.9</v>
      </c>
      <c r="D943" s="156">
        <f t="shared" si="15"/>
        <v>1.7889908256880759E-2</v>
      </c>
      <c r="E943" s="156">
        <v>1.1255043533658976E-2</v>
      </c>
      <c r="G943" s="156"/>
    </row>
    <row r="944" spans="2:7" x14ac:dyDescent="0.2">
      <c r="B944" s="230">
        <v>44609</v>
      </c>
      <c r="C944" s="124">
        <v>222.65</v>
      </c>
      <c r="D944" s="156">
        <f t="shared" si="15"/>
        <v>3.3799008562415502E-3</v>
      </c>
      <c r="E944" s="156">
        <v>1.1252939200537531E-2</v>
      </c>
      <c r="G944" s="156"/>
    </row>
    <row r="945" spans="2:7" x14ac:dyDescent="0.2">
      <c r="B945" s="230">
        <v>44608</v>
      </c>
      <c r="C945" s="124">
        <v>222.75</v>
      </c>
      <c r="D945" s="156">
        <f t="shared" si="15"/>
        <v>4.491354143273942E-4</v>
      </c>
      <c r="E945" s="156">
        <v>1.1237510672173903E-2</v>
      </c>
      <c r="G945" s="156"/>
    </row>
    <row r="946" spans="2:7" x14ac:dyDescent="0.2">
      <c r="B946" s="230">
        <v>44607</v>
      </c>
      <c r="C946" s="124">
        <v>223</v>
      </c>
      <c r="D946" s="156">
        <f t="shared" si="15"/>
        <v>1.1223344556677891E-3</v>
      </c>
      <c r="E946" s="156">
        <v>1.1236918854005852E-2</v>
      </c>
      <c r="G946" s="156"/>
    </row>
    <row r="947" spans="2:7" x14ac:dyDescent="0.2">
      <c r="B947" s="230">
        <v>44606</v>
      </c>
      <c r="C947" s="124">
        <v>219.45</v>
      </c>
      <c r="D947" s="156">
        <f t="shared" si="15"/>
        <v>-1.5919282511210813E-2</v>
      </c>
      <c r="E947" s="156">
        <v>1.1234597728920112E-2</v>
      </c>
      <c r="G947" s="156"/>
    </row>
    <row r="948" spans="2:7" x14ac:dyDescent="0.2">
      <c r="B948" s="230">
        <v>44603</v>
      </c>
      <c r="C948" s="124">
        <v>232.45</v>
      </c>
      <c r="D948" s="156">
        <f t="shared" si="15"/>
        <v>5.9239006607427661E-2</v>
      </c>
      <c r="E948" s="156">
        <v>1.1229225932025751E-2</v>
      </c>
      <c r="G948" s="156"/>
    </row>
    <row r="949" spans="2:7" x14ac:dyDescent="0.2">
      <c r="B949" s="230">
        <v>44602</v>
      </c>
      <c r="C949" s="124">
        <v>232.25</v>
      </c>
      <c r="D949" s="156">
        <f t="shared" si="15"/>
        <v>-8.6040008603995976E-4</v>
      </c>
      <c r="E949" s="156">
        <v>1.1222136817832499E-2</v>
      </c>
      <c r="G949" s="156"/>
    </row>
    <row r="950" spans="2:7" x14ac:dyDescent="0.2">
      <c r="B950" s="230">
        <v>44601</v>
      </c>
      <c r="C950" s="124">
        <v>230.15</v>
      </c>
      <c r="D950" s="156">
        <f t="shared" si="15"/>
        <v>-9.0419806243272095E-3</v>
      </c>
      <c r="E950" s="156">
        <v>1.1200298674631322E-2</v>
      </c>
      <c r="G950" s="156"/>
    </row>
    <row r="951" spans="2:7" x14ac:dyDescent="0.2">
      <c r="B951" s="230">
        <v>44600</v>
      </c>
      <c r="C951" s="124">
        <v>231.25</v>
      </c>
      <c r="D951" s="156">
        <f t="shared" si="15"/>
        <v>4.7794916358896121E-3</v>
      </c>
      <c r="E951" s="156">
        <v>1.1169494069959377E-2</v>
      </c>
      <c r="G951" s="156"/>
    </row>
    <row r="952" spans="2:7" x14ac:dyDescent="0.2">
      <c r="B952" s="230">
        <v>44599</v>
      </c>
      <c r="C952" s="124">
        <v>230.2</v>
      </c>
      <c r="D952" s="156">
        <f t="shared" si="15"/>
        <v>-4.5405405405405897E-3</v>
      </c>
      <c r="E952" s="156">
        <v>1.1167298777918151E-2</v>
      </c>
      <c r="G952" s="156"/>
    </row>
    <row r="953" spans="2:7" x14ac:dyDescent="0.2">
      <c r="B953" s="230">
        <v>44596</v>
      </c>
      <c r="C953" s="124">
        <v>234.3</v>
      </c>
      <c r="D953" s="156">
        <f t="shared" si="15"/>
        <v>1.7810599478714263E-2</v>
      </c>
      <c r="E953" s="156">
        <v>1.1140583554376703E-2</v>
      </c>
      <c r="G953" s="156"/>
    </row>
    <row r="954" spans="2:7" x14ac:dyDescent="0.2">
      <c r="B954" s="230">
        <v>44595</v>
      </c>
      <c r="C954" s="124">
        <v>234.45</v>
      </c>
      <c r="D954" s="156">
        <f t="shared" si="15"/>
        <v>6.4020486555688117E-4</v>
      </c>
      <c r="E954" s="156">
        <v>1.1131209127591484E-2</v>
      </c>
      <c r="G954" s="156"/>
    </row>
    <row r="955" spans="2:7" x14ac:dyDescent="0.2">
      <c r="B955" s="230">
        <v>44594</v>
      </c>
      <c r="C955" s="124">
        <v>232.15</v>
      </c>
      <c r="D955" s="156">
        <f t="shared" si="15"/>
        <v>-9.8101940712304672E-3</v>
      </c>
      <c r="E955" s="156">
        <v>1.1117500479202519E-2</v>
      </c>
      <c r="G955" s="156"/>
    </row>
    <row r="956" spans="2:7" x14ac:dyDescent="0.2">
      <c r="B956" s="230">
        <v>44593</v>
      </c>
      <c r="C956" s="124">
        <v>227.75</v>
      </c>
      <c r="D956" s="156">
        <f t="shared" si="15"/>
        <v>-1.8953262976523822E-2</v>
      </c>
      <c r="E956" s="156">
        <v>1.1114764879973676E-2</v>
      </c>
      <c r="G956" s="156"/>
    </row>
    <row r="957" spans="2:7" x14ac:dyDescent="0.2">
      <c r="B957" s="230">
        <v>44592</v>
      </c>
      <c r="C957" s="124">
        <v>220.2</v>
      </c>
      <c r="D957" s="156">
        <f t="shared" si="15"/>
        <v>-3.315038419319434E-2</v>
      </c>
      <c r="E957" s="156">
        <v>1.1108737449262954E-2</v>
      </c>
      <c r="G957" s="156"/>
    </row>
    <row r="958" spans="2:7" x14ac:dyDescent="0.2">
      <c r="B958" s="230">
        <v>44589</v>
      </c>
      <c r="C958" s="124">
        <v>217.6</v>
      </c>
      <c r="D958" s="156">
        <f t="shared" ref="D958:D1021" si="16">(C958-C957)/C957</f>
        <v>-1.1807447774750202E-2</v>
      </c>
      <c r="E958" s="156">
        <v>1.1107390042420234E-2</v>
      </c>
      <c r="G958" s="156"/>
    </row>
    <row r="959" spans="2:7" x14ac:dyDescent="0.2">
      <c r="B959" s="230">
        <v>44588</v>
      </c>
      <c r="C959" s="124">
        <v>214.6</v>
      </c>
      <c r="D959" s="156">
        <f t="shared" si="16"/>
        <v>-1.3786764705882353E-2</v>
      </c>
      <c r="E959" s="156">
        <v>1.1090909090909132E-2</v>
      </c>
      <c r="G959" s="156"/>
    </row>
    <row r="960" spans="2:7" x14ac:dyDescent="0.2">
      <c r="B960" s="230">
        <v>44586</v>
      </c>
      <c r="C960" s="124">
        <v>214.3</v>
      </c>
      <c r="D960" s="156">
        <f t="shared" si="16"/>
        <v>-1.3979496738116633E-3</v>
      </c>
      <c r="E960" s="156">
        <v>1.1088230635197144E-2</v>
      </c>
      <c r="G960" s="156"/>
    </row>
    <row r="961" spans="2:7" x14ac:dyDescent="0.2">
      <c r="B961" s="230">
        <v>44585</v>
      </c>
      <c r="C961" s="124">
        <v>211.8</v>
      </c>
      <c r="D961" s="156">
        <f t="shared" si="16"/>
        <v>-1.1665888940737284E-2</v>
      </c>
      <c r="E961" s="156">
        <v>1.1070998796630621E-2</v>
      </c>
      <c r="G961" s="156"/>
    </row>
    <row r="962" spans="2:7" x14ac:dyDescent="0.2">
      <c r="B962" s="230">
        <v>44582</v>
      </c>
      <c r="C962" s="124">
        <v>217.05</v>
      </c>
      <c r="D962" s="156">
        <f t="shared" si="16"/>
        <v>2.4787535410764869E-2</v>
      </c>
      <c r="E962" s="156">
        <v>1.1045987376014473E-2</v>
      </c>
      <c r="G962" s="156"/>
    </row>
    <row r="963" spans="2:7" x14ac:dyDescent="0.2">
      <c r="B963" s="230">
        <v>44581</v>
      </c>
      <c r="C963" s="124">
        <v>218.75</v>
      </c>
      <c r="D963" s="156">
        <f t="shared" si="16"/>
        <v>7.8322967058280981E-3</v>
      </c>
      <c r="E963" s="156">
        <v>1.103955841766331E-2</v>
      </c>
      <c r="G963" s="156"/>
    </row>
    <row r="964" spans="2:7" x14ac:dyDescent="0.2">
      <c r="B964" s="230">
        <v>44580</v>
      </c>
      <c r="C964" s="124">
        <v>220.35</v>
      </c>
      <c r="D964" s="156">
        <f t="shared" si="16"/>
        <v>7.3142857142856881E-3</v>
      </c>
      <c r="E964" s="156">
        <v>1.1032462777642272E-2</v>
      </c>
      <c r="G964" s="156"/>
    </row>
    <row r="965" spans="2:7" x14ac:dyDescent="0.2">
      <c r="B965" s="230">
        <v>44579</v>
      </c>
      <c r="C965" s="124">
        <v>220.75</v>
      </c>
      <c r="D965" s="156">
        <f t="shared" si="16"/>
        <v>1.8152938506921065E-3</v>
      </c>
      <c r="E965" s="156">
        <v>1.1028071454611812E-2</v>
      </c>
      <c r="G965" s="156"/>
    </row>
    <row r="966" spans="2:7" x14ac:dyDescent="0.2">
      <c r="B966" s="230">
        <v>44578</v>
      </c>
      <c r="C966" s="124">
        <v>224.6</v>
      </c>
      <c r="D966" s="156">
        <f t="shared" si="16"/>
        <v>1.7440543601358979E-2</v>
      </c>
      <c r="E966" s="156">
        <v>1.1020330609918428E-2</v>
      </c>
      <c r="G966" s="156"/>
    </row>
    <row r="967" spans="2:7" x14ac:dyDescent="0.2">
      <c r="B967" s="230">
        <v>44575</v>
      </c>
      <c r="C967" s="124">
        <v>222.6</v>
      </c>
      <c r="D967" s="156">
        <f t="shared" si="16"/>
        <v>-8.9047195013357075E-3</v>
      </c>
      <c r="E967" s="156">
        <v>1.1004448606883606E-2</v>
      </c>
      <c r="G967" s="156"/>
    </row>
    <row r="968" spans="2:7" x14ac:dyDescent="0.2">
      <c r="B968" s="230">
        <v>44574</v>
      </c>
      <c r="C968" s="124">
        <v>223.95</v>
      </c>
      <c r="D968" s="156">
        <f t="shared" si="16"/>
        <v>6.0646900269541526E-3</v>
      </c>
      <c r="E968" s="156">
        <v>1.1000795655031677E-2</v>
      </c>
      <c r="G968" s="156"/>
    </row>
    <row r="969" spans="2:7" x14ac:dyDescent="0.2">
      <c r="B969" s="230">
        <v>44573</v>
      </c>
      <c r="C969" s="124">
        <v>222.75</v>
      </c>
      <c r="D969" s="156">
        <f t="shared" si="16"/>
        <v>-5.3583389149363192E-3</v>
      </c>
      <c r="E969" s="156">
        <v>1.0985167966098157E-2</v>
      </c>
      <c r="G969" s="156"/>
    </row>
    <row r="970" spans="2:7" x14ac:dyDescent="0.2">
      <c r="B970" s="230">
        <v>44572</v>
      </c>
      <c r="C970" s="124">
        <v>221.95</v>
      </c>
      <c r="D970" s="156">
        <f t="shared" si="16"/>
        <v>-3.591470258136976E-3</v>
      </c>
      <c r="E970" s="156">
        <v>1.098015940308633E-2</v>
      </c>
      <c r="G970" s="156"/>
    </row>
    <row r="971" spans="2:7" x14ac:dyDescent="0.2">
      <c r="B971" s="230">
        <v>44571</v>
      </c>
      <c r="C971" s="124">
        <v>223.3</v>
      </c>
      <c r="D971" s="156">
        <f t="shared" si="16"/>
        <v>6.0824510024781384E-3</v>
      </c>
      <c r="E971" s="156">
        <v>1.0943071437353997E-2</v>
      </c>
      <c r="G971" s="156"/>
    </row>
    <row r="972" spans="2:7" x14ac:dyDescent="0.2">
      <c r="B972" s="230">
        <v>44568</v>
      </c>
      <c r="C972" s="124">
        <v>218.4</v>
      </c>
      <c r="D972" s="156">
        <f t="shared" si="16"/>
        <v>-2.1943573667711623E-2</v>
      </c>
      <c r="E972" s="156">
        <v>1.0904896718045422E-2</v>
      </c>
      <c r="G972" s="156"/>
    </row>
    <row r="973" spans="2:7" x14ac:dyDescent="0.2">
      <c r="B973" s="230">
        <v>44567</v>
      </c>
      <c r="C973" s="124">
        <v>218.7</v>
      </c>
      <c r="D973" s="156">
        <f t="shared" si="16"/>
        <v>1.3736263736262955E-3</v>
      </c>
      <c r="E973" s="156">
        <v>1.0903652241038215E-2</v>
      </c>
      <c r="G973" s="156"/>
    </row>
    <row r="974" spans="2:7" x14ac:dyDescent="0.2">
      <c r="B974" s="230">
        <v>44566</v>
      </c>
      <c r="C974" s="124">
        <v>220.55</v>
      </c>
      <c r="D974" s="156">
        <f t="shared" si="16"/>
        <v>8.4590763603110321E-3</v>
      </c>
      <c r="E974" s="156">
        <v>1.0903280383494657E-2</v>
      </c>
      <c r="G974" s="156"/>
    </row>
    <row r="975" spans="2:7" x14ac:dyDescent="0.2">
      <c r="B975" s="230">
        <v>44565</v>
      </c>
      <c r="C975" s="124">
        <v>220.25</v>
      </c>
      <c r="D975" s="156">
        <f t="shared" si="16"/>
        <v>-1.360235774200913E-3</v>
      </c>
      <c r="E975" s="156">
        <v>1.0901518863302276E-2</v>
      </c>
      <c r="G975" s="156"/>
    </row>
    <row r="976" spans="2:7" x14ac:dyDescent="0.2">
      <c r="B976" s="230">
        <v>44564</v>
      </c>
      <c r="C976" s="124">
        <v>219.1</v>
      </c>
      <c r="D976" s="156">
        <f t="shared" si="16"/>
        <v>-5.2213393870601844E-3</v>
      </c>
      <c r="E976" s="156">
        <v>1.0901133877063892E-2</v>
      </c>
      <c r="G976" s="156"/>
    </row>
    <row r="977" spans="2:7" x14ac:dyDescent="0.2">
      <c r="B977" s="230">
        <v>44561</v>
      </c>
      <c r="C977" s="124">
        <v>218.05</v>
      </c>
      <c r="D977" s="156">
        <f t="shared" si="16"/>
        <v>-4.7923322683705296E-3</v>
      </c>
      <c r="E977" s="156">
        <v>1.0893944248638252E-2</v>
      </c>
      <c r="G977" s="156"/>
    </row>
    <row r="978" spans="2:7" x14ac:dyDescent="0.2">
      <c r="B978" s="230">
        <v>44560</v>
      </c>
      <c r="C978" s="124">
        <v>216</v>
      </c>
      <c r="D978" s="156">
        <f t="shared" si="16"/>
        <v>-9.4015134143545578E-3</v>
      </c>
      <c r="E978" s="156">
        <v>1.08912409878817E-2</v>
      </c>
      <c r="G978" s="156"/>
    </row>
    <row r="979" spans="2:7" x14ac:dyDescent="0.2">
      <c r="B979" s="230">
        <v>44559</v>
      </c>
      <c r="C979" s="124">
        <v>216.75</v>
      </c>
      <c r="D979" s="156">
        <f t="shared" si="16"/>
        <v>3.472222222222222E-3</v>
      </c>
      <c r="E979" s="156">
        <v>1.0890052356020918E-2</v>
      </c>
      <c r="G979" s="156"/>
    </row>
    <row r="980" spans="2:7" x14ac:dyDescent="0.2">
      <c r="B980" s="230">
        <v>44558</v>
      </c>
      <c r="C980" s="124">
        <v>220.05</v>
      </c>
      <c r="D980" s="156">
        <f t="shared" si="16"/>
        <v>1.5224913494809741E-2</v>
      </c>
      <c r="E980" s="156">
        <v>1.0888710968775014E-2</v>
      </c>
      <c r="G980" s="156"/>
    </row>
    <row r="981" spans="2:7" x14ac:dyDescent="0.2">
      <c r="B981" s="230">
        <v>44557</v>
      </c>
      <c r="C981" s="124">
        <v>217.55</v>
      </c>
      <c r="D981" s="156">
        <f t="shared" si="16"/>
        <v>-1.1361054305839582E-2</v>
      </c>
      <c r="E981" s="156">
        <v>1.0866536639732501E-2</v>
      </c>
      <c r="G981" s="156"/>
    </row>
    <row r="982" spans="2:7" x14ac:dyDescent="0.2">
      <c r="B982" s="230">
        <v>44554</v>
      </c>
      <c r="C982" s="124">
        <v>218</v>
      </c>
      <c r="D982" s="156">
        <f t="shared" si="16"/>
        <v>2.0684900022982697E-3</v>
      </c>
      <c r="E982" s="156">
        <v>1.083932853717022E-2</v>
      </c>
      <c r="G982" s="156"/>
    </row>
    <row r="983" spans="2:7" x14ac:dyDescent="0.2">
      <c r="B983" s="230">
        <v>44553</v>
      </c>
      <c r="C983" s="124">
        <v>217.3</v>
      </c>
      <c r="D983" s="156">
        <f t="shared" si="16"/>
        <v>-3.2110091743118743E-3</v>
      </c>
      <c r="E983" s="156">
        <v>1.0819549807237821E-2</v>
      </c>
      <c r="G983" s="156"/>
    </row>
    <row r="984" spans="2:7" x14ac:dyDescent="0.2">
      <c r="B984" s="230">
        <v>44552</v>
      </c>
      <c r="C984" s="124">
        <v>212</v>
      </c>
      <c r="D984" s="156">
        <f t="shared" si="16"/>
        <v>-2.4390243902439074E-2</v>
      </c>
      <c r="E984" s="156">
        <v>1.0773130544993712E-2</v>
      </c>
      <c r="G984" s="156"/>
    </row>
    <row r="985" spans="2:7" x14ac:dyDescent="0.2">
      <c r="B985" s="230">
        <v>44551</v>
      </c>
      <c r="C985" s="124">
        <v>212.5</v>
      </c>
      <c r="D985" s="156">
        <f t="shared" si="16"/>
        <v>2.3584905660377358E-3</v>
      </c>
      <c r="E985" s="156">
        <v>1.0760532555170694E-2</v>
      </c>
      <c r="G985" s="156"/>
    </row>
    <row r="986" spans="2:7" x14ac:dyDescent="0.2">
      <c r="B986" s="230">
        <v>44550</v>
      </c>
      <c r="C986" s="124">
        <v>212.4</v>
      </c>
      <c r="D986" s="156">
        <f t="shared" si="16"/>
        <v>-4.7058823529409088E-4</v>
      </c>
      <c r="E986" s="156">
        <v>1.0750642184378227E-2</v>
      </c>
      <c r="G986" s="156"/>
    </row>
    <row r="987" spans="2:7" x14ac:dyDescent="0.2">
      <c r="B987" s="230">
        <v>44547</v>
      </c>
      <c r="C987" s="124">
        <v>217.95</v>
      </c>
      <c r="D987" s="156">
        <f t="shared" si="16"/>
        <v>2.6129943502824778E-2</v>
      </c>
      <c r="E987" s="156">
        <v>1.0739856801909262E-2</v>
      </c>
      <c r="G987" s="156"/>
    </row>
    <row r="988" spans="2:7" x14ac:dyDescent="0.2">
      <c r="B988" s="230">
        <v>44546</v>
      </c>
      <c r="C988" s="124">
        <v>222.9</v>
      </c>
      <c r="D988" s="156">
        <f t="shared" si="16"/>
        <v>2.2711631108052386E-2</v>
      </c>
      <c r="E988" s="156">
        <v>1.072271070126528E-2</v>
      </c>
      <c r="G988" s="156"/>
    </row>
    <row r="989" spans="2:7" x14ac:dyDescent="0.2">
      <c r="B989" s="230">
        <v>44545</v>
      </c>
      <c r="C989" s="124">
        <v>224.05</v>
      </c>
      <c r="D989" s="156">
        <f t="shared" si="16"/>
        <v>5.1592642440556561E-3</v>
      </c>
      <c r="E989" s="156">
        <v>1.070780399274043E-2</v>
      </c>
      <c r="G989" s="156"/>
    </row>
    <row r="990" spans="2:7" x14ac:dyDescent="0.2">
      <c r="B990" s="230">
        <v>44544</v>
      </c>
      <c r="C990" s="124">
        <v>228.6</v>
      </c>
      <c r="D990" s="156">
        <f t="shared" si="16"/>
        <v>2.0307966971658035E-2</v>
      </c>
      <c r="E990" s="156">
        <v>1.0699031589630825E-2</v>
      </c>
      <c r="G990" s="156"/>
    </row>
    <row r="991" spans="2:7" x14ac:dyDescent="0.2">
      <c r="B991" s="230">
        <v>44543</v>
      </c>
      <c r="C991" s="124">
        <v>234.6</v>
      </c>
      <c r="D991" s="156">
        <f t="shared" si="16"/>
        <v>2.6246719160104987E-2</v>
      </c>
      <c r="E991" s="156">
        <v>1.0697787503039088E-2</v>
      </c>
      <c r="G991" s="156"/>
    </row>
    <row r="992" spans="2:7" x14ac:dyDescent="0.2">
      <c r="B992" s="230">
        <v>44540</v>
      </c>
      <c r="C992" s="124">
        <v>236.1</v>
      </c>
      <c r="D992" s="156">
        <f t="shared" si="16"/>
        <v>6.3938618925831201E-3</v>
      </c>
      <c r="E992" s="156">
        <v>1.0678608336204005E-2</v>
      </c>
      <c r="G992" s="156"/>
    </row>
    <row r="993" spans="2:7" x14ac:dyDescent="0.2">
      <c r="B993" s="230">
        <v>44539</v>
      </c>
      <c r="C993" s="124">
        <v>235.4</v>
      </c>
      <c r="D993" s="156">
        <f t="shared" si="16"/>
        <v>-2.9648454044895749E-3</v>
      </c>
      <c r="E993" s="156">
        <v>1.0676156583629815E-2</v>
      </c>
      <c r="G993" s="156"/>
    </row>
    <row r="994" spans="2:7" x14ac:dyDescent="0.2">
      <c r="B994" s="230">
        <v>44538</v>
      </c>
      <c r="C994" s="124">
        <v>224.95</v>
      </c>
      <c r="D994" s="156">
        <f t="shared" si="16"/>
        <v>-4.4392523364486056E-2</v>
      </c>
      <c r="E994" s="156">
        <v>1.0667948101874094E-2</v>
      </c>
      <c r="G994" s="156"/>
    </row>
    <row r="995" spans="2:7" x14ac:dyDescent="0.2">
      <c r="B995" s="230">
        <v>44537</v>
      </c>
      <c r="C995" s="124">
        <v>220.65</v>
      </c>
      <c r="D995" s="156">
        <f t="shared" si="16"/>
        <v>-1.9115358968659627E-2</v>
      </c>
      <c r="E995" s="156">
        <v>1.0665312341290038E-2</v>
      </c>
      <c r="G995" s="156"/>
    </row>
    <row r="996" spans="2:7" x14ac:dyDescent="0.2">
      <c r="B996" s="230">
        <v>44536</v>
      </c>
      <c r="C996" s="124">
        <v>217.9</v>
      </c>
      <c r="D996" s="156">
        <f t="shared" si="16"/>
        <v>-1.2463176977113074E-2</v>
      </c>
      <c r="E996" s="156">
        <v>1.0659898477157283E-2</v>
      </c>
      <c r="G996" s="156"/>
    </row>
    <row r="997" spans="2:7" x14ac:dyDescent="0.2">
      <c r="B997" s="230">
        <v>44533</v>
      </c>
      <c r="C997" s="124">
        <v>221.65</v>
      </c>
      <c r="D997" s="156">
        <f t="shared" si="16"/>
        <v>1.7209729233593391E-2</v>
      </c>
      <c r="E997" s="156">
        <v>1.0655433031842427E-2</v>
      </c>
      <c r="G997" s="156"/>
    </row>
    <row r="998" spans="2:7" x14ac:dyDescent="0.2">
      <c r="B998" s="230">
        <v>44532</v>
      </c>
      <c r="C998" s="124">
        <v>225.45</v>
      </c>
      <c r="D998" s="156">
        <f t="shared" si="16"/>
        <v>1.7144146176404165E-2</v>
      </c>
      <c r="E998" s="156">
        <v>1.0618881699021034E-2</v>
      </c>
      <c r="G998" s="156"/>
    </row>
    <row r="999" spans="2:7" x14ac:dyDescent="0.2">
      <c r="B999" s="230">
        <v>44531</v>
      </c>
      <c r="C999" s="124">
        <v>221.9</v>
      </c>
      <c r="D999" s="156">
        <f t="shared" si="16"/>
        <v>-1.5746285207362976E-2</v>
      </c>
      <c r="E999" s="156">
        <v>1.0612090202766631E-2</v>
      </c>
      <c r="G999" s="156"/>
    </row>
    <row r="1000" spans="2:7" x14ac:dyDescent="0.2">
      <c r="B1000" s="230">
        <v>44530</v>
      </c>
      <c r="C1000" s="124">
        <v>221.15</v>
      </c>
      <c r="D1000" s="156">
        <f t="shared" si="16"/>
        <v>-3.3799008562415502E-3</v>
      </c>
      <c r="E1000" s="156">
        <v>1.0610734114743978E-2</v>
      </c>
      <c r="G1000" s="156"/>
    </row>
    <row r="1001" spans="2:7" x14ac:dyDescent="0.2">
      <c r="B1001" s="230">
        <v>44529</v>
      </c>
      <c r="C1001" s="124">
        <v>221.5</v>
      </c>
      <c r="D1001" s="156">
        <f t="shared" si="16"/>
        <v>1.5826362197603179E-3</v>
      </c>
      <c r="E1001" s="156">
        <v>1.05911330049261E-2</v>
      </c>
      <c r="G1001" s="156"/>
    </row>
    <row r="1002" spans="2:7" x14ac:dyDescent="0.2">
      <c r="B1002" s="230">
        <v>44526</v>
      </c>
      <c r="C1002" s="124">
        <v>224</v>
      </c>
      <c r="D1002" s="156">
        <f t="shared" si="16"/>
        <v>1.1286681715575621E-2</v>
      </c>
      <c r="E1002" s="156">
        <v>1.0582010582010653E-2</v>
      </c>
      <c r="G1002" s="156"/>
    </row>
    <row r="1003" spans="2:7" x14ac:dyDescent="0.2">
      <c r="B1003" s="230">
        <v>44525</v>
      </c>
      <c r="C1003" s="124">
        <v>231.3</v>
      </c>
      <c r="D1003" s="156">
        <f t="shared" si="16"/>
        <v>3.2589285714285765E-2</v>
      </c>
      <c r="E1003" s="156">
        <v>1.0580912863070498E-2</v>
      </c>
      <c r="G1003" s="156"/>
    </row>
    <row r="1004" spans="2:7" x14ac:dyDescent="0.2">
      <c r="B1004" s="230">
        <v>44524</v>
      </c>
      <c r="C1004" s="124">
        <v>227.7</v>
      </c>
      <c r="D1004" s="156">
        <f t="shared" si="16"/>
        <v>-1.5564202334630448E-2</v>
      </c>
      <c r="E1004" s="156">
        <v>1.0576668830076283E-2</v>
      </c>
      <c r="G1004" s="156"/>
    </row>
    <row r="1005" spans="2:7" x14ac:dyDescent="0.2">
      <c r="B1005" s="230">
        <v>44523</v>
      </c>
      <c r="C1005" s="124">
        <v>231.6</v>
      </c>
      <c r="D1005" s="156">
        <f t="shared" si="16"/>
        <v>1.7127799736495416E-2</v>
      </c>
      <c r="E1005" s="156">
        <v>1.0574620909816463E-2</v>
      </c>
      <c r="G1005" s="156"/>
    </row>
    <row r="1006" spans="2:7" x14ac:dyDescent="0.2">
      <c r="B1006" s="230">
        <v>44522</v>
      </c>
      <c r="C1006" s="124">
        <v>230.9</v>
      </c>
      <c r="D1006" s="156">
        <f t="shared" si="16"/>
        <v>-3.0224525043177405E-3</v>
      </c>
      <c r="E1006" s="156">
        <v>1.0574263868553743E-2</v>
      </c>
      <c r="G1006" s="156"/>
    </row>
    <row r="1007" spans="2:7" x14ac:dyDescent="0.2">
      <c r="B1007" s="230">
        <v>44518</v>
      </c>
      <c r="C1007" s="124">
        <v>237.5</v>
      </c>
      <c r="D1007" s="156">
        <f t="shared" si="16"/>
        <v>2.8583802511909891E-2</v>
      </c>
      <c r="E1007" s="156">
        <v>1.0571931996761744E-2</v>
      </c>
      <c r="G1007" s="156"/>
    </row>
    <row r="1008" spans="2:7" x14ac:dyDescent="0.2">
      <c r="B1008" s="230">
        <v>44517</v>
      </c>
      <c r="C1008" s="124">
        <v>239.5</v>
      </c>
      <c r="D1008" s="156">
        <f t="shared" si="16"/>
        <v>8.4210526315789472E-3</v>
      </c>
      <c r="E1008" s="156">
        <v>1.0555482253595422E-2</v>
      </c>
      <c r="G1008" s="156"/>
    </row>
    <row r="1009" spans="2:7" x14ac:dyDescent="0.2">
      <c r="B1009" s="230">
        <v>44516</v>
      </c>
      <c r="C1009" s="124">
        <v>235.45</v>
      </c>
      <c r="D1009" s="156">
        <f t="shared" si="16"/>
        <v>-1.6910229645093994E-2</v>
      </c>
      <c r="E1009" s="156">
        <v>1.0502540937323623E-2</v>
      </c>
      <c r="G1009" s="156"/>
    </row>
    <row r="1010" spans="2:7" x14ac:dyDescent="0.2">
      <c r="B1010" s="230">
        <v>44515</v>
      </c>
      <c r="C1010" s="124">
        <v>238.1</v>
      </c>
      <c r="D1010" s="156">
        <f t="shared" si="16"/>
        <v>1.1255043533658976E-2</v>
      </c>
      <c r="E1010" s="156">
        <v>1.0466560227071096E-2</v>
      </c>
      <c r="G1010" s="156"/>
    </row>
    <row r="1011" spans="2:7" x14ac:dyDescent="0.2">
      <c r="B1011" s="230">
        <v>44512</v>
      </c>
      <c r="C1011" s="124">
        <v>232.9</v>
      </c>
      <c r="D1011" s="156">
        <f t="shared" si="16"/>
        <v>-2.1839563208735778E-2</v>
      </c>
      <c r="E1011" s="156">
        <v>1.0460866277360035E-2</v>
      </c>
      <c r="G1011" s="156"/>
    </row>
    <row r="1012" spans="2:7" x14ac:dyDescent="0.2">
      <c r="B1012" s="230">
        <v>44511</v>
      </c>
      <c r="C1012" s="124">
        <v>230</v>
      </c>
      <c r="D1012" s="156">
        <f t="shared" si="16"/>
        <v>-1.2451696006869925E-2</v>
      </c>
      <c r="E1012" s="156">
        <v>1.045552461514202E-2</v>
      </c>
      <c r="G1012" s="156"/>
    </row>
    <row r="1013" spans="2:7" x14ac:dyDescent="0.2">
      <c r="B1013" s="230">
        <v>44510</v>
      </c>
      <c r="C1013" s="124">
        <v>230.85</v>
      </c>
      <c r="D1013" s="156">
        <f t="shared" si="16"/>
        <v>3.6956521739130188E-3</v>
      </c>
      <c r="E1013" s="156">
        <v>1.0420168067226968E-2</v>
      </c>
      <c r="G1013" s="156"/>
    </row>
    <row r="1014" spans="2:7" x14ac:dyDescent="0.2">
      <c r="B1014" s="230">
        <v>44509</v>
      </c>
      <c r="C1014" s="124">
        <v>228.75</v>
      </c>
      <c r="D1014" s="156">
        <f t="shared" si="16"/>
        <v>-9.0968161143599492E-3</v>
      </c>
      <c r="E1014" s="156">
        <v>1.0405581175357637E-2</v>
      </c>
      <c r="G1014" s="156"/>
    </row>
    <row r="1015" spans="2:7" x14ac:dyDescent="0.2">
      <c r="B1015" s="230">
        <v>44508</v>
      </c>
      <c r="C1015" s="124">
        <v>229.8</v>
      </c>
      <c r="D1015" s="156">
        <f t="shared" si="16"/>
        <v>4.5901639344262789E-3</v>
      </c>
      <c r="E1015" s="156">
        <v>1.0402080416083308E-2</v>
      </c>
      <c r="G1015" s="156"/>
    </row>
    <row r="1016" spans="2:7" x14ac:dyDescent="0.2">
      <c r="B1016" s="230">
        <v>44504</v>
      </c>
      <c r="C1016" s="124">
        <v>226.55</v>
      </c>
      <c r="D1016" s="156">
        <f t="shared" si="16"/>
        <v>-1.4142732811140122E-2</v>
      </c>
      <c r="E1016" s="156">
        <v>1.0396975425330813E-2</v>
      </c>
      <c r="G1016" s="156"/>
    </row>
    <row r="1017" spans="2:7" x14ac:dyDescent="0.2">
      <c r="B1017" s="230">
        <v>44503</v>
      </c>
      <c r="C1017" s="124">
        <v>222.45</v>
      </c>
      <c r="D1017" s="156">
        <f t="shared" si="16"/>
        <v>-1.809755020966684E-2</v>
      </c>
      <c r="E1017" s="156">
        <v>1.0396211158599976E-2</v>
      </c>
      <c r="G1017" s="156"/>
    </row>
    <row r="1018" spans="2:7" x14ac:dyDescent="0.2">
      <c r="B1018" s="230">
        <v>44502</v>
      </c>
      <c r="C1018" s="124">
        <v>225.6</v>
      </c>
      <c r="D1018" s="156">
        <f t="shared" si="16"/>
        <v>1.4160485502360107E-2</v>
      </c>
      <c r="E1018" s="156">
        <v>1.0384759058647851E-2</v>
      </c>
      <c r="G1018" s="156"/>
    </row>
    <row r="1019" spans="2:7" x14ac:dyDescent="0.2">
      <c r="B1019" s="230">
        <v>44501</v>
      </c>
      <c r="C1019" s="124">
        <v>226.85</v>
      </c>
      <c r="D1019" s="156">
        <f t="shared" si="16"/>
        <v>5.5407801418439718E-3</v>
      </c>
      <c r="E1019" s="156">
        <v>1.0382091856426081E-2</v>
      </c>
      <c r="G1019" s="156"/>
    </row>
    <row r="1020" spans="2:7" x14ac:dyDescent="0.2">
      <c r="B1020" s="230">
        <v>44498</v>
      </c>
      <c r="C1020" s="124">
        <v>223.2</v>
      </c>
      <c r="D1020" s="156">
        <f t="shared" si="16"/>
        <v>-1.6089927264712391E-2</v>
      </c>
      <c r="E1020" s="156">
        <v>1.0375880971025864E-2</v>
      </c>
      <c r="G1020" s="156"/>
    </row>
    <row r="1021" spans="2:7" x14ac:dyDescent="0.2">
      <c r="B1021" s="230">
        <v>44497</v>
      </c>
      <c r="C1021" s="124">
        <v>225.1</v>
      </c>
      <c r="D1021" s="156">
        <f t="shared" si="16"/>
        <v>8.5125448028674101E-3</v>
      </c>
      <c r="E1021" s="156">
        <v>1.0347337770382744E-2</v>
      </c>
      <c r="G1021" s="156"/>
    </row>
    <row r="1022" spans="2:7" x14ac:dyDescent="0.2">
      <c r="B1022" s="230">
        <v>44496</v>
      </c>
      <c r="C1022" s="124">
        <v>238.45</v>
      </c>
      <c r="D1022" s="156">
        <f t="shared" ref="D1022:D1085" si="17">(C1022-C1021)/C1021</f>
        <v>5.9306974677920898E-2</v>
      </c>
      <c r="E1022" s="156">
        <v>1.0347271438695949E-2</v>
      </c>
      <c r="G1022" s="156"/>
    </row>
    <row r="1023" spans="2:7" x14ac:dyDescent="0.2">
      <c r="B1023" s="230">
        <v>44495</v>
      </c>
      <c r="C1023" s="124">
        <v>236.7</v>
      </c>
      <c r="D1023" s="156">
        <f t="shared" si="17"/>
        <v>-7.3390647934577485E-3</v>
      </c>
      <c r="E1023" s="156">
        <v>1.0345376412541758E-2</v>
      </c>
      <c r="G1023" s="156"/>
    </row>
    <row r="1024" spans="2:7" x14ac:dyDescent="0.2">
      <c r="B1024" s="230">
        <v>44494</v>
      </c>
      <c r="C1024" s="124">
        <v>233.4</v>
      </c>
      <c r="D1024" s="156">
        <f t="shared" si="17"/>
        <v>-1.3941698352344668E-2</v>
      </c>
      <c r="E1024" s="156">
        <v>1.0332434860736607E-2</v>
      </c>
      <c r="G1024" s="156"/>
    </row>
    <row r="1025" spans="2:7" x14ac:dyDescent="0.2">
      <c r="B1025" s="230">
        <v>44491</v>
      </c>
      <c r="C1025" s="124">
        <v>236.6</v>
      </c>
      <c r="D1025" s="156">
        <f t="shared" si="17"/>
        <v>1.3710368466152478E-2</v>
      </c>
      <c r="E1025" s="156">
        <v>1.0296214161254532E-2</v>
      </c>
      <c r="G1025" s="156"/>
    </row>
    <row r="1026" spans="2:7" x14ac:dyDescent="0.2">
      <c r="B1026" s="230">
        <v>44490</v>
      </c>
      <c r="C1026" s="124">
        <v>244.7</v>
      </c>
      <c r="D1026" s="156">
        <f t="shared" si="17"/>
        <v>3.4234995773457289E-2</v>
      </c>
      <c r="E1026" s="156">
        <v>1.0287779785902956E-2</v>
      </c>
      <c r="G1026" s="156"/>
    </row>
    <row r="1027" spans="2:7" x14ac:dyDescent="0.2">
      <c r="B1027" s="230">
        <v>44489</v>
      </c>
      <c r="C1027" s="124">
        <v>246.6</v>
      </c>
      <c r="D1027" s="156">
        <f t="shared" si="17"/>
        <v>7.7646097261953647E-3</v>
      </c>
      <c r="E1027" s="156">
        <v>1.0287081339712945E-2</v>
      </c>
      <c r="G1027" s="156"/>
    </row>
    <row r="1028" spans="2:7" x14ac:dyDescent="0.2">
      <c r="B1028" s="230">
        <v>44488</v>
      </c>
      <c r="C1028" s="124">
        <v>245.95</v>
      </c>
      <c r="D1028" s="156">
        <f t="shared" si="17"/>
        <v>-2.6358475263584982E-3</v>
      </c>
      <c r="E1028" s="156">
        <v>1.0282776349614499E-2</v>
      </c>
      <c r="G1028" s="156"/>
    </row>
    <row r="1029" spans="2:7" x14ac:dyDescent="0.2">
      <c r="B1029" s="230">
        <v>44487</v>
      </c>
      <c r="C1029" s="124">
        <v>262.55</v>
      </c>
      <c r="D1029" s="156">
        <f t="shared" si="17"/>
        <v>6.74933929660501E-2</v>
      </c>
      <c r="E1029" s="156">
        <v>1.0279253040945716E-2</v>
      </c>
      <c r="G1029" s="156"/>
    </row>
    <row r="1030" spans="2:7" x14ac:dyDescent="0.2">
      <c r="B1030" s="230">
        <v>44483</v>
      </c>
      <c r="C1030" s="124">
        <v>256.55</v>
      </c>
      <c r="D1030" s="156">
        <f t="shared" si="17"/>
        <v>-2.2852789944772422E-2</v>
      </c>
      <c r="E1030" s="156">
        <v>1.0271903323262771E-2</v>
      </c>
      <c r="G1030" s="156"/>
    </row>
    <row r="1031" spans="2:7" x14ac:dyDescent="0.2">
      <c r="B1031" s="230">
        <v>44482</v>
      </c>
      <c r="C1031" s="124">
        <v>249.2</v>
      </c>
      <c r="D1031" s="156">
        <f t="shared" si="17"/>
        <v>-2.8649386084583988E-2</v>
      </c>
      <c r="E1031" s="156">
        <v>1.0268929706269771E-2</v>
      </c>
      <c r="G1031" s="156"/>
    </row>
    <row r="1032" spans="2:7" x14ac:dyDescent="0.2">
      <c r="B1032" s="230">
        <v>44481</v>
      </c>
      <c r="C1032" s="124">
        <v>241.3</v>
      </c>
      <c r="D1032" s="156">
        <f t="shared" si="17"/>
        <v>-3.1701444622792847E-2</v>
      </c>
      <c r="E1032" s="156">
        <v>1.0223774295823161E-2</v>
      </c>
      <c r="G1032" s="156"/>
    </row>
    <row r="1033" spans="2:7" x14ac:dyDescent="0.2">
      <c r="B1033" s="230">
        <v>44480</v>
      </c>
      <c r="C1033" s="124">
        <v>238.05</v>
      </c>
      <c r="D1033" s="156">
        <f t="shared" si="17"/>
        <v>-1.3468711147948611E-2</v>
      </c>
      <c r="E1033" s="156">
        <v>1.0217308425467048E-2</v>
      </c>
      <c r="G1033" s="156"/>
    </row>
    <row r="1034" spans="2:7" x14ac:dyDescent="0.2">
      <c r="B1034" s="230">
        <v>44477</v>
      </c>
      <c r="C1034" s="124">
        <v>231.7</v>
      </c>
      <c r="D1034" s="156">
        <f t="shared" si="17"/>
        <v>-2.6675068262970059E-2</v>
      </c>
      <c r="E1034" s="156">
        <v>1.0215170615083652E-2</v>
      </c>
      <c r="G1034" s="156"/>
    </row>
    <row r="1035" spans="2:7" x14ac:dyDescent="0.2">
      <c r="B1035" s="230">
        <v>44476</v>
      </c>
      <c r="C1035" s="124">
        <v>232.95</v>
      </c>
      <c r="D1035" s="156">
        <f t="shared" si="17"/>
        <v>5.3949072075960298E-3</v>
      </c>
      <c r="E1035" s="156">
        <v>1.0208514335360656E-2</v>
      </c>
      <c r="G1035" s="156"/>
    </row>
    <row r="1036" spans="2:7" x14ac:dyDescent="0.2">
      <c r="B1036" s="230">
        <v>44475</v>
      </c>
      <c r="C1036" s="124">
        <v>231.25</v>
      </c>
      <c r="D1036" s="156">
        <f t="shared" si="17"/>
        <v>-7.2977033698218017E-3</v>
      </c>
      <c r="E1036" s="156">
        <v>1.0205264988983033E-2</v>
      </c>
      <c r="G1036" s="156"/>
    </row>
    <row r="1037" spans="2:7" x14ac:dyDescent="0.2">
      <c r="B1037" s="230">
        <v>44474</v>
      </c>
      <c r="C1037" s="124">
        <v>234.7</v>
      </c>
      <c r="D1037" s="156">
        <f t="shared" si="17"/>
        <v>1.491891891891887E-2</v>
      </c>
      <c r="E1037" s="156">
        <v>1.0199125789218033E-2</v>
      </c>
      <c r="G1037" s="156"/>
    </row>
    <row r="1038" spans="2:7" x14ac:dyDescent="0.2">
      <c r="B1038" s="230">
        <v>44473</v>
      </c>
      <c r="C1038" s="124">
        <v>236.6</v>
      </c>
      <c r="D1038" s="156">
        <f t="shared" si="17"/>
        <v>8.0954409884959767E-3</v>
      </c>
      <c r="E1038" s="156">
        <v>1.016260162601626E-2</v>
      </c>
      <c r="G1038" s="156"/>
    </row>
    <row r="1039" spans="2:7" x14ac:dyDescent="0.2">
      <c r="B1039" s="230">
        <v>44470</v>
      </c>
      <c r="C1039" s="124">
        <v>235.35</v>
      </c>
      <c r="D1039" s="156">
        <f t="shared" si="17"/>
        <v>-5.2831783601014369E-3</v>
      </c>
      <c r="E1039" s="156">
        <v>1.014995901441737E-2</v>
      </c>
      <c r="G1039" s="156"/>
    </row>
    <row r="1040" spans="2:7" x14ac:dyDescent="0.2">
      <c r="B1040" s="230">
        <v>44469</v>
      </c>
      <c r="C1040" s="124">
        <v>236.15</v>
      </c>
      <c r="D1040" s="156">
        <f t="shared" si="17"/>
        <v>3.3991926917357612E-3</v>
      </c>
      <c r="E1040" s="156">
        <v>1.013451262207481E-2</v>
      </c>
      <c r="G1040" s="156"/>
    </row>
    <row r="1041" spans="2:7" x14ac:dyDescent="0.2">
      <c r="B1041" s="230">
        <v>44468</v>
      </c>
      <c r="C1041" s="124">
        <v>238.1</v>
      </c>
      <c r="D1041" s="156">
        <f t="shared" si="17"/>
        <v>8.2574634766038046E-3</v>
      </c>
      <c r="E1041" s="156">
        <v>1.0121352956364616E-2</v>
      </c>
      <c r="G1041" s="156"/>
    </row>
    <row r="1042" spans="2:7" x14ac:dyDescent="0.2">
      <c r="B1042" s="230">
        <v>44467</v>
      </c>
      <c r="C1042" s="124">
        <v>237.75</v>
      </c>
      <c r="D1042" s="156">
        <f t="shared" si="17"/>
        <v>-1.4699706005879645E-3</v>
      </c>
      <c r="E1042" s="156">
        <v>1.0120759056929217E-2</v>
      </c>
      <c r="G1042" s="156"/>
    </row>
    <row r="1043" spans="2:7" x14ac:dyDescent="0.2">
      <c r="B1043" s="230">
        <v>44466</v>
      </c>
      <c r="C1043" s="124">
        <v>238.7</v>
      </c>
      <c r="D1043" s="156">
        <f t="shared" si="17"/>
        <v>3.9957939011566294E-3</v>
      </c>
      <c r="E1043" s="156">
        <v>1.0116660590594235E-2</v>
      </c>
      <c r="G1043" s="156"/>
    </row>
    <row r="1044" spans="2:7" x14ac:dyDescent="0.2">
      <c r="B1044" s="230">
        <v>44463</v>
      </c>
      <c r="C1044" s="124">
        <v>238.45</v>
      </c>
      <c r="D1044" s="156">
        <f t="shared" si="17"/>
        <v>-1.0473397570171764E-3</v>
      </c>
      <c r="E1044" s="156">
        <v>1.0102656020857172E-2</v>
      </c>
      <c r="G1044" s="156"/>
    </row>
    <row r="1045" spans="2:7" x14ac:dyDescent="0.2">
      <c r="B1045" s="230">
        <v>44462</v>
      </c>
      <c r="C1045" s="124">
        <v>242.5</v>
      </c>
      <c r="D1045" s="156">
        <f t="shared" si="17"/>
        <v>1.6984692807716553E-2</v>
      </c>
      <c r="E1045" s="156">
        <v>1.0099188458070375E-2</v>
      </c>
      <c r="G1045" s="156"/>
    </row>
    <row r="1046" spans="2:7" x14ac:dyDescent="0.2">
      <c r="B1046" s="230">
        <v>44461</v>
      </c>
      <c r="C1046" s="124">
        <v>243.5</v>
      </c>
      <c r="D1046" s="156">
        <f t="shared" si="17"/>
        <v>4.1237113402061857E-3</v>
      </c>
      <c r="E1046" s="156">
        <v>1.0097996465701184E-2</v>
      </c>
      <c r="G1046" s="156"/>
    </row>
    <row r="1047" spans="2:7" x14ac:dyDescent="0.2">
      <c r="B1047" s="230">
        <v>44460</v>
      </c>
      <c r="C1047" s="124">
        <v>241.5</v>
      </c>
      <c r="D1047" s="156">
        <f t="shared" si="17"/>
        <v>-8.2135523613963042E-3</v>
      </c>
      <c r="E1047" s="156">
        <v>1.0090913418058949E-2</v>
      </c>
      <c r="G1047" s="156"/>
    </row>
    <row r="1048" spans="2:7" x14ac:dyDescent="0.2">
      <c r="B1048" s="230">
        <v>44459</v>
      </c>
      <c r="C1048" s="124">
        <v>233.75</v>
      </c>
      <c r="D1048" s="156">
        <f t="shared" si="17"/>
        <v>-3.2091097308488616E-2</v>
      </c>
      <c r="E1048" s="156">
        <v>1.0072450963067761E-2</v>
      </c>
      <c r="G1048" s="156"/>
    </row>
    <row r="1049" spans="2:7" x14ac:dyDescent="0.2">
      <c r="B1049" s="230">
        <v>44456</v>
      </c>
      <c r="C1049" s="124">
        <v>231.15</v>
      </c>
      <c r="D1049" s="156">
        <f t="shared" si="17"/>
        <v>-1.1122994652406393E-2</v>
      </c>
      <c r="E1049" s="156">
        <v>1.0071235568656266E-2</v>
      </c>
      <c r="G1049" s="156"/>
    </row>
    <row r="1050" spans="2:7" x14ac:dyDescent="0.2">
      <c r="B1050" s="230">
        <v>44455</v>
      </c>
      <c r="C1050" s="124">
        <v>230.75</v>
      </c>
      <c r="D1050" s="156">
        <f t="shared" si="17"/>
        <v>-1.7304780445598343E-3</v>
      </c>
      <c r="E1050" s="156">
        <v>1.0070186145865155E-2</v>
      </c>
      <c r="G1050" s="156"/>
    </row>
    <row r="1051" spans="2:7" x14ac:dyDescent="0.2">
      <c r="B1051" s="230">
        <v>44454</v>
      </c>
      <c r="C1051" s="124">
        <v>216</v>
      </c>
      <c r="D1051" s="156">
        <f t="shared" si="17"/>
        <v>-6.3921993499458291E-2</v>
      </c>
      <c r="E1051" s="156">
        <v>1.0050251256281463E-2</v>
      </c>
      <c r="G1051" s="156"/>
    </row>
    <row r="1052" spans="2:7" x14ac:dyDescent="0.2">
      <c r="B1052" s="230">
        <v>44453</v>
      </c>
      <c r="C1052" s="124">
        <v>216.1</v>
      </c>
      <c r="D1052" s="156">
        <f t="shared" si="17"/>
        <v>4.6296296296293663E-4</v>
      </c>
      <c r="E1052" s="156">
        <v>1.0027347310847767E-2</v>
      </c>
      <c r="G1052" s="156"/>
    </row>
    <row r="1053" spans="2:7" x14ac:dyDescent="0.2">
      <c r="B1053" s="230">
        <v>44452</v>
      </c>
      <c r="C1053" s="124">
        <v>214.15</v>
      </c>
      <c r="D1053" s="156">
        <f t="shared" si="17"/>
        <v>-9.0236001850994389E-3</v>
      </c>
      <c r="E1053" s="156">
        <v>1.0025993316004414E-2</v>
      </c>
      <c r="G1053" s="156"/>
    </row>
    <row r="1054" spans="2:7" x14ac:dyDescent="0.2">
      <c r="B1054" s="230">
        <v>44448</v>
      </c>
      <c r="C1054" s="124">
        <v>212.65</v>
      </c>
      <c r="D1054" s="156">
        <f t="shared" si="17"/>
        <v>-7.0044361428904973E-3</v>
      </c>
      <c r="E1054" s="156">
        <v>1.0008732451131921E-2</v>
      </c>
      <c r="G1054" s="156"/>
    </row>
    <row r="1055" spans="2:7" x14ac:dyDescent="0.2">
      <c r="B1055" s="230">
        <v>44447</v>
      </c>
      <c r="C1055" s="124">
        <v>211.25</v>
      </c>
      <c r="D1055" s="156">
        <f t="shared" si="17"/>
        <v>-6.5835880554902691E-3</v>
      </c>
      <c r="E1055" s="156">
        <v>1.0004413711931835E-2</v>
      </c>
      <c r="G1055" s="156"/>
    </row>
    <row r="1056" spans="2:7" x14ac:dyDescent="0.2">
      <c r="B1056" s="230">
        <v>44446</v>
      </c>
      <c r="C1056" s="124">
        <v>211.75</v>
      </c>
      <c r="D1056" s="156">
        <f t="shared" si="17"/>
        <v>2.3668639053254438E-3</v>
      </c>
      <c r="E1056" s="156">
        <v>9.9919347611792716E-3</v>
      </c>
      <c r="G1056" s="156"/>
    </row>
    <row r="1057" spans="2:7" x14ac:dyDescent="0.2">
      <c r="B1057" s="230">
        <v>44445</v>
      </c>
      <c r="C1057" s="124">
        <v>209.3</v>
      </c>
      <c r="D1057" s="156">
        <f t="shared" si="17"/>
        <v>-1.1570247933884243E-2</v>
      </c>
      <c r="E1057" s="156">
        <v>9.9241376019847515E-3</v>
      </c>
      <c r="G1057" s="156"/>
    </row>
    <row r="1058" spans="2:7" x14ac:dyDescent="0.2">
      <c r="B1058" s="230">
        <v>44442</v>
      </c>
      <c r="C1058" s="124">
        <v>210.6</v>
      </c>
      <c r="D1058" s="156">
        <f t="shared" si="17"/>
        <v>6.2111801242235205E-3</v>
      </c>
      <c r="E1058" s="156">
        <v>9.9046907120163598E-3</v>
      </c>
      <c r="G1058" s="156"/>
    </row>
    <row r="1059" spans="2:7" x14ac:dyDescent="0.2">
      <c r="B1059" s="230">
        <v>44441</v>
      </c>
      <c r="C1059" s="124">
        <v>209.75</v>
      </c>
      <c r="D1059" s="156">
        <f t="shared" si="17"/>
        <v>-4.0360873694206762E-3</v>
      </c>
      <c r="E1059" s="156">
        <v>9.899239879794984E-3</v>
      </c>
      <c r="G1059" s="156"/>
    </row>
    <row r="1060" spans="2:7" x14ac:dyDescent="0.2">
      <c r="B1060" s="230">
        <v>44440</v>
      </c>
      <c r="C1060" s="124">
        <v>209.5</v>
      </c>
      <c r="D1060" s="156">
        <f t="shared" si="17"/>
        <v>-1.1918951132300357E-3</v>
      </c>
      <c r="E1060" s="156">
        <v>9.8972922502333412E-3</v>
      </c>
      <c r="G1060" s="156"/>
    </row>
    <row r="1061" spans="2:7" x14ac:dyDescent="0.2">
      <c r="B1061" s="230">
        <v>44439</v>
      </c>
      <c r="C1061" s="124">
        <v>211.3</v>
      </c>
      <c r="D1061" s="156">
        <f t="shared" si="17"/>
        <v>8.5918854415275008E-3</v>
      </c>
      <c r="E1061" s="156">
        <v>9.8902587725240385E-3</v>
      </c>
      <c r="G1061" s="156"/>
    </row>
    <row r="1062" spans="2:7" x14ac:dyDescent="0.2">
      <c r="B1062" s="230">
        <v>44438</v>
      </c>
      <c r="C1062" s="124">
        <v>208</v>
      </c>
      <c r="D1062" s="156">
        <f t="shared" si="17"/>
        <v>-1.5617605300520639E-2</v>
      </c>
      <c r="E1062" s="156">
        <v>9.8892405063291128E-3</v>
      </c>
      <c r="G1062" s="156"/>
    </row>
    <row r="1063" spans="2:7" x14ac:dyDescent="0.2">
      <c r="B1063" s="230">
        <v>44435</v>
      </c>
      <c r="C1063" s="124">
        <v>205.9</v>
      </c>
      <c r="D1063" s="156">
        <f t="shared" si="17"/>
        <v>-1.0096153846153819E-2</v>
      </c>
      <c r="E1063" s="156">
        <v>9.8826436071648514E-3</v>
      </c>
      <c r="G1063" s="156"/>
    </row>
    <row r="1064" spans="2:7" x14ac:dyDescent="0.2">
      <c r="B1064" s="230">
        <v>44434</v>
      </c>
      <c r="C1064" s="124">
        <v>204.6</v>
      </c>
      <c r="D1064" s="156">
        <f t="shared" si="17"/>
        <v>-6.3137445361826682E-3</v>
      </c>
      <c r="E1064" s="156">
        <v>9.8706845414640535E-3</v>
      </c>
      <c r="G1064" s="156"/>
    </row>
    <row r="1065" spans="2:7" x14ac:dyDescent="0.2">
      <c r="B1065" s="230">
        <v>44433</v>
      </c>
      <c r="C1065" s="124">
        <v>206.4</v>
      </c>
      <c r="D1065" s="156">
        <f t="shared" si="17"/>
        <v>8.7976539589443379E-3</v>
      </c>
      <c r="E1065" s="156">
        <v>9.8642533936651889E-3</v>
      </c>
      <c r="G1065" s="156"/>
    </row>
    <row r="1066" spans="2:7" x14ac:dyDescent="0.2">
      <c r="B1066" s="230">
        <v>44432</v>
      </c>
      <c r="C1066" s="124">
        <v>205.75</v>
      </c>
      <c r="D1066" s="156">
        <f t="shared" si="17"/>
        <v>-3.1492248062015777E-3</v>
      </c>
      <c r="E1066" s="156">
        <v>9.855769230769286E-3</v>
      </c>
      <c r="G1066" s="156"/>
    </row>
    <row r="1067" spans="2:7" x14ac:dyDescent="0.2">
      <c r="B1067" s="230">
        <v>44431</v>
      </c>
      <c r="C1067" s="124">
        <v>206.3</v>
      </c>
      <c r="D1067" s="156">
        <f t="shared" si="17"/>
        <v>2.6731470230863248E-3</v>
      </c>
      <c r="E1067" s="156">
        <v>9.8550724637680494E-3</v>
      </c>
      <c r="G1067" s="156"/>
    </row>
    <row r="1068" spans="2:7" x14ac:dyDescent="0.2">
      <c r="B1068" s="230">
        <v>44428</v>
      </c>
      <c r="C1068" s="124">
        <v>208.9</v>
      </c>
      <c r="D1068" s="156">
        <f t="shared" si="17"/>
        <v>1.2603005332040689E-2</v>
      </c>
      <c r="E1068" s="156">
        <v>9.8533171179667183E-3</v>
      </c>
      <c r="G1068" s="156"/>
    </row>
    <row r="1069" spans="2:7" x14ac:dyDescent="0.2">
      <c r="B1069" s="230">
        <v>44426</v>
      </c>
      <c r="C1069" s="124">
        <v>208.95</v>
      </c>
      <c r="D1069" s="156">
        <f t="shared" si="17"/>
        <v>2.3934897079934392E-4</v>
      </c>
      <c r="E1069" s="156">
        <v>9.8513344080243606E-3</v>
      </c>
      <c r="G1069" s="156"/>
    </row>
    <row r="1070" spans="2:7" x14ac:dyDescent="0.2">
      <c r="B1070" s="230">
        <v>44425</v>
      </c>
      <c r="C1070" s="124">
        <v>209.2</v>
      </c>
      <c r="D1070" s="156">
        <f t="shared" si="17"/>
        <v>1.1964584828906438E-3</v>
      </c>
      <c r="E1070" s="156">
        <v>9.8455598455598897E-3</v>
      </c>
      <c r="G1070" s="156"/>
    </row>
    <row r="1071" spans="2:7" x14ac:dyDescent="0.2">
      <c r="B1071" s="230">
        <v>44424</v>
      </c>
      <c r="C1071" s="124">
        <v>210.9</v>
      </c>
      <c r="D1071" s="156">
        <f t="shared" si="17"/>
        <v>8.1261950286807706E-3</v>
      </c>
      <c r="E1071" s="156">
        <v>9.8425196850393179E-3</v>
      </c>
      <c r="G1071" s="156"/>
    </row>
    <row r="1072" spans="2:7" x14ac:dyDescent="0.2">
      <c r="B1072" s="230">
        <v>44421</v>
      </c>
      <c r="C1072" s="124">
        <v>211.45</v>
      </c>
      <c r="D1072" s="156">
        <f t="shared" si="17"/>
        <v>2.6078710289235796E-3</v>
      </c>
      <c r="E1072" s="156">
        <v>9.8397079828599354E-3</v>
      </c>
      <c r="G1072" s="156"/>
    </row>
    <row r="1073" spans="2:7" x14ac:dyDescent="0.2">
      <c r="B1073" s="230">
        <v>44420</v>
      </c>
      <c r="C1073" s="124">
        <v>208.9</v>
      </c>
      <c r="D1073" s="156">
        <f t="shared" si="17"/>
        <v>-1.2059588555213918E-2</v>
      </c>
      <c r="E1073" s="156">
        <v>9.8396810586139326E-3</v>
      </c>
      <c r="G1073" s="156"/>
    </row>
    <row r="1074" spans="2:7" x14ac:dyDescent="0.2">
      <c r="B1074" s="230">
        <v>44419</v>
      </c>
      <c r="C1074" s="124">
        <v>208.65</v>
      </c>
      <c r="D1074" s="156">
        <f t="shared" si="17"/>
        <v>-1.1967448539971278E-3</v>
      </c>
      <c r="E1074" s="156">
        <v>9.7680097680097333E-3</v>
      </c>
      <c r="G1074" s="156"/>
    </row>
    <row r="1075" spans="2:7" x14ac:dyDescent="0.2">
      <c r="B1075" s="230">
        <v>44418</v>
      </c>
      <c r="C1075" s="124">
        <v>209.85</v>
      </c>
      <c r="D1075" s="156">
        <f t="shared" si="17"/>
        <v>5.7512580877066314E-3</v>
      </c>
      <c r="E1075" s="156">
        <v>9.7672027612544076E-3</v>
      </c>
      <c r="G1075" s="156"/>
    </row>
    <row r="1076" spans="2:7" x14ac:dyDescent="0.2">
      <c r="B1076" s="230">
        <v>44417</v>
      </c>
      <c r="C1076" s="124">
        <v>213.8</v>
      </c>
      <c r="D1076" s="156">
        <f t="shared" si="17"/>
        <v>1.8822968787229055E-2</v>
      </c>
      <c r="E1076" s="156">
        <v>9.7659277631374272E-3</v>
      </c>
      <c r="G1076" s="156"/>
    </row>
    <row r="1077" spans="2:7" x14ac:dyDescent="0.2">
      <c r="B1077" s="230">
        <v>44414</v>
      </c>
      <c r="C1077" s="124">
        <v>214.25</v>
      </c>
      <c r="D1077" s="156">
        <f t="shared" si="17"/>
        <v>2.1047708138446615E-3</v>
      </c>
      <c r="E1077" s="156">
        <v>9.7360044935404077E-3</v>
      </c>
      <c r="G1077" s="156"/>
    </row>
    <row r="1078" spans="2:7" x14ac:dyDescent="0.2">
      <c r="B1078" s="230">
        <v>44413</v>
      </c>
      <c r="C1078" s="124">
        <v>215.25</v>
      </c>
      <c r="D1078" s="156">
        <f t="shared" si="17"/>
        <v>4.6674445740956822E-3</v>
      </c>
      <c r="E1078" s="156">
        <v>9.7332372025956942E-3</v>
      </c>
      <c r="G1078" s="156"/>
    </row>
    <row r="1079" spans="2:7" x14ac:dyDescent="0.2">
      <c r="B1079" s="230">
        <v>44412</v>
      </c>
      <c r="C1079" s="124">
        <v>208.6</v>
      </c>
      <c r="D1079" s="156">
        <f t="shared" si="17"/>
        <v>-3.0894308943089456E-2</v>
      </c>
      <c r="E1079" s="156">
        <v>9.729240515875948E-3</v>
      </c>
      <c r="G1079" s="156"/>
    </row>
    <row r="1080" spans="2:7" x14ac:dyDescent="0.2">
      <c r="B1080" s="230">
        <v>44411</v>
      </c>
      <c r="C1080" s="124">
        <v>209.9</v>
      </c>
      <c r="D1080" s="156">
        <f t="shared" si="17"/>
        <v>6.2320230105465555E-3</v>
      </c>
      <c r="E1080" s="156">
        <v>9.727186354793492E-3</v>
      </c>
      <c r="G1080" s="156"/>
    </row>
    <row r="1081" spans="2:7" x14ac:dyDescent="0.2">
      <c r="B1081" s="230">
        <v>44410</v>
      </c>
      <c r="C1081" s="124">
        <v>207.3</v>
      </c>
      <c r="D1081" s="156">
        <f t="shared" si="17"/>
        <v>-1.2386850881372055E-2</v>
      </c>
      <c r="E1081" s="156">
        <v>9.7105864432595369E-3</v>
      </c>
      <c r="G1081" s="156"/>
    </row>
    <row r="1082" spans="2:7" x14ac:dyDescent="0.2">
      <c r="B1082" s="230">
        <v>44407</v>
      </c>
      <c r="C1082" s="124">
        <v>204.95</v>
      </c>
      <c r="D1082" s="156">
        <f t="shared" si="17"/>
        <v>-1.1336227689339231E-2</v>
      </c>
      <c r="E1082" s="156">
        <v>9.7091888878565614E-3</v>
      </c>
      <c r="G1082" s="156"/>
    </row>
    <row r="1083" spans="2:7" x14ac:dyDescent="0.2">
      <c r="B1083" s="230">
        <v>44406</v>
      </c>
      <c r="C1083" s="124">
        <v>206.05</v>
      </c>
      <c r="D1083" s="156">
        <f t="shared" si="17"/>
        <v>5.3671627226153833E-3</v>
      </c>
      <c r="E1083" s="156">
        <v>9.7091531223266973E-3</v>
      </c>
      <c r="G1083" s="156"/>
    </row>
    <row r="1084" spans="2:7" x14ac:dyDescent="0.2">
      <c r="B1084" s="230">
        <v>44405</v>
      </c>
      <c r="C1084" s="124">
        <v>209.1</v>
      </c>
      <c r="D1084" s="156">
        <f t="shared" si="17"/>
        <v>1.4802232467847527E-2</v>
      </c>
      <c r="E1084" s="156">
        <v>9.7021276595744728E-3</v>
      </c>
      <c r="G1084" s="156"/>
    </row>
    <row r="1085" spans="2:7" x14ac:dyDescent="0.2">
      <c r="B1085" s="230">
        <v>44404</v>
      </c>
      <c r="C1085" s="124">
        <v>208.65</v>
      </c>
      <c r="D1085" s="156">
        <f t="shared" si="17"/>
        <v>-2.1520803443328008E-3</v>
      </c>
      <c r="E1085" s="156">
        <v>9.6913137114142418E-3</v>
      </c>
      <c r="G1085" s="156"/>
    </row>
    <row r="1086" spans="2:7" x14ac:dyDescent="0.2">
      <c r="B1086" s="230">
        <v>44403</v>
      </c>
      <c r="C1086" s="124">
        <v>211.15</v>
      </c>
      <c r="D1086" s="156">
        <f t="shared" ref="D1086:D1149" si="18">(C1086-C1085)/C1085</f>
        <v>1.1981787682722261E-2</v>
      </c>
      <c r="E1086" s="156">
        <v>9.6758587324625063E-3</v>
      </c>
      <c r="G1086" s="156"/>
    </row>
    <row r="1087" spans="2:7" x14ac:dyDescent="0.2">
      <c r="B1087" s="230">
        <v>44400</v>
      </c>
      <c r="C1087" s="124">
        <v>212.4</v>
      </c>
      <c r="D1087" s="156">
        <f t="shared" si="18"/>
        <v>5.9199621122424818E-3</v>
      </c>
      <c r="E1087" s="156">
        <v>9.6229379418696671E-3</v>
      </c>
      <c r="G1087" s="156"/>
    </row>
    <row r="1088" spans="2:7" x14ac:dyDescent="0.2">
      <c r="B1088" s="230">
        <v>44399</v>
      </c>
      <c r="C1088" s="124">
        <v>207</v>
      </c>
      <c r="D1088" s="156">
        <f t="shared" si="18"/>
        <v>-2.5423728813559348E-2</v>
      </c>
      <c r="E1088" s="156">
        <v>9.6094616237525615E-3</v>
      </c>
      <c r="G1088" s="156"/>
    </row>
    <row r="1089" spans="2:7" x14ac:dyDescent="0.2">
      <c r="B1089" s="230">
        <v>44397</v>
      </c>
      <c r="C1089" s="124">
        <v>206.8</v>
      </c>
      <c r="D1089" s="156">
        <f t="shared" si="18"/>
        <v>-9.6618357487917217E-4</v>
      </c>
      <c r="E1089" s="156">
        <v>9.5906432748537208E-3</v>
      </c>
      <c r="G1089" s="156"/>
    </row>
    <row r="1090" spans="2:7" x14ac:dyDescent="0.2">
      <c r="B1090" s="230">
        <v>44396</v>
      </c>
      <c r="C1090" s="124">
        <v>207.75</v>
      </c>
      <c r="D1090" s="156">
        <f t="shared" si="18"/>
        <v>4.5938104448742193E-3</v>
      </c>
      <c r="E1090" s="156">
        <v>9.5312704008354843E-3</v>
      </c>
      <c r="G1090" s="156"/>
    </row>
    <row r="1091" spans="2:7" x14ac:dyDescent="0.2">
      <c r="B1091" s="230">
        <v>44393</v>
      </c>
      <c r="C1091" s="124">
        <v>207.9</v>
      </c>
      <c r="D1091" s="156">
        <f t="shared" si="18"/>
        <v>7.2202166064984689E-4</v>
      </c>
      <c r="E1091" s="156">
        <v>9.5293098469534585E-3</v>
      </c>
      <c r="G1091" s="156"/>
    </row>
    <row r="1092" spans="2:7" x14ac:dyDescent="0.2">
      <c r="B1092" s="230">
        <v>44392</v>
      </c>
      <c r="C1092" s="124">
        <v>206.25</v>
      </c>
      <c r="D1092" s="156">
        <f t="shared" si="18"/>
        <v>-7.9365079365079638E-3</v>
      </c>
      <c r="E1092" s="156">
        <v>9.4883720930232195E-3</v>
      </c>
      <c r="G1092" s="156"/>
    </row>
    <row r="1093" spans="2:7" x14ac:dyDescent="0.2">
      <c r="B1093" s="230">
        <v>44391</v>
      </c>
      <c r="C1093" s="124">
        <v>204.1</v>
      </c>
      <c r="D1093" s="156">
        <f t="shared" si="18"/>
        <v>-1.0424242424242452E-2</v>
      </c>
      <c r="E1093" s="156">
        <v>9.4691414924373378E-3</v>
      </c>
      <c r="G1093" s="156"/>
    </row>
    <row r="1094" spans="2:7" x14ac:dyDescent="0.2">
      <c r="B1094" s="230">
        <v>44390</v>
      </c>
      <c r="C1094" s="124">
        <v>201.85</v>
      </c>
      <c r="D1094" s="156">
        <f t="shared" si="18"/>
        <v>-1.1024007839294464E-2</v>
      </c>
      <c r="E1094" s="156">
        <v>9.4637223974764016E-3</v>
      </c>
      <c r="G1094" s="156"/>
    </row>
    <row r="1095" spans="2:7" x14ac:dyDescent="0.2">
      <c r="B1095" s="230">
        <v>44389</v>
      </c>
      <c r="C1095" s="124">
        <v>201.1</v>
      </c>
      <c r="D1095" s="156">
        <f t="shared" si="18"/>
        <v>-3.7156304186276939E-3</v>
      </c>
      <c r="E1095" s="156">
        <v>9.4608800120137473E-3</v>
      </c>
      <c r="G1095" s="156"/>
    </row>
    <row r="1096" spans="2:7" x14ac:dyDescent="0.2">
      <c r="B1096" s="230">
        <v>44386</v>
      </c>
      <c r="C1096" s="124">
        <v>201.35</v>
      </c>
      <c r="D1096" s="156">
        <f t="shared" si="18"/>
        <v>1.2431626056688214E-3</v>
      </c>
      <c r="E1096" s="156">
        <v>9.4534711964549146E-3</v>
      </c>
      <c r="G1096" s="156"/>
    </row>
    <row r="1097" spans="2:7" x14ac:dyDescent="0.2">
      <c r="B1097" s="230">
        <v>44385</v>
      </c>
      <c r="C1097" s="124">
        <v>202</v>
      </c>
      <c r="D1097" s="156">
        <f t="shared" si="18"/>
        <v>3.2282095852992584E-3</v>
      </c>
      <c r="E1097" s="156">
        <v>9.4181665969024688E-3</v>
      </c>
      <c r="G1097" s="156"/>
    </row>
    <row r="1098" spans="2:7" x14ac:dyDescent="0.2">
      <c r="B1098" s="230">
        <v>44384</v>
      </c>
      <c r="C1098" s="124">
        <v>203.75</v>
      </c>
      <c r="D1098" s="156">
        <f t="shared" si="18"/>
        <v>8.6633663366336641E-3</v>
      </c>
      <c r="E1098" s="156">
        <v>9.4156743284408116E-3</v>
      </c>
      <c r="G1098" s="156"/>
    </row>
    <row r="1099" spans="2:7" x14ac:dyDescent="0.2">
      <c r="B1099" s="230">
        <v>44383</v>
      </c>
      <c r="C1099" s="124">
        <v>202.5</v>
      </c>
      <c r="D1099" s="156">
        <f t="shared" si="18"/>
        <v>-6.1349693251533744E-3</v>
      </c>
      <c r="E1099" s="156">
        <v>9.4144228958764828E-3</v>
      </c>
      <c r="G1099" s="156"/>
    </row>
    <row r="1100" spans="2:7" x14ac:dyDescent="0.2">
      <c r="B1100" s="230">
        <v>44382</v>
      </c>
      <c r="C1100" s="124">
        <v>203.65</v>
      </c>
      <c r="D1100" s="156">
        <f t="shared" si="18"/>
        <v>5.6790123456790407E-3</v>
      </c>
      <c r="E1100" s="156">
        <v>9.4108645753635672E-3</v>
      </c>
      <c r="G1100" s="156"/>
    </row>
    <row r="1101" spans="2:7" x14ac:dyDescent="0.2">
      <c r="B1101" s="230">
        <v>44379</v>
      </c>
      <c r="C1101" s="124">
        <v>202.4</v>
      </c>
      <c r="D1101" s="156">
        <f t="shared" si="18"/>
        <v>-6.1379818315737784E-3</v>
      </c>
      <c r="E1101" s="156">
        <v>9.4094743672939376E-3</v>
      </c>
      <c r="G1101" s="156"/>
    </row>
    <row r="1102" spans="2:7" x14ac:dyDescent="0.2">
      <c r="B1102" s="230">
        <v>44378</v>
      </c>
      <c r="C1102" s="124">
        <v>203</v>
      </c>
      <c r="D1102" s="156">
        <f t="shared" si="18"/>
        <v>2.9644268774703278E-3</v>
      </c>
      <c r="E1102" s="156">
        <v>9.4013399610979528E-3</v>
      </c>
      <c r="G1102" s="156"/>
    </row>
    <row r="1103" spans="2:7" x14ac:dyDescent="0.2">
      <c r="B1103" s="230">
        <v>44377</v>
      </c>
      <c r="C1103" s="124">
        <v>202.7</v>
      </c>
      <c r="D1103" s="156">
        <f t="shared" si="18"/>
        <v>-1.477832512315327E-3</v>
      </c>
      <c r="E1103" s="156">
        <v>9.3905031892276194E-3</v>
      </c>
      <c r="G1103" s="156"/>
    </row>
    <row r="1104" spans="2:7" x14ac:dyDescent="0.2">
      <c r="B1104" s="230">
        <v>44376</v>
      </c>
      <c r="C1104" s="124">
        <v>203.3</v>
      </c>
      <c r="D1104" s="156">
        <f t="shared" si="18"/>
        <v>2.9600394671930081E-3</v>
      </c>
      <c r="E1104" s="156">
        <v>9.3879391628745625E-3</v>
      </c>
      <c r="G1104" s="156"/>
    </row>
    <row r="1105" spans="2:7" x14ac:dyDescent="0.2">
      <c r="B1105" s="230">
        <v>44375</v>
      </c>
      <c r="C1105" s="124">
        <v>203.6</v>
      </c>
      <c r="D1105" s="156">
        <f t="shared" si="18"/>
        <v>1.4756517461878157E-3</v>
      </c>
      <c r="E1105" s="156">
        <v>9.3841009599826674E-3</v>
      </c>
      <c r="G1105" s="156"/>
    </row>
    <row r="1106" spans="2:7" x14ac:dyDescent="0.2">
      <c r="B1106" s="230">
        <v>44372</v>
      </c>
      <c r="C1106" s="124">
        <v>205.05</v>
      </c>
      <c r="D1106" s="156">
        <f t="shared" si="18"/>
        <v>7.1218074656189444E-3</v>
      </c>
      <c r="E1106" s="156">
        <v>9.3797856049003606E-3</v>
      </c>
      <c r="G1106" s="156"/>
    </row>
    <row r="1107" spans="2:7" x14ac:dyDescent="0.2">
      <c r="B1107" s="230">
        <v>44371</v>
      </c>
      <c r="C1107" s="124">
        <v>203.25</v>
      </c>
      <c r="D1107" s="156">
        <f t="shared" si="18"/>
        <v>-8.7783467446964705E-3</v>
      </c>
      <c r="E1107" s="156">
        <v>9.379263301500634E-3</v>
      </c>
      <c r="G1107" s="156"/>
    </row>
    <row r="1108" spans="2:7" x14ac:dyDescent="0.2">
      <c r="B1108" s="230">
        <v>44370</v>
      </c>
      <c r="C1108" s="124">
        <v>203.95</v>
      </c>
      <c r="D1108" s="156">
        <f t="shared" si="18"/>
        <v>3.4440344403443477E-3</v>
      </c>
      <c r="E1108" s="156">
        <v>9.3791033577190017E-3</v>
      </c>
      <c r="G1108" s="156"/>
    </row>
    <row r="1109" spans="2:7" x14ac:dyDescent="0.2">
      <c r="B1109" s="230">
        <v>44369</v>
      </c>
      <c r="C1109" s="124">
        <v>205.1</v>
      </c>
      <c r="D1109" s="156">
        <f t="shared" si="18"/>
        <v>5.6386369208139536E-3</v>
      </c>
      <c r="E1109" s="156">
        <v>9.3763440860215354E-3</v>
      </c>
      <c r="G1109" s="156"/>
    </row>
    <row r="1110" spans="2:7" x14ac:dyDescent="0.2">
      <c r="B1110" s="230">
        <v>44368</v>
      </c>
      <c r="C1110" s="124">
        <v>204.45</v>
      </c>
      <c r="D1110" s="156">
        <f t="shared" si="18"/>
        <v>-3.1691857630424462E-3</v>
      </c>
      <c r="E1110" s="156">
        <v>9.3646713183988661E-3</v>
      </c>
      <c r="G1110" s="156"/>
    </row>
    <row r="1111" spans="2:7" x14ac:dyDescent="0.2">
      <c r="B1111" s="230">
        <v>44365</v>
      </c>
      <c r="C1111" s="124">
        <v>204.55</v>
      </c>
      <c r="D1111" s="156">
        <f t="shared" si="18"/>
        <v>4.891171435559929E-4</v>
      </c>
      <c r="E1111" s="156">
        <v>9.356081452944396E-3</v>
      </c>
      <c r="G1111" s="156"/>
    </row>
    <row r="1112" spans="2:7" x14ac:dyDescent="0.2">
      <c r="B1112" s="230">
        <v>44364</v>
      </c>
      <c r="C1112" s="124">
        <v>205.65</v>
      </c>
      <c r="D1112" s="156">
        <f t="shared" si="18"/>
        <v>5.3776582742605435E-3</v>
      </c>
      <c r="E1112" s="156">
        <v>9.3411008437122595E-3</v>
      </c>
      <c r="G1112" s="156"/>
    </row>
    <row r="1113" spans="2:7" x14ac:dyDescent="0.2">
      <c r="B1113" s="230">
        <v>44363</v>
      </c>
      <c r="C1113" s="124">
        <v>207.85</v>
      </c>
      <c r="D1113" s="156">
        <f t="shared" si="18"/>
        <v>1.0697787503039088E-2</v>
      </c>
      <c r="E1113" s="156">
        <v>9.340422474493338E-3</v>
      </c>
      <c r="G1113" s="156"/>
    </row>
    <row r="1114" spans="2:7" x14ac:dyDescent="0.2">
      <c r="B1114" s="230">
        <v>44362</v>
      </c>
      <c r="C1114" s="124">
        <v>207.05</v>
      </c>
      <c r="D1114" s="156">
        <f t="shared" si="18"/>
        <v>-3.8489295164781476E-3</v>
      </c>
      <c r="E1114" s="156">
        <v>9.3326688714719455E-3</v>
      </c>
      <c r="G1114" s="156"/>
    </row>
    <row r="1115" spans="2:7" x14ac:dyDescent="0.2">
      <c r="B1115" s="230">
        <v>44361</v>
      </c>
      <c r="C1115" s="124">
        <v>207.3</v>
      </c>
      <c r="D1115" s="156">
        <f t="shared" si="18"/>
        <v>1.2074378169524269E-3</v>
      </c>
      <c r="E1115" s="156">
        <v>9.3206667861624772E-3</v>
      </c>
      <c r="G1115" s="156"/>
    </row>
    <row r="1116" spans="2:7" x14ac:dyDescent="0.2">
      <c r="B1116" s="230">
        <v>44358</v>
      </c>
      <c r="C1116" s="124">
        <v>207.9</v>
      </c>
      <c r="D1116" s="156">
        <f t="shared" si="18"/>
        <v>2.8943560057886845E-3</v>
      </c>
      <c r="E1116" s="156">
        <v>9.3161546085232666E-3</v>
      </c>
      <c r="G1116" s="156"/>
    </row>
    <row r="1117" spans="2:7" x14ac:dyDescent="0.2">
      <c r="B1117" s="230">
        <v>44357</v>
      </c>
      <c r="C1117" s="124">
        <v>209.3</v>
      </c>
      <c r="D1117" s="156">
        <f t="shared" si="18"/>
        <v>6.7340067340067615E-3</v>
      </c>
      <c r="E1117" s="156">
        <v>9.300595238095238E-3</v>
      </c>
      <c r="G1117" s="156"/>
    </row>
    <row r="1118" spans="2:7" x14ac:dyDescent="0.2">
      <c r="B1118" s="230">
        <v>44356</v>
      </c>
      <c r="C1118" s="124">
        <v>212.5</v>
      </c>
      <c r="D1118" s="156">
        <f t="shared" si="18"/>
        <v>1.5289058767319582E-2</v>
      </c>
      <c r="E1118" s="156">
        <v>9.2928706258166953E-3</v>
      </c>
      <c r="G1118" s="156"/>
    </row>
    <row r="1119" spans="2:7" x14ac:dyDescent="0.2">
      <c r="B1119" s="230">
        <v>44355</v>
      </c>
      <c r="C1119" s="124">
        <v>213.65</v>
      </c>
      <c r="D1119" s="156">
        <f t="shared" si="18"/>
        <v>5.4117647058823798E-3</v>
      </c>
      <c r="E1119" s="156">
        <v>9.2873006258832342E-3</v>
      </c>
      <c r="G1119" s="156"/>
    </row>
    <row r="1120" spans="2:7" x14ac:dyDescent="0.2">
      <c r="B1120" s="230">
        <v>44354</v>
      </c>
      <c r="C1120" s="124">
        <v>211.45</v>
      </c>
      <c r="D1120" s="156">
        <f t="shared" si="18"/>
        <v>-1.0297215071378502E-2</v>
      </c>
      <c r="E1120" s="156">
        <v>9.2841436599071861E-3</v>
      </c>
      <c r="G1120" s="156"/>
    </row>
    <row r="1121" spans="2:7" x14ac:dyDescent="0.2">
      <c r="B1121" s="230">
        <v>44351</v>
      </c>
      <c r="C1121" s="124">
        <v>208.75</v>
      </c>
      <c r="D1121" s="156">
        <f t="shared" si="18"/>
        <v>-1.2768976117285356E-2</v>
      </c>
      <c r="E1121" s="156">
        <v>9.2748735244520108E-3</v>
      </c>
      <c r="G1121" s="156"/>
    </row>
    <row r="1122" spans="2:7" x14ac:dyDescent="0.2">
      <c r="B1122" s="230">
        <v>44350</v>
      </c>
      <c r="C1122" s="124">
        <v>209.05</v>
      </c>
      <c r="D1122" s="156">
        <f t="shared" si="18"/>
        <v>1.4371257485030484E-3</v>
      </c>
      <c r="E1122" s="156">
        <v>9.260484191030597E-3</v>
      </c>
      <c r="G1122" s="156"/>
    </row>
    <row r="1123" spans="2:7" x14ac:dyDescent="0.2">
      <c r="B1123" s="230">
        <v>44349</v>
      </c>
      <c r="C1123" s="124">
        <v>209</v>
      </c>
      <c r="D1123" s="156">
        <f t="shared" si="18"/>
        <v>-2.3917723032772716E-4</v>
      </c>
      <c r="E1123" s="156">
        <v>9.2576864277221296E-3</v>
      </c>
      <c r="G1123" s="156"/>
    </row>
    <row r="1124" spans="2:7" x14ac:dyDescent="0.2">
      <c r="B1124" s="230">
        <v>44348</v>
      </c>
      <c r="C1124" s="124">
        <v>215.25</v>
      </c>
      <c r="D1124" s="156">
        <f t="shared" si="18"/>
        <v>2.9904306220095694E-2</v>
      </c>
      <c r="E1124" s="156">
        <v>9.2570614763826387E-3</v>
      </c>
      <c r="G1124" s="156"/>
    </row>
    <row r="1125" spans="2:7" x14ac:dyDescent="0.2">
      <c r="B1125" s="230">
        <v>44347</v>
      </c>
      <c r="C1125" s="124">
        <v>216.6</v>
      </c>
      <c r="D1125" s="156">
        <f t="shared" si="18"/>
        <v>6.2717770034842945E-3</v>
      </c>
      <c r="E1125" s="156">
        <v>9.2523130782696823E-3</v>
      </c>
      <c r="G1125" s="156"/>
    </row>
    <row r="1126" spans="2:7" x14ac:dyDescent="0.2">
      <c r="B1126" s="230">
        <v>44344</v>
      </c>
      <c r="C1126" s="124">
        <v>212.9</v>
      </c>
      <c r="D1126" s="156">
        <f t="shared" si="18"/>
        <v>-1.7082179132040576E-2</v>
      </c>
      <c r="E1126" s="156">
        <v>9.2514718250630776E-3</v>
      </c>
      <c r="G1126" s="156"/>
    </row>
    <row r="1127" spans="2:7" x14ac:dyDescent="0.2">
      <c r="B1127" s="230">
        <v>44343</v>
      </c>
      <c r="C1127" s="124">
        <v>211.15</v>
      </c>
      <c r="D1127" s="156">
        <f t="shared" si="18"/>
        <v>-8.219821512447158E-3</v>
      </c>
      <c r="E1127" s="156">
        <v>9.2312348668280794E-3</v>
      </c>
      <c r="G1127" s="156"/>
    </row>
    <row r="1128" spans="2:7" x14ac:dyDescent="0.2">
      <c r="B1128" s="230">
        <v>44342</v>
      </c>
      <c r="C1128" s="124">
        <v>210.6</v>
      </c>
      <c r="D1128" s="156">
        <f t="shared" si="18"/>
        <v>-2.6047833293867456E-3</v>
      </c>
      <c r="E1128" s="156">
        <v>9.2302256768096256E-3</v>
      </c>
      <c r="G1128" s="156"/>
    </row>
    <row r="1129" spans="2:7" x14ac:dyDescent="0.2">
      <c r="B1129" s="230">
        <v>44341</v>
      </c>
      <c r="C1129" s="124">
        <v>210.9</v>
      </c>
      <c r="D1129" s="156">
        <f t="shared" si="18"/>
        <v>1.4245014245014786E-3</v>
      </c>
      <c r="E1129" s="156">
        <v>9.2220383069284324E-3</v>
      </c>
      <c r="G1129" s="156"/>
    </row>
    <row r="1130" spans="2:7" x14ac:dyDescent="0.2">
      <c r="B1130" s="230">
        <v>44340</v>
      </c>
      <c r="C1130" s="124">
        <v>211.5</v>
      </c>
      <c r="D1130" s="156">
        <f t="shared" si="18"/>
        <v>2.8449502133712388E-3</v>
      </c>
      <c r="E1130" s="156">
        <v>9.1984231274639013E-3</v>
      </c>
      <c r="G1130" s="156"/>
    </row>
    <row r="1131" spans="2:7" x14ac:dyDescent="0.2">
      <c r="B1131" s="230">
        <v>44337</v>
      </c>
      <c r="C1131" s="124">
        <v>209.05</v>
      </c>
      <c r="D1131" s="156">
        <f t="shared" si="18"/>
        <v>-1.1583924349881742E-2</v>
      </c>
      <c r="E1131" s="156">
        <v>9.1844813935074952E-3</v>
      </c>
      <c r="G1131" s="156"/>
    </row>
    <row r="1132" spans="2:7" x14ac:dyDescent="0.2">
      <c r="B1132" s="230">
        <v>44336</v>
      </c>
      <c r="C1132" s="124">
        <v>207</v>
      </c>
      <c r="D1132" s="156">
        <f t="shared" si="18"/>
        <v>-9.8062664434346389E-3</v>
      </c>
      <c r="E1132" s="156">
        <v>9.1808581486062541E-3</v>
      </c>
      <c r="G1132" s="156"/>
    </row>
    <row r="1133" spans="2:7" x14ac:dyDescent="0.2">
      <c r="B1133" s="230">
        <v>44335</v>
      </c>
      <c r="C1133" s="124">
        <v>207.75</v>
      </c>
      <c r="D1133" s="156">
        <f t="shared" si="18"/>
        <v>3.6231884057971015E-3</v>
      </c>
      <c r="E1133" s="156">
        <v>9.1795628150659649E-3</v>
      </c>
      <c r="G1133" s="156"/>
    </row>
    <row r="1134" spans="2:7" x14ac:dyDescent="0.2">
      <c r="B1134" s="230">
        <v>44334</v>
      </c>
      <c r="C1134" s="124">
        <v>210.05</v>
      </c>
      <c r="D1134" s="156">
        <f t="shared" si="18"/>
        <v>1.1070998796630621E-2</v>
      </c>
      <c r="E1134" s="156">
        <v>9.1710124078403562E-3</v>
      </c>
      <c r="G1134" s="156"/>
    </row>
    <row r="1135" spans="2:7" x14ac:dyDescent="0.2">
      <c r="B1135" s="230">
        <v>44333</v>
      </c>
      <c r="C1135" s="124">
        <v>212.6</v>
      </c>
      <c r="D1135" s="156">
        <f t="shared" si="18"/>
        <v>1.2139966674601203E-2</v>
      </c>
      <c r="E1135" s="156">
        <v>9.1639069092227989E-3</v>
      </c>
      <c r="G1135" s="156"/>
    </row>
    <row r="1136" spans="2:7" x14ac:dyDescent="0.2">
      <c r="B1136" s="230">
        <v>44330</v>
      </c>
      <c r="C1136" s="124">
        <v>212.25</v>
      </c>
      <c r="D1136" s="156">
        <f t="shared" si="18"/>
        <v>-1.6462841015992208E-3</v>
      </c>
      <c r="E1136" s="156">
        <v>9.1557104387772637E-3</v>
      </c>
      <c r="G1136" s="156"/>
    </row>
    <row r="1137" spans="2:7" x14ac:dyDescent="0.2">
      <c r="B1137" s="230">
        <v>44328</v>
      </c>
      <c r="C1137" s="124">
        <v>203.25</v>
      </c>
      <c r="D1137" s="156">
        <f t="shared" si="18"/>
        <v>-4.2402826855123678E-2</v>
      </c>
      <c r="E1137" s="156">
        <v>9.1533180778033338E-3</v>
      </c>
      <c r="G1137" s="156"/>
    </row>
    <row r="1138" spans="2:7" x14ac:dyDescent="0.2">
      <c r="B1138" s="230">
        <v>44327</v>
      </c>
      <c r="C1138" s="124">
        <v>204</v>
      </c>
      <c r="D1138" s="156">
        <f t="shared" si="18"/>
        <v>3.6900369003690036E-3</v>
      </c>
      <c r="E1138" s="156">
        <v>9.145905778116456E-3</v>
      </c>
      <c r="G1138" s="156"/>
    </row>
    <row r="1139" spans="2:7" x14ac:dyDescent="0.2">
      <c r="B1139" s="230">
        <v>44326</v>
      </c>
      <c r="C1139" s="124">
        <v>205.55</v>
      </c>
      <c r="D1139" s="156">
        <f t="shared" si="18"/>
        <v>7.5980392156863299E-3</v>
      </c>
      <c r="E1139" s="156">
        <v>9.1352009744213505E-3</v>
      </c>
      <c r="G1139" s="156"/>
    </row>
    <row r="1140" spans="2:7" x14ac:dyDescent="0.2">
      <c r="B1140" s="230">
        <v>44323</v>
      </c>
      <c r="C1140" s="124">
        <v>205.35</v>
      </c>
      <c r="D1140" s="156">
        <f t="shared" si="18"/>
        <v>-9.7299927025063025E-4</v>
      </c>
      <c r="E1140" s="156">
        <v>9.1264667535854351E-3</v>
      </c>
      <c r="G1140" s="156"/>
    </row>
    <row r="1141" spans="2:7" x14ac:dyDescent="0.2">
      <c r="B1141" s="230">
        <v>44322</v>
      </c>
      <c r="C1141" s="124">
        <v>202.75</v>
      </c>
      <c r="D1141" s="156">
        <f t="shared" si="18"/>
        <v>-1.2661309958607229E-2</v>
      </c>
      <c r="E1141" s="156">
        <v>9.1259830835434767E-3</v>
      </c>
      <c r="G1141" s="156"/>
    </row>
    <row r="1142" spans="2:7" x14ac:dyDescent="0.2">
      <c r="B1142" s="230">
        <v>44321</v>
      </c>
      <c r="C1142" s="124">
        <v>201.4</v>
      </c>
      <c r="D1142" s="156">
        <f t="shared" si="18"/>
        <v>-6.6584463625153851E-3</v>
      </c>
      <c r="E1142" s="156">
        <v>9.1255854376900494E-3</v>
      </c>
      <c r="G1142" s="156"/>
    </row>
    <row r="1143" spans="2:7" x14ac:dyDescent="0.2">
      <c r="B1143" s="230">
        <v>44320</v>
      </c>
      <c r="C1143" s="124">
        <v>199.6</v>
      </c>
      <c r="D1143" s="156">
        <f t="shared" si="18"/>
        <v>-8.9374379344588448E-3</v>
      </c>
      <c r="E1143" s="156">
        <v>9.0920260474259464E-3</v>
      </c>
      <c r="G1143" s="156"/>
    </row>
    <row r="1144" spans="2:7" x14ac:dyDescent="0.2">
      <c r="B1144" s="230">
        <v>44319</v>
      </c>
      <c r="C1144" s="124">
        <v>200.95</v>
      </c>
      <c r="D1144" s="156">
        <f t="shared" si="18"/>
        <v>6.7635270541081885E-3</v>
      </c>
      <c r="E1144" s="156">
        <v>9.0815584154938529E-3</v>
      </c>
      <c r="G1144" s="156"/>
    </row>
    <row r="1145" spans="2:7" x14ac:dyDescent="0.2">
      <c r="B1145" s="230">
        <v>44316</v>
      </c>
      <c r="C1145" s="124">
        <v>202.6</v>
      </c>
      <c r="D1145" s="156">
        <f t="shared" si="18"/>
        <v>8.2109977606370024E-3</v>
      </c>
      <c r="E1145" s="156">
        <v>9.073233959818388E-3</v>
      </c>
      <c r="G1145" s="156"/>
    </row>
    <row r="1146" spans="2:7" x14ac:dyDescent="0.2">
      <c r="B1146" s="230">
        <v>44315</v>
      </c>
      <c r="C1146" s="124">
        <v>204.3</v>
      </c>
      <c r="D1146" s="156">
        <f t="shared" si="18"/>
        <v>8.3909180651530954E-3</v>
      </c>
      <c r="E1146" s="156">
        <v>9.0459661302199814E-3</v>
      </c>
      <c r="G1146" s="156"/>
    </row>
    <row r="1147" spans="2:7" x14ac:dyDescent="0.2">
      <c r="B1147" s="230">
        <v>44314</v>
      </c>
      <c r="C1147" s="124">
        <v>205.5</v>
      </c>
      <c r="D1147" s="156">
        <f t="shared" si="18"/>
        <v>5.8737151248163906E-3</v>
      </c>
      <c r="E1147" s="156">
        <v>9.0376160234490605E-3</v>
      </c>
      <c r="G1147" s="156"/>
    </row>
    <row r="1148" spans="2:7" x14ac:dyDescent="0.2">
      <c r="B1148" s="230">
        <v>44313</v>
      </c>
      <c r="C1148" s="124">
        <v>205.4</v>
      </c>
      <c r="D1148" s="156">
        <f t="shared" si="18"/>
        <v>-4.8661800486615237E-4</v>
      </c>
      <c r="E1148" s="156">
        <v>9.0105852506342492E-3</v>
      </c>
      <c r="G1148" s="156"/>
    </row>
    <row r="1149" spans="2:7" x14ac:dyDescent="0.2">
      <c r="B1149" s="230">
        <v>44312</v>
      </c>
      <c r="C1149" s="124">
        <v>205.3</v>
      </c>
      <c r="D1149" s="156">
        <f t="shared" si="18"/>
        <v>-4.8685491723463639E-4</v>
      </c>
      <c r="E1149" s="156">
        <v>9.0083492016991302E-3</v>
      </c>
      <c r="G1149" s="156"/>
    </row>
    <row r="1150" spans="2:7" x14ac:dyDescent="0.2">
      <c r="B1150" s="230">
        <v>44309</v>
      </c>
      <c r="C1150" s="124">
        <v>205.35</v>
      </c>
      <c r="D1150" s="156">
        <f t="shared" ref="D1150:D1213" si="19">(C1150-C1149)/C1149</f>
        <v>2.4354603019962468E-4</v>
      </c>
      <c r="E1150" s="156">
        <v>8.9958158995815853E-3</v>
      </c>
      <c r="G1150" s="156"/>
    </row>
    <row r="1151" spans="2:7" x14ac:dyDescent="0.2">
      <c r="B1151" s="230">
        <v>44308</v>
      </c>
      <c r="C1151" s="124">
        <v>205.9</v>
      </c>
      <c r="D1151" s="156">
        <f t="shared" si="19"/>
        <v>2.6783540297054364E-3</v>
      </c>
      <c r="E1151" s="156">
        <v>8.9956869993837296E-3</v>
      </c>
      <c r="G1151" s="156"/>
    </row>
    <row r="1152" spans="2:7" x14ac:dyDescent="0.2">
      <c r="B1152" s="230">
        <v>44306</v>
      </c>
      <c r="C1152" s="124">
        <v>203.55</v>
      </c>
      <c r="D1152" s="156">
        <f t="shared" si="19"/>
        <v>-1.1413307430791619E-2</v>
      </c>
      <c r="E1152" s="156">
        <v>8.9890407585272187E-3</v>
      </c>
      <c r="G1152" s="156"/>
    </row>
    <row r="1153" spans="2:7" x14ac:dyDescent="0.2">
      <c r="B1153" s="230">
        <v>44305</v>
      </c>
      <c r="C1153" s="124">
        <v>205.6</v>
      </c>
      <c r="D1153" s="156">
        <f t="shared" si="19"/>
        <v>1.0071235568656266E-2</v>
      </c>
      <c r="E1153" s="156">
        <v>8.9843750000000444E-3</v>
      </c>
      <c r="G1153" s="156"/>
    </row>
    <row r="1154" spans="2:7" x14ac:dyDescent="0.2">
      <c r="B1154" s="230">
        <v>44302</v>
      </c>
      <c r="C1154" s="124">
        <v>207.95</v>
      </c>
      <c r="D1154" s="156">
        <f t="shared" si="19"/>
        <v>1.1429961089494137E-2</v>
      </c>
      <c r="E1154" s="156">
        <v>8.9811480618512008E-3</v>
      </c>
      <c r="G1154" s="156"/>
    </row>
    <row r="1155" spans="2:7" x14ac:dyDescent="0.2">
      <c r="B1155" s="230">
        <v>44301</v>
      </c>
      <c r="C1155" s="124">
        <v>206.7</v>
      </c>
      <c r="D1155" s="156">
        <f t="shared" si="19"/>
        <v>-6.0110603510459245E-3</v>
      </c>
      <c r="E1155" s="156">
        <v>8.9602389397049724E-3</v>
      </c>
      <c r="G1155" s="156"/>
    </row>
    <row r="1156" spans="2:7" x14ac:dyDescent="0.2">
      <c r="B1156" s="230">
        <v>44299</v>
      </c>
      <c r="C1156" s="124">
        <v>208.7</v>
      </c>
      <c r="D1156" s="156">
        <f t="shared" si="19"/>
        <v>9.6758587324625063E-3</v>
      </c>
      <c r="E1156" s="156">
        <v>8.9485458612976083E-3</v>
      </c>
      <c r="G1156" s="156"/>
    </row>
    <row r="1157" spans="2:7" x14ac:dyDescent="0.2">
      <c r="B1157" s="230">
        <v>44298</v>
      </c>
      <c r="C1157" s="124">
        <v>205.3</v>
      </c>
      <c r="D1157" s="156">
        <f t="shared" si="19"/>
        <v>-1.6291327264015224E-2</v>
      </c>
      <c r="E1157" s="156">
        <v>8.942766295707472E-3</v>
      </c>
      <c r="G1157" s="156"/>
    </row>
    <row r="1158" spans="2:7" x14ac:dyDescent="0.2">
      <c r="B1158" s="230">
        <v>44295</v>
      </c>
      <c r="C1158" s="124">
        <v>213.1</v>
      </c>
      <c r="D1158" s="156">
        <f t="shared" si="19"/>
        <v>3.7993180711154324E-2</v>
      </c>
      <c r="E1158" s="156">
        <v>8.9422284974703514E-3</v>
      </c>
      <c r="G1158" s="156"/>
    </row>
    <row r="1159" spans="2:7" x14ac:dyDescent="0.2">
      <c r="B1159" s="230">
        <v>44294</v>
      </c>
      <c r="C1159" s="124">
        <v>213.25</v>
      </c>
      <c r="D1159" s="156">
        <f t="shared" si="19"/>
        <v>7.0389488503052884E-4</v>
      </c>
      <c r="E1159" s="156">
        <v>8.9220014716703353E-3</v>
      </c>
      <c r="G1159" s="156"/>
    </row>
    <row r="1160" spans="2:7" x14ac:dyDescent="0.2">
      <c r="B1160" s="230">
        <v>44293</v>
      </c>
      <c r="C1160" s="124">
        <v>213.8</v>
      </c>
      <c r="D1160" s="156">
        <f t="shared" si="19"/>
        <v>2.5791324736225622E-3</v>
      </c>
      <c r="E1160" s="156">
        <v>8.9086859688196681E-3</v>
      </c>
      <c r="G1160" s="156"/>
    </row>
    <row r="1161" spans="2:7" x14ac:dyDescent="0.2">
      <c r="B1161" s="230">
        <v>44292</v>
      </c>
      <c r="C1161" s="124">
        <v>212.65</v>
      </c>
      <c r="D1161" s="156">
        <f t="shared" si="19"/>
        <v>-5.378858746492075E-3</v>
      </c>
      <c r="E1161" s="156">
        <v>8.8981446421808625E-3</v>
      </c>
      <c r="G1161" s="156"/>
    </row>
    <row r="1162" spans="2:7" x14ac:dyDescent="0.2">
      <c r="B1162" s="230">
        <v>44291</v>
      </c>
      <c r="C1162" s="124">
        <v>212.55</v>
      </c>
      <c r="D1162" s="156">
        <f t="shared" si="19"/>
        <v>-4.7025628967784769E-4</v>
      </c>
      <c r="E1162" s="156">
        <v>8.8978185993112031E-3</v>
      </c>
      <c r="G1162" s="156"/>
    </row>
    <row r="1163" spans="2:7" x14ac:dyDescent="0.2">
      <c r="B1163" s="230">
        <v>44287</v>
      </c>
      <c r="C1163" s="124">
        <v>220.05</v>
      </c>
      <c r="D1163" s="156">
        <f t="shared" si="19"/>
        <v>3.5285815102328859E-2</v>
      </c>
      <c r="E1163" s="156">
        <v>8.8958660387232717E-3</v>
      </c>
      <c r="G1163" s="156"/>
    </row>
    <row r="1164" spans="2:7" x14ac:dyDescent="0.2">
      <c r="B1164" s="230">
        <v>44286</v>
      </c>
      <c r="C1164" s="124">
        <v>218.5</v>
      </c>
      <c r="D1164" s="156">
        <f t="shared" si="19"/>
        <v>-7.0438536696205917E-3</v>
      </c>
      <c r="E1164" s="156">
        <v>8.8916718847839981E-3</v>
      </c>
      <c r="G1164" s="156"/>
    </row>
    <row r="1165" spans="2:7" x14ac:dyDescent="0.2">
      <c r="B1165" s="230">
        <v>44285</v>
      </c>
      <c r="C1165" s="124">
        <v>214.55</v>
      </c>
      <c r="D1165" s="156">
        <f t="shared" si="19"/>
        <v>-1.8077803203661275E-2</v>
      </c>
      <c r="E1165" s="156">
        <v>8.8869673824279339E-3</v>
      </c>
      <c r="G1165" s="156"/>
    </row>
    <row r="1166" spans="2:7" x14ac:dyDescent="0.2">
      <c r="B1166" s="230">
        <v>44281</v>
      </c>
      <c r="C1166" s="124">
        <v>210.9</v>
      </c>
      <c r="D1166" s="156">
        <f t="shared" si="19"/>
        <v>-1.7012351433232372E-2</v>
      </c>
      <c r="E1166" s="156">
        <v>8.8774540481653657E-3</v>
      </c>
      <c r="G1166" s="156"/>
    </row>
    <row r="1167" spans="2:7" x14ac:dyDescent="0.2">
      <c r="B1167" s="230">
        <v>44280</v>
      </c>
      <c r="C1167" s="124">
        <v>211.6</v>
      </c>
      <c r="D1167" s="156">
        <f t="shared" si="19"/>
        <v>3.3191085822664229E-3</v>
      </c>
      <c r="E1167" s="156">
        <v>8.8583905177791918E-3</v>
      </c>
      <c r="G1167" s="156"/>
    </row>
    <row r="1168" spans="2:7" x14ac:dyDescent="0.2">
      <c r="B1168" s="230">
        <v>44279</v>
      </c>
      <c r="C1168" s="124">
        <v>215.95</v>
      </c>
      <c r="D1168" s="156">
        <f t="shared" si="19"/>
        <v>2.0557655954631354E-2</v>
      </c>
      <c r="E1168" s="156">
        <v>8.829300196206773E-3</v>
      </c>
      <c r="G1168" s="156"/>
    </row>
    <row r="1169" spans="2:7" x14ac:dyDescent="0.2">
      <c r="B1169" s="230">
        <v>44278</v>
      </c>
      <c r="C1169" s="124">
        <v>222.2</v>
      </c>
      <c r="D1169" s="156">
        <f t="shared" si="19"/>
        <v>2.8941884695531373E-2</v>
      </c>
      <c r="E1169" s="156">
        <v>8.8243666382008708E-3</v>
      </c>
      <c r="G1169" s="156"/>
    </row>
    <row r="1170" spans="2:7" x14ac:dyDescent="0.2">
      <c r="B1170" s="230">
        <v>44277</v>
      </c>
      <c r="C1170" s="124">
        <v>226</v>
      </c>
      <c r="D1170" s="156">
        <f t="shared" si="19"/>
        <v>1.7101710171017154E-2</v>
      </c>
      <c r="E1170" s="156">
        <v>8.8172313893437465E-3</v>
      </c>
      <c r="G1170" s="156"/>
    </row>
    <row r="1171" spans="2:7" x14ac:dyDescent="0.2">
      <c r="B1171" s="230">
        <v>44274</v>
      </c>
      <c r="C1171" s="124">
        <v>222.95</v>
      </c>
      <c r="D1171" s="156">
        <f t="shared" si="19"/>
        <v>-1.3495575221238988E-2</v>
      </c>
      <c r="E1171" s="156">
        <v>8.7976539589443379E-3</v>
      </c>
      <c r="G1171" s="156"/>
    </row>
    <row r="1172" spans="2:7" x14ac:dyDescent="0.2">
      <c r="B1172" s="230">
        <v>44273</v>
      </c>
      <c r="C1172" s="124">
        <v>217.65</v>
      </c>
      <c r="D1172" s="156">
        <f t="shared" si="19"/>
        <v>-2.3772146221125737E-2</v>
      </c>
      <c r="E1172" s="156">
        <v>8.7898856110777118E-3</v>
      </c>
      <c r="G1172" s="156"/>
    </row>
    <row r="1173" spans="2:7" x14ac:dyDescent="0.2">
      <c r="B1173" s="230">
        <v>44272</v>
      </c>
      <c r="C1173" s="124">
        <v>210.6</v>
      </c>
      <c r="D1173" s="156">
        <f t="shared" si="19"/>
        <v>-3.23914541695383E-2</v>
      </c>
      <c r="E1173" s="156">
        <v>8.7781885797063898E-3</v>
      </c>
      <c r="G1173" s="156"/>
    </row>
    <row r="1174" spans="2:7" x14ac:dyDescent="0.2">
      <c r="B1174" s="230">
        <v>44271</v>
      </c>
      <c r="C1174" s="124">
        <v>207.85</v>
      </c>
      <c r="D1174" s="156">
        <f t="shared" si="19"/>
        <v>-1.3057929724596391E-2</v>
      </c>
      <c r="E1174" s="156">
        <v>8.777239709443203E-3</v>
      </c>
      <c r="G1174" s="156"/>
    </row>
    <row r="1175" spans="2:7" x14ac:dyDescent="0.2">
      <c r="B1175" s="230">
        <v>44270</v>
      </c>
      <c r="C1175" s="124">
        <v>205.45</v>
      </c>
      <c r="D1175" s="156">
        <f t="shared" si="19"/>
        <v>-1.1546788549434715E-2</v>
      </c>
      <c r="E1175" s="156">
        <v>8.7741393786733984E-3</v>
      </c>
      <c r="G1175" s="156"/>
    </row>
    <row r="1176" spans="2:7" x14ac:dyDescent="0.2">
      <c r="B1176" s="230">
        <v>44267</v>
      </c>
      <c r="C1176" s="124">
        <v>205.2</v>
      </c>
      <c r="D1176" s="156">
        <f t="shared" si="19"/>
        <v>-1.2168410805548796E-3</v>
      </c>
      <c r="E1176" s="156">
        <v>8.7726423523677866E-3</v>
      </c>
      <c r="G1176" s="156"/>
    </row>
    <row r="1177" spans="2:7" x14ac:dyDescent="0.2">
      <c r="B1177" s="230">
        <v>44265</v>
      </c>
      <c r="C1177" s="124">
        <v>206.5</v>
      </c>
      <c r="D1177" s="156">
        <f t="shared" si="19"/>
        <v>6.3352826510721808E-3</v>
      </c>
      <c r="E1177" s="156">
        <v>8.7722877310376004E-3</v>
      </c>
      <c r="G1177" s="156"/>
    </row>
    <row r="1178" spans="2:7" x14ac:dyDescent="0.2">
      <c r="B1178" s="230">
        <v>44264</v>
      </c>
      <c r="C1178" s="124">
        <v>207.8</v>
      </c>
      <c r="D1178" s="156">
        <f t="shared" si="19"/>
        <v>6.2953995157385536E-3</v>
      </c>
      <c r="E1178" s="156">
        <v>8.7696672685066649E-3</v>
      </c>
      <c r="G1178" s="156"/>
    </row>
    <row r="1179" spans="2:7" x14ac:dyDescent="0.2">
      <c r="B1179" s="230">
        <v>44263</v>
      </c>
      <c r="C1179" s="124">
        <v>208</v>
      </c>
      <c r="D1179" s="156">
        <f t="shared" si="19"/>
        <v>9.6246390760341006E-4</v>
      </c>
      <c r="E1179" s="156">
        <v>8.768913342503527E-3</v>
      </c>
      <c r="G1179" s="156"/>
    </row>
    <row r="1180" spans="2:7" x14ac:dyDescent="0.2">
      <c r="B1180" s="230">
        <v>44260</v>
      </c>
      <c r="C1180" s="124">
        <v>208.55</v>
      </c>
      <c r="D1180" s="156">
        <f t="shared" si="19"/>
        <v>2.644230769230824E-3</v>
      </c>
      <c r="E1180" s="156">
        <v>8.7548638132295721E-3</v>
      </c>
      <c r="G1180" s="156"/>
    </row>
    <row r="1181" spans="2:7" x14ac:dyDescent="0.2">
      <c r="B1181" s="230">
        <v>44259</v>
      </c>
      <c r="C1181" s="124">
        <v>209.7</v>
      </c>
      <c r="D1181" s="156">
        <f t="shared" si="19"/>
        <v>5.5142651642290921E-3</v>
      </c>
      <c r="E1181" s="156">
        <v>8.7412587412587419E-3</v>
      </c>
      <c r="G1181" s="156"/>
    </row>
    <row r="1182" spans="2:7" x14ac:dyDescent="0.2">
      <c r="B1182" s="230">
        <v>44258</v>
      </c>
      <c r="C1182" s="124">
        <v>209.95</v>
      </c>
      <c r="D1182" s="156">
        <f t="shared" si="19"/>
        <v>1.1921793037672867E-3</v>
      </c>
      <c r="E1182" s="156">
        <v>8.7406350338922172E-3</v>
      </c>
      <c r="G1182" s="156"/>
    </row>
    <row r="1183" spans="2:7" x14ac:dyDescent="0.2">
      <c r="B1183" s="230">
        <v>44257</v>
      </c>
      <c r="C1183" s="124">
        <v>209.9</v>
      </c>
      <c r="D1183" s="156">
        <f t="shared" si="19"/>
        <v>-2.3815194093823743E-4</v>
      </c>
      <c r="E1183" s="156">
        <v>8.7232755143203822E-3</v>
      </c>
      <c r="G1183" s="156"/>
    </row>
    <row r="1184" spans="2:7" x14ac:dyDescent="0.2">
      <c r="B1184" s="230">
        <v>44256</v>
      </c>
      <c r="C1184" s="124">
        <v>206.9</v>
      </c>
      <c r="D1184" s="156">
        <f t="shared" si="19"/>
        <v>-1.4292520247737018E-2</v>
      </c>
      <c r="E1184" s="156">
        <v>8.7209302325582522E-3</v>
      </c>
      <c r="G1184" s="156"/>
    </row>
    <row r="1185" spans="2:7" x14ac:dyDescent="0.2">
      <c r="B1185" s="230">
        <v>44253</v>
      </c>
      <c r="C1185" s="124">
        <v>203.85</v>
      </c>
      <c r="D1185" s="156">
        <f t="shared" si="19"/>
        <v>-1.4741420976317116E-2</v>
      </c>
      <c r="E1185" s="156">
        <v>8.7203791469194752E-3</v>
      </c>
      <c r="G1185" s="156"/>
    </row>
    <row r="1186" spans="2:7" x14ac:dyDescent="0.2">
      <c r="B1186" s="230">
        <v>44252</v>
      </c>
      <c r="C1186" s="124">
        <v>209.15</v>
      </c>
      <c r="D1186" s="156">
        <f t="shared" si="19"/>
        <v>2.5999509443218109E-2</v>
      </c>
      <c r="E1186" s="156">
        <v>8.6838534599729348E-3</v>
      </c>
      <c r="G1186" s="156"/>
    </row>
    <row r="1187" spans="2:7" x14ac:dyDescent="0.2">
      <c r="B1187" s="230">
        <v>44251</v>
      </c>
      <c r="C1187" s="124">
        <v>208.85</v>
      </c>
      <c r="D1187" s="156">
        <f t="shared" si="19"/>
        <v>-1.4343772412144936E-3</v>
      </c>
      <c r="E1187" s="156">
        <v>8.679299869810626E-3</v>
      </c>
      <c r="G1187" s="156"/>
    </row>
    <row r="1188" spans="2:7" x14ac:dyDescent="0.2">
      <c r="B1188" s="230">
        <v>44250</v>
      </c>
      <c r="C1188" s="124">
        <v>208.5</v>
      </c>
      <c r="D1188" s="156">
        <f t="shared" si="19"/>
        <v>-1.6758439071103391E-3</v>
      </c>
      <c r="E1188" s="156">
        <v>8.6767895878524948E-3</v>
      </c>
      <c r="G1188" s="156"/>
    </row>
    <row r="1189" spans="2:7" x14ac:dyDescent="0.2">
      <c r="B1189" s="230">
        <v>44249</v>
      </c>
      <c r="C1189" s="124">
        <v>207.05</v>
      </c>
      <c r="D1189" s="156">
        <f t="shared" si="19"/>
        <v>-6.9544364508392744E-3</v>
      </c>
      <c r="E1189" s="156">
        <v>8.6738799964231322E-3</v>
      </c>
      <c r="G1189" s="156"/>
    </row>
    <row r="1190" spans="2:7" x14ac:dyDescent="0.2">
      <c r="B1190" s="230">
        <v>44246</v>
      </c>
      <c r="C1190" s="124">
        <v>215.95</v>
      </c>
      <c r="D1190" s="156">
        <f t="shared" si="19"/>
        <v>4.2984786283506285E-2</v>
      </c>
      <c r="E1190" s="156">
        <v>8.6633663366336641E-3</v>
      </c>
      <c r="G1190" s="156"/>
    </row>
    <row r="1191" spans="2:7" x14ac:dyDescent="0.2">
      <c r="B1191" s="230">
        <v>44245</v>
      </c>
      <c r="C1191" s="124">
        <v>218.85</v>
      </c>
      <c r="D1191" s="156">
        <f t="shared" si="19"/>
        <v>1.3429034498726584E-2</v>
      </c>
      <c r="E1191" s="156">
        <v>8.6495308037535888E-3</v>
      </c>
      <c r="G1191" s="156"/>
    </row>
    <row r="1192" spans="2:7" x14ac:dyDescent="0.2">
      <c r="B1192" s="230">
        <v>44244</v>
      </c>
      <c r="C1192" s="124">
        <v>217.75</v>
      </c>
      <c r="D1192" s="156">
        <f t="shared" si="19"/>
        <v>-5.0262737034498257E-3</v>
      </c>
      <c r="E1192" s="156">
        <v>8.6409085298109929E-3</v>
      </c>
      <c r="G1192" s="156"/>
    </row>
    <row r="1193" spans="2:7" x14ac:dyDescent="0.2">
      <c r="B1193" s="230">
        <v>44243</v>
      </c>
      <c r="C1193" s="124">
        <v>218.25</v>
      </c>
      <c r="D1193" s="156">
        <f t="shared" si="19"/>
        <v>2.2962112514351321E-3</v>
      </c>
      <c r="E1193" s="156">
        <v>8.6372360844529754E-3</v>
      </c>
      <c r="G1193" s="156"/>
    </row>
    <row r="1194" spans="2:7" x14ac:dyDescent="0.2">
      <c r="B1194" s="230">
        <v>44242</v>
      </c>
      <c r="C1194" s="124">
        <v>218.6</v>
      </c>
      <c r="D1194" s="156">
        <f t="shared" si="19"/>
        <v>1.6036655211912683E-3</v>
      </c>
      <c r="E1194" s="156">
        <v>8.6344314558980569E-3</v>
      </c>
      <c r="G1194" s="156"/>
    </row>
    <row r="1195" spans="2:7" x14ac:dyDescent="0.2">
      <c r="B1195" s="230">
        <v>44239</v>
      </c>
      <c r="C1195" s="124">
        <v>217.45</v>
      </c>
      <c r="D1195" s="156">
        <f t="shared" si="19"/>
        <v>-5.2607502287282965E-3</v>
      </c>
      <c r="E1195" s="156">
        <v>8.6206896551723512E-3</v>
      </c>
      <c r="G1195" s="156"/>
    </row>
    <row r="1196" spans="2:7" x14ac:dyDescent="0.2">
      <c r="B1196" s="230">
        <v>44238</v>
      </c>
      <c r="C1196" s="124">
        <v>226.45</v>
      </c>
      <c r="D1196" s="156">
        <f t="shared" si="19"/>
        <v>4.1388825017245348E-2</v>
      </c>
      <c r="E1196" s="156">
        <v>8.6149768058315628E-3</v>
      </c>
      <c r="G1196" s="156"/>
    </row>
    <row r="1197" spans="2:7" x14ac:dyDescent="0.2">
      <c r="B1197" s="230">
        <v>44237</v>
      </c>
      <c r="C1197" s="124">
        <v>227.55</v>
      </c>
      <c r="D1197" s="156">
        <f t="shared" si="19"/>
        <v>4.8575844557298426E-3</v>
      </c>
      <c r="E1197" s="156">
        <v>8.6142322097378706E-3</v>
      </c>
      <c r="G1197" s="156"/>
    </row>
    <row r="1198" spans="2:7" x14ac:dyDescent="0.2">
      <c r="B1198" s="230">
        <v>44236</v>
      </c>
      <c r="C1198" s="124">
        <v>229</v>
      </c>
      <c r="D1198" s="156">
        <f t="shared" si="19"/>
        <v>6.3722258844209562E-3</v>
      </c>
      <c r="E1198" s="156">
        <v>8.6060948081264702E-3</v>
      </c>
      <c r="G1198" s="156"/>
    </row>
    <row r="1199" spans="2:7" x14ac:dyDescent="0.2">
      <c r="B1199" s="230">
        <v>44235</v>
      </c>
      <c r="C1199" s="124">
        <v>233.1</v>
      </c>
      <c r="D1199" s="156">
        <f t="shared" si="19"/>
        <v>1.7903930131004341E-2</v>
      </c>
      <c r="E1199" s="156">
        <v>8.6006508600650258E-3</v>
      </c>
      <c r="G1199" s="156"/>
    </row>
    <row r="1200" spans="2:7" x14ac:dyDescent="0.2">
      <c r="B1200" s="230">
        <v>44232</v>
      </c>
      <c r="C1200" s="124">
        <v>234.35</v>
      </c>
      <c r="D1200" s="156">
        <f t="shared" si="19"/>
        <v>5.3625053625053626E-3</v>
      </c>
      <c r="E1200" s="156">
        <v>8.5938928506125237E-3</v>
      </c>
      <c r="G1200" s="156"/>
    </row>
    <row r="1201" spans="2:7" x14ac:dyDescent="0.2">
      <c r="B1201" s="230">
        <v>44231</v>
      </c>
      <c r="C1201" s="124">
        <v>229.95</v>
      </c>
      <c r="D1201" s="156">
        <f t="shared" si="19"/>
        <v>-1.8775336035843849E-2</v>
      </c>
      <c r="E1201" s="156">
        <v>8.5918854415275008E-3</v>
      </c>
      <c r="G1201" s="156"/>
    </row>
    <row r="1202" spans="2:7" x14ac:dyDescent="0.2">
      <c r="B1202" s="230">
        <v>44230</v>
      </c>
      <c r="C1202" s="124">
        <v>216.75</v>
      </c>
      <c r="D1202" s="156">
        <f t="shared" si="19"/>
        <v>-5.7403783431180647E-2</v>
      </c>
      <c r="E1202" s="156">
        <v>8.5778006519128501E-3</v>
      </c>
      <c r="G1202" s="156"/>
    </row>
    <row r="1203" spans="2:7" x14ac:dyDescent="0.2">
      <c r="B1203" s="230">
        <v>44229</v>
      </c>
      <c r="C1203" s="124">
        <v>218.2</v>
      </c>
      <c r="D1203" s="156">
        <f t="shared" si="19"/>
        <v>6.6897347174163261E-3</v>
      </c>
      <c r="E1203" s="156">
        <v>8.544007490636784E-3</v>
      </c>
      <c r="G1203" s="156"/>
    </row>
    <row r="1204" spans="2:7" x14ac:dyDescent="0.2">
      <c r="B1204" s="230">
        <v>44228</v>
      </c>
      <c r="C1204" s="124">
        <v>215.95</v>
      </c>
      <c r="D1204" s="156">
        <f t="shared" si="19"/>
        <v>-1.0311640696608617E-2</v>
      </c>
      <c r="E1204" s="156">
        <v>8.5385472095037464E-3</v>
      </c>
      <c r="G1204" s="156"/>
    </row>
    <row r="1205" spans="2:7" x14ac:dyDescent="0.2">
      <c r="B1205" s="230">
        <v>44225</v>
      </c>
      <c r="C1205" s="124">
        <v>203.25</v>
      </c>
      <c r="D1205" s="156">
        <f t="shared" si="19"/>
        <v>-5.8809909701319697E-2</v>
      </c>
      <c r="E1205" s="156">
        <v>8.5258525852584307E-3</v>
      </c>
      <c r="G1205" s="156"/>
    </row>
    <row r="1206" spans="2:7" x14ac:dyDescent="0.2">
      <c r="B1206" s="230">
        <v>44224</v>
      </c>
      <c r="C1206" s="124">
        <v>206.6</v>
      </c>
      <c r="D1206" s="156">
        <f t="shared" si="19"/>
        <v>1.6482164821648188E-2</v>
      </c>
      <c r="E1206" s="156">
        <v>8.5125448028674101E-3</v>
      </c>
      <c r="G1206" s="156"/>
    </row>
    <row r="1207" spans="2:7" x14ac:dyDescent="0.2">
      <c r="B1207" s="230">
        <v>44223</v>
      </c>
      <c r="C1207" s="124">
        <v>210.65</v>
      </c>
      <c r="D1207" s="156">
        <f t="shared" si="19"/>
        <v>1.960309777347537E-2</v>
      </c>
      <c r="E1207" s="156">
        <v>8.5019554497534431E-3</v>
      </c>
      <c r="G1207" s="156"/>
    </row>
    <row r="1208" spans="2:7" x14ac:dyDescent="0.2">
      <c r="B1208" s="230">
        <v>44221</v>
      </c>
      <c r="C1208" s="124">
        <v>207.8</v>
      </c>
      <c r="D1208" s="156">
        <f t="shared" si="19"/>
        <v>-1.3529551388559194E-2</v>
      </c>
      <c r="E1208" s="156">
        <v>8.5015027908973365E-3</v>
      </c>
      <c r="G1208" s="156"/>
    </row>
    <row r="1209" spans="2:7" x14ac:dyDescent="0.2">
      <c r="B1209" s="230">
        <v>44218</v>
      </c>
      <c r="C1209" s="124">
        <v>210.7</v>
      </c>
      <c r="D1209" s="156">
        <f t="shared" si="19"/>
        <v>1.3955726660250131E-2</v>
      </c>
      <c r="E1209" s="156">
        <v>8.4738082291100445E-3</v>
      </c>
      <c r="G1209" s="156"/>
    </row>
    <row r="1210" spans="2:7" x14ac:dyDescent="0.2">
      <c r="B1210" s="230">
        <v>44217</v>
      </c>
      <c r="C1210" s="124">
        <v>213.7</v>
      </c>
      <c r="D1210" s="156">
        <f t="shared" si="19"/>
        <v>1.423825344091125E-2</v>
      </c>
      <c r="E1210" s="156">
        <v>8.4590763603110321E-3</v>
      </c>
      <c r="G1210" s="156"/>
    </row>
    <row r="1211" spans="2:7" x14ac:dyDescent="0.2">
      <c r="B1211" s="230">
        <v>44216</v>
      </c>
      <c r="C1211" s="124">
        <v>217.65</v>
      </c>
      <c r="D1211" s="156">
        <f t="shared" si="19"/>
        <v>1.8483855872718846E-2</v>
      </c>
      <c r="E1211" s="156">
        <v>8.4481261586840228E-3</v>
      </c>
      <c r="G1211" s="156"/>
    </row>
    <row r="1212" spans="2:7" x14ac:dyDescent="0.2">
      <c r="B1212" s="230">
        <v>44215</v>
      </c>
      <c r="C1212" s="124">
        <v>218.85</v>
      </c>
      <c r="D1212" s="156">
        <f t="shared" si="19"/>
        <v>5.5134390075809265E-3</v>
      </c>
      <c r="E1212" s="156">
        <v>8.442919184863576E-3</v>
      </c>
      <c r="G1212" s="156"/>
    </row>
    <row r="1213" spans="2:7" x14ac:dyDescent="0.2">
      <c r="B1213" s="230">
        <v>44214</v>
      </c>
      <c r="C1213" s="124">
        <v>219.75</v>
      </c>
      <c r="D1213" s="156">
        <f t="shared" si="19"/>
        <v>4.1124057573680862E-3</v>
      </c>
      <c r="E1213" s="156">
        <v>8.4233656839407117E-3</v>
      </c>
      <c r="G1213" s="156"/>
    </row>
    <row r="1214" spans="2:7" x14ac:dyDescent="0.2">
      <c r="B1214" s="230">
        <v>44211</v>
      </c>
      <c r="C1214" s="124">
        <v>217.85</v>
      </c>
      <c r="D1214" s="156">
        <f t="shared" ref="D1214:D1277" si="20">(C1214-C1213)/C1213</f>
        <v>-8.6461888509670338E-3</v>
      </c>
      <c r="E1214" s="156">
        <v>8.422664624808604E-3</v>
      </c>
      <c r="G1214" s="156"/>
    </row>
    <row r="1215" spans="2:7" x14ac:dyDescent="0.2">
      <c r="B1215" s="230">
        <v>44210</v>
      </c>
      <c r="C1215" s="124">
        <v>214.15</v>
      </c>
      <c r="D1215" s="156">
        <f t="shared" si="20"/>
        <v>-1.698416341519389E-2</v>
      </c>
      <c r="E1215" s="156">
        <v>8.4210526315789472E-3</v>
      </c>
      <c r="G1215" s="156"/>
    </row>
    <row r="1216" spans="2:7" x14ac:dyDescent="0.2">
      <c r="B1216" s="230">
        <v>44209</v>
      </c>
      <c r="C1216" s="124">
        <v>211.25</v>
      </c>
      <c r="D1216" s="156">
        <f t="shared" si="20"/>
        <v>-1.3541909876254988E-2</v>
      </c>
      <c r="E1216" s="156">
        <v>8.4210526315788917E-3</v>
      </c>
      <c r="G1216" s="156"/>
    </row>
    <row r="1217" spans="2:7" x14ac:dyDescent="0.2">
      <c r="B1217" s="230">
        <v>44208</v>
      </c>
      <c r="C1217" s="124">
        <v>206.45</v>
      </c>
      <c r="D1217" s="156">
        <f t="shared" si="20"/>
        <v>-2.2721893491124315E-2</v>
      </c>
      <c r="E1217" s="156">
        <v>8.4096430573724536E-3</v>
      </c>
      <c r="G1217" s="156"/>
    </row>
    <row r="1218" spans="2:7" x14ac:dyDescent="0.2">
      <c r="B1218" s="230">
        <v>44207</v>
      </c>
      <c r="C1218" s="124">
        <v>202.5</v>
      </c>
      <c r="D1218" s="156">
        <f t="shared" si="20"/>
        <v>-1.9132961976265385E-2</v>
      </c>
      <c r="E1218" s="156">
        <v>8.407777193904481E-3</v>
      </c>
      <c r="G1218" s="156"/>
    </row>
    <row r="1219" spans="2:7" x14ac:dyDescent="0.2">
      <c r="B1219" s="230">
        <v>44204</v>
      </c>
      <c r="C1219" s="124">
        <v>201.5</v>
      </c>
      <c r="D1219" s="156">
        <f t="shared" si="20"/>
        <v>-4.9382716049382715E-3</v>
      </c>
      <c r="E1219" s="156">
        <v>8.4003574620196402E-3</v>
      </c>
      <c r="G1219" s="156"/>
    </row>
    <row r="1220" spans="2:7" x14ac:dyDescent="0.2">
      <c r="B1220" s="230">
        <v>44203</v>
      </c>
      <c r="C1220" s="124">
        <v>202.8</v>
      </c>
      <c r="D1220" s="156">
        <f t="shared" si="20"/>
        <v>6.4516129032258628E-3</v>
      </c>
      <c r="E1220" s="156">
        <v>8.4003251738777613E-3</v>
      </c>
      <c r="G1220" s="156"/>
    </row>
    <row r="1221" spans="2:7" x14ac:dyDescent="0.2">
      <c r="B1221" s="230">
        <v>44202</v>
      </c>
      <c r="C1221" s="124">
        <v>205.4</v>
      </c>
      <c r="D1221" s="156">
        <f t="shared" si="20"/>
        <v>1.2820512820512792E-2</v>
      </c>
      <c r="E1221" s="156">
        <v>8.3909180651530954E-3</v>
      </c>
      <c r="G1221" s="156"/>
    </row>
    <row r="1222" spans="2:7" x14ac:dyDescent="0.2">
      <c r="B1222" s="230">
        <v>44201</v>
      </c>
      <c r="C1222" s="124">
        <v>211.45</v>
      </c>
      <c r="D1222" s="156">
        <f t="shared" si="20"/>
        <v>2.9454722492697094E-2</v>
      </c>
      <c r="E1222" s="156">
        <v>8.3828943642027167E-3</v>
      </c>
      <c r="G1222" s="156"/>
    </row>
    <row r="1223" spans="2:7" x14ac:dyDescent="0.2">
      <c r="B1223" s="230">
        <v>44200</v>
      </c>
      <c r="C1223" s="124">
        <v>213.4</v>
      </c>
      <c r="D1223" s="156">
        <f t="shared" si="20"/>
        <v>9.2220383069284324E-3</v>
      </c>
      <c r="E1223" s="156">
        <v>8.3765456721181988E-3</v>
      </c>
      <c r="G1223" s="156"/>
    </row>
    <row r="1224" spans="2:7" x14ac:dyDescent="0.2">
      <c r="B1224" s="230">
        <v>44197</v>
      </c>
      <c r="C1224" s="124">
        <v>213.85</v>
      </c>
      <c r="D1224" s="156">
        <f t="shared" si="20"/>
        <v>2.1087160262417463E-3</v>
      </c>
      <c r="E1224" s="156">
        <v>8.375710439724831E-3</v>
      </c>
      <c r="G1224" s="156"/>
    </row>
    <row r="1225" spans="2:7" x14ac:dyDescent="0.2">
      <c r="B1225" s="230">
        <v>44196</v>
      </c>
      <c r="C1225" s="124">
        <v>209</v>
      </c>
      <c r="D1225" s="156">
        <f t="shared" si="20"/>
        <v>-2.2679448211363078E-2</v>
      </c>
      <c r="E1225" s="156">
        <v>8.3710895361380697E-3</v>
      </c>
      <c r="G1225" s="156"/>
    </row>
    <row r="1226" spans="2:7" x14ac:dyDescent="0.2">
      <c r="B1226" s="230">
        <v>44195</v>
      </c>
      <c r="C1226" s="124">
        <v>211.15</v>
      </c>
      <c r="D1226" s="156">
        <f t="shared" si="20"/>
        <v>1.0287081339712945E-2</v>
      </c>
      <c r="E1226" s="156">
        <v>8.3697234352256601E-3</v>
      </c>
      <c r="G1226" s="156"/>
    </row>
    <row r="1227" spans="2:7" x14ac:dyDescent="0.2">
      <c r="B1227" s="230">
        <v>44194</v>
      </c>
      <c r="C1227" s="124">
        <v>211.55</v>
      </c>
      <c r="D1227" s="156">
        <f t="shared" si="20"/>
        <v>1.894387875917621E-3</v>
      </c>
      <c r="E1227" s="156">
        <v>8.3684210526315961E-3</v>
      </c>
      <c r="G1227" s="156"/>
    </row>
    <row r="1228" spans="2:7" x14ac:dyDescent="0.2">
      <c r="B1228" s="230">
        <v>44193</v>
      </c>
      <c r="C1228" s="124">
        <v>209.5</v>
      </c>
      <c r="D1228" s="156">
        <f t="shared" si="20"/>
        <v>-9.6903805246987065E-3</v>
      </c>
      <c r="E1228" s="156">
        <v>8.3624200116346435E-3</v>
      </c>
      <c r="G1228" s="156"/>
    </row>
    <row r="1229" spans="2:7" x14ac:dyDescent="0.2">
      <c r="B1229" s="230">
        <v>44189</v>
      </c>
      <c r="C1229" s="124">
        <v>208.6</v>
      </c>
      <c r="D1229" s="156">
        <f t="shared" si="20"/>
        <v>-4.2959427207637504E-3</v>
      </c>
      <c r="E1229" s="156">
        <v>8.3537375774160767E-3</v>
      </c>
      <c r="G1229" s="156"/>
    </row>
    <row r="1230" spans="2:7" x14ac:dyDescent="0.2">
      <c r="B1230" s="230">
        <v>44188</v>
      </c>
      <c r="C1230" s="124">
        <v>207.75</v>
      </c>
      <c r="D1230" s="156">
        <f t="shared" si="20"/>
        <v>-4.0747842761265311E-3</v>
      </c>
      <c r="E1230" s="156">
        <v>8.3472039351104605E-3</v>
      </c>
      <c r="G1230" s="156"/>
    </row>
    <row r="1231" spans="2:7" x14ac:dyDescent="0.2">
      <c r="B1231" s="230">
        <v>44187</v>
      </c>
      <c r="C1231" s="124">
        <v>203.4</v>
      </c>
      <c r="D1231" s="156">
        <f t="shared" si="20"/>
        <v>-2.0938628158844737E-2</v>
      </c>
      <c r="E1231" s="156">
        <v>8.3318868252040268E-3</v>
      </c>
      <c r="G1231" s="156"/>
    </row>
    <row r="1232" spans="2:7" x14ac:dyDescent="0.2">
      <c r="B1232" s="230">
        <v>44186</v>
      </c>
      <c r="C1232" s="124">
        <v>202.95</v>
      </c>
      <c r="D1232" s="156">
        <f t="shared" si="20"/>
        <v>-2.2123893805310571E-3</v>
      </c>
      <c r="E1232" s="156">
        <v>8.3197952050410948E-3</v>
      </c>
      <c r="G1232" s="156"/>
    </row>
    <row r="1233" spans="2:7" x14ac:dyDescent="0.2">
      <c r="B1233" s="230">
        <v>44183</v>
      </c>
      <c r="C1233" s="124">
        <v>214.5</v>
      </c>
      <c r="D1233" s="156">
        <f t="shared" si="20"/>
        <v>5.6910569105691117E-2</v>
      </c>
      <c r="E1233" s="156">
        <v>8.2946423913610699E-3</v>
      </c>
      <c r="G1233" s="156"/>
    </row>
    <row r="1234" spans="2:7" x14ac:dyDescent="0.2">
      <c r="B1234" s="230">
        <v>44182</v>
      </c>
      <c r="C1234" s="124">
        <v>213.05</v>
      </c>
      <c r="D1234" s="156">
        <f t="shared" si="20"/>
        <v>-6.7599067599067066E-3</v>
      </c>
      <c r="E1234" s="156">
        <v>8.2942661377569827E-3</v>
      </c>
      <c r="G1234" s="156"/>
    </row>
    <row r="1235" spans="2:7" x14ac:dyDescent="0.2">
      <c r="B1235" s="230">
        <v>44181</v>
      </c>
      <c r="C1235" s="124">
        <v>214</v>
      </c>
      <c r="D1235" s="156">
        <f t="shared" si="20"/>
        <v>4.4590471720252923E-3</v>
      </c>
      <c r="E1235" s="156">
        <v>8.2665021591610682E-3</v>
      </c>
      <c r="G1235" s="156"/>
    </row>
    <row r="1236" spans="2:7" x14ac:dyDescent="0.2">
      <c r="B1236" s="230">
        <v>44180</v>
      </c>
      <c r="C1236" s="124">
        <v>213.55</v>
      </c>
      <c r="D1236" s="156">
        <f t="shared" si="20"/>
        <v>-2.1028037383177037E-3</v>
      </c>
      <c r="E1236" s="156">
        <v>8.2609616606651257E-3</v>
      </c>
      <c r="G1236" s="156"/>
    </row>
    <row r="1237" spans="2:7" x14ac:dyDescent="0.2">
      <c r="B1237" s="230">
        <v>44179</v>
      </c>
      <c r="C1237" s="124">
        <v>215.9</v>
      </c>
      <c r="D1237" s="156">
        <f t="shared" si="20"/>
        <v>1.1004448606883606E-2</v>
      </c>
      <c r="E1237" s="156">
        <v>8.257750101529706E-3</v>
      </c>
      <c r="G1237" s="156"/>
    </row>
    <row r="1238" spans="2:7" x14ac:dyDescent="0.2">
      <c r="B1238" s="230">
        <v>44176</v>
      </c>
      <c r="C1238" s="124">
        <v>216.3</v>
      </c>
      <c r="D1238" s="156">
        <f t="shared" si="20"/>
        <v>1.8527095877721429E-3</v>
      </c>
      <c r="E1238" s="156">
        <v>8.2574634766038046E-3</v>
      </c>
      <c r="G1238" s="156"/>
    </row>
    <row r="1239" spans="2:7" x14ac:dyDescent="0.2">
      <c r="B1239" s="230">
        <v>44175</v>
      </c>
      <c r="C1239" s="124">
        <v>212.7</v>
      </c>
      <c r="D1239" s="156">
        <f t="shared" si="20"/>
        <v>-1.6643550624133252E-2</v>
      </c>
      <c r="E1239" s="156">
        <v>8.2347972972972496E-3</v>
      </c>
      <c r="G1239" s="156"/>
    </row>
    <row r="1240" spans="2:7" x14ac:dyDescent="0.2">
      <c r="B1240" s="230">
        <v>44174</v>
      </c>
      <c r="C1240" s="124">
        <v>205.4</v>
      </c>
      <c r="D1240" s="156">
        <f t="shared" si="20"/>
        <v>-3.4320639398213365E-2</v>
      </c>
      <c r="E1240" s="156">
        <v>8.2285176913130705E-3</v>
      </c>
      <c r="G1240" s="156"/>
    </row>
    <row r="1241" spans="2:7" x14ac:dyDescent="0.2">
      <c r="B1241" s="230">
        <v>44173</v>
      </c>
      <c r="C1241" s="124">
        <v>202.45</v>
      </c>
      <c r="D1241" s="156">
        <f t="shared" si="20"/>
        <v>-1.4362220058422673E-2</v>
      </c>
      <c r="E1241" s="156">
        <v>8.2254747792426825E-3</v>
      </c>
      <c r="G1241" s="156"/>
    </row>
    <row r="1242" spans="2:7" x14ac:dyDescent="0.2">
      <c r="B1242" s="230">
        <v>44172</v>
      </c>
      <c r="C1242" s="124">
        <v>203.15</v>
      </c>
      <c r="D1242" s="156">
        <f t="shared" si="20"/>
        <v>3.457643862682228E-3</v>
      </c>
      <c r="E1242" s="156">
        <v>8.2109977606370024E-3</v>
      </c>
      <c r="G1242" s="156"/>
    </row>
    <row r="1243" spans="2:7" x14ac:dyDescent="0.2">
      <c r="B1243" s="230">
        <v>44169</v>
      </c>
      <c r="C1243" s="124">
        <v>198.2</v>
      </c>
      <c r="D1243" s="156">
        <f t="shared" si="20"/>
        <v>-2.4366231848387973E-2</v>
      </c>
      <c r="E1243" s="156">
        <v>8.2037258588276186E-3</v>
      </c>
      <c r="G1243" s="156"/>
    </row>
    <row r="1244" spans="2:7" x14ac:dyDescent="0.2">
      <c r="B1244" s="230">
        <v>44168</v>
      </c>
      <c r="C1244" s="124">
        <v>196.2</v>
      </c>
      <c r="D1244" s="156">
        <f t="shared" si="20"/>
        <v>-1.0090817356205853E-2</v>
      </c>
      <c r="E1244" s="156">
        <v>8.1848471678979823E-3</v>
      </c>
      <c r="G1244" s="156"/>
    </row>
    <row r="1245" spans="2:7" x14ac:dyDescent="0.2">
      <c r="B1245" s="230">
        <v>44167</v>
      </c>
      <c r="C1245" s="124">
        <v>195.95</v>
      </c>
      <c r="D1245" s="156">
        <f t="shared" si="20"/>
        <v>-1.2742099898063201E-3</v>
      </c>
      <c r="E1245" s="156">
        <v>8.1829121540313698E-3</v>
      </c>
      <c r="G1245" s="156"/>
    </row>
    <row r="1246" spans="2:7" x14ac:dyDescent="0.2">
      <c r="B1246" s="230">
        <v>44166</v>
      </c>
      <c r="C1246" s="124">
        <v>194.4</v>
      </c>
      <c r="D1246" s="156">
        <f t="shared" si="20"/>
        <v>-7.9101811686653895E-3</v>
      </c>
      <c r="E1246" s="156">
        <v>8.1387877489827072E-3</v>
      </c>
      <c r="G1246" s="156"/>
    </row>
    <row r="1247" spans="2:7" x14ac:dyDescent="0.2">
      <c r="B1247" s="230">
        <v>44162</v>
      </c>
      <c r="C1247" s="124">
        <v>193.65</v>
      </c>
      <c r="D1247" s="156">
        <f t="shared" si="20"/>
        <v>-3.8580246913580245E-3</v>
      </c>
      <c r="E1247" s="156">
        <v>8.1261950286807706E-3</v>
      </c>
      <c r="G1247" s="156"/>
    </row>
    <row r="1248" spans="2:7" x14ac:dyDescent="0.2">
      <c r="B1248" s="230">
        <v>44161</v>
      </c>
      <c r="C1248" s="124">
        <v>194.8</v>
      </c>
      <c r="D1248" s="156">
        <f t="shared" si="20"/>
        <v>5.9385489284792441E-3</v>
      </c>
      <c r="E1248" s="156">
        <v>8.1182951580168489E-3</v>
      </c>
      <c r="G1248" s="156"/>
    </row>
    <row r="1249" spans="2:7" x14ac:dyDescent="0.2">
      <c r="B1249" s="230">
        <v>44160</v>
      </c>
      <c r="C1249" s="124">
        <v>193.85</v>
      </c>
      <c r="D1249" s="156">
        <f t="shared" si="20"/>
        <v>-4.8767967145791425E-3</v>
      </c>
      <c r="E1249" s="156">
        <v>8.1055607917058514E-3</v>
      </c>
      <c r="G1249" s="156"/>
    </row>
    <row r="1250" spans="2:7" x14ac:dyDescent="0.2">
      <c r="B1250" s="230">
        <v>44159</v>
      </c>
      <c r="C1250" s="124">
        <v>195.55</v>
      </c>
      <c r="D1250" s="156">
        <f t="shared" si="20"/>
        <v>8.7696672685066649E-3</v>
      </c>
      <c r="E1250" s="156">
        <v>8.1051873198847262E-3</v>
      </c>
      <c r="G1250" s="156"/>
    </row>
    <row r="1251" spans="2:7" x14ac:dyDescent="0.2">
      <c r="B1251" s="230">
        <v>44158</v>
      </c>
      <c r="C1251" s="124">
        <v>190.85</v>
      </c>
      <c r="D1251" s="156">
        <f t="shared" si="20"/>
        <v>-2.4034773715162449E-2</v>
      </c>
      <c r="E1251" s="156">
        <v>8.0954409884959767E-3</v>
      </c>
      <c r="G1251" s="156"/>
    </row>
    <row r="1252" spans="2:7" x14ac:dyDescent="0.2">
      <c r="B1252" s="230">
        <v>44155</v>
      </c>
      <c r="C1252" s="124">
        <v>191.7</v>
      </c>
      <c r="D1252" s="156">
        <f t="shared" si="20"/>
        <v>4.4537594969871327E-3</v>
      </c>
      <c r="E1252" s="156">
        <v>8.0939279544437574E-3</v>
      </c>
      <c r="G1252" s="156"/>
    </row>
    <row r="1253" spans="2:7" x14ac:dyDescent="0.2">
      <c r="B1253" s="230">
        <v>44154</v>
      </c>
      <c r="C1253" s="124">
        <v>187.9</v>
      </c>
      <c r="D1253" s="156">
        <f t="shared" si="20"/>
        <v>-1.9822639540949313E-2</v>
      </c>
      <c r="E1253" s="156">
        <v>8.0926294820717129E-3</v>
      </c>
      <c r="G1253" s="156"/>
    </row>
    <row r="1254" spans="2:7" x14ac:dyDescent="0.2">
      <c r="B1254" s="230">
        <v>44153</v>
      </c>
      <c r="C1254" s="124">
        <v>184.05</v>
      </c>
      <c r="D1254" s="156">
        <f t="shared" si="20"/>
        <v>-2.048962213943584E-2</v>
      </c>
      <c r="E1254" s="156">
        <v>8.0842154239851964E-3</v>
      </c>
      <c r="G1254" s="156"/>
    </row>
    <row r="1255" spans="2:7" x14ac:dyDescent="0.2">
      <c r="B1255" s="230">
        <v>44152</v>
      </c>
      <c r="C1255" s="124">
        <v>187.35</v>
      </c>
      <c r="D1255" s="156">
        <f t="shared" si="20"/>
        <v>1.7929910350448153E-2</v>
      </c>
      <c r="E1255" s="156">
        <v>8.0749354005167952E-3</v>
      </c>
      <c r="G1255" s="156"/>
    </row>
    <row r="1256" spans="2:7" x14ac:dyDescent="0.2">
      <c r="B1256" s="230">
        <v>44149</v>
      </c>
      <c r="C1256" s="124">
        <v>188.6</v>
      </c>
      <c r="D1256" s="156">
        <f t="shared" si="20"/>
        <v>6.6720042700827327E-3</v>
      </c>
      <c r="E1256" s="156">
        <v>8.0749354005167952E-3</v>
      </c>
      <c r="G1256" s="156"/>
    </row>
    <row r="1257" spans="2:7" x14ac:dyDescent="0.2">
      <c r="B1257" s="230">
        <v>44148</v>
      </c>
      <c r="C1257" s="124">
        <v>187.1</v>
      </c>
      <c r="D1257" s="156">
        <f t="shared" si="20"/>
        <v>-7.953340402969248E-3</v>
      </c>
      <c r="E1257" s="156">
        <v>8.0741626794259731E-3</v>
      </c>
      <c r="G1257" s="156"/>
    </row>
    <row r="1258" spans="2:7" x14ac:dyDescent="0.2">
      <c r="B1258" s="230">
        <v>44147</v>
      </c>
      <c r="C1258" s="124">
        <v>188</v>
      </c>
      <c r="D1258" s="156">
        <f t="shared" si="20"/>
        <v>4.810261892036375E-3</v>
      </c>
      <c r="E1258" s="156">
        <v>8.0645161290322804E-3</v>
      </c>
      <c r="G1258" s="156"/>
    </row>
    <row r="1259" spans="2:7" x14ac:dyDescent="0.2">
      <c r="B1259" s="230">
        <v>44146</v>
      </c>
      <c r="C1259" s="124">
        <v>185.3</v>
      </c>
      <c r="D1259" s="156">
        <f t="shared" si="20"/>
        <v>-1.4361702127659514E-2</v>
      </c>
      <c r="E1259" s="156">
        <v>8.0477673935618454E-3</v>
      </c>
      <c r="G1259" s="156"/>
    </row>
    <row r="1260" spans="2:7" x14ac:dyDescent="0.2">
      <c r="B1260" s="230">
        <v>44145</v>
      </c>
      <c r="C1260" s="124">
        <v>178.35</v>
      </c>
      <c r="D1260" s="156">
        <f t="shared" si="20"/>
        <v>-3.7506745817593182E-2</v>
      </c>
      <c r="E1260" s="156">
        <v>8.0310482631416186E-3</v>
      </c>
      <c r="G1260" s="156"/>
    </row>
    <row r="1261" spans="2:7" x14ac:dyDescent="0.2">
      <c r="B1261" s="230">
        <v>44144</v>
      </c>
      <c r="C1261" s="124">
        <v>172.8</v>
      </c>
      <c r="D1261" s="156">
        <f t="shared" si="20"/>
        <v>-3.111858704793935E-2</v>
      </c>
      <c r="E1261" s="156">
        <v>8.0305159606504709E-3</v>
      </c>
      <c r="G1261" s="156"/>
    </row>
    <row r="1262" spans="2:7" x14ac:dyDescent="0.2">
      <c r="B1262" s="230">
        <v>44141</v>
      </c>
      <c r="C1262" s="124">
        <v>173.95</v>
      </c>
      <c r="D1262" s="156">
        <f t="shared" si="20"/>
        <v>6.6550925925924608E-3</v>
      </c>
      <c r="E1262" s="156">
        <v>8.0213903743316644E-3</v>
      </c>
      <c r="G1262" s="156"/>
    </row>
    <row r="1263" spans="2:7" x14ac:dyDescent="0.2">
      <c r="B1263" s="230">
        <v>44140</v>
      </c>
      <c r="C1263" s="124">
        <v>174.75</v>
      </c>
      <c r="D1263" s="156">
        <f t="shared" si="20"/>
        <v>4.5990227076746848E-3</v>
      </c>
      <c r="E1263" s="156">
        <v>8.0197696647549728E-3</v>
      </c>
      <c r="G1263" s="156"/>
    </row>
    <row r="1264" spans="2:7" x14ac:dyDescent="0.2">
      <c r="B1264" s="230">
        <v>44139</v>
      </c>
      <c r="C1264" s="124">
        <v>169.8</v>
      </c>
      <c r="D1264" s="156">
        <f t="shared" si="20"/>
        <v>-2.8326180257510665E-2</v>
      </c>
      <c r="E1264" s="156">
        <v>8.0050151902396512E-3</v>
      </c>
      <c r="G1264" s="156"/>
    </row>
    <row r="1265" spans="2:7" x14ac:dyDescent="0.2">
      <c r="B1265" s="230">
        <v>44138</v>
      </c>
      <c r="C1265" s="124">
        <v>170.1</v>
      </c>
      <c r="D1265" s="156">
        <f t="shared" si="20"/>
        <v>1.7667844522967192E-3</v>
      </c>
      <c r="E1265" s="156">
        <v>8.0024093275394108E-3</v>
      </c>
      <c r="G1265" s="156"/>
    </row>
    <row r="1266" spans="2:7" x14ac:dyDescent="0.2">
      <c r="B1266" s="230">
        <v>44137</v>
      </c>
      <c r="C1266" s="124">
        <v>166.75</v>
      </c>
      <c r="D1266" s="156">
        <f t="shared" si="20"/>
        <v>-1.9694297472075219E-2</v>
      </c>
      <c r="E1266" s="156">
        <v>7.996237064910542E-3</v>
      </c>
      <c r="G1266" s="156"/>
    </row>
    <row r="1267" spans="2:7" x14ac:dyDescent="0.2">
      <c r="B1267" s="230">
        <v>44134</v>
      </c>
      <c r="C1267" s="124">
        <v>165.25</v>
      </c>
      <c r="D1267" s="156">
        <f t="shared" si="20"/>
        <v>-8.9955022488755615E-3</v>
      </c>
      <c r="E1267" s="156">
        <v>7.9543489538302075E-3</v>
      </c>
      <c r="G1267" s="156"/>
    </row>
    <row r="1268" spans="2:7" x14ac:dyDescent="0.2">
      <c r="B1268" s="230">
        <v>44133</v>
      </c>
      <c r="C1268" s="124">
        <v>163.85</v>
      </c>
      <c r="D1268" s="156">
        <f t="shared" si="20"/>
        <v>-8.4720121028744669E-3</v>
      </c>
      <c r="E1268" s="156">
        <v>7.9458055315029478E-3</v>
      </c>
      <c r="G1268" s="156"/>
    </row>
    <row r="1269" spans="2:7" x14ac:dyDescent="0.2">
      <c r="B1269" s="230">
        <v>44132</v>
      </c>
      <c r="C1269" s="124">
        <v>165.5</v>
      </c>
      <c r="D1269" s="156">
        <f t="shared" si="20"/>
        <v>1.0070186145865155E-2</v>
      </c>
      <c r="E1269" s="156">
        <v>7.9400884237119506E-3</v>
      </c>
      <c r="G1269" s="156"/>
    </row>
    <row r="1270" spans="2:7" x14ac:dyDescent="0.2">
      <c r="B1270" s="230">
        <v>44131</v>
      </c>
      <c r="C1270" s="124">
        <v>167.2</v>
      </c>
      <c r="D1270" s="156">
        <f t="shared" si="20"/>
        <v>1.0271903323262771E-2</v>
      </c>
      <c r="E1270" s="156">
        <v>7.940028388928282E-3</v>
      </c>
      <c r="G1270" s="156"/>
    </row>
    <row r="1271" spans="2:7" x14ac:dyDescent="0.2">
      <c r="B1271" s="230">
        <v>44130</v>
      </c>
      <c r="C1271" s="124">
        <v>168.55</v>
      </c>
      <c r="D1271" s="156">
        <f t="shared" si="20"/>
        <v>8.0741626794259731E-3</v>
      </c>
      <c r="E1271" s="156">
        <v>7.9316656497864669E-3</v>
      </c>
      <c r="G1271" s="156"/>
    </row>
    <row r="1272" spans="2:7" x14ac:dyDescent="0.2">
      <c r="B1272" s="230">
        <v>44127</v>
      </c>
      <c r="C1272" s="124">
        <v>170.75</v>
      </c>
      <c r="D1272" s="156">
        <f t="shared" si="20"/>
        <v>1.3052506674577209E-2</v>
      </c>
      <c r="E1272" s="156">
        <v>7.9238601150951396E-3</v>
      </c>
      <c r="G1272" s="156"/>
    </row>
    <row r="1273" spans="2:7" x14ac:dyDescent="0.2">
      <c r="B1273" s="230">
        <v>44126</v>
      </c>
      <c r="C1273" s="124">
        <v>168.55</v>
      </c>
      <c r="D1273" s="156">
        <f t="shared" si="20"/>
        <v>-1.2884333821376215E-2</v>
      </c>
      <c r="E1273" s="156">
        <v>7.9073188672307247E-3</v>
      </c>
      <c r="G1273" s="156"/>
    </row>
    <row r="1274" spans="2:7" x14ac:dyDescent="0.2">
      <c r="B1274" s="230">
        <v>44125</v>
      </c>
      <c r="C1274" s="124">
        <v>167.65</v>
      </c>
      <c r="D1274" s="156">
        <f t="shared" si="20"/>
        <v>-5.3396618214180099E-3</v>
      </c>
      <c r="E1274" s="156">
        <v>7.9031699289798078E-3</v>
      </c>
      <c r="G1274" s="156"/>
    </row>
    <row r="1275" spans="2:7" x14ac:dyDescent="0.2">
      <c r="B1275" s="230">
        <v>44124</v>
      </c>
      <c r="C1275" s="124">
        <v>167.45</v>
      </c>
      <c r="D1275" s="156">
        <f t="shared" si="20"/>
        <v>-1.1929615269908563E-3</v>
      </c>
      <c r="E1275" s="156">
        <v>7.8975453575239572E-3</v>
      </c>
      <c r="G1275" s="156"/>
    </row>
    <row r="1276" spans="2:7" x14ac:dyDescent="0.2">
      <c r="B1276" s="230">
        <v>44123</v>
      </c>
      <c r="C1276" s="124">
        <v>168.25</v>
      </c>
      <c r="D1276" s="156">
        <f t="shared" si="20"/>
        <v>4.7775455359809578E-3</v>
      </c>
      <c r="E1276" s="156">
        <v>7.8947368421052634E-3</v>
      </c>
      <c r="G1276" s="156"/>
    </row>
    <row r="1277" spans="2:7" x14ac:dyDescent="0.2">
      <c r="B1277" s="230">
        <v>44120</v>
      </c>
      <c r="C1277" s="124">
        <v>165.7</v>
      </c>
      <c r="D1277" s="156">
        <f t="shared" si="20"/>
        <v>-1.515601783060928E-2</v>
      </c>
      <c r="E1277" s="156">
        <v>7.8936240191701274E-3</v>
      </c>
      <c r="G1277" s="156"/>
    </row>
    <row r="1278" spans="2:7" x14ac:dyDescent="0.2">
      <c r="B1278" s="230">
        <v>44119</v>
      </c>
      <c r="C1278" s="124">
        <v>165.05</v>
      </c>
      <c r="D1278" s="156">
        <f t="shared" ref="D1278:D1341" si="21">(C1278-C1277)/C1277</f>
        <v>-3.9227519613758439E-3</v>
      </c>
      <c r="E1278" s="156">
        <v>7.8932531479043999E-3</v>
      </c>
      <c r="G1278" s="156"/>
    </row>
    <row r="1279" spans="2:7" x14ac:dyDescent="0.2">
      <c r="B1279" s="230">
        <v>44118</v>
      </c>
      <c r="C1279" s="124">
        <v>167.8</v>
      </c>
      <c r="D1279" s="156">
        <f t="shared" si="21"/>
        <v>1.6661617691608604E-2</v>
      </c>
      <c r="E1279" s="156">
        <v>7.8695155192121339E-3</v>
      </c>
      <c r="G1279" s="156"/>
    </row>
    <row r="1280" spans="2:7" x14ac:dyDescent="0.2">
      <c r="B1280" s="230">
        <v>44117</v>
      </c>
      <c r="C1280" s="124">
        <v>170.15</v>
      </c>
      <c r="D1280" s="156">
        <f t="shared" si="21"/>
        <v>1.4004767580452885E-2</v>
      </c>
      <c r="E1280" s="156">
        <v>7.8691240422447944E-3</v>
      </c>
      <c r="G1280" s="156"/>
    </row>
    <row r="1281" spans="2:7" x14ac:dyDescent="0.2">
      <c r="B1281" s="230">
        <v>44116</v>
      </c>
      <c r="C1281" s="124">
        <v>172.2</v>
      </c>
      <c r="D1281" s="156">
        <f t="shared" si="21"/>
        <v>1.2048192771084237E-2</v>
      </c>
      <c r="E1281" s="156">
        <v>7.8678206136900079E-3</v>
      </c>
      <c r="G1281" s="156"/>
    </row>
    <row r="1282" spans="2:7" x14ac:dyDescent="0.2">
      <c r="B1282" s="230">
        <v>44113</v>
      </c>
      <c r="C1282" s="124">
        <v>167.85</v>
      </c>
      <c r="D1282" s="156">
        <f t="shared" si="21"/>
        <v>-2.5261324041811816E-2</v>
      </c>
      <c r="E1282" s="156">
        <v>7.8642951854053251E-3</v>
      </c>
      <c r="G1282" s="156"/>
    </row>
    <row r="1283" spans="2:7" x14ac:dyDescent="0.2">
      <c r="B1283" s="230">
        <v>44112</v>
      </c>
      <c r="C1283" s="124">
        <v>167.15</v>
      </c>
      <c r="D1283" s="156">
        <f t="shared" si="21"/>
        <v>-4.1703902293713947E-3</v>
      </c>
      <c r="E1283" s="156">
        <v>7.8501338090989775E-3</v>
      </c>
      <c r="G1283" s="156"/>
    </row>
    <row r="1284" spans="2:7" x14ac:dyDescent="0.2">
      <c r="B1284" s="230">
        <v>44111</v>
      </c>
      <c r="C1284" s="124">
        <v>169.5</v>
      </c>
      <c r="D1284" s="156">
        <f t="shared" si="21"/>
        <v>1.4059228238109449E-2</v>
      </c>
      <c r="E1284" s="156">
        <v>7.8374755078889427E-3</v>
      </c>
      <c r="G1284" s="156"/>
    </row>
    <row r="1285" spans="2:7" x14ac:dyDescent="0.2">
      <c r="B1285" s="230">
        <v>44110</v>
      </c>
      <c r="C1285" s="124">
        <v>169.9</v>
      </c>
      <c r="D1285" s="156">
        <f t="shared" si="21"/>
        <v>2.3598820058997384E-3</v>
      </c>
      <c r="E1285" s="156">
        <v>7.8322967058280981E-3</v>
      </c>
      <c r="G1285" s="156"/>
    </row>
    <row r="1286" spans="2:7" x14ac:dyDescent="0.2">
      <c r="B1286" s="230">
        <v>44109</v>
      </c>
      <c r="C1286" s="124">
        <v>169.25</v>
      </c>
      <c r="D1286" s="156">
        <f t="shared" si="21"/>
        <v>-3.8257798705120991E-3</v>
      </c>
      <c r="E1286" s="156">
        <v>7.8189889732207321E-3</v>
      </c>
      <c r="G1286" s="156"/>
    </row>
    <row r="1287" spans="2:7" x14ac:dyDescent="0.2">
      <c r="B1287" s="230">
        <v>44105</v>
      </c>
      <c r="C1287" s="124">
        <v>170.85</v>
      </c>
      <c r="D1287" s="156">
        <f t="shared" si="21"/>
        <v>9.4534711964549146E-3</v>
      </c>
      <c r="E1287" s="156">
        <v>7.8109744190587773E-3</v>
      </c>
      <c r="G1287" s="156"/>
    </row>
    <row r="1288" spans="2:7" x14ac:dyDescent="0.2">
      <c r="B1288" s="230">
        <v>44104</v>
      </c>
      <c r="C1288" s="124">
        <v>171.7</v>
      </c>
      <c r="D1288" s="156">
        <f t="shared" si="21"/>
        <v>4.9751243781094197E-3</v>
      </c>
      <c r="E1288" s="156">
        <v>7.8032230703986814E-3</v>
      </c>
      <c r="G1288" s="156"/>
    </row>
    <row r="1289" spans="2:7" x14ac:dyDescent="0.2">
      <c r="B1289" s="230">
        <v>44103</v>
      </c>
      <c r="C1289" s="124">
        <v>169.4</v>
      </c>
      <c r="D1289" s="156">
        <f t="shared" si="21"/>
        <v>-1.3395457192778003E-2</v>
      </c>
      <c r="E1289" s="156">
        <v>7.8020932445290632E-3</v>
      </c>
      <c r="G1289" s="156"/>
    </row>
    <row r="1290" spans="2:7" x14ac:dyDescent="0.2">
      <c r="B1290" s="230">
        <v>44102</v>
      </c>
      <c r="C1290" s="124">
        <v>173.3</v>
      </c>
      <c r="D1290" s="156">
        <f t="shared" si="21"/>
        <v>2.3022432113341238E-2</v>
      </c>
      <c r="E1290" s="156">
        <v>7.7925054432941036E-3</v>
      </c>
      <c r="G1290" s="156"/>
    </row>
    <row r="1291" spans="2:7" x14ac:dyDescent="0.2">
      <c r="B1291" s="230">
        <v>44099</v>
      </c>
      <c r="C1291" s="124">
        <v>170.75</v>
      </c>
      <c r="D1291" s="156">
        <f t="shared" si="21"/>
        <v>-1.471436814772078E-2</v>
      </c>
      <c r="E1291" s="156">
        <v>7.7901080326302809E-3</v>
      </c>
      <c r="G1291" s="156"/>
    </row>
    <row r="1292" spans="2:7" x14ac:dyDescent="0.2">
      <c r="B1292" s="230">
        <v>44098</v>
      </c>
      <c r="C1292" s="124">
        <v>166.55</v>
      </c>
      <c r="D1292" s="156">
        <f t="shared" si="21"/>
        <v>-2.4597364568081925E-2</v>
      </c>
      <c r="E1292" s="156">
        <v>7.7885296200142888E-3</v>
      </c>
      <c r="G1292" s="156"/>
    </row>
    <row r="1293" spans="2:7" x14ac:dyDescent="0.2">
      <c r="B1293" s="230">
        <v>44097</v>
      </c>
      <c r="C1293" s="124">
        <v>172.5</v>
      </c>
      <c r="D1293" s="156">
        <f t="shared" si="21"/>
        <v>3.5725007505253606E-2</v>
      </c>
      <c r="E1293" s="156">
        <v>7.7804735212916639E-3</v>
      </c>
      <c r="G1293" s="156"/>
    </row>
    <row r="1294" spans="2:7" x14ac:dyDescent="0.2">
      <c r="B1294" s="230">
        <v>44096</v>
      </c>
      <c r="C1294" s="124">
        <v>174.2</v>
      </c>
      <c r="D1294" s="156">
        <f t="shared" si="21"/>
        <v>9.8550724637680494E-3</v>
      </c>
      <c r="E1294" s="156">
        <v>7.7646097261953647E-3</v>
      </c>
      <c r="G1294" s="156"/>
    </row>
    <row r="1295" spans="2:7" x14ac:dyDescent="0.2">
      <c r="B1295" s="230">
        <v>44095</v>
      </c>
      <c r="C1295" s="124">
        <v>175.75</v>
      </c>
      <c r="D1295" s="156">
        <f t="shared" si="21"/>
        <v>8.8978185993112031E-3</v>
      </c>
      <c r="E1295" s="156">
        <v>7.7567806757249677E-3</v>
      </c>
      <c r="G1295" s="156"/>
    </row>
    <row r="1296" spans="2:7" x14ac:dyDescent="0.2">
      <c r="B1296" s="230">
        <v>44092</v>
      </c>
      <c r="C1296" s="124">
        <v>179.1</v>
      </c>
      <c r="D1296" s="156">
        <f t="shared" si="21"/>
        <v>1.906116642958745E-2</v>
      </c>
      <c r="E1296" s="156">
        <v>7.755695588948083E-3</v>
      </c>
      <c r="G1296" s="156"/>
    </row>
    <row r="1297" spans="2:7" x14ac:dyDescent="0.2">
      <c r="B1297" s="230">
        <v>44091</v>
      </c>
      <c r="C1297" s="124">
        <v>178.6</v>
      </c>
      <c r="D1297" s="156">
        <f t="shared" si="21"/>
        <v>-2.7917364600781687E-3</v>
      </c>
      <c r="E1297" s="156">
        <v>7.713283989092397E-3</v>
      </c>
      <c r="G1297" s="156"/>
    </row>
    <row r="1298" spans="2:7" x14ac:dyDescent="0.2">
      <c r="B1298" s="230">
        <v>44090</v>
      </c>
      <c r="C1298" s="124">
        <v>180.65</v>
      </c>
      <c r="D1298" s="156">
        <f t="shared" si="21"/>
        <v>1.1478163493841049E-2</v>
      </c>
      <c r="E1298" s="156">
        <v>7.7056443845116545E-3</v>
      </c>
      <c r="G1298" s="156"/>
    </row>
    <row r="1299" spans="2:7" x14ac:dyDescent="0.2">
      <c r="B1299" s="230">
        <v>44089</v>
      </c>
      <c r="C1299" s="124">
        <v>181.8</v>
      </c>
      <c r="D1299" s="156">
        <f t="shared" si="21"/>
        <v>6.3659009133684233E-3</v>
      </c>
      <c r="E1299" s="156">
        <v>7.6744601106551284E-3</v>
      </c>
      <c r="G1299" s="156"/>
    </row>
    <row r="1300" spans="2:7" x14ac:dyDescent="0.2">
      <c r="B1300" s="230">
        <v>44088</v>
      </c>
      <c r="C1300" s="124">
        <v>183.35</v>
      </c>
      <c r="D1300" s="156">
        <f t="shared" si="21"/>
        <v>8.5258525852584307E-3</v>
      </c>
      <c r="E1300" s="156">
        <v>7.6618943542643963E-3</v>
      </c>
      <c r="G1300" s="156"/>
    </row>
    <row r="1301" spans="2:7" x14ac:dyDescent="0.2">
      <c r="B1301" s="230">
        <v>44085</v>
      </c>
      <c r="C1301" s="124">
        <v>183.95</v>
      </c>
      <c r="D1301" s="156">
        <f t="shared" si="21"/>
        <v>3.2724297791109592E-3</v>
      </c>
      <c r="E1301" s="156">
        <v>7.6603665521190805E-3</v>
      </c>
      <c r="G1301" s="156"/>
    </row>
    <row r="1302" spans="2:7" x14ac:dyDescent="0.2">
      <c r="B1302" s="230">
        <v>44084</v>
      </c>
      <c r="C1302" s="124">
        <v>184.9</v>
      </c>
      <c r="D1302" s="156">
        <f t="shared" si="21"/>
        <v>5.1644468605600274E-3</v>
      </c>
      <c r="E1302" s="156">
        <v>7.6494503839782063E-3</v>
      </c>
      <c r="G1302" s="156"/>
    </row>
    <row r="1303" spans="2:7" x14ac:dyDescent="0.2">
      <c r="B1303" s="230">
        <v>44083</v>
      </c>
      <c r="C1303" s="124">
        <v>183.8</v>
      </c>
      <c r="D1303" s="156">
        <f t="shared" si="21"/>
        <v>-5.949161709031878E-3</v>
      </c>
      <c r="E1303" s="156">
        <v>7.6361065283997382E-3</v>
      </c>
      <c r="G1303" s="156"/>
    </row>
    <row r="1304" spans="2:7" x14ac:dyDescent="0.2">
      <c r="B1304" s="230">
        <v>44082</v>
      </c>
      <c r="C1304" s="124">
        <v>188.15</v>
      </c>
      <c r="D1304" s="156">
        <f t="shared" si="21"/>
        <v>2.3667029379760576E-2</v>
      </c>
      <c r="E1304" s="156">
        <v>7.6318400366328322E-3</v>
      </c>
      <c r="G1304" s="156"/>
    </row>
    <row r="1305" spans="2:7" x14ac:dyDescent="0.2">
      <c r="B1305" s="230">
        <v>44081</v>
      </c>
      <c r="C1305" s="124">
        <v>189.1</v>
      </c>
      <c r="D1305" s="156">
        <f t="shared" si="21"/>
        <v>5.0491629019398807E-3</v>
      </c>
      <c r="E1305" s="156">
        <v>7.6292199122639714E-3</v>
      </c>
      <c r="G1305" s="156"/>
    </row>
    <row r="1306" spans="2:7" x14ac:dyDescent="0.2">
      <c r="B1306" s="230">
        <v>44078</v>
      </c>
      <c r="C1306" s="124">
        <v>186.7</v>
      </c>
      <c r="D1306" s="156">
        <f t="shared" si="21"/>
        <v>-1.2691697514542601E-2</v>
      </c>
      <c r="E1306" s="156">
        <v>7.6232632484938469E-3</v>
      </c>
      <c r="G1306" s="156"/>
    </row>
    <row r="1307" spans="2:7" x14ac:dyDescent="0.2">
      <c r="B1307" s="230">
        <v>44077</v>
      </c>
      <c r="C1307" s="124">
        <v>191.6</v>
      </c>
      <c r="D1307" s="156">
        <f t="shared" si="21"/>
        <v>2.6245313336904157E-2</v>
      </c>
      <c r="E1307" s="156">
        <v>7.6224885442368242E-3</v>
      </c>
      <c r="G1307" s="156"/>
    </row>
    <row r="1308" spans="2:7" x14ac:dyDescent="0.2">
      <c r="B1308" s="230">
        <v>44076</v>
      </c>
      <c r="C1308" s="124">
        <v>191.35</v>
      </c>
      <c r="D1308" s="156">
        <f t="shared" si="21"/>
        <v>-1.3048016701461378E-3</v>
      </c>
      <c r="E1308" s="156">
        <v>7.6114032659839069E-3</v>
      </c>
      <c r="G1308" s="156"/>
    </row>
    <row r="1309" spans="2:7" x14ac:dyDescent="0.2">
      <c r="B1309" s="230">
        <v>44075</v>
      </c>
      <c r="C1309" s="124">
        <v>190.2</v>
      </c>
      <c r="D1309" s="156">
        <f t="shared" si="21"/>
        <v>-6.0099294486543279E-3</v>
      </c>
      <c r="E1309" s="156">
        <v>7.5981004748811882E-3</v>
      </c>
      <c r="G1309" s="156"/>
    </row>
    <row r="1310" spans="2:7" x14ac:dyDescent="0.2">
      <c r="B1310" s="230">
        <v>44074</v>
      </c>
      <c r="C1310" s="124">
        <v>191.1</v>
      </c>
      <c r="D1310" s="156">
        <f t="shared" si="21"/>
        <v>4.7318611987382008E-3</v>
      </c>
      <c r="E1310" s="156">
        <v>7.5980392156863299E-3</v>
      </c>
      <c r="G1310" s="156"/>
    </row>
    <row r="1311" spans="2:7" x14ac:dyDescent="0.2">
      <c r="B1311" s="230">
        <v>44071</v>
      </c>
      <c r="C1311" s="124">
        <v>195.55</v>
      </c>
      <c r="D1311" s="156">
        <f t="shared" si="21"/>
        <v>2.3286237571951949E-2</v>
      </c>
      <c r="E1311" s="156">
        <v>7.59705022958108E-3</v>
      </c>
      <c r="G1311" s="156"/>
    </row>
    <row r="1312" spans="2:7" x14ac:dyDescent="0.2">
      <c r="B1312" s="230">
        <v>44070</v>
      </c>
      <c r="C1312" s="124">
        <v>194.25</v>
      </c>
      <c r="D1312" s="156">
        <f t="shared" si="21"/>
        <v>-6.6479161339811372E-3</v>
      </c>
      <c r="E1312" s="156">
        <v>7.5958470043597359E-3</v>
      </c>
      <c r="G1312" s="156"/>
    </row>
    <row r="1313" spans="2:7" x14ac:dyDescent="0.2">
      <c r="B1313" s="230">
        <v>44069</v>
      </c>
      <c r="C1313" s="124">
        <v>194.95</v>
      </c>
      <c r="D1313" s="156">
        <f t="shared" si="21"/>
        <v>3.6036036036035451E-3</v>
      </c>
      <c r="E1313" s="156">
        <v>7.594649739288163E-3</v>
      </c>
      <c r="G1313" s="156"/>
    </row>
    <row r="1314" spans="2:7" x14ac:dyDescent="0.2">
      <c r="B1314" s="230">
        <v>44068</v>
      </c>
      <c r="C1314" s="124">
        <v>195.4</v>
      </c>
      <c r="D1314" s="156">
        <f t="shared" si="21"/>
        <v>2.308284175429685E-3</v>
      </c>
      <c r="E1314" s="156">
        <v>7.5946135681919571E-3</v>
      </c>
      <c r="G1314" s="156"/>
    </row>
    <row r="1315" spans="2:7" x14ac:dyDescent="0.2">
      <c r="B1315" s="230">
        <v>44067</v>
      </c>
      <c r="C1315" s="124">
        <v>196.7</v>
      </c>
      <c r="D1315" s="156">
        <f t="shared" si="21"/>
        <v>6.6530194472875278E-3</v>
      </c>
      <c r="E1315" s="156">
        <v>7.5870031337621777E-3</v>
      </c>
      <c r="G1315" s="156"/>
    </row>
    <row r="1316" spans="2:7" x14ac:dyDescent="0.2">
      <c r="B1316" s="230">
        <v>44064</v>
      </c>
      <c r="C1316" s="124">
        <v>196.8</v>
      </c>
      <c r="D1316" s="156">
        <f t="shared" si="21"/>
        <v>5.0838840874439621E-4</v>
      </c>
      <c r="E1316" s="156">
        <v>7.5867052023120838E-3</v>
      </c>
      <c r="G1316" s="156"/>
    </row>
    <row r="1317" spans="2:7" x14ac:dyDescent="0.2">
      <c r="B1317" s="230">
        <v>44063</v>
      </c>
      <c r="C1317" s="124">
        <v>195.8</v>
      </c>
      <c r="D1317" s="156">
        <f t="shared" si="21"/>
        <v>-5.08130081300813E-3</v>
      </c>
      <c r="E1317" s="156">
        <v>7.5761254917196949E-3</v>
      </c>
      <c r="G1317" s="156"/>
    </row>
    <row r="1318" spans="2:7" x14ac:dyDescent="0.2">
      <c r="B1318" s="230">
        <v>44062</v>
      </c>
      <c r="C1318" s="124">
        <v>198.45</v>
      </c>
      <c r="D1318" s="156">
        <f t="shared" si="21"/>
        <v>1.3534218590398248E-2</v>
      </c>
      <c r="E1318" s="156">
        <v>7.568915838816458E-3</v>
      </c>
      <c r="G1318" s="156"/>
    </row>
    <row r="1319" spans="2:7" x14ac:dyDescent="0.2">
      <c r="B1319" s="230">
        <v>44061</v>
      </c>
      <c r="C1319" s="124">
        <v>198.55</v>
      </c>
      <c r="D1319" s="156">
        <f t="shared" si="21"/>
        <v>5.0390526581014236E-4</v>
      </c>
      <c r="E1319" s="156">
        <v>7.5620581949696255E-3</v>
      </c>
      <c r="G1319" s="156"/>
    </row>
    <row r="1320" spans="2:7" x14ac:dyDescent="0.2">
      <c r="B1320" s="230">
        <v>44060</v>
      </c>
      <c r="C1320" s="124">
        <v>198.75</v>
      </c>
      <c r="D1320" s="156">
        <f t="shared" si="21"/>
        <v>1.0073029463610608E-3</v>
      </c>
      <c r="E1320" s="156">
        <v>7.5528700906344892E-3</v>
      </c>
      <c r="G1320" s="156"/>
    </row>
    <row r="1321" spans="2:7" x14ac:dyDescent="0.2">
      <c r="B1321" s="230">
        <v>44057</v>
      </c>
      <c r="C1321" s="124">
        <v>196.4</v>
      </c>
      <c r="D1321" s="156">
        <f t="shared" si="21"/>
        <v>-1.1823899371069153E-2</v>
      </c>
      <c r="E1321" s="156">
        <v>7.5372767491397813E-3</v>
      </c>
      <c r="G1321" s="156"/>
    </row>
    <row r="1322" spans="2:7" x14ac:dyDescent="0.2">
      <c r="B1322" s="230">
        <v>44056</v>
      </c>
      <c r="C1322" s="124">
        <v>201.45</v>
      </c>
      <c r="D1322" s="156">
        <f t="shared" si="21"/>
        <v>2.5712830957230055E-2</v>
      </c>
      <c r="E1322" s="156">
        <v>7.5250568381951578E-3</v>
      </c>
      <c r="G1322" s="156"/>
    </row>
    <row r="1323" spans="2:7" x14ac:dyDescent="0.2">
      <c r="B1323" s="230">
        <v>44055</v>
      </c>
      <c r="C1323" s="124">
        <v>204.2</v>
      </c>
      <c r="D1323" s="156">
        <f t="shared" si="21"/>
        <v>1.3651030032266072E-2</v>
      </c>
      <c r="E1323" s="156">
        <v>7.5211255143122092E-3</v>
      </c>
      <c r="G1323" s="156"/>
    </row>
    <row r="1324" spans="2:7" x14ac:dyDescent="0.2">
      <c r="B1324" s="230">
        <v>44054</v>
      </c>
      <c r="C1324" s="124">
        <v>203.05</v>
      </c>
      <c r="D1324" s="156">
        <f t="shared" si="21"/>
        <v>-5.6317335945150699E-3</v>
      </c>
      <c r="E1324" s="156">
        <v>7.5186158035519379E-3</v>
      </c>
      <c r="G1324" s="156"/>
    </row>
    <row r="1325" spans="2:7" x14ac:dyDescent="0.2">
      <c r="B1325" s="230">
        <v>44053</v>
      </c>
      <c r="C1325" s="124">
        <v>198.85</v>
      </c>
      <c r="D1325" s="156">
        <f t="shared" si="21"/>
        <v>-2.0684560453090455E-2</v>
      </c>
      <c r="E1325" s="156">
        <v>7.5143365631798013E-3</v>
      </c>
      <c r="G1325" s="156"/>
    </row>
    <row r="1326" spans="2:7" x14ac:dyDescent="0.2">
      <c r="B1326" s="230">
        <v>44050</v>
      </c>
      <c r="C1326" s="124">
        <v>196.05</v>
      </c>
      <c r="D1326" s="156">
        <f t="shared" si="21"/>
        <v>-1.4080965551923475E-2</v>
      </c>
      <c r="E1326" s="156">
        <v>7.5113902228789832E-3</v>
      </c>
      <c r="G1326" s="156"/>
    </row>
    <row r="1327" spans="2:7" x14ac:dyDescent="0.2">
      <c r="B1327" s="230">
        <v>44049</v>
      </c>
      <c r="C1327" s="124">
        <v>195.35</v>
      </c>
      <c r="D1327" s="156">
        <f t="shared" si="21"/>
        <v>-3.5705177250702218E-3</v>
      </c>
      <c r="E1327" s="156">
        <v>7.4913127848729479E-3</v>
      </c>
      <c r="G1327" s="156"/>
    </row>
    <row r="1328" spans="2:7" x14ac:dyDescent="0.2">
      <c r="B1328" s="230">
        <v>44048</v>
      </c>
      <c r="C1328" s="124">
        <v>192.8</v>
      </c>
      <c r="D1328" s="156">
        <f t="shared" si="21"/>
        <v>-1.3053493729203907E-2</v>
      </c>
      <c r="E1328" s="156">
        <v>7.4839629365643827E-3</v>
      </c>
      <c r="G1328" s="156"/>
    </row>
    <row r="1329" spans="2:7" x14ac:dyDescent="0.2">
      <c r="B1329" s="230">
        <v>44047</v>
      </c>
      <c r="C1329" s="124">
        <v>193.65</v>
      </c>
      <c r="D1329" s="156">
        <f t="shared" si="21"/>
        <v>4.4087136929460286E-3</v>
      </c>
      <c r="E1329" s="156">
        <v>7.4800103172556979E-3</v>
      </c>
      <c r="G1329" s="156"/>
    </row>
    <row r="1330" spans="2:7" x14ac:dyDescent="0.2">
      <c r="B1330" s="230">
        <v>44046</v>
      </c>
      <c r="C1330" s="124">
        <v>192.6</v>
      </c>
      <c r="D1330" s="156">
        <f t="shared" si="21"/>
        <v>-5.422153369481081E-3</v>
      </c>
      <c r="E1330" s="156">
        <v>7.4591522614256417E-3</v>
      </c>
      <c r="G1330" s="156"/>
    </row>
    <row r="1331" spans="2:7" x14ac:dyDescent="0.2">
      <c r="B1331" s="230">
        <v>44043</v>
      </c>
      <c r="C1331" s="124">
        <v>194.15</v>
      </c>
      <c r="D1331" s="156">
        <f t="shared" si="21"/>
        <v>8.0477673935618454E-3</v>
      </c>
      <c r="E1331" s="156">
        <v>7.4534161490684035E-3</v>
      </c>
      <c r="G1331" s="156"/>
    </row>
    <row r="1332" spans="2:7" x14ac:dyDescent="0.2">
      <c r="B1332" s="230">
        <v>44042</v>
      </c>
      <c r="C1332" s="124">
        <v>193.35</v>
      </c>
      <c r="D1332" s="156">
        <f t="shared" si="21"/>
        <v>-4.120525366984349E-3</v>
      </c>
      <c r="E1332" s="156">
        <v>7.4256789742798797E-3</v>
      </c>
      <c r="G1332" s="156"/>
    </row>
    <row r="1333" spans="2:7" x14ac:dyDescent="0.2">
      <c r="B1333" s="230">
        <v>44041</v>
      </c>
      <c r="C1333" s="124">
        <v>196.7</v>
      </c>
      <c r="D1333" s="156">
        <f t="shared" si="21"/>
        <v>1.7326092578225986E-2</v>
      </c>
      <c r="E1333" s="156">
        <v>7.4197736969022444E-3</v>
      </c>
      <c r="G1333" s="156"/>
    </row>
    <row r="1334" spans="2:7" x14ac:dyDescent="0.2">
      <c r="B1334" s="230">
        <v>44040</v>
      </c>
      <c r="C1334" s="124">
        <v>195.4</v>
      </c>
      <c r="D1334" s="156">
        <f t="shared" si="21"/>
        <v>-6.6090493136755617E-3</v>
      </c>
      <c r="E1334" s="156">
        <v>7.4021595739483794E-3</v>
      </c>
      <c r="G1334" s="156"/>
    </row>
    <row r="1335" spans="2:7" x14ac:dyDescent="0.2">
      <c r="B1335" s="230">
        <v>44039</v>
      </c>
      <c r="C1335" s="124">
        <v>196.4</v>
      </c>
      <c r="D1335" s="156">
        <f t="shared" si="21"/>
        <v>5.1177072671443188E-3</v>
      </c>
      <c r="E1335" s="156">
        <v>7.3944347149252155E-3</v>
      </c>
      <c r="G1335" s="156"/>
    </row>
    <row r="1336" spans="2:7" x14ac:dyDescent="0.2">
      <c r="B1336" s="230">
        <v>44036</v>
      </c>
      <c r="C1336" s="124">
        <v>199.6</v>
      </c>
      <c r="D1336" s="156">
        <f t="shared" si="21"/>
        <v>1.6293279022403202E-2</v>
      </c>
      <c r="E1336" s="156">
        <v>7.3898763523956778E-3</v>
      </c>
      <c r="G1336" s="156"/>
    </row>
    <row r="1337" spans="2:7" x14ac:dyDescent="0.2">
      <c r="B1337" s="230">
        <v>44035</v>
      </c>
      <c r="C1337" s="124">
        <v>200.7</v>
      </c>
      <c r="D1337" s="156">
        <f t="shared" si="21"/>
        <v>5.511022044088148E-3</v>
      </c>
      <c r="E1337" s="156">
        <v>7.3834374003008277E-3</v>
      </c>
      <c r="G1337" s="156"/>
    </row>
    <row r="1338" spans="2:7" x14ac:dyDescent="0.2">
      <c r="B1338" s="230">
        <v>44034</v>
      </c>
      <c r="C1338" s="124">
        <v>196.55</v>
      </c>
      <c r="D1338" s="156">
        <f t="shared" si="21"/>
        <v>-2.0677628300946573E-2</v>
      </c>
      <c r="E1338" s="156">
        <v>7.3822825219473035E-3</v>
      </c>
      <c r="G1338" s="156"/>
    </row>
    <row r="1339" spans="2:7" x14ac:dyDescent="0.2">
      <c r="B1339" s="230">
        <v>44033</v>
      </c>
      <c r="C1339" s="124">
        <v>192.25</v>
      </c>
      <c r="D1339" s="156">
        <f t="shared" si="21"/>
        <v>-2.1877384889341191E-2</v>
      </c>
      <c r="E1339" s="156">
        <v>7.3806411932037215E-3</v>
      </c>
      <c r="G1339" s="156"/>
    </row>
    <row r="1340" spans="2:7" x14ac:dyDescent="0.2">
      <c r="B1340" s="230">
        <v>44032</v>
      </c>
      <c r="C1340" s="124">
        <v>192.7</v>
      </c>
      <c r="D1340" s="156">
        <f t="shared" si="21"/>
        <v>2.3407022106631398E-3</v>
      </c>
      <c r="E1340" s="156">
        <v>7.377163271934317E-3</v>
      </c>
      <c r="G1340" s="156"/>
    </row>
    <row r="1341" spans="2:7" x14ac:dyDescent="0.2">
      <c r="B1341" s="230">
        <v>44029</v>
      </c>
      <c r="C1341" s="124">
        <v>194.05</v>
      </c>
      <c r="D1341" s="156">
        <f t="shared" si="21"/>
        <v>7.0057083549560084E-3</v>
      </c>
      <c r="E1341" s="156">
        <v>7.366181044360709E-3</v>
      </c>
      <c r="G1341" s="156"/>
    </row>
    <row r="1342" spans="2:7" x14ac:dyDescent="0.2">
      <c r="B1342" s="230">
        <v>44028</v>
      </c>
      <c r="C1342" s="124">
        <v>193.85</v>
      </c>
      <c r="D1342" s="156">
        <f t="shared" ref="D1342:D1405" si="22">(C1342-C1341)/C1341</f>
        <v>-1.0306622004638858E-3</v>
      </c>
      <c r="E1342" s="156">
        <v>7.3552238805969766E-3</v>
      </c>
      <c r="G1342" s="156"/>
    </row>
    <row r="1343" spans="2:7" x14ac:dyDescent="0.2">
      <c r="B1343" s="230">
        <v>44027</v>
      </c>
      <c r="C1343" s="124">
        <v>198.7</v>
      </c>
      <c r="D1343" s="156">
        <f t="shared" si="22"/>
        <v>2.5019344854268735E-2</v>
      </c>
      <c r="E1343" s="156">
        <v>7.3281837987721242E-3</v>
      </c>
      <c r="G1343" s="156"/>
    </row>
    <row r="1344" spans="2:7" x14ac:dyDescent="0.2">
      <c r="B1344" s="230">
        <v>44026</v>
      </c>
      <c r="C1344" s="124">
        <v>195.9</v>
      </c>
      <c r="D1344" s="156">
        <f t="shared" si="22"/>
        <v>-1.4091595369904293E-2</v>
      </c>
      <c r="E1344" s="156">
        <v>7.3161150937838017E-3</v>
      </c>
      <c r="G1344" s="156"/>
    </row>
    <row r="1345" spans="2:7" x14ac:dyDescent="0.2">
      <c r="B1345" s="230">
        <v>44025</v>
      </c>
      <c r="C1345" s="124">
        <v>197.55</v>
      </c>
      <c r="D1345" s="156">
        <f t="shared" si="22"/>
        <v>8.422664624808604E-3</v>
      </c>
      <c r="E1345" s="156">
        <v>7.3154004419721712E-3</v>
      </c>
      <c r="G1345" s="156"/>
    </row>
    <row r="1346" spans="2:7" x14ac:dyDescent="0.2">
      <c r="B1346" s="230">
        <v>44022</v>
      </c>
      <c r="C1346" s="124">
        <v>194.35</v>
      </c>
      <c r="D1346" s="156">
        <f t="shared" si="22"/>
        <v>-1.619843077701856E-2</v>
      </c>
      <c r="E1346" s="156">
        <v>7.3142857142856881E-3</v>
      </c>
      <c r="G1346" s="156"/>
    </row>
    <row r="1347" spans="2:7" x14ac:dyDescent="0.2">
      <c r="B1347" s="230">
        <v>44021</v>
      </c>
      <c r="C1347" s="124">
        <v>195.45</v>
      </c>
      <c r="D1347" s="156">
        <f t="shared" si="22"/>
        <v>5.6598919475173365E-3</v>
      </c>
      <c r="E1347" s="156">
        <v>7.3111291632819517E-3</v>
      </c>
      <c r="G1347" s="156"/>
    </row>
    <row r="1348" spans="2:7" x14ac:dyDescent="0.2">
      <c r="B1348" s="230">
        <v>44020</v>
      </c>
      <c r="C1348" s="124">
        <v>196.3</v>
      </c>
      <c r="D1348" s="156">
        <f t="shared" si="22"/>
        <v>4.3489383474035444E-3</v>
      </c>
      <c r="E1348" s="156">
        <v>7.3087542634400334E-3</v>
      </c>
      <c r="G1348" s="156"/>
    </row>
    <row r="1349" spans="2:7" x14ac:dyDescent="0.2">
      <c r="B1349" s="230">
        <v>44019</v>
      </c>
      <c r="C1349" s="124">
        <v>194.25</v>
      </c>
      <c r="D1349" s="156">
        <f t="shared" si="22"/>
        <v>-1.0443199184921096E-2</v>
      </c>
      <c r="E1349" s="156">
        <v>7.2864542182424575E-3</v>
      </c>
      <c r="G1349" s="156"/>
    </row>
    <row r="1350" spans="2:7" x14ac:dyDescent="0.2">
      <c r="B1350" s="230">
        <v>44018</v>
      </c>
      <c r="C1350" s="124">
        <v>199.8</v>
      </c>
      <c r="D1350" s="156">
        <f t="shared" si="22"/>
        <v>2.857142857142863E-2</v>
      </c>
      <c r="E1350" s="156">
        <v>7.2719449225473222E-3</v>
      </c>
      <c r="G1350" s="156"/>
    </row>
    <row r="1351" spans="2:7" x14ac:dyDescent="0.2">
      <c r="B1351" s="230">
        <v>44015</v>
      </c>
      <c r="C1351" s="124">
        <v>207.55</v>
      </c>
      <c r="D1351" s="156">
        <f t="shared" si="22"/>
        <v>3.8788788788788789E-2</v>
      </c>
      <c r="E1351" s="156">
        <v>7.2698744769875258E-3</v>
      </c>
      <c r="G1351" s="156"/>
    </row>
    <row r="1352" spans="2:7" x14ac:dyDescent="0.2">
      <c r="B1352" s="230">
        <v>44014</v>
      </c>
      <c r="C1352" s="124">
        <v>205.85</v>
      </c>
      <c r="D1352" s="156">
        <f t="shared" si="22"/>
        <v>-8.1907973982173789E-3</v>
      </c>
      <c r="E1352" s="156">
        <v>7.261464785799707E-3</v>
      </c>
      <c r="G1352" s="156"/>
    </row>
    <row r="1353" spans="2:7" x14ac:dyDescent="0.2">
      <c r="B1353" s="230">
        <v>44013</v>
      </c>
      <c r="C1353" s="124">
        <v>202.9</v>
      </c>
      <c r="D1353" s="156">
        <f t="shared" si="22"/>
        <v>-1.4330823415108034E-2</v>
      </c>
      <c r="E1353" s="156">
        <v>7.236471817962462E-3</v>
      </c>
      <c r="G1353" s="156"/>
    </row>
    <row r="1354" spans="2:7" x14ac:dyDescent="0.2">
      <c r="B1354" s="230">
        <v>44012</v>
      </c>
      <c r="C1354" s="124">
        <v>194.65</v>
      </c>
      <c r="D1354" s="156">
        <f t="shared" si="22"/>
        <v>-4.0660423854115328E-2</v>
      </c>
      <c r="E1354" s="156">
        <v>7.2364560923136598E-3</v>
      </c>
      <c r="G1354" s="156"/>
    </row>
    <row r="1355" spans="2:7" x14ac:dyDescent="0.2">
      <c r="B1355" s="230">
        <v>44011</v>
      </c>
      <c r="C1355" s="124">
        <v>197.25</v>
      </c>
      <c r="D1355" s="156">
        <f t="shared" si="22"/>
        <v>1.3357307988697633E-2</v>
      </c>
      <c r="E1355" s="156">
        <v>7.2232487821266541E-3</v>
      </c>
      <c r="G1355" s="156"/>
    </row>
    <row r="1356" spans="2:7" x14ac:dyDescent="0.2">
      <c r="B1356" s="230">
        <v>44008</v>
      </c>
      <c r="C1356" s="124">
        <v>195.2</v>
      </c>
      <c r="D1356" s="156">
        <f t="shared" si="22"/>
        <v>-1.039290240811159E-2</v>
      </c>
      <c r="E1356" s="156">
        <v>7.2205736894164589E-3</v>
      </c>
      <c r="G1356" s="156"/>
    </row>
    <row r="1357" spans="2:7" x14ac:dyDescent="0.2">
      <c r="B1357" s="230">
        <v>44007</v>
      </c>
      <c r="C1357" s="124">
        <v>202.1</v>
      </c>
      <c r="D1357" s="156">
        <f t="shared" si="22"/>
        <v>3.5348360655737737E-2</v>
      </c>
      <c r="E1357" s="156">
        <v>7.2085060371238066E-3</v>
      </c>
      <c r="G1357" s="156"/>
    </row>
    <row r="1358" spans="2:7" x14ac:dyDescent="0.2">
      <c r="B1358" s="230">
        <v>44006</v>
      </c>
      <c r="C1358" s="124">
        <v>191.85</v>
      </c>
      <c r="D1358" s="156">
        <f t="shared" si="22"/>
        <v>-5.0717466600692727E-2</v>
      </c>
      <c r="E1358" s="156">
        <v>7.2078256392653951E-3</v>
      </c>
      <c r="G1358" s="156"/>
    </row>
    <row r="1359" spans="2:7" x14ac:dyDescent="0.2">
      <c r="B1359" s="230">
        <v>44005</v>
      </c>
      <c r="C1359" s="124">
        <v>185.85</v>
      </c>
      <c r="D1359" s="156">
        <f t="shared" si="22"/>
        <v>-3.1274433150899138E-2</v>
      </c>
      <c r="E1359" s="156">
        <v>7.1826859465078056E-3</v>
      </c>
      <c r="G1359" s="156"/>
    </row>
    <row r="1360" spans="2:7" x14ac:dyDescent="0.2">
      <c r="B1360" s="230">
        <v>44004</v>
      </c>
      <c r="C1360" s="124">
        <v>185</v>
      </c>
      <c r="D1360" s="156">
        <f t="shared" si="22"/>
        <v>-4.5735808447672551E-3</v>
      </c>
      <c r="E1360" s="156">
        <v>7.1794871794871795E-3</v>
      </c>
      <c r="G1360" s="156"/>
    </row>
    <row r="1361" spans="2:7" x14ac:dyDescent="0.2">
      <c r="B1361" s="230">
        <v>44001</v>
      </c>
      <c r="C1361" s="124">
        <v>184.05</v>
      </c>
      <c r="D1361" s="156">
        <f t="shared" si="22"/>
        <v>-5.135135135135074E-3</v>
      </c>
      <c r="E1361" s="156">
        <v>7.1770334928228981E-3</v>
      </c>
      <c r="G1361" s="156"/>
    </row>
    <row r="1362" spans="2:7" x14ac:dyDescent="0.2">
      <c r="B1362" s="230">
        <v>44000</v>
      </c>
      <c r="C1362" s="124">
        <v>186.6</v>
      </c>
      <c r="D1362" s="156">
        <f t="shared" si="22"/>
        <v>1.3854930725346279E-2</v>
      </c>
      <c r="E1362" s="156">
        <v>7.1760797342193521E-3</v>
      </c>
      <c r="G1362" s="156"/>
    </row>
    <row r="1363" spans="2:7" x14ac:dyDescent="0.2">
      <c r="B1363" s="230">
        <v>43999</v>
      </c>
      <c r="C1363" s="124">
        <v>181.2</v>
      </c>
      <c r="D1363" s="156">
        <f t="shared" si="22"/>
        <v>-2.8938906752411606E-2</v>
      </c>
      <c r="E1363" s="156">
        <v>7.1266601878846409E-3</v>
      </c>
      <c r="G1363" s="156"/>
    </row>
    <row r="1364" spans="2:7" x14ac:dyDescent="0.2">
      <c r="B1364" s="230">
        <v>43998</v>
      </c>
      <c r="C1364" s="124">
        <v>185</v>
      </c>
      <c r="D1364" s="156">
        <f t="shared" si="22"/>
        <v>2.0971302428256136E-2</v>
      </c>
      <c r="E1364" s="156">
        <v>7.1239231278991955E-3</v>
      </c>
      <c r="G1364" s="156"/>
    </row>
    <row r="1365" spans="2:7" x14ac:dyDescent="0.2">
      <c r="B1365" s="230">
        <v>43997</v>
      </c>
      <c r="C1365" s="124">
        <v>187.2</v>
      </c>
      <c r="D1365" s="156">
        <f t="shared" si="22"/>
        <v>1.1891891891891831E-2</v>
      </c>
      <c r="E1365" s="156">
        <v>7.1218074656189444E-3</v>
      </c>
      <c r="G1365" s="156"/>
    </row>
    <row r="1366" spans="2:7" x14ac:dyDescent="0.2">
      <c r="B1366" s="230">
        <v>43994</v>
      </c>
      <c r="C1366" s="124">
        <v>193.9</v>
      </c>
      <c r="D1366" s="156">
        <f t="shared" si="22"/>
        <v>3.5790598290598385E-2</v>
      </c>
      <c r="E1366" s="156">
        <v>7.1214392803598684E-3</v>
      </c>
      <c r="G1366" s="156"/>
    </row>
    <row r="1367" spans="2:7" x14ac:dyDescent="0.2">
      <c r="B1367" s="230">
        <v>43993</v>
      </c>
      <c r="C1367" s="124">
        <v>194.25</v>
      </c>
      <c r="D1367" s="156">
        <f t="shared" si="22"/>
        <v>1.8050541516245193E-3</v>
      </c>
      <c r="E1367" s="156">
        <v>7.1163366336632694E-3</v>
      </c>
      <c r="G1367" s="156"/>
    </row>
    <row r="1368" spans="2:7" x14ac:dyDescent="0.2">
      <c r="B1368" s="230">
        <v>43992</v>
      </c>
      <c r="C1368" s="124">
        <v>199.05</v>
      </c>
      <c r="D1368" s="156">
        <f t="shared" si="22"/>
        <v>2.4710424710424769E-2</v>
      </c>
      <c r="E1368" s="156">
        <v>7.1038251366119807E-3</v>
      </c>
      <c r="G1368" s="156"/>
    </row>
    <row r="1369" spans="2:7" x14ac:dyDescent="0.2">
      <c r="B1369" s="230">
        <v>43991</v>
      </c>
      <c r="C1369" s="124">
        <v>198.5</v>
      </c>
      <c r="D1369" s="156">
        <f t="shared" si="22"/>
        <v>-2.7631248430043274E-3</v>
      </c>
      <c r="E1369" s="156">
        <v>7.1025694589514831E-3</v>
      </c>
      <c r="G1369" s="156"/>
    </row>
    <row r="1370" spans="2:7" x14ac:dyDescent="0.2">
      <c r="B1370" s="230">
        <v>43990</v>
      </c>
      <c r="C1370" s="124">
        <v>197.65</v>
      </c>
      <c r="D1370" s="156">
        <f t="shared" si="22"/>
        <v>-4.2821158690176039E-3</v>
      </c>
      <c r="E1370" s="156">
        <v>7.1019925034524027E-3</v>
      </c>
      <c r="G1370" s="156"/>
    </row>
    <row r="1371" spans="2:7" x14ac:dyDescent="0.2">
      <c r="B1371" s="230">
        <v>43987</v>
      </c>
      <c r="C1371" s="124">
        <v>200</v>
      </c>
      <c r="D1371" s="156">
        <f t="shared" si="22"/>
        <v>1.1889704022261544E-2</v>
      </c>
      <c r="E1371" s="156">
        <v>7.084809335278254E-3</v>
      </c>
      <c r="G1371" s="156"/>
    </row>
    <row r="1372" spans="2:7" x14ac:dyDescent="0.2">
      <c r="B1372" s="230">
        <v>43986</v>
      </c>
      <c r="C1372" s="124">
        <v>200.15</v>
      </c>
      <c r="D1372" s="156">
        <f t="shared" si="22"/>
        <v>7.5000000000002842E-4</v>
      </c>
      <c r="E1372" s="156">
        <v>7.0763861962001165E-3</v>
      </c>
      <c r="G1372" s="156"/>
    </row>
    <row r="1373" spans="2:7" x14ac:dyDescent="0.2">
      <c r="B1373" s="230">
        <v>43985</v>
      </c>
      <c r="C1373" s="124">
        <v>196.7</v>
      </c>
      <c r="D1373" s="156">
        <f t="shared" si="22"/>
        <v>-1.7237072195853194E-2</v>
      </c>
      <c r="E1373" s="156">
        <v>7.0753597036896767E-3</v>
      </c>
      <c r="G1373" s="156"/>
    </row>
    <row r="1374" spans="2:7" x14ac:dyDescent="0.2">
      <c r="B1374" s="230">
        <v>43984</v>
      </c>
      <c r="C1374" s="124">
        <v>197.25</v>
      </c>
      <c r="D1374" s="156">
        <f t="shared" si="22"/>
        <v>2.7961362480936015E-3</v>
      </c>
      <c r="E1374" s="156">
        <v>7.0581968304701172E-3</v>
      </c>
      <c r="G1374" s="156"/>
    </row>
    <row r="1375" spans="2:7" x14ac:dyDescent="0.2">
      <c r="B1375" s="230">
        <v>43983</v>
      </c>
      <c r="C1375" s="124">
        <v>200.55</v>
      </c>
      <c r="D1375" s="156">
        <f t="shared" si="22"/>
        <v>1.6730038022813747E-2</v>
      </c>
      <c r="E1375" s="156">
        <v>7.0528967254408822E-3</v>
      </c>
      <c r="G1375" s="156"/>
    </row>
    <row r="1376" spans="2:7" x14ac:dyDescent="0.2">
      <c r="B1376" s="230">
        <v>43980</v>
      </c>
      <c r="C1376" s="124">
        <v>197.35</v>
      </c>
      <c r="D1376" s="156">
        <f t="shared" si="22"/>
        <v>-1.5956120668162637E-2</v>
      </c>
      <c r="E1376" s="156">
        <v>7.0439465333205281E-3</v>
      </c>
      <c r="G1376" s="156"/>
    </row>
    <row r="1377" spans="2:7" x14ac:dyDescent="0.2">
      <c r="B1377" s="230">
        <v>43979</v>
      </c>
      <c r="C1377" s="124">
        <v>190.65</v>
      </c>
      <c r="D1377" s="156">
        <f t="shared" si="22"/>
        <v>-3.3949835317962952E-2</v>
      </c>
      <c r="E1377" s="156">
        <v>7.0333633904417986E-3</v>
      </c>
      <c r="G1377" s="156"/>
    </row>
    <row r="1378" spans="2:7" x14ac:dyDescent="0.2">
      <c r="B1378" s="230">
        <v>43978</v>
      </c>
      <c r="C1378" s="124">
        <v>192.15</v>
      </c>
      <c r="D1378" s="156">
        <f t="shared" si="22"/>
        <v>7.8678206136900079E-3</v>
      </c>
      <c r="E1378" s="156">
        <v>7.0273435740348762E-3</v>
      </c>
      <c r="G1378" s="156"/>
    </row>
    <row r="1379" spans="2:7" x14ac:dyDescent="0.2">
      <c r="B1379" s="230">
        <v>43977</v>
      </c>
      <c r="C1379" s="124">
        <v>191.7</v>
      </c>
      <c r="D1379" s="156">
        <f t="shared" si="22"/>
        <v>-2.3419203747073484E-3</v>
      </c>
      <c r="E1379" s="156">
        <v>7.0204722863174765E-3</v>
      </c>
      <c r="G1379" s="156"/>
    </row>
    <row r="1380" spans="2:7" x14ac:dyDescent="0.2">
      <c r="B1380" s="230">
        <v>43973</v>
      </c>
      <c r="C1380" s="124">
        <v>186.35</v>
      </c>
      <c r="D1380" s="156">
        <f t="shared" si="22"/>
        <v>-2.7908189880020837E-2</v>
      </c>
      <c r="E1380" s="156">
        <v>7.017689560667709E-3</v>
      </c>
      <c r="G1380" s="156"/>
    </row>
    <row r="1381" spans="2:7" x14ac:dyDescent="0.2">
      <c r="B1381" s="230">
        <v>43972</v>
      </c>
      <c r="C1381" s="124">
        <v>188.95</v>
      </c>
      <c r="D1381" s="156">
        <f t="shared" si="22"/>
        <v>1.3952240407834689E-2</v>
      </c>
      <c r="E1381" s="156">
        <v>7.0175438596489729E-3</v>
      </c>
      <c r="G1381" s="156"/>
    </row>
    <row r="1382" spans="2:7" x14ac:dyDescent="0.2">
      <c r="B1382" s="230">
        <v>43971</v>
      </c>
      <c r="C1382" s="124">
        <v>175.75</v>
      </c>
      <c r="D1382" s="156">
        <f t="shared" si="22"/>
        <v>-6.9859751256946226E-2</v>
      </c>
      <c r="E1382" s="156">
        <v>7.0057083549560084E-3</v>
      </c>
      <c r="G1382" s="156"/>
    </row>
    <row r="1383" spans="2:7" x14ac:dyDescent="0.2">
      <c r="B1383" s="230">
        <v>43970</v>
      </c>
      <c r="C1383" s="124">
        <v>170.75</v>
      </c>
      <c r="D1383" s="156">
        <f t="shared" si="22"/>
        <v>-2.8449502133712661E-2</v>
      </c>
      <c r="E1383" s="156">
        <v>7.0021881838074982E-3</v>
      </c>
      <c r="G1383" s="156"/>
    </row>
    <row r="1384" spans="2:7" x14ac:dyDescent="0.2">
      <c r="B1384" s="230">
        <v>43969</v>
      </c>
      <c r="C1384" s="124">
        <v>164.75</v>
      </c>
      <c r="D1384" s="156">
        <f t="shared" si="22"/>
        <v>-3.5139092240117131E-2</v>
      </c>
      <c r="E1384" s="156">
        <v>6.964220991042297E-3</v>
      </c>
      <c r="G1384" s="156"/>
    </row>
    <row r="1385" spans="2:7" x14ac:dyDescent="0.2">
      <c r="B1385" s="230">
        <v>43966</v>
      </c>
      <c r="C1385" s="124">
        <v>164.65</v>
      </c>
      <c r="D1385" s="156">
        <f t="shared" si="22"/>
        <v>-6.0698027314108843E-4</v>
      </c>
      <c r="E1385" s="156">
        <v>6.9600359227661038E-3</v>
      </c>
      <c r="G1385" s="156"/>
    </row>
    <row r="1386" spans="2:7" x14ac:dyDescent="0.2">
      <c r="B1386" s="230">
        <v>43965</v>
      </c>
      <c r="C1386" s="124">
        <v>163.80000000000001</v>
      </c>
      <c r="D1386" s="156">
        <f t="shared" si="22"/>
        <v>-5.1624658366231056E-3</v>
      </c>
      <c r="E1386" s="156">
        <v>6.9317767238233387E-3</v>
      </c>
      <c r="G1386" s="156"/>
    </row>
    <row r="1387" spans="2:7" x14ac:dyDescent="0.2">
      <c r="B1387" s="230">
        <v>43964</v>
      </c>
      <c r="C1387" s="124">
        <v>165.4</v>
      </c>
      <c r="D1387" s="156">
        <f t="shared" si="22"/>
        <v>9.7680097680097333E-3</v>
      </c>
      <c r="E1387" s="156">
        <v>6.9147184721764007E-3</v>
      </c>
      <c r="G1387" s="156"/>
    </row>
    <row r="1388" spans="2:7" x14ac:dyDescent="0.2">
      <c r="B1388" s="230">
        <v>43963</v>
      </c>
      <c r="C1388" s="124">
        <v>165.05</v>
      </c>
      <c r="D1388" s="156">
        <f t="shared" si="22"/>
        <v>-2.1160822249092761E-3</v>
      </c>
      <c r="E1388" s="156">
        <v>6.8998334522959023E-3</v>
      </c>
      <c r="G1388" s="156"/>
    </row>
    <row r="1389" spans="2:7" x14ac:dyDescent="0.2">
      <c r="B1389" s="230">
        <v>43962</v>
      </c>
      <c r="C1389" s="124">
        <v>158.44999999999999</v>
      </c>
      <c r="D1389" s="156">
        <f t="shared" si="22"/>
        <v>-3.9987882459860784E-2</v>
      </c>
      <c r="E1389" s="156">
        <v>6.8888176866388926E-3</v>
      </c>
      <c r="G1389" s="156"/>
    </row>
    <row r="1390" spans="2:7" x14ac:dyDescent="0.2">
      <c r="B1390" s="230">
        <v>43959</v>
      </c>
      <c r="C1390" s="124">
        <v>158.25</v>
      </c>
      <c r="D1390" s="156">
        <f t="shared" si="22"/>
        <v>-1.2622278321236266E-3</v>
      </c>
      <c r="E1390" s="156">
        <v>6.8612774451097805E-3</v>
      </c>
      <c r="G1390" s="156"/>
    </row>
    <row r="1391" spans="2:7" x14ac:dyDescent="0.2">
      <c r="B1391" s="230">
        <v>43958</v>
      </c>
      <c r="C1391" s="124">
        <v>161</v>
      </c>
      <c r="D1391" s="156">
        <f t="shared" si="22"/>
        <v>1.7377567140600316E-2</v>
      </c>
      <c r="E1391" s="156">
        <v>6.8535825545171574E-3</v>
      </c>
      <c r="G1391" s="156"/>
    </row>
    <row r="1392" spans="2:7" x14ac:dyDescent="0.2">
      <c r="B1392" s="230">
        <v>43957</v>
      </c>
      <c r="C1392" s="124">
        <v>163.9</v>
      </c>
      <c r="D1392" s="156">
        <f t="shared" si="22"/>
        <v>1.8012422360248484E-2</v>
      </c>
      <c r="E1392" s="156">
        <v>6.8431033061257997E-3</v>
      </c>
      <c r="G1392" s="156"/>
    </row>
    <row r="1393" spans="2:7" x14ac:dyDescent="0.2">
      <c r="B1393" s="230">
        <v>43956</v>
      </c>
      <c r="C1393" s="124">
        <v>173.9</v>
      </c>
      <c r="D1393" s="156">
        <f t="shared" si="22"/>
        <v>6.1012812690665039E-2</v>
      </c>
      <c r="E1393" s="156">
        <v>6.8401603899678007E-3</v>
      </c>
      <c r="G1393" s="156"/>
    </row>
    <row r="1394" spans="2:7" x14ac:dyDescent="0.2">
      <c r="B1394" s="230">
        <v>43955</v>
      </c>
      <c r="C1394" s="124">
        <v>174.05</v>
      </c>
      <c r="D1394" s="156">
        <f t="shared" si="22"/>
        <v>8.6256469235195909E-4</v>
      </c>
      <c r="E1394" s="156">
        <v>6.8212824010914046E-3</v>
      </c>
      <c r="G1394" s="156"/>
    </row>
    <row r="1395" spans="2:7" x14ac:dyDescent="0.2">
      <c r="B1395" s="230">
        <v>43951</v>
      </c>
      <c r="C1395" s="124">
        <v>182.05</v>
      </c>
      <c r="D1395" s="156">
        <f t="shared" si="22"/>
        <v>4.5963803504740011E-2</v>
      </c>
      <c r="E1395" s="156">
        <v>6.8080140050574096E-3</v>
      </c>
      <c r="G1395" s="156"/>
    </row>
    <row r="1396" spans="2:7" x14ac:dyDescent="0.2">
      <c r="B1396" s="230">
        <v>43950</v>
      </c>
      <c r="C1396" s="124">
        <v>182.15</v>
      </c>
      <c r="D1396" s="156">
        <f t="shared" si="22"/>
        <v>5.4929964295520085E-4</v>
      </c>
      <c r="E1396" s="156">
        <v>6.8059701492537853E-3</v>
      </c>
      <c r="G1396" s="156"/>
    </row>
    <row r="1397" spans="2:7" x14ac:dyDescent="0.2">
      <c r="B1397" s="230">
        <v>43949</v>
      </c>
      <c r="C1397" s="124">
        <v>179.45</v>
      </c>
      <c r="D1397" s="156">
        <f t="shared" si="22"/>
        <v>-1.4822948119681675E-2</v>
      </c>
      <c r="E1397" s="156">
        <v>6.7921599068503794E-3</v>
      </c>
      <c r="G1397" s="156"/>
    </row>
    <row r="1398" spans="2:7" x14ac:dyDescent="0.2">
      <c r="B1398" s="230">
        <v>43948</v>
      </c>
      <c r="C1398" s="124">
        <v>179.85</v>
      </c>
      <c r="D1398" s="156">
        <f t="shared" si="22"/>
        <v>2.2290331568682402E-3</v>
      </c>
      <c r="E1398" s="156">
        <v>6.7919612951245793E-3</v>
      </c>
      <c r="G1398" s="156"/>
    </row>
    <row r="1399" spans="2:7" x14ac:dyDescent="0.2">
      <c r="B1399" s="230">
        <v>43945</v>
      </c>
      <c r="C1399" s="124">
        <v>180.05</v>
      </c>
      <c r="D1399" s="156">
        <f t="shared" si="22"/>
        <v>1.1120378092856105E-3</v>
      </c>
      <c r="E1399" s="156">
        <v>6.7635270541081885E-3</v>
      </c>
      <c r="G1399" s="156"/>
    </row>
    <row r="1400" spans="2:7" x14ac:dyDescent="0.2">
      <c r="B1400" s="230">
        <v>43944</v>
      </c>
      <c r="C1400" s="124">
        <v>180.55</v>
      </c>
      <c r="D1400" s="156">
        <f t="shared" si="22"/>
        <v>2.7770063871146904E-3</v>
      </c>
      <c r="E1400" s="156">
        <v>6.7618332081142429E-3</v>
      </c>
      <c r="G1400" s="156"/>
    </row>
    <row r="1401" spans="2:7" x14ac:dyDescent="0.2">
      <c r="B1401" s="230">
        <v>43943</v>
      </c>
      <c r="C1401" s="124">
        <v>182.25</v>
      </c>
      <c r="D1401" s="156">
        <f t="shared" si="22"/>
        <v>9.4156743284408116E-3</v>
      </c>
      <c r="E1401" s="156">
        <v>6.7591604411242007E-3</v>
      </c>
      <c r="G1401" s="156"/>
    </row>
    <row r="1402" spans="2:7" x14ac:dyDescent="0.2">
      <c r="B1402" s="230">
        <v>43942</v>
      </c>
      <c r="C1402" s="124">
        <v>179.6</v>
      </c>
      <c r="D1402" s="156">
        <f t="shared" si="22"/>
        <v>-1.4540466392318275E-2</v>
      </c>
      <c r="E1402" s="156">
        <v>6.7552553219857349E-3</v>
      </c>
      <c r="G1402" s="156"/>
    </row>
    <row r="1403" spans="2:7" x14ac:dyDescent="0.2">
      <c r="B1403" s="230">
        <v>43941</v>
      </c>
      <c r="C1403" s="124">
        <v>180.7</v>
      </c>
      <c r="D1403" s="156">
        <f t="shared" si="22"/>
        <v>6.1247216035634428E-3</v>
      </c>
      <c r="E1403" s="156">
        <v>6.749740394600366E-3</v>
      </c>
      <c r="G1403" s="156"/>
    </row>
    <row r="1404" spans="2:7" x14ac:dyDescent="0.2">
      <c r="B1404" s="230">
        <v>43938</v>
      </c>
      <c r="C1404" s="124">
        <v>188.1</v>
      </c>
      <c r="D1404" s="156">
        <f t="shared" si="22"/>
        <v>4.0951853901494223E-2</v>
      </c>
      <c r="E1404" s="156">
        <v>6.7491563554555782E-3</v>
      </c>
      <c r="G1404" s="156"/>
    </row>
    <row r="1405" spans="2:7" x14ac:dyDescent="0.2">
      <c r="B1405" s="230">
        <v>43937</v>
      </c>
      <c r="C1405" s="124">
        <v>186.35</v>
      </c>
      <c r="D1405" s="156">
        <f t="shared" si="22"/>
        <v>-9.3035619351408833E-3</v>
      </c>
      <c r="E1405" s="156">
        <v>6.7471590909090095E-3</v>
      </c>
      <c r="G1405" s="156"/>
    </row>
    <row r="1406" spans="2:7" x14ac:dyDescent="0.2">
      <c r="B1406" s="230">
        <v>43936</v>
      </c>
      <c r="C1406" s="124">
        <v>189.35</v>
      </c>
      <c r="D1406" s="156">
        <f t="shared" ref="D1406:D1469" si="23">(C1406-C1405)/C1405</f>
        <v>1.6098738932116986E-2</v>
      </c>
      <c r="E1406" s="156">
        <v>6.7424471625534953E-3</v>
      </c>
      <c r="G1406" s="156"/>
    </row>
    <row r="1407" spans="2:7" x14ac:dyDescent="0.2">
      <c r="B1407" s="230">
        <v>43934</v>
      </c>
      <c r="C1407" s="124">
        <v>181.6</v>
      </c>
      <c r="D1407" s="156">
        <f t="shared" si="23"/>
        <v>-4.0929495642989172E-2</v>
      </c>
      <c r="E1407" s="156">
        <v>6.737247353224219E-3</v>
      </c>
      <c r="G1407" s="156"/>
    </row>
    <row r="1408" spans="2:7" x14ac:dyDescent="0.2">
      <c r="B1408" s="230">
        <v>43930</v>
      </c>
      <c r="C1408" s="124">
        <v>185.25</v>
      </c>
      <c r="D1408" s="156">
        <f t="shared" si="23"/>
        <v>2.0099118942731309E-2</v>
      </c>
      <c r="E1408" s="156">
        <v>6.735751295336748E-3</v>
      </c>
      <c r="G1408" s="156"/>
    </row>
    <row r="1409" spans="2:7" x14ac:dyDescent="0.2">
      <c r="B1409" s="230">
        <v>43929</v>
      </c>
      <c r="C1409" s="124">
        <v>178.65</v>
      </c>
      <c r="D1409" s="156">
        <f t="shared" si="23"/>
        <v>-3.5627530364372439E-2</v>
      </c>
      <c r="E1409" s="156">
        <v>6.7340067340067615E-3</v>
      </c>
      <c r="G1409" s="156"/>
    </row>
    <row r="1410" spans="2:7" x14ac:dyDescent="0.2">
      <c r="B1410" s="230">
        <v>43928</v>
      </c>
      <c r="C1410" s="124">
        <v>181.55</v>
      </c>
      <c r="D1410" s="156">
        <f t="shared" si="23"/>
        <v>1.623285754268125E-2</v>
      </c>
      <c r="E1410" s="156">
        <v>6.7311222616572193E-3</v>
      </c>
      <c r="G1410" s="156"/>
    </row>
    <row r="1411" spans="2:7" x14ac:dyDescent="0.2">
      <c r="B1411" s="230">
        <v>43924</v>
      </c>
      <c r="C1411" s="124">
        <v>177.9</v>
      </c>
      <c r="D1411" s="156">
        <f t="shared" si="23"/>
        <v>-2.0104654365188684E-2</v>
      </c>
      <c r="E1411" s="156">
        <v>6.7206794895581894E-3</v>
      </c>
      <c r="G1411" s="156"/>
    </row>
    <row r="1412" spans="2:7" x14ac:dyDescent="0.2">
      <c r="B1412" s="230">
        <v>43922</v>
      </c>
      <c r="C1412" s="124">
        <v>166.4</v>
      </c>
      <c r="D1412" s="156">
        <f t="shared" si="23"/>
        <v>-6.4643057897695338E-2</v>
      </c>
      <c r="E1412" s="156">
        <v>6.7169227795496993E-3</v>
      </c>
      <c r="G1412" s="156"/>
    </row>
    <row r="1413" spans="2:7" x14ac:dyDescent="0.2">
      <c r="B1413" s="230">
        <v>43921</v>
      </c>
      <c r="C1413" s="124">
        <v>171.7</v>
      </c>
      <c r="D1413" s="156">
        <f t="shared" si="23"/>
        <v>3.1850961538461432E-2</v>
      </c>
      <c r="E1413" s="156">
        <v>6.7020570670205098E-3</v>
      </c>
      <c r="G1413" s="156"/>
    </row>
    <row r="1414" spans="2:7" x14ac:dyDescent="0.2">
      <c r="B1414" s="230">
        <v>43920</v>
      </c>
      <c r="C1414" s="124">
        <v>159.19999999999999</v>
      </c>
      <c r="D1414" s="156">
        <f t="shared" si="23"/>
        <v>-7.2801397786837516E-2</v>
      </c>
      <c r="E1414" s="156">
        <v>6.6899086026571937E-3</v>
      </c>
      <c r="G1414" s="156"/>
    </row>
    <row r="1415" spans="2:7" x14ac:dyDescent="0.2">
      <c r="B1415" s="230">
        <v>43917</v>
      </c>
      <c r="C1415" s="124">
        <v>163.19999999999999</v>
      </c>
      <c r="D1415" s="156">
        <f t="shared" si="23"/>
        <v>2.5125628140703519E-2</v>
      </c>
      <c r="E1415" s="156">
        <v>6.6897347174163261E-3</v>
      </c>
      <c r="G1415" s="156"/>
    </row>
    <row r="1416" spans="2:7" x14ac:dyDescent="0.2">
      <c r="B1416" s="230">
        <v>43916</v>
      </c>
      <c r="C1416" s="124">
        <v>156.4</v>
      </c>
      <c r="D1416" s="156">
        <f t="shared" si="23"/>
        <v>-4.1666666666666567E-2</v>
      </c>
      <c r="E1416" s="156">
        <v>6.6887118593114865E-3</v>
      </c>
      <c r="G1416" s="156"/>
    </row>
    <row r="1417" spans="2:7" x14ac:dyDescent="0.2">
      <c r="B1417" s="230">
        <v>43915</v>
      </c>
      <c r="C1417" s="124">
        <v>147.35</v>
      </c>
      <c r="D1417" s="156">
        <f t="shared" si="23"/>
        <v>-5.7864450127877311E-2</v>
      </c>
      <c r="E1417" s="156">
        <v>6.6752311141337999E-3</v>
      </c>
      <c r="G1417" s="156"/>
    </row>
    <row r="1418" spans="2:7" x14ac:dyDescent="0.2">
      <c r="B1418" s="230">
        <v>43914</v>
      </c>
      <c r="C1418" s="124">
        <v>149.69999999999999</v>
      </c>
      <c r="D1418" s="156">
        <f t="shared" si="23"/>
        <v>1.5948422124194058E-2</v>
      </c>
      <c r="E1418" s="156">
        <v>6.6720042700827327E-3</v>
      </c>
      <c r="G1418" s="156"/>
    </row>
    <row r="1419" spans="2:7" x14ac:dyDescent="0.2">
      <c r="B1419" s="230">
        <v>43913</v>
      </c>
      <c r="C1419" s="124">
        <v>154.30000000000001</v>
      </c>
      <c r="D1419" s="156">
        <f t="shared" si="23"/>
        <v>3.0728122912491804E-2</v>
      </c>
      <c r="E1419" s="156">
        <v>6.6550925925924608E-3</v>
      </c>
      <c r="G1419" s="156"/>
    </row>
    <row r="1420" spans="2:7" x14ac:dyDescent="0.2">
      <c r="B1420" s="230">
        <v>43910</v>
      </c>
      <c r="C1420" s="124">
        <v>175.5</v>
      </c>
      <c r="D1420" s="156">
        <f t="shared" si="23"/>
        <v>0.13739468567725202</v>
      </c>
      <c r="E1420" s="156">
        <v>6.6530194472875278E-3</v>
      </c>
      <c r="G1420" s="156"/>
    </row>
    <row r="1421" spans="2:7" x14ac:dyDescent="0.2">
      <c r="B1421" s="230">
        <v>43909</v>
      </c>
      <c r="C1421" s="124">
        <v>161.85</v>
      </c>
      <c r="D1421" s="156">
        <f t="shared" si="23"/>
        <v>-7.7777777777777807E-2</v>
      </c>
      <c r="E1421" s="156">
        <v>6.6319481347645965E-3</v>
      </c>
      <c r="G1421" s="156"/>
    </row>
    <row r="1422" spans="2:7" x14ac:dyDescent="0.2">
      <c r="B1422" s="230">
        <v>43908</v>
      </c>
      <c r="C1422" s="124">
        <v>150.69999999999999</v>
      </c>
      <c r="D1422" s="156">
        <f t="shared" si="23"/>
        <v>-6.8890948409020741E-2</v>
      </c>
      <c r="E1422" s="156">
        <v>6.6214470284237173E-3</v>
      </c>
      <c r="G1422" s="156"/>
    </row>
    <row r="1423" spans="2:7" x14ac:dyDescent="0.2">
      <c r="B1423" s="230">
        <v>43907</v>
      </c>
      <c r="C1423" s="124">
        <v>149.15</v>
      </c>
      <c r="D1423" s="156">
        <f t="shared" si="23"/>
        <v>-1.0285335102853239E-2</v>
      </c>
      <c r="E1423" s="156">
        <v>6.6071428571428115E-3</v>
      </c>
      <c r="G1423" s="156"/>
    </row>
    <row r="1424" spans="2:7" x14ac:dyDescent="0.2">
      <c r="B1424" s="230">
        <v>43906</v>
      </c>
      <c r="C1424" s="124">
        <v>147.25</v>
      </c>
      <c r="D1424" s="156">
        <f t="shared" si="23"/>
        <v>-1.273885350318475E-2</v>
      </c>
      <c r="E1424" s="156">
        <v>6.5994920264812757E-3</v>
      </c>
      <c r="G1424" s="156"/>
    </row>
    <row r="1425" spans="2:7" x14ac:dyDescent="0.2">
      <c r="B1425" s="230">
        <v>43903</v>
      </c>
      <c r="C1425" s="124">
        <v>162.25</v>
      </c>
      <c r="D1425" s="156">
        <f t="shared" si="23"/>
        <v>0.10186757215619695</v>
      </c>
      <c r="E1425" s="156">
        <v>6.5955908926634416E-3</v>
      </c>
      <c r="G1425" s="156"/>
    </row>
    <row r="1426" spans="2:7" x14ac:dyDescent="0.2">
      <c r="B1426" s="230">
        <v>43902</v>
      </c>
      <c r="C1426" s="124">
        <v>155.80000000000001</v>
      </c>
      <c r="D1426" s="156">
        <f t="shared" si="23"/>
        <v>-3.9753466872110871E-2</v>
      </c>
      <c r="E1426" s="156">
        <v>6.5847790300113101E-3</v>
      </c>
      <c r="G1426" s="156"/>
    </row>
    <row r="1427" spans="2:7" x14ac:dyDescent="0.2">
      <c r="B1427" s="230">
        <v>43901</v>
      </c>
      <c r="C1427" s="124">
        <v>175.65</v>
      </c>
      <c r="D1427" s="156">
        <f t="shared" si="23"/>
        <v>0.12740693196405645</v>
      </c>
      <c r="E1427" s="156">
        <v>6.580521655898541E-3</v>
      </c>
      <c r="G1427" s="156"/>
    </row>
    <row r="1428" spans="2:7" x14ac:dyDescent="0.2">
      <c r="B1428" s="230">
        <v>43899</v>
      </c>
      <c r="C1428" s="124">
        <v>177.2</v>
      </c>
      <c r="D1428" s="156">
        <f t="shared" si="23"/>
        <v>8.8243666382008708E-3</v>
      </c>
      <c r="E1428" s="156">
        <v>6.5727699530516697E-3</v>
      </c>
      <c r="G1428" s="156"/>
    </row>
    <row r="1429" spans="2:7" x14ac:dyDescent="0.2">
      <c r="B1429" s="230">
        <v>43896</v>
      </c>
      <c r="C1429" s="124">
        <v>181.75</v>
      </c>
      <c r="D1429" s="156">
        <f t="shared" si="23"/>
        <v>2.5677200902934603E-2</v>
      </c>
      <c r="E1429" s="156">
        <v>6.5541389836595802E-3</v>
      </c>
      <c r="G1429" s="156"/>
    </row>
    <row r="1430" spans="2:7" x14ac:dyDescent="0.2">
      <c r="B1430" s="230">
        <v>43895</v>
      </c>
      <c r="C1430" s="124">
        <v>188.05</v>
      </c>
      <c r="D1430" s="156">
        <f t="shared" si="23"/>
        <v>3.4662998624484243E-2</v>
      </c>
      <c r="E1430" s="156">
        <v>6.5489749430525058E-3</v>
      </c>
      <c r="G1430" s="156"/>
    </row>
    <row r="1431" spans="2:7" x14ac:dyDescent="0.2">
      <c r="B1431" s="230">
        <v>43894</v>
      </c>
      <c r="C1431" s="124">
        <v>187.5</v>
      </c>
      <c r="D1431" s="156">
        <f t="shared" si="23"/>
        <v>-2.924754054772727E-3</v>
      </c>
      <c r="E1431" s="156">
        <v>6.5432492818385908E-3</v>
      </c>
      <c r="G1431" s="156"/>
    </row>
    <row r="1432" spans="2:7" x14ac:dyDescent="0.2">
      <c r="B1432" s="230">
        <v>43893</v>
      </c>
      <c r="C1432" s="124">
        <v>193.85</v>
      </c>
      <c r="D1432" s="156">
        <f t="shared" si="23"/>
        <v>3.3866666666666635E-2</v>
      </c>
      <c r="E1432" s="156">
        <v>6.5400186857677003E-3</v>
      </c>
      <c r="G1432" s="156"/>
    </row>
    <row r="1433" spans="2:7" x14ac:dyDescent="0.2">
      <c r="B1433" s="230">
        <v>43892</v>
      </c>
      <c r="C1433" s="124">
        <v>195.3</v>
      </c>
      <c r="D1433" s="156">
        <f t="shared" si="23"/>
        <v>7.4800103172556979E-3</v>
      </c>
      <c r="E1433" s="156">
        <v>6.5383218307301537E-3</v>
      </c>
      <c r="G1433" s="156"/>
    </row>
    <row r="1434" spans="2:7" x14ac:dyDescent="0.2">
      <c r="B1434" s="230">
        <v>43889</v>
      </c>
      <c r="C1434" s="124">
        <v>197.55</v>
      </c>
      <c r="D1434" s="156">
        <f t="shared" si="23"/>
        <v>1.1520737327188939E-2</v>
      </c>
      <c r="E1434" s="156">
        <v>6.5355887521968232E-3</v>
      </c>
      <c r="G1434" s="156"/>
    </row>
    <row r="1435" spans="2:7" x14ac:dyDescent="0.2">
      <c r="B1435" s="230">
        <v>43888</v>
      </c>
      <c r="C1435" s="124">
        <v>197.55</v>
      </c>
      <c r="D1435" s="156">
        <f t="shared" si="23"/>
        <v>0</v>
      </c>
      <c r="E1435" s="156">
        <v>6.5258661604176219E-3</v>
      </c>
      <c r="G1435" s="156"/>
    </row>
    <row r="1436" spans="2:7" x14ac:dyDescent="0.2">
      <c r="B1436" s="230">
        <v>43887</v>
      </c>
      <c r="C1436" s="124">
        <v>198.6</v>
      </c>
      <c r="D1436" s="156">
        <f t="shared" si="23"/>
        <v>5.3151100987091013E-3</v>
      </c>
      <c r="E1436" s="156">
        <v>6.5198671423299433E-3</v>
      </c>
      <c r="G1436" s="156"/>
    </row>
    <row r="1437" spans="2:7" x14ac:dyDescent="0.2">
      <c r="B1437" s="230">
        <v>43886</v>
      </c>
      <c r="C1437" s="124">
        <v>201.8</v>
      </c>
      <c r="D1437" s="156">
        <f t="shared" si="23"/>
        <v>1.6112789526686894E-2</v>
      </c>
      <c r="E1437" s="156">
        <v>6.5193770373054346E-3</v>
      </c>
      <c r="G1437" s="156"/>
    </row>
    <row r="1438" spans="2:7" x14ac:dyDescent="0.2">
      <c r="B1438" s="230">
        <v>43885</v>
      </c>
      <c r="C1438" s="124">
        <v>203</v>
      </c>
      <c r="D1438" s="156">
        <f t="shared" si="23"/>
        <v>5.9464816650148097E-3</v>
      </c>
      <c r="E1438" s="156">
        <v>6.5155943084368026E-3</v>
      </c>
      <c r="G1438" s="156"/>
    </row>
    <row r="1439" spans="2:7" x14ac:dyDescent="0.2">
      <c r="B1439" s="230">
        <v>43881</v>
      </c>
      <c r="C1439" s="124">
        <v>207.45</v>
      </c>
      <c r="D1439" s="156">
        <f t="shared" si="23"/>
        <v>2.1921182266009795E-2</v>
      </c>
      <c r="E1439" s="156">
        <v>6.5123354090412342E-3</v>
      </c>
      <c r="G1439" s="156"/>
    </row>
    <row r="1440" spans="2:7" x14ac:dyDescent="0.2">
      <c r="B1440" s="230">
        <v>43880</v>
      </c>
      <c r="C1440" s="124">
        <v>206.7</v>
      </c>
      <c r="D1440" s="156">
        <f t="shared" si="23"/>
        <v>-3.6153289949385397E-3</v>
      </c>
      <c r="E1440" s="156">
        <v>6.5048389655718956E-3</v>
      </c>
      <c r="G1440" s="156"/>
    </row>
    <row r="1441" spans="2:7" x14ac:dyDescent="0.2">
      <c r="B1441" s="230">
        <v>43879</v>
      </c>
      <c r="C1441" s="124">
        <v>203.85</v>
      </c>
      <c r="D1441" s="156">
        <f t="shared" si="23"/>
        <v>-1.3788098693759044E-2</v>
      </c>
      <c r="E1441" s="156">
        <v>6.4902783915157499E-3</v>
      </c>
      <c r="G1441" s="156"/>
    </row>
    <row r="1442" spans="2:7" x14ac:dyDescent="0.2">
      <c r="B1442" s="230">
        <v>43878</v>
      </c>
      <c r="C1442" s="124">
        <v>204.8</v>
      </c>
      <c r="D1442" s="156">
        <f t="shared" si="23"/>
        <v>4.6602894285014329E-3</v>
      </c>
      <c r="E1442" s="156">
        <v>6.4850843060959788E-3</v>
      </c>
      <c r="G1442" s="156"/>
    </row>
    <row r="1443" spans="2:7" x14ac:dyDescent="0.2">
      <c r="B1443" s="230">
        <v>43875</v>
      </c>
      <c r="C1443" s="124">
        <v>207.7</v>
      </c>
      <c r="D1443" s="156">
        <f t="shared" si="23"/>
        <v>1.4160156249999889E-2</v>
      </c>
      <c r="E1443" s="156">
        <v>6.4563284200268136E-3</v>
      </c>
      <c r="G1443" s="156"/>
    </row>
    <row r="1444" spans="2:7" x14ac:dyDescent="0.2">
      <c r="B1444" s="230">
        <v>43874</v>
      </c>
      <c r="C1444" s="124">
        <v>211.9</v>
      </c>
      <c r="D1444" s="156">
        <f t="shared" si="23"/>
        <v>2.0221473278767537E-2</v>
      </c>
      <c r="E1444" s="156">
        <v>6.4544847540618233E-3</v>
      </c>
      <c r="G1444" s="156"/>
    </row>
    <row r="1445" spans="2:7" x14ac:dyDescent="0.2">
      <c r="B1445" s="230">
        <v>43873</v>
      </c>
      <c r="C1445" s="124">
        <v>213.05</v>
      </c>
      <c r="D1445" s="156">
        <f t="shared" si="23"/>
        <v>5.4270882491741657E-3</v>
      </c>
      <c r="E1445" s="156">
        <v>6.4516129032258628E-3</v>
      </c>
      <c r="G1445" s="156"/>
    </row>
    <row r="1446" spans="2:7" x14ac:dyDescent="0.2">
      <c r="B1446" s="230">
        <v>43872</v>
      </c>
      <c r="C1446" s="124">
        <v>212.6</v>
      </c>
      <c r="D1446" s="156">
        <f t="shared" si="23"/>
        <v>-2.1121802393805071E-3</v>
      </c>
      <c r="E1446" s="156">
        <v>6.4478621637334118E-3</v>
      </c>
      <c r="G1446" s="156"/>
    </row>
    <row r="1447" spans="2:7" x14ac:dyDescent="0.2">
      <c r="B1447" s="230">
        <v>43871</v>
      </c>
      <c r="C1447" s="124">
        <v>210.55</v>
      </c>
      <c r="D1447" s="156">
        <f t="shared" si="23"/>
        <v>-9.6425211665097984E-3</v>
      </c>
      <c r="E1447" s="156">
        <v>6.4463342672254056E-3</v>
      </c>
      <c r="G1447" s="156"/>
    </row>
    <row r="1448" spans="2:7" x14ac:dyDescent="0.2">
      <c r="B1448" s="230">
        <v>43868</v>
      </c>
      <c r="C1448" s="124">
        <v>213.4</v>
      </c>
      <c r="D1448" s="156">
        <f t="shared" si="23"/>
        <v>1.3535977202564683E-2</v>
      </c>
      <c r="E1448" s="156">
        <v>6.4407000195171463E-3</v>
      </c>
      <c r="G1448" s="156"/>
    </row>
    <row r="1449" spans="2:7" x14ac:dyDescent="0.2">
      <c r="B1449" s="230">
        <v>43867</v>
      </c>
      <c r="C1449" s="124">
        <v>213.55</v>
      </c>
      <c r="D1449" s="156">
        <f t="shared" si="23"/>
        <v>7.0290534208062639E-4</v>
      </c>
      <c r="E1449" s="156">
        <v>6.4406367723904099E-3</v>
      </c>
      <c r="G1449" s="156"/>
    </row>
    <row r="1450" spans="2:7" x14ac:dyDescent="0.2">
      <c r="B1450" s="230">
        <v>43866</v>
      </c>
      <c r="C1450" s="124">
        <v>216.45</v>
      </c>
      <c r="D1450" s="156">
        <f t="shared" si="23"/>
        <v>1.3579957855303101E-2</v>
      </c>
      <c r="E1450" s="156">
        <v>6.4377682403433372E-3</v>
      </c>
      <c r="G1450" s="156"/>
    </row>
    <row r="1451" spans="2:7" x14ac:dyDescent="0.2">
      <c r="B1451" s="230">
        <v>43865</v>
      </c>
      <c r="C1451" s="124">
        <v>215.65</v>
      </c>
      <c r="D1451" s="156">
        <f t="shared" si="23"/>
        <v>-3.6960036960036174E-3</v>
      </c>
      <c r="E1451" s="156">
        <v>6.4363143631437471E-3</v>
      </c>
      <c r="G1451" s="156"/>
    </row>
    <row r="1452" spans="2:7" x14ac:dyDescent="0.2">
      <c r="B1452" s="230">
        <v>43864</v>
      </c>
      <c r="C1452" s="124">
        <v>207.6</v>
      </c>
      <c r="D1452" s="156">
        <f t="shared" si="23"/>
        <v>-3.7329005332715097E-2</v>
      </c>
      <c r="E1452" s="156">
        <v>6.4225352112675287E-3</v>
      </c>
      <c r="G1452" s="156"/>
    </row>
    <row r="1453" spans="2:7" x14ac:dyDescent="0.2">
      <c r="B1453" s="230">
        <v>43862</v>
      </c>
      <c r="C1453" s="124">
        <v>219</v>
      </c>
      <c r="D1453" s="156">
        <f t="shared" si="23"/>
        <v>5.4913294797687889E-2</v>
      </c>
      <c r="E1453" s="156">
        <v>6.3946406820950012E-3</v>
      </c>
      <c r="G1453" s="156"/>
    </row>
    <row r="1454" spans="2:7" x14ac:dyDescent="0.2">
      <c r="B1454" s="230">
        <v>43861</v>
      </c>
      <c r="C1454" s="124">
        <v>235.15</v>
      </c>
      <c r="D1454" s="156">
        <f t="shared" si="23"/>
        <v>7.3744292237442943E-2</v>
      </c>
      <c r="E1454" s="156">
        <v>6.3938618925831201E-3</v>
      </c>
      <c r="G1454" s="156"/>
    </row>
    <row r="1455" spans="2:7" x14ac:dyDescent="0.2">
      <c r="B1455" s="230">
        <v>43860</v>
      </c>
      <c r="C1455" s="124">
        <v>234.05</v>
      </c>
      <c r="D1455" s="156">
        <f t="shared" si="23"/>
        <v>-4.6778651924303397E-3</v>
      </c>
      <c r="E1455" s="156">
        <v>6.3909107047754711E-3</v>
      </c>
      <c r="G1455" s="156"/>
    </row>
    <row r="1456" spans="2:7" x14ac:dyDescent="0.2">
      <c r="B1456" s="230">
        <v>43859</v>
      </c>
      <c r="C1456" s="124">
        <v>236.65</v>
      </c>
      <c r="D1456" s="156">
        <f t="shared" si="23"/>
        <v>1.1108737449262954E-2</v>
      </c>
      <c r="E1456" s="156">
        <v>6.3827318092143431E-3</v>
      </c>
      <c r="G1456" s="156"/>
    </row>
    <row r="1457" spans="2:7" x14ac:dyDescent="0.2">
      <c r="B1457" s="230">
        <v>43858</v>
      </c>
      <c r="C1457" s="124">
        <v>230.75</v>
      </c>
      <c r="D1457" s="156">
        <f t="shared" si="23"/>
        <v>-2.4931333192478367E-2</v>
      </c>
      <c r="E1457" s="156">
        <v>6.3816343723672548E-3</v>
      </c>
      <c r="G1457" s="156"/>
    </row>
    <row r="1458" spans="2:7" x14ac:dyDescent="0.2">
      <c r="B1458" s="230">
        <v>43857</v>
      </c>
      <c r="C1458" s="124">
        <v>234.6</v>
      </c>
      <c r="D1458" s="156">
        <f t="shared" si="23"/>
        <v>1.6684723726977223E-2</v>
      </c>
      <c r="E1458" s="156">
        <v>6.3774277707992159E-3</v>
      </c>
      <c r="G1458" s="156"/>
    </row>
    <row r="1459" spans="2:7" x14ac:dyDescent="0.2">
      <c r="B1459" s="230">
        <v>43854</v>
      </c>
      <c r="C1459" s="124">
        <v>238.15</v>
      </c>
      <c r="D1459" s="156">
        <f t="shared" si="23"/>
        <v>1.5132139812446767E-2</v>
      </c>
      <c r="E1459" s="156">
        <v>6.3722258844209562E-3</v>
      </c>
      <c r="G1459" s="156"/>
    </row>
    <row r="1460" spans="2:7" x14ac:dyDescent="0.2">
      <c r="B1460" s="230">
        <v>43853</v>
      </c>
      <c r="C1460" s="124">
        <v>237.9</v>
      </c>
      <c r="D1460" s="156">
        <f t="shared" si="23"/>
        <v>-1.0497585555322277E-3</v>
      </c>
      <c r="E1460" s="156">
        <v>6.3665975718091884E-3</v>
      </c>
      <c r="G1460" s="156"/>
    </row>
    <row r="1461" spans="2:7" x14ac:dyDescent="0.2">
      <c r="B1461" s="230">
        <v>43852</v>
      </c>
      <c r="C1461" s="124">
        <v>238.05</v>
      </c>
      <c r="D1461" s="156">
        <f t="shared" si="23"/>
        <v>6.3051702395967076E-4</v>
      </c>
      <c r="E1461" s="156">
        <v>6.3659009133684233E-3</v>
      </c>
      <c r="G1461" s="156"/>
    </row>
    <row r="1462" spans="2:7" x14ac:dyDescent="0.2">
      <c r="B1462" s="230">
        <v>43851</v>
      </c>
      <c r="C1462" s="124">
        <v>238.45</v>
      </c>
      <c r="D1462" s="156">
        <f t="shared" si="23"/>
        <v>1.6803192606594298E-3</v>
      </c>
      <c r="E1462" s="156">
        <v>6.3649901522794695E-3</v>
      </c>
      <c r="G1462" s="156"/>
    </row>
    <row r="1463" spans="2:7" x14ac:dyDescent="0.2">
      <c r="B1463" s="230">
        <v>43850</v>
      </c>
      <c r="C1463" s="124">
        <v>241.9</v>
      </c>
      <c r="D1463" s="156">
        <f t="shared" si="23"/>
        <v>1.4468442021388203E-2</v>
      </c>
      <c r="E1463" s="156">
        <v>6.3637970655824544E-3</v>
      </c>
      <c r="G1463" s="156"/>
    </row>
    <row r="1464" spans="2:7" x14ac:dyDescent="0.2">
      <c r="B1464" s="230">
        <v>43847</v>
      </c>
      <c r="C1464" s="124">
        <v>239.95</v>
      </c>
      <c r="D1464" s="156">
        <f t="shared" si="23"/>
        <v>-8.0611823067383917E-3</v>
      </c>
      <c r="E1464" s="156">
        <v>6.3522502546892925E-3</v>
      </c>
      <c r="G1464" s="156"/>
    </row>
    <row r="1465" spans="2:7" x14ac:dyDescent="0.2">
      <c r="B1465" s="230">
        <v>43846</v>
      </c>
      <c r="C1465" s="124">
        <v>240.75</v>
      </c>
      <c r="D1465" s="156">
        <f t="shared" si="23"/>
        <v>3.3340279224838986E-3</v>
      </c>
      <c r="E1465" s="156">
        <v>6.3486616334935582E-3</v>
      </c>
      <c r="G1465" s="156"/>
    </row>
    <row r="1466" spans="2:7" x14ac:dyDescent="0.2">
      <c r="B1466" s="230">
        <v>43845</v>
      </c>
      <c r="C1466" s="124">
        <v>242.4</v>
      </c>
      <c r="D1466" s="156">
        <f t="shared" si="23"/>
        <v>6.8535825545171574E-3</v>
      </c>
      <c r="E1466" s="156">
        <v>6.3352826510721808E-3</v>
      </c>
      <c r="G1466" s="156"/>
    </row>
    <row r="1467" spans="2:7" x14ac:dyDescent="0.2">
      <c r="B1467" s="230">
        <v>43844</v>
      </c>
      <c r="C1467" s="124">
        <v>243.25</v>
      </c>
      <c r="D1467" s="156">
        <f t="shared" si="23"/>
        <v>3.5066006600659831E-3</v>
      </c>
      <c r="E1467" s="156">
        <v>6.3263204354863448E-3</v>
      </c>
      <c r="G1467" s="156"/>
    </row>
    <row r="1468" spans="2:7" x14ac:dyDescent="0.2">
      <c r="B1468" s="230">
        <v>43843</v>
      </c>
      <c r="C1468" s="124">
        <v>239.25</v>
      </c>
      <c r="D1468" s="156">
        <f t="shared" si="23"/>
        <v>-1.644398766700925E-2</v>
      </c>
      <c r="E1468" s="156">
        <v>6.324539212143012E-3</v>
      </c>
      <c r="G1468" s="156"/>
    </row>
    <row r="1469" spans="2:7" x14ac:dyDescent="0.2">
      <c r="B1469" s="230">
        <v>43840</v>
      </c>
      <c r="C1469" s="124">
        <v>238</v>
      </c>
      <c r="D1469" s="156">
        <f t="shared" si="23"/>
        <v>-5.2246603970741903E-3</v>
      </c>
      <c r="E1469" s="156">
        <v>6.3131313131312905E-3</v>
      </c>
      <c r="G1469" s="156"/>
    </row>
    <row r="1470" spans="2:7" x14ac:dyDescent="0.2">
      <c r="B1470" s="230">
        <v>43839</v>
      </c>
      <c r="C1470" s="124">
        <v>235.8</v>
      </c>
      <c r="D1470" s="156">
        <f t="shared" ref="D1470:D1533" si="24">(C1470-C1469)/C1469</f>
        <v>-9.2436974789915482E-3</v>
      </c>
      <c r="E1470" s="156">
        <v>6.3115374905326942E-3</v>
      </c>
      <c r="G1470" s="156"/>
    </row>
    <row r="1471" spans="2:7" x14ac:dyDescent="0.2">
      <c r="B1471" s="230">
        <v>43838</v>
      </c>
      <c r="C1471" s="124">
        <v>234.2</v>
      </c>
      <c r="D1471" s="156">
        <f t="shared" si="24"/>
        <v>-6.7854113655641335E-3</v>
      </c>
      <c r="E1471" s="156">
        <v>6.3080218995476721E-3</v>
      </c>
      <c r="G1471" s="156"/>
    </row>
    <row r="1472" spans="2:7" x14ac:dyDescent="0.2">
      <c r="B1472" s="230">
        <v>43837</v>
      </c>
      <c r="C1472" s="124">
        <v>235.35</v>
      </c>
      <c r="D1472" s="156">
        <f t="shared" si="24"/>
        <v>4.9103330486763696E-3</v>
      </c>
      <c r="E1472" s="156">
        <v>6.3057382217817188E-3</v>
      </c>
      <c r="G1472" s="156"/>
    </row>
    <row r="1473" spans="2:7" x14ac:dyDescent="0.2">
      <c r="B1473" s="230">
        <v>43836</v>
      </c>
      <c r="C1473" s="124">
        <v>235.1</v>
      </c>
      <c r="D1473" s="156">
        <f t="shared" si="24"/>
        <v>-1.0622477161674102E-3</v>
      </c>
      <c r="E1473" s="156">
        <v>6.2974624930542279E-3</v>
      </c>
      <c r="G1473" s="156"/>
    </row>
    <row r="1474" spans="2:7" x14ac:dyDescent="0.2">
      <c r="B1474" s="230">
        <v>43833</v>
      </c>
      <c r="C1474" s="124">
        <v>238.5</v>
      </c>
      <c r="D1474" s="156">
        <f t="shared" si="24"/>
        <v>1.4461931093151874E-2</v>
      </c>
      <c r="E1474" s="156">
        <v>6.2953995157385536E-3</v>
      </c>
      <c r="G1474" s="156"/>
    </row>
    <row r="1475" spans="2:7" x14ac:dyDescent="0.2">
      <c r="B1475" s="230">
        <v>43832</v>
      </c>
      <c r="C1475" s="124">
        <v>239.85</v>
      </c>
      <c r="D1475" s="156">
        <f t="shared" si="24"/>
        <v>5.6603773584905422E-3</v>
      </c>
      <c r="E1475" s="156">
        <v>6.294531625650206E-3</v>
      </c>
      <c r="G1475" s="156"/>
    </row>
    <row r="1476" spans="2:7" x14ac:dyDescent="0.2">
      <c r="B1476" s="230">
        <v>43831</v>
      </c>
      <c r="C1476" s="124">
        <v>238.1</v>
      </c>
      <c r="D1476" s="156">
        <f t="shared" si="24"/>
        <v>-7.2962268084219304E-3</v>
      </c>
      <c r="E1476" s="156">
        <v>6.2757755065447366E-3</v>
      </c>
      <c r="G1476" s="156"/>
    </row>
    <row r="1477" spans="2:7" x14ac:dyDescent="0.2">
      <c r="B1477" s="230">
        <v>43830</v>
      </c>
      <c r="C1477" s="124">
        <v>237.7</v>
      </c>
      <c r="D1477" s="156">
        <f t="shared" si="24"/>
        <v>-1.6799664006720105E-3</v>
      </c>
      <c r="E1477" s="156">
        <v>6.2717770034842945E-3</v>
      </c>
      <c r="G1477" s="156"/>
    </row>
    <row r="1478" spans="2:7" x14ac:dyDescent="0.2">
      <c r="B1478" s="230">
        <v>43829</v>
      </c>
      <c r="C1478" s="124">
        <v>238.2</v>
      </c>
      <c r="D1478" s="156">
        <f t="shared" si="24"/>
        <v>2.1034917963819941E-3</v>
      </c>
      <c r="E1478" s="156">
        <v>6.2429057888762837E-3</v>
      </c>
      <c r="G1478" s="156"/>
    </row>
    <row r="1479" spans="2:7" x14ac:dyDescent="0.2">
      <c r="B1479" s="230">
        <v>43826</v>
      </c>
      <c r="C1479" s="124">
        <v>236.9</v>
      </c>
      <c r="D1479" s="156">
        <f t="shared" si="24"/>
        <v>-5.4575986565910282E-3</v>
      </c>
      <c r="E1479" s="156">
        <v>6.2398965405755149E-3</v>
      </c>
      <c r="G1479" s="156"/>
    </row>
    <row r="1480" spans="2:7" x14ac:dyDescent="0.2">
      <c r="B1480" s="230">
        <v>43825</v>
      </c>
      <c r="C1480" s="124">
        <v>236.8</v>
      </c>
      <c r="D1480" s="156">
        <f t="shared" si="24"/>
        <v>-4.2211903756857031E-4</v>
      </c>
      <c r="E1480" s="156">
        <v>6.2372556075326038E-3</v>
      </c>
      <c r="G1480" s="156"/>
    </row>
    <row r="1481" spans="2:7" x14ac:dyDescent="0.2">
      <c r="B1481" s="230">
        <v>43823</v>
      </c>
      <c r="C1481" s="124">
        <v>238.75</v>
      </c>
      <c r="D1481" s="156">
        <f t="shared" si="24"/>
        <v>8.2347972972972496E-3</v>
      </c>
      <c r="E1481" s="156">
        <v>6.237105982823888E-3</v>
      </c>
      <c r="G1481" s="156"/>
    </row>
    <row r="1482" spans="2:7" x14ac:dyDescent="0.2">
      <c r="B1482" s="230">
        <v>43822</v>
      </c>
      <c r="C1482" s="124">
        <v>238.9</v>
      </c>
      <c r="D1482" s="156">
        <f t="shared" si="24"/>
        <v>6.2827225130892433E-4</v>
      </c>
      <c r="E1482" s="156">
        <v>6.2320230105465555E-3</v>
      </c>
      <c r="G1482" s="156"/>
    </row>
    <row r="1483" spans="2:7" x14ac:dyDescent="0.2">
      <c r="B1483" s="230">
        <v>43819</v>
      </c>
      <c r="C1483" s="124">
        <v>241.15</v>
      </c>
      <c r="D1483" s="156">
        <f t="shared" si="24"/>
        <v>9.4181665969024688E-3</v>
      </c>
      <c r="E1483" s="156">
        <v>6.221719457013543E-3</v>
      </c>
      <c r="G1483" s="156"/>
    </row>
    <row r="1484" spans="2:7" x14ac:dyDescent="0.2">
      <c r="B1484" s="230">
        <v>43818</v>
      </c>
      <c r="C1484" s="124">
        <v>244.35</v>
      </c>
      <c r="D1484" s="156">
        <f t="shared" si="24"/>
        <v>1.3269749118805674E-2</v>
      </c>
      <c r="E1484" s="156">
        <v>6.2111801242235205E-3</v>
      </c>
      <c r="G1484" s="156"/>
    </row>
    <row r="1485" spans="2:7" x14ac:dyDescent="0.2">
      <c r="B1485" s="230">
        <v>43817</v>
      </c>
      <c r="C1485" s="124">
        <v>245.15</v>
      </c>
      <c r="D1485" s="156">
        <f t="shared" si="24"/>
        <v>3.2739922242685138E-3</v>
      </c>
      <c r="E1485" s="156">
        <v>6.2104523084134181E-3</v>
      </c>
      <c r="G1485" s="156"/>
    </row>
    <row r="1486" spans="2:7" x14ac:dyDescent="0.2">
      <c r="B1486" s="230">
        <v>43816</v>
      </c>
      <c r="C1486" s="124">
        <v>241.05</v>
      </c>
      <c r="D1486" s="156">
        <f t="shared" si="24"/>
        <v>-1.6724454415663857E-2</v>
      </c>
      <c r="E1486" s="156">
        <v>6.2056074766356079E-3</v>
      </c>
      <c r="G1486" s="156"/>
    </row>
    <row r="1487" spans="2:7" x14ac:dyDescent="0.2">
      <c r="B1487" s="230">
        <v>43815</v>
      </c>
      <c r="C1487" s="124">
        <v>236.9</v>
      </c>
      <c r="D1487" s="156">
        <f t="shared" si="24"/>
        <v>-1.7216345156606534E-2</v>
      </c>
      <c r="E1487" s="156">
        <v>6.1995817149687223E-3</v>
      </c>
      <c r="G1487" s="156"/>
    </row>
    <row r="1488" spans="2:7" x14ac:dyDescent="0.2">
      <c r="B1488" s="230">
        <v>43812</v>
      </c>
      <c r="C1488" s="124">
        <v>241.6</v>
      </c>
      <c r="D1488" s="156">
        <f t="shared" si="24"/>
        <v>1.9839594765723886E-2</v>
      </c>
      <c r="E1488" s="156">
        <v>6.1930460939573816E-3</v>
      </c>
      <c r="G1488" s="156"/>
    </row>
    <row r="1489" spans="2:7" x14ac:dyDescent="0.2">
      <c r="B1489" s="230">
        <v>43811</v>
      </c>
      <c r="C1489" s="124">
        <v>238.55</v>
      </c>
      <c r="D1489" s="156">
        <f t="shared" si="24"/>
        <v>-1.2624172185430393E-2</v>
      </c>
      <c r="E1489" s="156">
        <v>6.1925314317884559E-3</v>
      </c>
      <c r="G1489" s="156"/>
    </row>
    <row r="1490" spans="2:7" x14ac:dyDescent="0.2">
      <c r="B1490" s="230">
        <v>43810</v>
      </c>
      <c r="C1490" s="124">
        <v>237.6</v>
      </c>
      <c r="D1490" s="156">
        <f t="shared" si="24"/>
        <v>-3.9823936281702665E-3</v>
      </c>
      <c r="E1490" s="156">
        <v>6.1891117478510742E-3</v>
      </c>
      <c r="G1490" s="156"/>
    </row>
    <row r="1491" spans="2:7" x14ac:dyDescent="0.2">
      <c r="B1491" s="230">
        <v>43809</v>
      </c>
      <c r="C1491" s="124">
        <v>235.6</v>
      </c>
      <c r="D1491" s="156">
        <f t="shared" si="24"/>
        <v>-8.4175084175084174E-3</v>
      </c>
      <c r="E1491" s="156">
        <v>6.1829423531550784E-3</v>
      </c>
      <c r="G1491" s="156"/>
    </row>
    <row r="1492" spans="2:7" x14ac:dyDescent="0.2">
      <c r="B1492" s="230">
        <v>43808</v>
      </c>
      <c r="C1492" s="124">
        <v>241.45</v>
      </c>
      <c r="D1492" s="156">
        <f t="shared" si="24"/>
        <v>2.4830220713072983E-2</v>
      </c>
      <c r="E1492" s="156">
        <v>6.1743951612902937E-3</v>
      </c>
      <c r="G1492" s="156"/>
    </row>
    <row r="1493" spans="2:7" x14ac:dyDescent="0.2">
      <c r="B1493" s="230">
        <v>43805</v>
      </c>
      <c r="C1493" s="124">
        <v>243.35</v>
      </c>
      <c r="D1493" s="156">
        <f t="shared" si="24"/>
        <v>7.8691240422447944E-3</v>
      </c>
      <c r="E1493" s="156">
        <v>6.1715589669121343E-3</v>
      </c>
      <c r="G1493" s="156"/>
    </row>
    <row r="1494" spans="2:7" x14ac:dyDescent="0.2">
      <c r="B1494" s="230">
        <v>43804</v>
      </c>
      <c r="C1494" s="124">
        <v>246.95</v>
      </c>
      <c r="D1494" s="156">
        <f t="shared" si="24"/>
        <v>1.4793507294020935E-2</v>
      </c>
      <c r="E1494" s="156">
        <v>6.1485909479078102E-3</v>
      </c>
      <c r="G1494" s="156"/>
    </row>
    <row r="1495" spans="2:7" x14ac:dyDescent="0.2">
      <c r="B1495" s="230">
        <v>43803</v>
      </c>
      <c r="C1495" s="124">
        <v>243.15</v>
      </c>
      <c r="D1495" s="156">
        <f t="shared" si="24"/>
        <v>-1.5387730309779239E-2</v>
      </c>
      <c r="E1495" s="156">
        <v>6.1471346420780603E-3</v>
      </c>
      <c r="G1495" s="156"/>
    </row>
    <row r="1496" spans="2:7" x14ac:dyDescent="0.2">
      <c r="B1496" s="230">
        <v>43802</v>
      </c>
      <c r="C1496" s="124">
        <v>244.05</v>
      </c>
      <c r="D1496" s="156">
        <f t="shared" si="24"/>
        <v>3.7014188772362972E-3</v>
      </c>
      <c r="E1496" s="156">
        <v>6.1318219572972293E-3</v>
      </c>
      <c r="G1496" s="156"/>
    </row>
    <row r="1497" spans="2:7" x14ac:dyDescent="0.2">
      <c r="B1497" s="230">
        <v>43801</v>
      </c>
      <c r="C1497" s="124">
        <v>244.95</v>
      </c>
      <c r="D1497" s="156">
        <f t="shared" si="24"/>
        <v>3.6877688998155182E-3</v>
      </c>
      <c r="E1497" s="156">
        <v>6.1305959509551271E-3</v>
      </c>
      <c r="G1497" s="156"/>
    </row>
    <row r="1498" spans="2:7" x14ac:dyDescent="0.2">
      <c r="B1498" s="230">
        <v>43798</v>
      </c>
      <c r="C1498" s="124">
        <v>246.4</v>
      </c>
      <c r="D1498" s="156">
        <f t="shared" si="24"/>
        <v>5.9195754235558977E-3</v>
      </c>
      <c r="E1498" s="156">
        <v>6.1247216035634428E-3</v>
      </c>
      <c r="G1498" s="156"/>
    </row>
    <row r="1499" spans="2:7" x14ac:dyDescent="0.2">
      <c r="B1499" s="230">
        <v>43797</v>
      </c>
      <c r="C1499" s="124">
        <v>246.7</v>
      </c>
      <c r="D1499" s="156">
        <f t="shared" si="24"/>
        <v>1.2175324675323983E-3</v>
      </c>
      <c r="E1499" s="156">
        <v>6.1231630510846747E-3</v>
      </c>
      <c r="G1499" s="156"/>
    </row>
    <row r="1500" spans="2:7" x14ac:dyDescent="0.2">
      <c r="B1500" s="230">
        <v>43796</v>
      </c>
      <c r="C1500" s="124">
        <v>246.95</v>
      </c>
      <c r="D1500" s="156">
        <f t="shared" si="24"/>
        <v>1.0133765707336848E-3</v>
      </c>
      <c r="E1500" s="156">
        <v>6.12127045235794E-3</v>
      </c>
      <c r="G1500" s="156"/>
    </row>
    <row r="1501" spans="2:7" x14ac:dyDescent="0.2">
      <c r="B1501" s="230">
        <v>43795</v>
      </c>
      <c r="C1501" s="124">
        <v>249.15</v>
      </c>
      <c r="D1501" s="156">
        <f t="shared" si="24"/>
        <v>8.9086859688196681E-3</v>
      </c>
      <c r="E1501" s="156">
        <v>6.1200923787529003E-3</v>
      </c>
      <c r="G1501" s="156"/>
    </row>
    <row r="1502" spans="2:7" x14ac:dyDescent="0.2">
      <c r="B1502" s="230">
        <v>43794</v>
      </c>
      <c r="C1502" s="124">
        <v>247.75</v>
      </c>
      <c r="D1502" s="156">
        <f t="shared" si="24"/>
        <v>-5.6191049568533238E-3</v>
      </c>
      <c r="E1502" s="156">
        <v>6.1191626409016981E-3</v>
      </c>
      <c r="G1502" s="156"/>
    </row>
    <row r="1503" spans="2:7" x14ac:dyDescent="0.2">
      <c r="B1503" s="230">
        <v>43791</v>
      </c>
      <c r="C1503" s="124">
        <v>247.65</v>
      </c>
      <c r="D1503" s="156">
        <f t="shared" si="24"/>
        <v>-4.0363269424821118E-4</v>
      </c>
      <c r="E1503" s="156">
        <v>6.1132561132561927E-3</v>
      </c>
      <c r="G1503" s="156"/>
    </row>
    <row r="1504" spans="2:7" x14ac:dyDescent="0.2">
      <c r="B1504" s="230">
        <v>43790</v>
      </c>
      <c r="C1504" s="124">
        <v>245.7</v>
      </c>
      <c r="D1504" s="156">
        <f t="shared" si="24"/>
        <v>-7.8740157480315653E-3</v>
      </c>
      <c r="E1504" s="156">
        <v>6.1124694376528364E-3</v>
      </c>
      <c r="G1504" s="156"/>
    </row>
    <row r="1505" spans="2:7" x14ac:dyDescent="0.2">
      <c r="B1505" s="230">
        <v>43789</v>
      </c>
      <c r="C1505" s="124">
        <v>250.7</v>
      </c>
      <c r="D1505" s="156">
        <f t="shared" si="24"/>
        <v>2.0350020350020349E-2</v>
      </c>
      <c r="E1505" s="156">
        <v>6.1118101743665131E-3</v>
      </c>
      <c r="G1505" s="156"/>
    </row>
    <row r="1506" spans="2:7" x14ac:dyDescent="0.2">
      <c r="B1506" s="230">
        <v>43788</v>
      </c>
      <c r="C1506" s="124">
        <v>249.3</v>
      </c>
      <c r="D1506" s="156">
        <f t="shared" si="24"/>
        <v>-5.5843637814119561E-3</v>
      </c>
      <c r="E1506" s="156">
        <v>6.1112496882016606E-3</v>
      </c>
      <c r="G1506" s="156"/>
    </row>
    <row r="1507" spans="2:7" x14ac:dyDescent="0.2">
      <c r="B1507" s="230">
        <v>43787</v>
      </c>
      <c r="C1507" s="124">
        <v>250.75</v>
      </c>
      <c r="D1507" s="156">
        <f t="shared" si="24"/>
        <v>5.8162855996790556E-3</v>
      </c>
      <c r="E1507" s="156">
        <v>6.0824510024781384E-3</v>
      </c>
      <c r="G1507" s="156"/>
    </row>
    <row r="1508" spans="2:7" x14ac:dyDescent="0.2">
      <c r="B1508" s="230">
        <v>43784</v>
      </c>
      <c r="C1508" s="124">
        <v>250.65</v>
      </c>
      <c r="D1508" s="156">
        <f t="shared" si="24"/>
        <v>-3.9880358923228041E-4</v>
      </c>
      <c r="E1508" s="156">
        <v>6.0646900269541526E-3</v>
      </c>
      <c r="G1508" s="156"/>
    </row>
    <row r="1509" spans="2:7" x14ac:dyDescent="0.2">
      <c r="B1509" s="230">
        <v>43783</v>
      </c>
      <c r="C1509" s="124">
        <v>253.9</v>
      </c>
      <c r="D1509" s="156">
        <f t="shared" si="24"/>
        <v>1.2966287652104528E-2</v>
      </c>
      <c r="E1509" s="156">
        <v>6.0594402231412469E-3</v>
      </c>
      <c r="G1509" s="156"/>
    </row>
    <row r="1510" spans="2:7" x14ac:dyDescent="0.2">
      <c r="B1510" s="230">
        <v>43782</v>
      </c>
      <c r="C1510" s="124">
        <v>253.85</v>
      </c>
      <c r="D1510" s="156">
        <f t="shared" si="24"/>
        <v>-1.9692792437972181E-4</v>
      </c>
      <c r="E1510" s="156">
        <v>6.0332769670779036E-3</v>
      </c>
      <c r="G1510" s="156"/>
    </row>
    <row r="1511" spans="2:7" x14ac:dyDescent="0.2">
      <c r="B1511" s="230">
        <v>43780</v>
      </c>
      <c r="C1511" s="124">
        <v>259.45</v>
      </c>
      <c r="D1511" s="156">
        <f t="shared" si="24"/>
        <v>2.2060271814063403E-2</v>
      </c>
      <c r="E1511" s="156">
        <v>6.0251334136683472E-3</v>
      </c>
      <c r="G1511" s="156"/>
    </row>
    <row r="1512" spans="2:7" x14ac:dyDescent="0.2">
      <c r="B1512" s="230">
        <v>43777</v>
      </c>
      <c r="C1512" s="124">
        <v>260.5</v>
      </c>
      <c r="D1512" s="156">
        <f t="shared" si="24"/>
        <v>4.0470225476970951E-3</v>
      </c>
      <c r="E1512" s="156">
        <v>6.0226735947093869E-3</v>
      </c>
      <c r="G1512" s="156"/>
    </row>
    <row r="1513" spans="2:7" x14ac:dyDescent="0.2">
      <c r="B1513" s="230">
        <v>43776</v>
      </c>
      <c r="C1513" s="124">
        <v>265.85000000000002</v>
      </c>
      <c r="D1513" s="156">
        <f t="shared" si="24"/>
        <v>2.0537428023032718E-2</v>
      </c>
      <c r="E1513" s="156">
        <v>6.0220233998623781E-3</v>
      </c>
      <c r="G1513" s="156"/>
    </row>
    <row r="1514" spans="2:7" x14ac:dyDescent="0.2">
      <c r="B1514" s="230">
        <v>43775</v>
      </c>
      <c r="C1514" s="124">
        <v>261.35000000000002</v>
      </c>
      <c r="D1514" s="156">
        <f t="shared" si="24"/>
        <v>-1.6926838442730862E-2</v>
      </c>
      <c r="E1514" s="156">
        <v>6.0196560196560155E-3</v>
      </c>
      <c r="G1514" s="156"/>
    </row>
    <row r="1515" spans="2:7" x14ac:dyDescent="0.2">
      <c r="B1515" s="230">
        <v>43774</v>
      </c>
      <c r="C1515" s="124">
        <v>262.89999999999998</v>
      </c>
      <c r="D1515" s="156">
        <f t="shared" si="24"/>
        <v>5.9307442127413601E-3</v>
      </c>
      <c r="E1515" s="156">
        <v>6.014483859089207E-3</v>
      </c>
      <c r="G1515" s="156"/>
    </row>
    <row r="1516" spans="2:7" x14ac:dyDescent="0.2">
      <c r="B1516" s="230">
        <v>43773</v>
      </c>
      <c r="C1516" s="124">
        <v>260.75</v>
      </c>
      <c r="D1516" s="156">
        <f t="shared" si="24"/>
        <v>-8.1780144541649964E-3</v>
      </c>
      <c r="E1516" s="156">
        <v>6.0136308966992225E-3</v>
      </c>
      <c r="G1516" s="156"/>
    </row>
    <row r="1517" spans="2:7" x14ac:dyDescent="0.2">
      <c r="B1517" s="230">
        <v>43770</v>
      </c>
      <c r="C1517" s="124">
        <v>261.3</v>
      </c>
      <c r="D1517" s="156">
        <f t="shared" si="24"/>
        <v>2.1093000958773206E-3</v>
      </c>
      <c r="E1517" s="156">
        <v>6.0004138216428245E-3</v>
      </c>
      <c r="G1517" s="156"/>
    </row>
    <row r="1518" spans="2:7" x14ac:dyDescent="0.2">
      <c r="B1518" s="230">
        <v>43769</v>
      </c>
      <c r="C1518" s="124">
        <v>257.64999999999998</v>
      </c>
      <c r="D1518" s="156">
        <f t="shared" si="24"/>
        <v>-1.3968618446230516E-2</v>
      </c>
      <c r="E1518" s="156">
        <v>5.9866740143279052E-3</v>
      </c>
      <c r="G1518" s="156"/>
    </row>
    <row r="1519" spans="2:7" x14ac:dyDescent="0.2">
      <c r="B1519" s="230">
        <v>43768</v>
      </c>
      <c r="C1519" s="124">
        <v>259.39999999999998</v>
      </c>
      <c r="D1519" s="156">
        <f t="shared" si="24"/>
        <v>6.7921599068503794E-3</v>
      </c>
      <c r="E1519" s="156">
        <v>5.9718743979965761E-3</v>
      </c>
      <c r="G1519" s="156"/>
    </row>
    <row r="1520" spans="2:7" x14ac:dyDescent="0.2">
      <c r="B1520" s="230">
        <v>43767</v>
      </c>
      <c r="C1520" s="124">
        <v>253.25</v>
      </c>
      <c r="D1520" s="156">
        <f t="shared" si="24"/>
        <v>-2.3708558211256659E-2</v>
      </c>
      <c r="E1520" s="156">
        <v>5.9464816650148097E-3</v>
      </c>
      <c r="G1520" s="156"/>
    </row>
    <row r="1521" spans="2:7" x14ac:dyDescent="0.2">
      <c r="B1521" s="230">
        <v>43765</v>
      </c>
      <c r="C1521" s="124">
        <v>250.4</v>
      </c>
      <c r="D1521" s="156">
        <f t="shared" si="24"/>
        <v>-1.1253701875616957E-2</v>
      </c>
      <c r="E1521" s="156">
        <v>5.9443911792905514E-3</v>
      </c>
      <c r="G1521" s="156"/>
    </row>
    <row r="1522" spans="2:7" x14ac:dyDescent="0.2">
      <c r="B1522" s="230">
        <v>43763</v>
      </c>
      <c r="C1522" s="124">
        <v>247.7</v>
      </c>
      <c r="D1522" s="156">
        <f t="shared" si="24"/>
        <v>-1.0782747603833933E-2</v>
      </c>
      <c r="E1522" s="156">
        <v>5.9385489284792441E-3</v>
      </c>
      <c r="G1522" s="156"/>
    </row>
    <row r="1523" spans="2:7" x14ac:dyDescent="0.2">
      <c r="B1523" s="230">
        <v>43762</v>
      </c>
      <c r="C1523" s="124">
        <v>249.05</v>
      </c>
      <c r="D1523" s="156">
        <f t="shared" si="24"/>
        <v>5.4501412999597206E-3</v>
      </c>
      <c r="E1523" s="156">
        <v>5.9369202226345584E-3</v>
      </c>
      <c r="G1523" s="156"/>
    </row>
    <row r="1524" spans="2:7" x14ac:dyDescent="0.2">
      <c r="B1524" s="230">
        <v>43761</v>
      </c>
      <c r="C1524" s="124">
        <v>251.05</v>
      </c>
      <c r="D1524" s="156">
        <f t="shared" si="24"/>
        <v>8.0305159606504709E-3</v>
      </c>
      <c r="E1524" s="156">
        <v>5.9307442127413601E-3</v>
      </c>
      <c r="G1524" s="156"/>
    </row>
    <row r="1525" spans="2:7" x14ac:dyDescent="0.2">
      <c r="B1525" s="230">
        <v>43760</v>
      </c>
      <c r="C1525" s="124">
        <v>248.9</v>
      </c>
      <c r="D1525" s="156">
        <f t="shared" si="24"/>
        <v>-8.5640310695080882E-3</v>
      </c>
      <c r="E1525" s="156">
        <v>5.9245960502693545E-3</v>
      </c>
      <c r="G1525" s="156"/>
    </row>
    <row r="1526" spans="2:7" x14ac:dyDescent="0.2">
      <c r="B1526" s="230">
        <v>43756</v>
      </c>
      <c r="C1526" s="124">
        <v>246.5</v>
      </c>
      <c r="D1526" s="156">
        <f t="shared" si="24"/>
        <v>-9.6424266773804963E-3</v>
      </c>
      <c r="E1526" s="156">
        <v>5.920663114268798E-3</v>
      </c>
      <c r="G1526" s="156"/>
    </row>
    <row r="1527" spans="2:7" x14ac:dyDescent="0.2">
      <c r="B1527" s="230">
        <v>43755</v>
      </c>
      <c r="C1527" s="124">
        <v>245.85</v>
      </c>
      <c r="D1527" s="156">
        <f t="shared" si="24"/>
        <v>-2.6369168356998201E-3</v>
      </c>
      <c r="E1527" s="156">
        <v>5.9199621122424818E-3</v>
      </c>
      <c r="G1527" s="156"/>
    </row>
    <row r="1528" spans="2:7" x14ac:dyDescent="0.2">
      <c r="B1528" s="230">
        <v>43754</v>
      </c>
      <c r="C1528" s="124">
        <v>243.65</v>
      </c>
      <c r="D1528" s="156">
        <f t="shared" si="24"/>
        <v>-8.9485458612974939E-3</v>
      </c>
      <c r="E1528" s="156">
        <v>5.9195754235558977E-3</v>
      </c>
      <c r="G1528" s="156"/>
    </row>
    <row r="1529" spans="2:7" x14ac:dyDescent="0.2">
      <c r="B1529" s="230">
        <v>43753</v>
      </c>
      <c r="C1529" s="124">
        <v>247.6</v>
      </c>
      <c r="D1529" s="156">
        <f t="shared" si="24"/>
        <v>1.6211779191463119E-2</v>
      </c>
      <c r="E1529" s="156">
        <v>5.911938586429028E-3</v>
      </c>
      <c r="G1529" s="156"/>
    </row>
    <row r="1530" spans="2:7" x14ac:dyDescent="0.2">
      <c r="B1530" s="230">
        <v>43752</v>
      </c>
      <c r="C1530" s="124">
        <v>244.1</v>
      </c>
      <c r="D1530" s="156">
        <f t="shared" si="24"/>
        <v>-1.4135702746365105E-2</v>
      </c>
      <c r="E1530" s="156">
        <v>5.9091676515279426E-3</v>
      </c>
      <c r="G1530" s="156"/>
    </row>
    <row r="1531" spans="2:7" x14ac:dyDescent="0.2">
      <c r="B1531" s="230">
        <v>43749</v>
      </c>
      <c r="C1531" s="124">
        <v>243.95</v>
      </c>
      <c r="D1531" s="156">
        <f t="shared" si="24"/>
        <v>-6.1450225317495166E-4</v>
      </c>
      <c r="E1531" s="156">
        <v>5.9015798075177563E-3</v>
      </c>
      <c r="G1531" s="156"/>
    </row>
    <row r="1532" spans="2:7" x14ac:dyDescent="0.2">
      <c r="B1532" s="230">
        <v>43748</v>
      </c>
      <c r="C1532" s="124">
        <v>243.2</v>
      </c>
      <c r="D1532" s="156">
        <f t="shared" si="24"/>
        <v>-3.0744004919040788E-3</v>
      </c>
      <c r="E1532" s="156">
        <v>5.9007512978427887E-3</v>
      </c>
      <c r="G1532" s="156"/>
    </row>
    <row r="1533" spans="2:7" x14ac:dyDescent="0.2">
      <c r="B1533" s="230">
        <v>43747</v>
      </c>
      <c r="C1533" s="124">
        <v>247.1</v>
      </c>
      <c r="D1533" s="156">
        <f t="shared" si="24"/>
        <v>1.6036184210526341E-2</v>
      </c>
      <c r="E1533" s="156">
        <v>5.8931860036833253E-3</v>
      </c>
      <c r="G1533" s="156"/>
    </row>
    <row r="1534" spans="2:7" x14ac:dyDescent="0.2">
      <c r="B1534" s="230">
        <v>43745</v>
      </c>
      <c r="C1534" s="124">
        <v>251.9</v>
      </c>
      <c r="D1534" s="156">
        <f t="shared" ref="D1534:D1597" si="25">(C1534-C1533)/C1533</f>
        <v>1.9425333872925988E-2</v>
      </c>
      <c r="E1534" s="156">
        <v>5.8846436761714558E-3</v>
      </c>
      <c r="G1534" s="156"/>
    </row>
    <row r="1535" spans="2:7" x14ac:dyDescent="0.2">
      <c r="B1535" s="230">
        <v>43742</v>
      </c>
      <c r="C1535" s="124">
        <v>257.25</v>
      </c>
      <c r="D1535" s="156">
        <f t="shared" si="25"/>
        <v>2.1238586740770123E-2</v>
      </c>
      <c r="E1535" s="156">
        <v>5.8792558792558946E-3</v>
      </c>
      <c r="G1535" s="156"/>
    </row>
    <row r="1536" spans="2:7" x14ac:dyDescent="0.2">
      <c r="B1536" s="230">
        <v>43741</v>
      </c>
      <c r="C1536" s="124">
        <v>261.64999999999998</v>
      </c>
      <c r="D1536" s="156">
        <f t="shared" si="25"/>
        <v>1.7103984450923138E-2</v>
      </c>
      <c r="E1536" s="156">
        <v>5.8779201205727298E-3</v>
      </c>
      <c r="G1536" s="156"/>
    </row>
    <row r="1537" spans="2:7" x14ac:dyDescent="0.2">
      <c r="B1537" s="230">
        <v>43739</v>
      </c>
      <c r="C1537" s="124">
        <v>255.9</v>
      </c>
      <c r="D1537" s="156">
        <f t="shared" si="25"/>
        <v>-2.1975922033250418E-2</v>
      </c>
      <c r="E1537" s="156">
        <v>5.8737151248163906E-3</v>
      </c>
      <c r="G1537" s="156"/>
    </row>
    <row r="1538" spans="2:7" x14ac:dyDescent="0.2">
      <c r="B1538" s="230">
        <v>43738</v>
      </c>
      <c r="C1538" s="124">
        <v>259.85000000000002</v>
      </c>
      <c r="D1538" s="156">
        <f t="shared" si="25"/>
        <v>1.5435717076983263E-2</v>
      </c>
      <c r="E1538" s="156">
        <v>5.8645096056622673E-3</v>
      </c>
      <c r="G1538" s="156"/>
    </row>
    <row r="1539" spans="2:7" x14ac:dyDescent="0.2">
      <c r="B1539" s="230">
        <v>43735</v>
      </c>
      <c r="C1539" s="124">
        <v>252.95</v>
      </c>
      <c r="D1539" s="156">
        <f t="shared" si="25"/>
        <v>-2.6553781027516002E-2</v>
      </c>
      <c r="E1539" s="156">
        <v>5.8644603966419885E-3</v>
      </c>
      <c r="G1539" s="156"/>
    </row>
    <row r="1540" spans="2:7" x14ac:dyDescent="0.2">
      <c r="B1540" s="230">
        <v>43734</v>
      </c>
      <c r="C1540" s="124">
        <v>250.4</v>
      </c>
      <c r="D1540" s="156">
        <f t="shared" si="25"/>
        <v>-1.0081043684522567E-2</v>
      </c>
      <c r="E1540" s="156">
        <v>5.8530661809350938E-3</v>
      </c>
      <c r="G1540" s="156"/>
    </row>
    <row r="1541" spans="2:7" x14ac:dyDescent="0.2">
      <c r="B1541" s="230">
        <v>43733</v>
      </c>
      <c r="C1541" s="124">
        <v>247.55</v>
      </c>
      <c r="D1541" s="156">
        <f t="shared" si="25"/>
        <v>-1.138178913738017E-2</v>
      </c>
      <c r="E1541" s="156">
        <v>5.8488533169154299E-3</v>
      </c>
      <c r="G1541" s="156"/>
    </row>
    <row r="1542" spans="2:7" x14ac:dyDescent="0.2">
      <c r="B1542" s="230">
        <v>43732</v>
      </c>
      <c r="C1542" s="124">
        <v>256</v>
      </c>
      <c r="D1542" s="156">
        <f t="shared" si="25"/>
        <v>3.4134518279135481E-2</v>
      </c>
      <c r="E1542" s="156">
        <v>5.8476694246961522E-3</v>
      </c>
      <c r="G1542" s="156"/>
    </row>
    <row r="1543" spans="2:7" x14ac:dyDescent="0.2">
      <c r="B1543" s="230">
        <v>43731</v>
      </c>
      <c r="C1543" s="124">
        <v>254.85</v>
      </c>
      <c r="D1543" s="156">
        <f t="shared" si="25"/>
        <v>-4.4921875000000222E-3</v>
      </c>
      <c r="E1543" s="156">
        <v>5.8457476899868429E-3</v>
      </c>
      <c r="G1543" s="156"/>
    </row>
    <row r="1544" spans="2:7" x14ac:dyDescent="0.2">
      <c r="B1544" s="230">
        <v>43728</v>
      </c>
      <c r="C1544" s="124">
        <v>238.05</v>
      </c>
      <c r="D1544" s="156">
        <f t="shared" si="25"/>
        <v>-6.5921130076515538E-2</v>
      </c>
      <c r="E1544" s="156">
        <v>5.844707111604586E-3</v>
      </c>
      <c r="G1544" s="156"/>
    </row>
    <row r="1545" spans="2:7" x14ac:dyDescent="0.2">
      <c r="B1545" s="230">
        <v>43727</v>
      </c>
      <c r="C1545" s="124">
        <v>236.7</v>
      </c>
      <c r="D1545" s="156">
        <f t="shared" si="25"/>
        <v>-5.6710775047259928E-3</v>
      </c>
      <c r="E1545" s="156">
        <v>5.8431524048675847E-3</v>
      </c>
      <c r="G1545" s="156"/>
    </row>
    <row r="1546" spans="2:7" x14ac:dyDescent="0.2">
      <c r="B1546" s="230">
        <v>43726</v>
      </c>
      <c r="C1546" s="124">
        <v>239.25</v>
      </c>
      <c r="D1546" s="156">
        <f t="shared" si="25"/>
        <v>1.0773130544993712E-2</v>
      </c>
      <c r="E1546" s="156">
        <v>5.8369057133861929E-3</v>
      </c>
      <c r="G1546" s="156"/>
    </row>
    <row r="1547" spans="2:7" x14ac:dyDescent="0.2">
      <c r="B1547" s="230">
        <v>43725</v>
      </c>
      <c r="C1547" s="124">
        <v>237.2</v>
      </c>
      <c r="D1547" s="156">
        <f t="shared" si="25"/>
        <v>-8.5684430512017202E-3</v>
      </c>
      <c r="E1547" s="156">
        <v>5.8321183086855952E-3</v>
      </c>
      <c r="G1547" s="156"/>
    </row>
    <row r="1548" spans="2:7" x14ac:dyDescent="0.2">
      <c r="B1548" s="230">
        <v>43724</v>
      </c>
      <c r="C1548" s="124">
        <v>239.4</v>
      </c>
      <c r="D1548" s="156">
        <f t="shared" si="25"/>
        <v>9.2748735244520108E-3</v>
      </c>
      <c r="E1548" s="156">
        <v>5.8162855996790556E-3</v>
      </c>
      <c r="G1548" s="156"/>
    </row>
    <row r="1549" spans="2:7" x14ac:dyDescent="0.2">
      <c r="B1549" s="230">
        <v>43721</v>
      </c>
      <c r="C1549" s="124">
        <v>239.9</v>
      </c>
      <c r="D1549" s="156">
        <f t="shared" si="25"/>
        <v>2.0885547201336674E-3</v>
      </c>
      <c r="E1549" s="156">
        <v>5.815099546619391E-3</v>
      </c>
      <c r="G1549" s="156"/>
    </row>
    <row r="1550" spans="2:7" x14ac:dyDescent="0.2">
      <c r="B1550" s="230">
        <v>43720</v>
      </c>
      <c r="C1550" s="124">
        <v>240.75</v>
      </c>
      <c r="D1550" s="156">
        <f t="shared" si="25"/>
        <v>3.5431429762400762E-3</v>
      </c>
      <c r="E1550" s="156">
        <v>5.8072009291521244E-3</v>
      </c>
      <c r="G1550" s="156"/>
    </row>
    <row r="1551" spans="2:7" x14ac:dyDescent="0.2">
      <c r="B1551" s="230">
        <v>43719</v>
      </c>
      <c r="C1551" s="124">
        <v>243.75</v>
      </c>
      <c r="D1551" s="156">
        <f t="shared" si="25"/>
        <v>1.2461059190031152E-2</v>
      </c>
      <c r="E1551" s="156">
        <v>5.7948618891249751E-3</v>
      </c>
      <c r="G1551" s="156"/>
    </row>
    <row r="1552" spans="2:7" x14ac:dyDescent="0.2">
      <c r="B1552" s="230">
        <v>43717</v>
      </c>
      <c r="C1552" s="124">
        <v>245.5</v>
      </c>
      <c r="D1552" s="156">
        <f t="shared" si="25"/>
        <v>7.1794871794871795E-3</v>
      </c>
      <c r="E1552" s="156">
        <v>5.7859209257473485E-3</v>
      </c>
      <c r="G1552" s="156"/>
    </row>
    <row r="1553" spans="2:7" x14ac:dyDescent="0.2">
      <c r="B1553" s="230">
        <v>43714</v>
      </c>
      <c r="C1553" s="124">
        <v>243.9</v>
      </c>
      <c r="D1553" s="156">
        <f t="shared" si="25"/>
        <v>-6.5173116089612803E-3</v>
      </c>
      <c r="E1553" s="156">
        <v>5.7760108018903361E-3</v>
      </c>
      <c r="G1553" s="156"/>
    </row>
    <row r="1554" spans="2:7" x14ac:dyDescent="0.2">
      <c r="B1554" s="230">
        <v>43713</v>
      </c>
      <c r="C1554" s="124">
        <v>244.25</v>
      </c>
      <c r="D1554" s="156">
        <f t="shared" si="25"/>
        <v>1.4350143501434781E-3</v>
      </c>
      <c r="E1554" s="156">
        <v>5.7642615782150216E-3</v>
      </c>
      <c r="G1554" s="156"/>
    </row>
    <row r="1555" spans="2:7" x14ac:dyDescent="0.2">
      <c r="B1555" s="230">
        <v>43712</v>
      </c>
      <c r="C1555" s="124">
        <v>243.25</v>
      </c>
      <c r="D1555" s="156">
        <f t="shared" si="25"/>
        <v>-4.0941658137154556E-3</v>
      </c>
      <c r="E1555" s="156">
        <v>5.7512580877066314E-3</v>
      </c>
      <c r="G1555" s="156"/>
    </row>
    <row r="1556" spans="2:7" x14ac:dyDescent="0.2">
      <c r="B1556" s="230">
        <v>43711</v>
      </c>
      <c r="C1556" s="124">
        <v>241.55</v>
      </c>
      <c r="D1556" s="156">
        <f t="shared" si="25"/>
        <v>-6.988694758478884E-3</v>
      </c>
      <c r="E1556" s="156">
        <v>5.733871484400091E-3</v>
      </c>
      <c r="G1556" s="156"/>
    </row>
    <row r="1557" spans="2:7" x14ac:dyDescent="0.2">
      <c r="B1557" s="230">
        <v>43707</v>
      </c>
      <c r="C1557" s="124">
        <v>245.65</v>
      </c>
      <c r="D1557" s="156">
        <f t="shared" si="25"/>
        <v>1.697371144690538E-2</v>
      </c>
      <c r="E1557" s="156">
        <v>5.7292910002387683E-3</v>
      </c>
      <c r="G1557" s="156"/>
    </row>
    <row r="1558" spans="2:7" x14ac:dyDescent="0.2">
      <c r="B1558" s="230">
        <v>43706</v>
      </c>
      <c r="C1558" s="124">
        <v>241.2</v>
      </c>
      <c r="D1558" s="156">
        <f t="shared" si="25"/>
        <v>-1.8115204559332451E-2</v>
      </c>
      <c r="E1558" s="156">
        <v>5.7116746630111953E-3</v>
      </c>
      <c r="G1558" s="156"/>
    </row>
    <row r="1559" spans="2:7" x14ac:dyDescent="0.2">
      <c r="B1559" s="230">
        <v>43705</v>
      </c>
      <c r="C1559" s="124">
        <v>245.95</v>
      </c>
      <c r="D1559" s="156">
        <f t="shared" si="25"/>
        <v>1.9693200663349918E-2</v>
      </c>
      <c r="E1559" s="156">
        <v>5.706067916125393E-3</v>
      </c>
      <c r="G1559" s="156"/>
    </row>
    <row r="1560" spans="2:7" x14ac:dyDescent="0.2">
      <c r="B1560" s="230">
        <v>43704</v>
      </c>
      <c r="C1560" s="124">
        <v>245.5</v>
      </c>
      <c r="D1560" s="156">
        <f t="shared" si="25"/>
        <v>-1.8296401707663698E-3</v>
      </c>
      <c r="E1560" s="156">
        <v>5.7049714751425647E-3</v>
      </c>
      <c r="G1560" s="156"/>
    </row>
    <row r="1561" spans="2:7" x14ac:dyDescent="0.2">
      <c r="B1561" s="230">
        <v>43703</v>
      </c>
      <c r="C1561" s="124">
        <v>242.5</v>
      </c>
      <c r="D1561" s="156">
        <f t="shared" si="25"/>
        <v>-1.2219959266802444E-2</v>
      </c>
      <c r="E1561" s="156">
        <v>5.7007125890736251E-3</v>
      </c>
      <c r="G1561" s="156"/>
    </row>
    <row r="1562" spans="2:7" x14ac:dyDescent="0.2">
      <c r="B1562" s="230">
        <v>43700</v>
      </c>
      <c r="C1562" s="124">
        <v>236.1</v>
      </c>
      <c r="D1562" s="156">
        <f t="shared" si="25"/>
        <v>-2.639175257731961E-2</v>
      </c>
      <c r="E1562" s="156">
        <v>5.699417668194799E-3</v>
      </c>
      <c r="G1562" s="156"/>
    </row>
    <row r="1563" spans="2:7" x14ac:dyDescent="0.2">
      <c r="B1563" s="230">
        <v>43699</v>
      </c>
      <c r="C1563" s="124">
        <v>240.05</v>
      </c>
      <c r="D1563" s="156">
        <f t="shared" si="25"/>
        <v>1.6730199068191516E-2</v>
      </c>
      <c r="E1563" s="156">
        <v>5.6936800151831468E-3</v>
      </c>
      <c r="G1563" s="156"/>
    </row>
    <row r="1564" spans="2:7" x14ac:dyDescent="0.2">
      <c r="B1564" s="230">
        <v>43698</v>
      </c>
      <c r="C1564" s="124">
        <v>241.45</v>
      </c>
      <c r="D1564" s="156">
        <f t="shared" si="25"/>
        <v>5.8321183086855952E-3</v>
      </c>
      <c r="E1564" s="156">
        <v>5.6858564321250939E-3</v>
      </c>
      <c r="G1564" s="156"/>
    </row>
    <row r="1565" spans="2:7" x14ac:dyDescent="0.2">
      <c r="B1565" s="230">
        <v>43697</v>
      </c>
      <c r="C1565" s="124">
        <v>246.5</v>
      </c>
      <c r="D1565" s="156">
        <f t="shared" si="25"/>
        <v>2.0915303375440099E-2</v>
      </c>
      <c r="E1565" s="156">
        <v>5.6790123456790407E-3</v>
      </c>
      <c r="G1565" s="156"/>
    </row>
    <row r="1566" spans="2:7" x14ac:dyDescent="0.2">
      <c r="B1566" s="230">
        <v>43696</v>
      </c>
      <c r="C1566" s="124">
        <v>251.55</v>
      </c>
      <c r="D1566" s="156">
        <f t="shared" si="25"/>
        <v>2.0486815415821546E-2</v>
      </c>
      <c r="E1566" s="156">
        <v>5.6772100567721237E-3</v>
      </c>
      <c r="G1566" s="156"/>
    </row>
    <row r="1567" spans="2:7" x14ac:dyDescent="0.2">
      <c r="B1567" s="230">
        <v>43693</v>
      </c>
      <c r="C1567" s="124">
        <v>253</v>
      </c>
      <c r="D1567" s="156">
        <f t="shared" si="25"/>
        <v>5.7642615782150216E-3</v>
      </c>
      <c r="E1567" s="156">
        <v>5.6603773584905422E-3</v>
      </c>
      <c r="G1567" s="156"/>
    </row>
    <row r="1568" spans="2:7" x14ac:dyDescent="0.2">
      <c r="B1568" s="230">
        <v>43691</v>
      </c>
      <c r="C1568" s="124">
        <v>248.75</v>
      </c>
      <c r="D1568" s="156">
        <f t="shared" si="25"/>
        <v>-1.6798418972332016E-2</v>
      </c>
      <c r="E1568" s="156">
        <v>5.6598919475173365E-3</v>
      </c>
      <c r="G1568" s="156"/>
    </row>
    <row r="1569" spans="2:7" x14ac:dyDescent="0.2">
      <c r="B1569" s="230">
        <v>43690</v>
      </c>
      <c r="C1569" s="124">
        <v>246.3</v>
      </c>
      <c r="D1569" s="156">
        <f t="shared" si="25"/>
        <v>-9.8492462311557324E-3</v>
      </c>
      <c r="E1569" s="156">
        <v>5.6554231468389305E-3</v>
      </c>
      <c r="G1569" s="156"/>
    </row>
    <row r="1570" spans="2:7" x14ac:dyDescent="0.2">
      <c r="B1570" s="230">
        <v>43686</v>
      </c>
      <c r="C1570" s="124">
        <v>254.2</v>
      </c>
      <c r="D1570" s="156">
        <f t="shared" si="25"/>
        <v>3.2074705643524062E-2</v>
      </c>
      <c r="E1570" s="156">
        <v>5.6524944703859421E-3</v>
      </c>
      <c r="G1570" s="156"/>
    </row>
    <row r="1571" spans="2:7" x14ac:dyDescent="0.2">
      <c r="B1571" s="230">
        <v>43685</v>
      </c>
      <c r="C1571" s="124">
        <v>257.75</v>
      </c>
      <c r="D1571" s="156">
        <f t="shared" si="25"/>
        <v>1.3965381589299809E-2</v>
      </c>
      <c r="E1571" s="156">
        <v>5.6386369208139536E-3</v>
      </c>
      <c r="G1571" s="156"/>
    </row>
    <row r="1572" spans="2:7" x14ac:dyDescent="0.2">
      <c r="B1572" s="230">
        <v>43684</v>
      </c>
      <c r="C1572" s="124">
        <v>253.65</v>
      </c>
      <c r="D1572" s="156">
        <f t="shared" si="25"/>
        <v>-1.5906886517943721E-2</v>
      </c>
      <c r="E1572" s="156">
        <v>5.636167406163863E-3</v>
      </c>
      <c r="G1572" s="156"/>
    </row>
    <row r="1573" spans="2:7" x14ac:dyDescent="0.2">
      <c r="B1573" s="230">
        <v>43683</v>
      </c>
      <c r="C1573" s="124">
        <v>258.89999999999998</v>
      </c>
      <c r="D1573" s="156">
        <f t="shared" si="25"/>
        <v>2.0697811945594211E-2</v>
      </c>
      <c r="E1573" s="156">
        <v>5.633802816901355E-3</v>
      </c>
      <c r="G1573" s="156"/>
    </row>
    <row r="1574" spans="2:7" x14ac:dyDescent="0.2">
      <c r="B1574" s="230">
        <v>43682</v>
      </c>
      <c r="C1574" s="124">
        <v>259.8</v>
      </c>
      <c r="D1574" s="156">
        <f t="shared" si="25"/>
        <v>3.4762456546930639E-3</v>
      </c>
      <c r="E1574" s="156">
        <v>5.6317622040987269E-3</v>
      </c>
      <c r="G1574" s="156"/>
    </row>
    <row r="1575" spans="2:7" x14ac:dyDescent="0.2">
      <c r="B1575" s="230">
        <v>43679</v>
      </c>
      <c r="C1575" s="124">
        <v>264.5</v>
      </c>
      <c r="D1575" s="156">
        <f t="shared" si="25"/>
        <v>1.8090839107005343E-2</v>
      </c>
      <c r="E1575" s="156">
        <v>5.6310679611650044E-3</v>
      </c>
      <c r="G1575" s="156"/>
    </row>
    <row r="1576" spans="2:7" x14ac:dyDescent="0.2">
      <c r="B1576" s="230">
        <v>43678</v>
      </c>
      <c r="C1576" s="124">
        <v>267.55</v>
      </c>
      <c r="D1576" s="156">
        <f t="shared" si="25"/>
        <v>1.1531190926276035E-2</v>
      </c>
      <c r="E1576" s="156">
        <v>5.6245264323599902E-3</v>
      </c>
      <c r="G1576" s="156"/>
    </row>
    <row r="1577" spans="2:7" x14ac:dyDescent="0.2">
      <c r="B1577" s="230">
        <v>43677</v>
      </c>
      <c r="C1577" s="124">
        <v>270.2</v>
      </c>
      <c r="D1577" s="156">
        <f t="shared" si="25"/>
        <v>9.9046907120163598E-3</v>
      </c>
      <c r="E1577" s="156">
        <v>5.6237218813907095E-3</v>
      </c>
      <c r="G1577" s="156"/>
    </row>
    <row r="1578" spans="2:7" x14ac:dyDescent="0.2">
      <c r="B1578" s="230">
        <v>43676</v>
      </c>
      <c r="C1578" s="124">
        <v>268.89999999999998</v>
      </c>
      <c r="D1578" s="156">
        <f t="shared" si="25"/>
        <v>-4.811250925240605E-3</v>
      </c>
      <c r="E1578" s="156">
        <v>5.6227157717176658E-3</v>
      </c>
      <c r="G1578" s="156"/>
    </row>
    <row r="1579" spans="2:7" x14ac:dyDescent="0.2">
      <c r="B1579" s="230">
        <v>43675</v>
      </c>
      <c r="C1579" s="124">
        <v>267.75</v>
      </c>
      <c r="D1579" s="156">
        <f t="shared" si="25"/>
        <v>-4.2766827817031514E-3</v>
      </c>
      <c r="E1579" s="156">
        <v>5.6152735440397885E-3</v>
      </c>
      <c r="G1579" s="156"/>
    </row>
    <row r="1580" spans="2:7" x14ac:dyDescent="0.2">
      <c r="B1580" s="230">
        <v>43672</v>
      </c>
      <c r="C1580" s="124">
        <v>270.39999999999998</v>
      </c>
      <c r="D1580" s="156">
        <f t="shared" si="25"/>
        <v>9.8972922502333412E-3</v>
      </c>
      <c r="E1580" s="156">
        <v>5.6144426697642734E-3</v>
      </c>
      <c r="G1580" s="156"/>
    </row>
    <row r="1581" spans="2:7" x14ac:dyDescent="0.2">
      <c r="B1581" s="230">
        <v>43671</v>
      </c>
      <c r="C1581" s="124">
        <v>267.85000000000002</v>
      </c>
      <c r="D1581" s="156">
        <f t="shared" si="25"/>
        <v>-9.4304733727808981E-3</v>
      </c>
      <c r="E1581" s="156">
        <v>5.6115437471369409E-3</v>
      </c>
      <c r="G1581" s="156"/>
    </row>
    <row r="1582" spans="2:7" x14ac:dyDescent="0.2">
      <c r="B1582" s="230">
        <v>43670</v>
      </c>
      <c r="C1582" s="124">
        <v>270.85000000000002</v>
      </c>
      <c r="D1582" s="156">
        <f t="shared" si="25"/>
        <v>1.1200298674631322E-2</v>
      </c>
      <c r="E1582" s="156">
        <v>5.6049478160031217E-3</v>
      </c>
      <c r="G1582" s="156"/>
    </row>
    <row r="1583" spans="2:7" x14ac:dyDescent="0.2">
      <c r="B1583" s="230">
        <v>43669</v>
      </c>
      <c r="C1583" s="124">
        <v>270.64999999999998</v>
      </c>
      <c r="D1583" s="156">
        <f t="shared" si="25"/>
        <v>-7.3841609747109271E-4</v>
      </c>
      <c r="E1583" s="156">
        <v>5.6005271084337248E-3</v>
      </c>
      <c r="G1583" s="156"/>
    </row>
    <row r="1584" spans="2:7" x14ac:dyDescent="0.2">
      <c r="B1584" s="230">
        <v>43668</v>
      </c>
      <c r="C1584" s="124">
        <v>264.39999999999998</v>
      </c>
      <c r="D1584" s="156">
        <f t="shared" si="25"/>
        <v>-2.3092554960280808E-2</v>
      </c>
      <c r="E1584" s="156">
        <v>5.596646942800744E-3</v>
      </c>
      <c r="G1584" s="156"/>
    </row>
    <row r="1585" spans="2:7" x14ac:dyDescent="0.2">
      <c r="B1585" s="230">
        <v>43665</v>
      </c>
      <c r="C1585" s="124">
        <v>268.3</v>
      </c>
      <c r="D1585" s="156">
        <f t="shared" si="25"/>
        <v>1.4750378214826151E-2</v>
      </c>
      <c r="E1585" s="156">
        <v>5.5688146380270713E-3</v>
      </c>
      <c r="G1585" s="156"/>
    </row>
    <row r="1586" spans="2:7" x14ac:dyDescent="0.2">
      <c r="B1586" s="230">
        <v>43664</v>
      </c>
      <c r="C1586" s="124">
        <v>273</v>
      </c>
      <c r="D1586" s="156">
        <f t="shared" si="25"/>
        <v>1.7517704062616431E-2</v>
      </c>
      <c r="E1586" s="156">
        <v>5.5667305983065803E-3</v>
      </c>
      <c r="G1586" s="156"/>
    </row>
    <row r="1587" spans="2:7" x14ac:dyDescent="0.2">
      <c r="B1587" s="230">
        <v>43663</v>
      </c>
      <c r="C1587" s="124">
        <v>272.89999999999998</v>
      </c>
      <c r="D1587" s="156">
        <f t="shared" si="25"/>
        <v>-3.6630036630044957E-4</v>
      </c>
      <c r="E1587" s="156">
        <v>5.5602358887952537E-3</v>
      </c>
      <c r="G1587" s="156"/>
    </row>
    <row r="1588" spans="2:7" x14ac:dyDescent="0.2">
      <c r="B1588" s="230">
        <v>43662</v>
      </c>
      <c r="C1588" s="124">
        <v>271.95</v>
      </c>
      <c r="D1588" s="156">
        <f t="shared" si="25"/>
        <v>-3.4811286185415491E-3</v>
      </c>
      <c r="E1588" s="156">
        <v>5.5586436909394101E-3</v>
      </c>
      <c r="G1588" s="156"/>
    </row>
    <row r="1589" spans="2:7" x14ac:dyDescent="0.2">
      <c r="B1589" s="230">
        <v>43661</v>
      </c>
      <c r="C1589" s="124">
        <v>270.95</v>
      </c>
      <c r="D1589" s="156">
        <f t="shared" si="25"/>
        <v>-3.6771465342893914E-3</v>
      </c>
      <c r="E1589" s="156">
        <v>5.5430096489426988E-3</v>
      </c>
      <c r="G1589" s="156"/>
    </row>
    <row r="1590" spans="2:7" x14ac:dyDescent="0.2">
      <c r="B1590" s="230">
        <v>43658</v>
      </c>
      <c r="C1590" s="124">
        <v>275.05</v>
      </c>
      <c r="D1590" s="156">
        <f t="shared" si="25"/>
        <v>1.5131943162945277E-2</v>
      </c>
      <c r="E1590" s="156">
        <v>5.5407801418439718E-3</v>
      </c>
      <c r="G1590" s="156"/>
    </row>
    <row r="1591" spans="2:7" x14ac:dyDescent="0.2">
      <c r="B1591" s="230">
        <v>43657</v>
      </c>
      <c r="C1591" s="124">
        <v>275.64999999999998</v>
      </c>
      <c r="D1591" s="156">
        <f t="shared" si="25"/>
        <v>2.1814215597162909E-3</v>
      </c>
      <c r="E1591" s="156">
        <v>5.5323105532310447E-3</v>
      </c>
      <c r="G1591" s="156"/>
    </row>
    <row r="1592" spans="2:7" x14ac:dyDescent="0.2">
      <c r="B1592" s="230">
        <v>43656</v>
      </c>
      <c r="C1592" s="124">
        <v>273.14999999999998</v>
      </c>
      <c r="D1592" s="156">
        <f t="shared" si="25"/>
        <v>-9.0694721567204789E-3</v>
      </c>
      <c r="E1592" s="156">
        <v>5.5279396640383616E-3</v>
      </c>
      <c r="G1592" s="156"/>
    </row>
    <row r="1593" spans="2:7" x14ac:dyDescent="0.2">
      <c r="B1593" s="230">
        <v>43655</v>
      </c>
      <c r="C1593" s="124">
        <v>273.10000000000002</v>
      </c>
      <c r="D1593" s="156">
        <f t="shared" si="25"/>
        <v>-1.8304960644317968E-4</v>
      </c>
      <c r="E1593" s="156">
        <v>5.5272727272726611E-3</v>
      </c>
      <c r="G1593" s="156"/>
    </row>
    <row r="1594" spans="2:7" x14ac:dyDescent="0.2">
      <c r="B1594" s="230">
        <v>43654</v>
      </c>
      <c r="C1594" s="124">
        <v>277.45</v>
      </c>
      <c r="D1594" s="156">
        <f t="shared" si="25"/>
        <v>1.5928231417063222E-2</v>
      </c>
      <c r="E1594" s="156">
        <v>5.5183287347260771E-3</v>
      </c>
      <c r="G1594" s="156"/>
    </row>
    <row r="1595" spans="2:7" x14ac:dyDescent="0.2">
      <c r="B1595" s="230">
        <v>43651</v>
      </c>
      <c r="C1595" s="124">
        <v>279.45</v>
      </c>
      <c r="D1595" s="156">
        <f t="shared" si="25"/>
        <v>7.2085060371238066E-3</v>
      </c>
      <c r="E1595" s="156">
        <v>5.5142651642290921E-3</v>
      </c>
      <c r="G1595" s="156"/>
    </row>
    <row r="1596" spans="2:7" x14ac:dyDescent="0.2">
      <c r="B1596" s="230">
        <v>43650</v>
      </c>
      <c r="C1596" s="124">
        <v>277.64999999999998</v>
      </c>
      <c r="D1596" s="156">
        <f t="shared" si="25"/>
        <v>-6.4412238325282211E-3</v>
      </c>
      <c r="E1596" s="156">
        <v>5.5134390075809265E-3</v>
      </c>
      <c r="G1596" s="156"/>
    </row>
    <row r="1597" spans="2:7" x14ac:dyDescent="0.2">
      <c r="B1597" s="230">
        <v>43649</v>
      </c>
      <c r="C1597" s="124">
        <v>276.7</v>
      </c>
      <c r="D1597" s="156">
        <f t="shared" si="25"/>
        <v>-3.4215739240050017E-3</v>
      </c>
      <c r="E1597" s="156">
        <v>5.5126791620727679E-3</v>
      </c>
      <c r="G1597" s="156"/>
    </row>
    <row r="1598" spans="2:7" x14ac:dyDescent="0.2">
      <c r="B1598" s="230">
        <v>43648</v>
      </c>
      <c r="C1598" s="124">
        <v>273.85000000000002</v>
      </c>
      <c r="D1598" s="156">
        <f t="shared" ref="D1598:D1661" si="26">(C1598-C1597)/C1597</f>
        <v>-1.0299963859775808E-2</v>
      </c>
      <c r="E1598" s="156">
        <v>5.511022044088148E-3</v>
      </c>
      <c r="G1598" s="156"/>
    </row>
    <row r="1599" spans="2:7" x14ac:dyDescent="0.2">
      <c r="B1599" s="230">
        <v>43647</v>
      </c>
      <c r="C1599" s="124">
        <v>274.95</v>
      </c>
      <c r="D1599" s="156">
        <f t="shared" si="26"/>
        <v>4.0167975168886828E-3</v>
      </c>
      <c r="E1599" s="156">
        <v>5.5105348460291132E-3</v>
      </c>
      <c r="G1599" s="156"/>
    </row>
    <row r="1600" spans="2:7" x14ac:dyDescent="0.2">
      <c r="B1600" s="230">
        <v>43644</v>
      </c>
      <c r="C1600" s="124">
        <v>273.85000000000002</v>
      </c>
      <c r="D1600" s="156">
        <f t="shared" si="26"/>
        <v>-4.0007274049826003E-3</v>
      </c>
      <c r="E1600" s="156">
        <v>5.5047651381040855E-3</v>
      </c>
      <c r="G1600" s="156"/>
    </row>
    <row r="1601" spans="2:7" x14ac:dyDescent="0.2">
      <c r="B1601" s="230">
        <v>43643</v>
      </c>
      <c r="C1601" s="124">
        <v>273.5</v>
      </c>
      <c r="D1601" s="156">
        <f t="shared" si="26"/>
        <v>-1.2780719371919763E-3</v>
      </c>
      <c r="E1601" s="156">
        <v>5.5002619172341144E-3</v>
      </c>
      <c r="G1601" s="156"/>
    </row>
    <row r="1602" spans="2:7" x14ac:dyDescent="0.2">
      <c r="B1602" s="230">
        <v>43642</v>
      </c>
      <c r="C1602" s="124">
        <v>277.39999999999998</v>
      </c>
      <c r="D1602" s="156">
        <f t="shared" si="26"/>
        <v>1.4259597806215638E-2</v>
      </c>
      <c r="E1602" s="156">
        <v>5.4986120008541596E-3</v>
      </c>
      <c r="G1602" s="156"/>
    </row>
    <row r="1603" spans="2:7" x14ac:dyDescent="0.2">
      <c r="B1603" s="230">
        <v>43641</v>
      </c>
      <c r="C1603" s="124">
        <v>278.5</v>
      </c>
      <c r="D1603" s="156">
        <f t="shared" si="26"/>
        <v>3.9653929343908536E-3</v>
      </c>
      <c r="E1603" s="156">
        <v>5.4862842892767797E-3</v>
      </c>
      <c r="G1603" s="156"/>
    </row>
    <row r="1604" spans="2:7" x14ac:dyDescent="0.2">
      <c r="B1604" s="230">
        <v>43640</v>
      </c>
      <c r="C1604" s="124">
        <v>276.25</v>
      </c>
      <c r="D1604" s="156">
        <f t="shared" si="26"/>
        <v>-8.0789946140035901E-3</v>
      </c>
      <c r="E1604" s="156">
        <v>5.4804163105234222E-3</v>
      </c>
      <c r="G1604" s="156"/>
    </row>
    <row r="1605" spans="2:7" x14ac:dyDescent="0.2">
      <c r="B1605" s="230">
        <v>43637</v>
      </c>
      <c r="C1605" s="124">
        <v>274.25</v>
      </c>
      <c r="D1605" s="156">
        <f t="shared" si="26"/>
        <v>-7.2398190045248872E-3</v>
      </c>
      <c r="E1605" s="156">
        <v>5.4685727252099499E-3</v>
      </c>
      <c r="G1605" s="156"/>
    </row>
    <row r="1606" spans="2:7" x14ac:dyDescent="0.2">
      <c r="B1606" s="230">
        <v>43636</v>
      </c>
      <c r="C1606" s="124">
        <v>277</v>
      </c>
      <c r="D1606" s="156">
        <f t="shared" si="26"/>
        <v>1.0027347310847767E-2</v>
      </c>
      <c r="E1606" s="156">
        <v>5.4535780792763578E-3</v>
      </c>
      <c r="G1606" s="156"/>
    </row>
    <row r="1607" spans="2:7" x14ac:dyDescent="0.2">
      <c r="B1607" s="230">
        <v>43635</v>
      </c>
      <c r="C1607" s="124">
        <v>277.2</v>
      </c>
      <c r="D1607" s="156">
        <f t="shared" si="26"/>
        <v>7.2202166064977847E-4</v>
      </c>
      <c r="E1607" s="156">
        <v>5.4501412999597206E-3</v>
      </c>
      <c r="G1607" s="156"/>
    </row>
    <row r="1608" spans="2:7" x14ac:dyDescent="0.2">
      <c r="B1608" s="230">
        <v>43634</v>
      </c>
      <c r="C1608" s="124">
        <v>275.10000000000002</v>
      </c>
      <c r="D1608" s="156">
        <f t="shared" si="26"/>
        <v>-7.5757575757574528E-3</v>
      </c>
      <c r="E1608" s="156">
        <v>5.4383651944627277E-3</v>
      </c>
      <c r="G1608" s="156"/>
    </row>
    <row r="1609" spans="2:7" x14ac:dyDescent="0.2">
      <c r="B1609" s="230">
        <v>43633</v>
      </c>
      <c r="C1609" s="124">
        <v>275</v>
      </c>
      <c r="D1609" s="156">
        <f t="shared" si="26"/>
        <v>-3.6350418029815602E-4</v>
      </c>
      <c r="E1609" s="156">
        <v>5.4334701762859209E-3</v>
      </c>
      <c r="G1609" s="156"/>
    </row>
    <row r="1610" spans="2:7" x14ac:dyDescent="0.2">
      <c r="B1610" s="230">
        <v>43630</v>
      </c>
      <c r="C1610" s="124">
        <v>278.05</v>
      </c>
      <c r="D1610" s="156">
        <f t="shared" si="26"/>
        <v>1.1090909090909132E-2</v>
      </c>
      <c r="E1610" s="156">
        <v>5.4292500848321101E-3</v>
      </c>
      <c r="G1610" s="156"/>
    </row>
    <row r="1611" spans="2:7" x14ac:dyDescent="0.2">
      <c r="B1611" s="230">
        <v>43629</v>
      </c>
      <c r="C1611" s="124">
        <v>280.60000000000002</v>
      </c>
      <c r="D1611" s="156">
        <f t="shared" si="26"/>
        <v>9.1710124078403562E-3</v>
      </c>
      <c r="E1611" s="156">
        <v>5.4270882491741657E-3</v>
      </c>
      <c r="G1611" s="156"/>
    </row>
    <row r="1612" spans="2:7" x14ac:dyDescent="0.2">
      <c r="B1612" s="230">
        <v>43628</v>
      </c>
      <c r="C1612" s="124">
        <v>279.95</v>
      </c>
      <c r="D1612" s="156">
        <f t="shared" si="26"/>
        <v>-2.3164647184605635E-3</v>
      </c>
      <c r="E1612" s="156">
        <v>5.4200542005419404E-3</v>
      </c>
      <c r="G1612" s="156"/>
    </row>
    <row r="1613" spans="2:7" x14ac:dyDescent="0.2">
      <c r="B1613" s="230">
        <v>43627</v>
      </c>
      <c r="C1613" s="124">
        <v>279.85000000000002</v>
      </c>
      <c r="D1613" s="156">
        <f t="shared" si="26"/>
        <v>-3.5720664404345739E-4</v>
      </c>
      <c r="E1613" s="156">
        <v>5.4117647058823798E-3</v>
      </c>
      <c r="G1613" s="156"/>
    </row>
    <row r="1614" spans="2:7" x14ac:dyDescent="0.2">
      <c r="B1614" s="230">
        <v>43626</v>
      </c>
      <c r="C1614" s="124">
        <v>279.39999999999998</v>
      </c>
      <c r="D1614" s="156">
        <f t="shared" si="26"/>
        <v>-1.6080042880115971E-3</v>
      </c>
      <c r="E1614" s="156">
        <v>5.4018660991978764E-3</v>
      </c>
      <c r="G1614" s="156"/>
    </row>
    <row r="1615" spans="2:7" x14ac:dyDescent="0.2">
      <c r="B1615" s="230">
        <v>43623</v>
      </c>
      <c r="C1615" s="124">
        <v>275.25</v>
      </c>
      <c r="D1615" s="156">
        <f t="shared" si="26"/>
        <v>-1.485325697924115E-2</v>
      </c>
      <c r="E1615" s="156">
        <v>5.3949072075960298E-3</v>
      </c>
      <c r="G1615" s="156"/>
    </row>
    <row r="1616" spans="2:7" x14ac:dyDescent="0.2">
      <c r="B1616" s="230">
        <v>43622</v>
      </c>
      <c r="C1616" s="124">
        <v>275.75</v>
      </c>
      <c r="D1616" s="156">
        <f t="shared" si="26"/>
        <v>1.8165304268846503E-3</v>
      </c>
      <c r="E1616" s="156">
        <v>5.3858639516011376E-3</v>
      </c>
      <c r="G1616" s="156"/>
    </row>
    <row r="1617" spans="2:7" x14ac:dyDescent="0.2">
      <c r="B1617" s="230">
        <v>43620</v>
      </c>
      <c r="C1617" s="124">
        <v>279.25</v>
      </c>
      <c r="D1617" s="156">
        <f t="shared" si="26"/>
        <v>1.2692656391659111E-2</v>
      </c>
      <c r="E1617" s="156">
        <v>5.3776582742605435E-3</v>
      </c>
      <c r="G1617" s="156"/>
    </row>
    <row r="1618" spans="2:7" x14ac:dyDescent="0.2">
      <c r="B1618" s="230">
        <v>43619</v>
      </c>
      <c r="C1618" s="124">
        <v>278.55</v>
      </c>
      <c r="D1618" s="156">
        <f t="shared" si="26"/>
        <v>-2.5067144136078374E-3</v>
      </c>
      <c r="E1618" s="156">
        <v>5.3773448325784836E-3</v>
      </c>
      <c r="G1618" s="156"/>
    </row>
    <row r="1619" spans="2:7" x14ac:dyDescent="0.2">
      <c r="B1619" s="230">
        <v>43616</v>
      </c>
      <c r="C1619" s="124">
        <v>278.55</v>
      </c>
      <c r="D1619" s="156">
        <f t="shared" si="26"/>
        <v>0</v>
      </c>
      <c r="E1619" s="156">
        <v>5.3731497507168088E-3</v>
      </c>
      <c r="G1619" s="156"/>
    </row>
    <row r="1620" spans="2:7" x14ac:dyDescent="0.2">
      <c r="B1620" s="230">
        <v>43615</v>
      </c>
      <c r="C1620" s="124">
        <v>288.64999999999998</v>
      </c>
      <c r="D1620" s="156">
        <f t="shared" si="26"/>
        <v>3.6259199425596716E-2</v>
      </c>
      <c r="E1620" s="156">
        <v>5.3671627226153833E-3</v>
      </c>
      <c r="G1620" s="156"/>
    </row>
    <row r="1621" spans="2:7" x14ac:dyDescent="0.2">
      <c r="B1621" s="230">
        <v>43614</v>
      </c>
      <c r="C1621" s="124">
        <v>288.10000000000002</v>
      </c>
      <c r="D1621" s="156">
        <f t="shared" si="26"/>
        <v>-1.9054217910963263E-3</v>
      </c>
      <c r="E1621" s="156">
        <v>5.3648068669527385E-3</v>
      </c>
      <c r="G1621" s="156"/>
    </row>
    <row r="1622" spans="2:7" x14ac:dyDescent="0.2">
      <c r="B1622" s="230">
        <v>43613</v>
      </c>
      <c r="C1622" s="124">
        <v>288.89999999999998</v>
      </c>
      <c r="D1622" s="156">
        <f t="shared" si="26"/>
        <v>2.7768136063865134E-3</v>
      </c>
      <c r="E1622" s="156">
        <v>5.3625053625053626E-3</v>
      </c>
      <c r="G1622" s="156"/>
    </row>
    <row r="1623" spans="2:7" x14ac:dyDescent="0.2">
      <c r="B1623" s="230">
        <v>43612</v>
      </c>
      <c r="C1623" s="124">
        <v>290.85000000000002</v>
      </c>
      <c r="D1623" s="156">
        <f t="shared" si="26"/>
        <v>6.749740394600366E-3</v>
      </c>
      <c r="E1623" s="156">
        <v>5.346671265953817E-3</v>
      </c>
      <c r="G1623" s="156"/>
    </row>
    <row r="1624" spans="2:7" x14ac:dyDescent="0.2">
      <c r="B1624" s="230">
        <v>43609</v>
      </c>
      <c r="C1624" s="124">
        <v>290.45</v>
      </c>
      <c r="D1624" s="156">
        <f t="shared" si="26"/>
        <v>-1.3752793536188209E-3</v>
      </c>
      <c r="E1624" s="156">
        <v>5.3406998158378955E-3</v>
      </c>
      <c r="G1624" s="156"/>
    </row>
    <row r="1625" spans="2:7" x14ac:dyDescent="0.2">
      <c r="B1625" s="230">
        <v>43608</v>
      </c>
      <c r="C1625" s="124">
        <v>288.2</v>
      </c>
      <c r="D1625" s="156">
        <f t="shared" si="26"/>
        <v>-7.7466001032880016E-3</v>
      </c>
      <c r="E1625" s="156">
        <v>5.3192616610506938E-3</v>
      </c>
      <c r="G1625" s="156"/>
    </row>
    <row r="1626" spans="2:7" x14ac:dyDescent="0.2">
      <c r="B1626" s="230">
        <v>43607</v>
      </c>
      <c r="C1626" s="124">
        <v>299.75</v>
      </c>
      <c r="D1626" s="156">
        <f t="shared" si="26"/>
        <v>4.0076335877862634E-2</v>
      </c>
      <c r="E1626" s="156">
        <v>5.3191489361703427E-3</v>
      </c>
      <c r="G1626" s="156"/>
    </row>
    <row r="1627" spans="2:7" x14ac:dyDescent="0.2">
      <c r="B1627" s="230">
        <v>43606</v>
      </c>
      <c r="C1627" s="124">
        <v>305.89999999999998</v>
      </c>
      <c r="D1627" s="156">
        <f t="shared" si="26"/>
        <v>2.051709758131769E-2</v>
      </c>
      <c r="E1627" s="156">
        <v>5.3181734824868715E-3</v>
      </c>
      <c r="G1627" s="156"/>
    </row>
    <row r="1628" spans="2:7" x14ac:dyDescent="0.2">
      <c r="B1628" s="230">
        <v>43605</v>
      </c>
      <c r="C1628" s="124">
        <v>307</v>
      </c>
      <c r="D1628" s="156">
        <f t="shared" si="26"/>
        <v>3.595946387708476E-3</v>
      </c>
      <c r="E1628" s="156">
        <v>5.3151100987091013E-3</v>
      </c>
      <c r="G1628" s="156"/>
    </row>
    <row r="1629" spans="2:7" x14ac:dyDescent="0.2">
      <c r="B1629" s="230">
        <v>43602</v>
      </c>
      <c r="C1629" s="124">
        <v>301.39999999999998</v>
      </c>
      <c r="D1629" s="156">
        <f t="shared" si="26"/>
        <v>-1.8241042345276948E-2</v>
      </c>
      <c r="E1629" s="156">
        <v>5.3001355848638831E-3</v>
      </c>
      <c r="G1629" s="156"/>
    </row>
    <row r="1630" spans="2:7" x14ac:dyDescent="0.2">
      <c r="B1630" s="230">
        <v>43601</v>
      </c>
      <c r="C1630" s="124">
        <v>294.75</v>
      </c>
      <c r="D1630" s="156">
        <f t="shared" si="26"/>
        <v>-2.2063702720636954E-2</v>
      </c>
      <c r="E1630" s="156">
        <v>5.2827470284547698E-3</v>
      </c>
      <c r="G1630" s="156"/>
    </row>
    <row r="1631" spans="2:7" x14ac:dyDescent="0.2">
      <c r="B1631" s="230">
        <v>43600</v>
      </c>
      <c r="C1631" s="124">
        <v>297.05</v>
      </c>
      <c r="D1631" s="156">
        <f t="shared" si="26"/>
        <v>7.8032230703986814E-3</v>
      </c>
      <c r="E1631" s="156">
        <v>5.2680607754328045E-3</v>
      </c>
      <c r="G1631" s="156"/>
    </row>
    <row r="1632" spans="2:7" x14ac:dyDescent="0.2">
      <c r="B1632" s="230">
        <v>43599</v>
      </c>
      <c r="C1632" s="124">
        <v>294.35000000000002</v>
      </c>
      <c r="D1632" s="156">
        <f t="shared" si="26"/>
        <v>-9.0893788924423114E-3</v>
      </c>
      <c r="E1632" s="156">
        <v>5.2610279239174882E-3</v>
      </c>
      <c r="G1632" s="156"/>
    </row>
    <row r="1633" spans="2:7" x14ac:dyDescent="0.2">
      <c r="B1633" s="230">
        <v>43598</v>
      </c>
      <c r="C1633" s="124">
        <v>289.3</v>
      </c>
      <c r="D1633" s="156">
        <f t="shared" si="26"/>
        <v>-1.7156446407338242E-2</v>
      </c>
      <c r="E1633" s="156">
        <v>5.2594670406732116E-3</v>
      </c>
      <c r="G1633" s="156"/>
    </row>
    <row r="1634" spans="2:7" x14ac:dyDescent="0.2">
      <c r="B1634" s="230">
        <v>43595</v>
      </c>
      <c r="C1634" s="124">
        <v>297.75</v>
      </c>
      <c r="D1634" s="156">
        <f t="shared" si="26"/>
        <v>2.9208434151399891E-2</v>
      </c>
      <c r="E1634" s="156">
        <v>5.2576979299288401E-3</v>
      </c>
      <c r="G1634" s="156"/>
    </row>
    <row r="1635" spans="2:7" x14ac:dyDescent="0.2">
      <c r="B1635" s="230">
        <v>43594</v>
      </c>
      <c r="C1635" s="124">
        <v>299.85000000000002</v>
      </c>
      <c r="D1635" s="156">
        <f t="shared" si="26"/>
        <v>7.0528967254408822E-3</v>
      </c>
      <c r="E1635" s="156">
        <v>5.2562417871222823E-3</v>
      </c>
      <c r="G1635" s="156"/>
    </row>
    <row r="1636" spans="2:7" x14ac:dyDescent="0.2">
      <c r="B1636" s="230">
        <v>43593</v>
      </c>
      <c r="C1636" s="124">
        <v>300.64999999999998</v>
      </c>
      <c r="D1636" s="156">
        <f t="shared" si="26"/>
        <v>2.6680006670000149E-3</v>
      </c>
      <c r="E1636" s="156">
        <v>5.2399823866138163E-3</v>
      </c>
      <c r="G1636" s="156"/>
    </row>
    <row r="1637" spans="2:7" x14ac:dyDescent="0.2">
      <c r="B1637" s="230">
        <v>43592</v>
      </c>
      <c r="C1637" s="124">
        <v>301.89999999999998</v>
      </c>
      <c r="D1637" s="156">
        <f t="shared" si="26"/>
        <v>4.1576584067852989E-3</v>
      </c>
      <c r="E1637" s="156">
        <v>5.2336448598129994E-3</v>
      </c>
      <c r="G1637" s="156"/>
    </row>
    <row r="1638" spans="2:7" x14ac:dyDescent="0.2">
      <c r="B1638" s="230">
        <v>43591</v>
      </c>
      <c r="C1638" s="124">
        <v>307</v>
      </c>
      <c r="D1638" s="156">
        <f t="shared" si="26"/>
        <v>1.6893010930771855E-2</v>
      </c>
      <c r="E1638" s="156">
        <v>5.2309971298953586E-3</v>
      </c>
      <c r="G1638" s="156"/>
    </row>
    <row r="1639" spans="2:7" x14ac:dyDescent="0.2">
      <c r="B1639" s="230">
        <v>43588</v>
      </c>
      <c r="C1639" s="124">
        <v>304.25</v>
      </c>
      <c r="D1639" s="156">
        <f t="shared" si="26"/>
        <v>-8.9576547231270363E-3</v>
      </c>
      <c r="E1639" s="156">
        <v>5.2294197031039517E-3</v>
      </c>
      <c r="G1639" s="156"/>
    </row>
    <row r="1640" spans="2:7" x14ac:dyDescent="0.2">
      <c r="B1640" s="230">
        <v>43587</v>
      </c>
      <c r="C1640" s="124">
        <v>305</v>
      </c>
      <c r="D1640" s="156">
        <f t="shared" si="26"/>
        <v>2.4650780608052587E-3</v>
      </c>
      <c r="E1640" s="156">
        <v>5.2229061742211421E-3</v>
      </c>
      <c r="G1640" s="156"/>
    </row>
    <row r="1641" spans="2:7" x14ac:dyDescent="0.2">
      <c r="B1641" s="230">
        <v>43585</v>
      </c>
      <c r="C1641" s="124">
        <v>301.35000000000002</v>
      </c>
      <c r="D1641" s="156">
        <f t="shared" si="26"/>
        <v>-1.1967213114754023E-2</v>
      </c>
      <c r="E1641" s="156">
        <v>5.2184466019416925E-3</v>
      </c>
      <c r="G1641" s="156"/>
    </row>
    <row r="1642" spans="2:7" x14ac:dyDescent="0.2">
      <c r="B1642" s="230">
        <v>43581</v>
      </c>
      <c r="C1642" s="124">
        <v>304.55</v>
      </c>
      <c r="D1642" s="156">
        <f t="shared" si="26"/>
        <v>1.0618881699021034E-2</v>
      </c>
      <c r="E1642" s="156">
        <v>5.209338221107555E-3</v>
      </c>
      <c r="G1642" s="156"/>
    </row>
    <row r="1643" spans="2:7" x14ac:dyDescent="0.2">
      <c r="B1643" s="230">
        <v>43580</v>
      </c>
      <c r="C1643" s="124">
        <v>304.14999999999998</v>
      </c>
      <c r="D1643" s="156">
        <f t="shared" si="26"/>
        <v>-1.3134132326384307E-3</v>
      </c>
      <c r="E1643" s="156">
        <v>5.2068933738825705E-3</v>
      </c>
      <c r="G1643" s="156"/>
    </row>
    <row r="1644" spans="2:7" x14ac:dyDescent="0.2">
      <c r="B1644" s="230">
        <v>43579</v>
      </c>
      <c r="C1644" s="124">
        <v>306.45</v>
      </c>
      <c r="D1644" s="156">
        <f t="shared" si="26"/>
        <v>7.5620581949696255E-3</v>
      </c>
      <c r="E1644" s="156">
        <v>5.2064414578036908E-3</v>
      </c>
      <c r="G1644" s="156"/>
    </row>
    <row r="1645" spans="2:7" x14ac:dyDescent="0.2">
      <c r="B1645" s="230">
        <v>43578</v>
      </c>
      <c r="C1645" s="124">
        <v>303.39999999999998</v>
      </c>
      <c r="D1645" s="156">
        <f t="shared" si="26"/>
        <v>-9.9526839614945718E-3</v>
      </c>
      <c r="E1645" s="156">
        <v>5.2043665905051606E-3</v>
      </c>
      <c r="G1645" s="156"/>
    </row>
    <row r="1646" spans="2:7" x14ac:dyDescent="0.2">
      <c r="B1646" s="230">
        <v>43577</v>
      </c>
      <c r="C1646" s="124">
        <v>301.8</v>
      </c>
      <c r="D1646" s="156">
        <f t="shared" si="26"/>
        <v>-5.273566249175893E-3</v>
      </c>
      <c r="E1646" s="156">
        <v>5.2025855273529608E-3</v>
      </c>
      <c r="G1646" s="156"/>
    </row>
    <row r="1647" spans="2:7" x14ac:dyDescent="0.2">
      <c r="B1647" s="230">
        <v>43573</v>
      </c>
      <c r="C1647" s="124">
        <v>304.39999999999998</v>
      </c>
      <c r="D1647" s="156">
        <f t="shared" si="26"/>
        <v>8.6149768058315628E-3</v>
      </c>
      <c r="E1647" s="156">
        <v>5.1976011071812947E-3</v>
      </c>
      <c r="G1647" s="156"/>
    </row>
    <row r="1648" spans="2:7" x14ac:dyDescent="0.2">
      <c r="B1648" s="230">
        <v>43571</v>
      </c>
      <c r="C1648" s="124">
        <v>307.2</v>
      </c>
      <c r="D1648" s="156">
        <f t="shared" si="26"/>
        <v>9.1984231274639013E-3</v>
      </c>
      <c r="E1648" s="156">
        <v>5.1779935275081644E-3</v>
      </c>
      <c r="G1648" s="156"/>
    </row>
    <row r="1649" spans="2:7" x14ac:dyDescent="0.2">
      <c r="B1649" s="230">
        <v>43570</v>
      </c>
      <c r="C1649" s="124">
        <v>305.5</v>
      </c>
      <c r="D1649" s="156">
        <f t="shared" si="26"/>
        <v>-5.5338541666666297E-3</v>
      </c>
      <c r="E1649" s="156">
        <v>5.1768766177740276E-3</v>
      </c>
      <c r="G1649" s="156"/>
    </row>
    <row r="1650" spans="2:7" x14ac:dyDescent="0.2">
      <c r="B1650" s="230">
        <v>43567</v>
      </c>
      <c r="C1650" s="124">
        <v>305.75</v>
      </c>
      <c r="D1650" s="156">
        <f t="shared" si="26"/>
        <v>8.1833060556464816E-4</v>
      </c>
      <c r="E1650" s="156">
        <v>5.1759834368529179E-3</v>
      </c>
      <c r="G1650" s="156"/>
    </row>
    <row r="1651" spans="2:7" x14ac:dyDescent="0.2">
      <c r="B1651" s="230">
        <v>43566</v>
      </c>
      <c r="C1651" s="124">
        <v>296.39999999999998</v>
      </c>
      <c r="D1651" s="156">
        <f t="shared" si="26"/>
        <v>-3.0580539656582251E-2</v>
      </c>
      <c r="E1651" s="156">
        <v>5.1744134177892608E-3</v>
      </c>
      <c r="G1651" s="156"/>
    </row>
    <row r="1652" spans="2:7" x14ac:dyDescent="0.2">
      <c r="B1652" s="230">
        <v>43565</v>
      </c>
      <c r="C1652" s="124">
        <v>294.7</v>
      </c>
      <c r="D1652" s="156">
        <f t="shared" si="26"/>
        <v>-5.7354925775978029E-3</v>
      </c>
      <c r="E1652" s="156">
        <v>5.1644468605600274E-3</v>
      </c>
      <c r="G1652" s="156"/>
    </row>
    <row r="1653" spans="2:7" x14ac:dyDescent="0.2">
      <c r="B1653" s="230">
        <v>43564</v>
      </c>
      <c r="C1653" s="124">
        <v>296.3</v>
      </c>
      <c r="D1653" s="156">
        <f t="shared" si="26"/>
        <v>5.4292500848321101E-3</v>
      </c>
      <c r="E1653" s="156">
        <v>5.1592642440556561E-3</v>
      </c>
      <c r="G1653" s="156"/>
    </row>
    <row r="1654" spans="2:7" x14ac:dyDescent="0.2">
      <c r="B1654" s="230">
        <v>43563</v>
      </c>
      <c r="C1654" s="124">
        <v>292.75</v>
      </c>
      <c r="D1654" s="156">
        <f t="shared" si="26"/>
        <v>-1.1981100236247084E-2</v>
      </c>
      <c r="E1654" s="156">
        <v>5.1546391752578056E-3</v>
      </c>
      <c r="G1654" s="156"/>
    </row>
    <row r="1655" spans="2:7" x14ac:dyDescent="0.2">
      <c r="B1655" s="230">
        <v>43560</v>
      </c>
      <c r="C1655" s="124">
        <v>294.55</v>
      </c>
      <c r="D1655" s="156">
        <f t="shared" si="26"/>
        <v>6.1485909479078102E-3</v>
      </c>
      <c r="E1655" s="156">
        <v>5.1535167307831782E-3</v>
      </c>
      <c r="G1655" s="156"/>
    </row>
    <row r="1656" spans="2:7" x14ac:dyDescent="0.2">
      <c r="B1656" s="230">
        <v>43559</v>
      </c>
      <c r="C1656" s="124">
        <v>294.8</v>
      </c>
      <c r="D1656" s="156">
        <f t="shared" si="26"/>
        <v>8.4875233406891861E-4</v>
      </c>
      <c r="E1656" s="156">
        <v>5.1483773934169396E-3</v>
      </c>
      <c r="G1656" s="156"/>
    </row>
    <row r="1657" spans="2:7" x14ac:dyDescent="0.2">
      <c r="B1657" s="230">
        <v>43558</v>
      </c>
      <c r="C1657" s="124">
        <v>296.14999999999998</v>
      </c>
      <c r="D1657" s="156">
        <f t="shared" si="26"/>
        <v>4.5793758480324482E-3</v>
      </c>
      <c r="E1657" s="156">
        <v>5.1469946785309556E-3</v>
      </c>
      <c r="G1657" s="156"/>
    </row>
    <row r="1658" spans="2:7" x14ac:dyDescent="0.2">
      <c r="B1658" s="230">
        <v>43557</v>
      </c>
      <c r="C1658" s="124">
        <v>297.89999999999998</v>
      </c>
      <c r="D1658" s="156">
        <f t="shared" si="26"/>
        <v>5.9091676515279426E-3</v>
      </c>
      <c r="E1658" s="156">
        <v>5.1454138702461101E-3</v>
      </c>
      <c r="G1658" s="156"/>
    </row>
    <row r="1659" spans="2:7" x14ac:dyDescent="0.2">
      <c r="B1659" s="230">
        <v>43556</v>
      </c>
      <c r="C1659" s="124">
        <v>297.25</v>
      </c>
      <c r="D1659" s="156">
        <f t="shared" si="26"/>
        <v>-2.1819402484054289E-3</v>
      </c>
      <c r="E1659" s="156">
        <v>5.1395832163118127E-3</v>
      </c>
      <c r="G1659" s="156"/>
    </row>
    <row r="1660" spans="2:7" x14ac:dyDescent="0.2">
      <c r="B1660" s="230">
        <v>43553</v>
      </c>
      <c r="C1660" s="124">
        <v>297.25</v>
      </c>
      <c r="D1660" s="156">
        <f t="shared" si="26"/>
        <v>0</v>
      </c>
      <c r="E1660" s="156">
        <v>5.1177072671443188E-3</v>
      </c>
      <c r="G1660" s="156"/>
    </row>
    <row r="1661" spans="2:7" x14ac:dyDescent="0.2">
      <c r="B1661" s="230">
        <v>43552</v>
      </c>
      <c r="C1661" s="124">
        <v>300</v>
      </c>
      <c r="D1661" s="156">
        <f t="shared" si="26"/>
        <v>9.2514718250630776E-3</v>
      </c>
      <c r="E1661" s="156">
        <v>5.1169590643275059E-3</v>
      </c>
      <c r="G1661" s="156"/>
    </row>
    <row r="1662" spans="2:7" x14ac:dyDescent="0.2">
      <c r="B1662" s="230">
        <v>43551</v>
      </c>
      <c r="C1662" s="124">
        <v>293.10000000000002</v>
      </c>
      <c r="D1662" s="156">
        <f t="shared" ref="D1662:D1725" si="27">(C1662-C1661)/C1661</f>
        <v>-2.2999999999999923E-2</v>
      </c>
      <c r="E1662" s="156">
        <v>5.1060487038491363E-3</v>
      </c>
      <c r="G1662" s="156"/>
    </row>
    <row r="1663" spans="2:7" x14ac:dyDescent="0.2">
      <c r="B1663" s="230">
        <v>43550</v>
      </c>
      <c r="C1663" s="124">
        <v>293.39999999999998</v>
      </c>
      <c r="D1663" s="156">
        <f t="shared" si="27"/>
        <v>1.0235414534287086E-3</v>
      </c>
      <c r="E1663" s="156">
        <v>5.1010857356795364E-3</v>
      </c>
      <c r="G1663" s="156"/>
    </row>
    <row r="1664" spans="2:7" x14ac:dyDescent="0.2">
      <c r="B1664" s="230">
        <v>43549</v>
      </c>
      <c r="C1664" s="124">
        <v>295.05</v>
      </c>
      <c r="D1664" s="156">
        <f t="shared" si="27"/>
        <v>5.6237218813907095E-3</v>
      </c>
      <c r="E1664" s="156">
        <v>5.0933786078097183E-3</v>
      </c>
      <c r="G1664" s="156"/>
    </row>
    <row r="1665" spans="2:7" x14ac:dyDescent="0.2">
      <c r="B1665" s="230">
        <v>43546</v>
      </c>
      <c r="C1665" s="124">
        <v>298.2</v>
      </c>
      <c r="D1665" s="156">
        <f t="shared" si="27"/>
        <v>1.0676156583629815E-2</v>
      </c>
      <c r="E1665" s="156">
        <v>5.0875050875050874E-3</v>
      </c>
      <c r="G1665" s="156"/>
    </row>
    <row r="1666" spans="2:7" x14ac:dyDescent="0.2">
      <c r="B1666" s="230">
        <v>43544</v>
      </c>
      <c r="C1666" s="124">
        <v>298.89999999999998</v>
      </c>
      <c r="D1666" s="156">
        <f t="shared" si="27"/>
        <v>2.3474178403755487E-3</v>
      </c>
      <c r="E1666" s="156">
        <v>5.0836339783535958E-3</v>
      </c>
      <c r="G1666" s="156"/>
    </row>
    <row r="1667" spans="2:7" x14ac:dyDescent="0.2">
      <c r="B1667" s="230">
        <v>43543</v>
      </c>
      <c r="C1667" s="124">
        <v>299.45</v>
      </c>
      <c r="D1667" s="156">
        <f t="shared" si="27"/>
        <v>1.8400802944128854E-3</v>
      </c>
      <c r="E1667" s="156">
        <v>5.0761421319795172E-3</v>
      </c>
      <c r="G1667" s="156"/>
    </row>
    <row r="1668" spans="2:7" x14ac:dyDescent="0.2">
      <c r="B1668" s="230">
        <v>43542</v>
      </c>
      <c r="C1668" s="124">
        <v>293.75</v>
      </c>
      <c r="D1668" s="156">
        <f t="shared" si="27"/>
        <v>-1.9034897311738148E-2</v>
      </c>
      <c r="E1668" s="156">
        <v>5.0590219224284022E-3</v>
      </c>
      <c r="G1668" s="156"/>
    </row>
    <row r="1669" spans="2:7" x14ac:dyDescent="0.2">
      <c r="B1669" s="230">
        <v>43539</v>
      </c>
      <c r="C1669" s="124">
        <v>290.8</v>
      </c>
      <c r="D1669" s="156">
        <f t="shared" si="27"/>
        <v>-1.0042553191489324E-2</v>
      </c>
      <c r="E1669" s="156">
        <v>5.0589436554348988E-3</v>
      </c>
      <c r="G1669" s="156"/>
    </row>
    <row r="1670" spans="2:7" x14ac:dyDescent="0.2">
      <c r="B1670" s="230">
        <v>43538</v>
      </c>
      <c r="C1670" s="124">
        <v>295.5</v>
      </c>
      <c r="D1670" s="156">
        <f t="shared" si="27"/>
        <v>1.6162310866574926E-2</v>
      </c>
      <c r="E1670" s="156">
        <v>5.0564638462835708E-3</v>
      </c>
      <c r="G1670" s="156"/>
    </row>
    <row r="1671" spans="2:7" x14ac:dyDescent="0.2">
      <c r="B1671" s="230">
        <v>43537</v>
      </c>
      <c r="C1671" s="124">
        <v>294.89999999999998</v>
      </c>
      <c r="D1671" s="156">
        <f t="shared" si="27"/>
        <v>-2.030456852791955E-3</v>
      </c>
      <c r="E1671" s="156">
        <v>5.0491629019398807E-3</v>
      </c>
      <c r="G1671" s="156"/>
    </row>
    <row r="1672" spans="2:7" x14ac:dyDescent="0.2">
      <c r="B1672" s="230">
        <v>43536</v>
      </c>
      <c r="C1672" s="124">
        <v>294.5</v>
      </c>
      <c r="D1672" s="156">
        <f t="shared" si="27"/>
        <v>-1.3563919972871389E-3</v>
      </c>
      <c r="E1672" s="156">
        <v>5.0272308336825186E-3</v>
      </c>
      <c r="G1672" s="156"/>
    </row>
    <row r="1673" spans="2:7" x14ac:dyDescent="0.2">
      <c r="B1673" s="230">
        <v>43535</v>
      </c>
      <c r="C1673" s="124">
        <v>292.95</v>
      </c>
      <c r="D1673" s="156">
        <f t="shared" si="27"/>
        <v>-5.263157894736881E-3</v>
      </c>
      <c r="E1673" s="156">
        <v>5.024826807005018E-3</v>
      </c>
      <c r="G1673" s="156"/>
    </row>
    <row r="1674" spans="2:7" x14ac:dyDescent="0.2">
      <c r="B1674" s="230">
        <v>43532</v>
      </c>
      <c r="C1674" s="124">
        <v>292</v>
      </c>
      <c r="D1674" s="156">
        <f t="shared" si="27"/>
        <v>-3.2428742106161072E-3</v>
      </c>
      <c r="E1674" s="156">
        <v>5.0219711236659317E-3</v>
      </c>
      <c r="G1674" s="156"/>
    </row>
    <row r="1675" spans="2:7" x14ac:dyDescent="0.2">
      <c r="B1675" s="230">
        <v>43531</v>
      </c>
      <c r="C1675" s="124">
        <v>290.10000000000002</v>
      </c>
      <c r="D1675" s="156">
        <f t="shared" si="27"/>
        <v>-6.5068493150684152E-3</v>
      </c>
      <c r="E1675" s="156">
        <v>5.0184501845018954E-3</v>
      </c>
      <c r="G1675" s="156"/>
    </row>
    <row r="1676" spans="2:7" x14ac:dyDescent="0.2">
      <c r="B1676" s="230">
        <v>43530</v>
      </c>
      <c r="C1676" s="124">
        <v>285.75</v>
      </c>
      <c r="D1676" s="156">
        <f t="shared" si="27"/>
        <v>-1.4994829369183118E-2</v>
      </c>
      <c r="E1676" s="156">
        <v>5.0088652482269307E-3</v>
      </c>
      <c r="G1676" s="156"/>
    </row>
    <row r="1677" spans="2:7" x14ac:dyDescent="0.2">
      <c r="B1677" s="230">
        <v>43529</v>
      </c>
      <c r="C1677" s="124">
        <v>282.55</v>
      </c>
      <c r="D1677" s="156">
        <f t="shared" si="27"/>
        <v>-1.1198600174978087E-2</v>
      </c>
      <c r="E1677" s="156">
        <v>4.990504791767855E-3</v>
      </c>
      <c r="G1677" s="156"/>
    </row>
    <row r="1678" spans="2:7" x14ac:dyDescent="0.2">
      <c r="B1678" s="230">
        <v>43525</v>
      </c>
      <c r="C1678" s="124">
        <v>278.2</v>
      </c>
      <c r="D1678" s="156">
        <f t="shared" si="27"/>
        <v>-1.5395505220315069E-2</v>
      </c>
      <c r="E1678" s="156">
        <v>4.98376846051851E-3</v>
      </c>
      <c r="G1678" s="156"/>
    </row>
    <row r="1679" spans="2:7" x14ac:dyDescent="0.2">
      <c r="B1679" s="230">
        <v>43524</v>
      </c>
      <c r="C1679" s="124">
        <v>276.05</v>
      </c>
      <c r="D1679" s="156">
        <f t="shared" si="27"/>
        <v>-7.7282530553557773E-3</v>
      </c>
      <c r="E1679" s="156">
        <v>4.9825610363726956E-3</v>
      </c>
      <c r="G1679" s="156"/>
    </row>
    <row r="1680" spans="2:7" x14ac:dyDescent="0.2">
      <c r="B1680" s="230">
        <v>43523</v>
      </c>
      <c r="C1680" s="124">
        <v>275.10000000000002</v>
      </c>
      <c r="D1680" s="156">
        <f t="shared" si="27"/>
        <v>-3.4414055424741483E-3</v>
      </c>
      <c r="E1680" s="156">
        <v>4.9751243781094197E-3</v>
      </c>
      <c r="G1680" s="156"/>
    </row>
    <row r="1681" spans="2:7" x14ac:dyDescent="0.2">
      <c r="B1681" s="230">
        <v>43522</v>
      </c>
      <c r="C1681" s="124">
        <v>275.5</v>
      </c>
      <c r="D1681" s="156">
        <f t="shared" si="27"/>
        <v>1.454016721192211E-3</v>
      </c>
      <c r="E1681" s="156">
        <v>4.9682034976152624E-3</v>
      </c>
      <c r="G1681" s="156"/>
    </row>
    <row r="1682" spans="2:7" x14ac:dyDescent="0.2">
      <c r="B1682" s="230">
        <v>43521</v>
      </c>
      <c r="C1682" s="124">
        <v>276.7</v>
      </c>
      <c r="D1682" s="156">
        <f t="shared" si="27"/>
        <v>4.3557168784028625E-3</v>
      </c>
      <c r="E1682" s="156">
        <v>4.9543049543049594E-3</v>
      </c>
      <c r="G1682" s="156"/>
    </row>
    <row r="1683" spans="2:7" x14ac:dyDescent="0.2">
      <c r="B1683" s="230">
        <v>43518</v>
      </c>
      <c r="C1683" s="124">
        <v>274.3</v>
      </c>
      <c r="D1683" s="156">
        <f t="shared" si="27"/>
        <v>-8.6736537766533336E-3</v>
      </c>
      <c r="E1683" s="156">
        <v>4.9513810177176671E-3</v>
      </c>
      <c r="G1683" s="156"/>
    </row>
    <row r="1684" spans="2:7" x14ac:dyDescent="0.2">
      <c r="B1684" s="230">
        <v>43517</v>
      </c>
      <c r="C1684" s="124">
        <v>275.05</v>
      </c>
      <c r="D1684" s="156">
        <f t="shared" si="27"/>
        <v>2.7342325920524969E-3</v>
      </c>
      <c r="E1684" s="156">
        <v>4.9432823394733507E-3</v>
      </c>
      <c r="G1684" s="156"/>
    </row>
    <row r="1685" spans="2:7" x14ac:dyDescent="0.2">
      <c r="B1685" s="230">
        <v>43516</v>
      </c>
      <c r="C1685" s="124">
        <v>275.85000000000002</v>
      </c>
      <c r="D1685" s="156">
        <f t="shared" si="27"/>
        <v>2.9085620796219279E-3</v>
      </c>
      <c r="E1685" s="156">
        <v>4.9423393739704245E-3</v>
      </c>
      <c r="G1685" s="156"/>
    </row>
    <row r="1686" spans="2:7" x14ac:dyDescent="0.2">
      <c r="B1686" s="230">
        <v>43515</v>
      </c>
      <c r="C1686" s="124">
        <v>275.89999999999998</v>
      </c>
      <c r="D1686" s="156">
        <f t="shared" si="27"/>
        <v>1.8125793003427414E-4</v>
      </c>
      <c r="E1686" s="156">
        <v>4.924167815639157E-3</v>
      </c>
      <c r="G1686" s="156"/>
    </row>
    <row r="1687" spans="2:7" x14ac:dyDescent="0.2">
      <c r="B1687" s="230">
        <v>43514</v>
      </c>
      <c r="C1687" s="124">
        <v>274.7</v>
      </c>
      <c r="D1687" s="156">
        <f t="shared" si="27"/>
        <v>-4.3494019572308399E-3</v>
      </c>
      <c r="E1687" s="156">
        <v>4.9103330486763696E-3</v>
      </c>
      <c r="G1687" s="156"/>
    </row>
    <row r="1688" spans="2:7" x14ac:dyDescent="0.2">
      <c r="B1688" s="230">
        <v>43511</v>
      </c>
      <c r="C1688" s="124">
        <v>280.10000000000002</v>
      </c>
      <c r="D1688" s="156">
        <f t="shared" si="27"/>
        <v>1.9657808518383817E-2</v>
      </c>
      <c r="E1688" s="156">
        <v>4.9094294904351021E-3</v>
      </c>
      <c r="G1688" s="156"/>
    </row>
    <row r="1689" spans="2:7" x14ac:dyDescent="0.2">
      <c r="B1689" s="230">
        <v>43510</v>
      </c>
      <c r="C1689" s="124">
        <v>277.89999999999998</v>
      </c>
      <c r="D1689" s="156">
        <f t="shared" si="27"/>
        <v>-7.8543377365228317E-3</v>
      </c>
      <c r="E1689" s="156">
        <v>4.9088880624769439E-3</v>
      </c>
      <c r="G1689" s="156"/>
    </row>
    <row r="1690" spans="2:7" x14ac:dyDescent="0.2">
      <c r="B1690" s="230">
        <v>43509</v>
      </c>
      <c r="C1690" s="124">
        <v>276.85000000000002</v>
      </c>
      <c r="D1690" s="156">
        <f t="shared" si="27"/>
        <v>-3.7783375314859829E-3</v>
      </c>
      <c r="E1690" s="156">
        <v>4.9041462327240049E-3</v>
      </c>
      <c r="G1690" s="156"/>
    </row>
    <row r="1691" spans="2:7" x14ac:dyDescent="0.2">
      <c r="B1691" s="230">
        <v>43508</v>
      </c>
      <c r="C1691" s="124">
        <v>275.3</v>
      </c>
      <c r="D1691" s="156">
        <f t="shared" si="27"/>
        <v>-5.5986996568539327E-3</v>
      </c>
      <c r="E1691" s="156">
        <v>4.9014440813743981E-3</v>
      </c>
      <c r="G1691" s="156"/>
    </row>
    <row r="1692" spans="2:7" x14ac:dyDescent="0.2">
      <c r="B1692" s="230">
        <v>43507</v>
      </c>
      <c r="C1692" s="124">
        <v>277.10000000000002</v>
      </c>
      <c r="D1692" s="156">
        <f t="shared" si="27"/>
        <v>6.5383218307301537E-3</v>
      </c>
      <c r="E1692" s="156">
        <v>4.8797094870630118E-3</v>
      </c>
      <c r="G1692" s="156"/>
    </row>
    <row r="1693" spans="2:7" x14ac:dyDescent="0.2">
      <c r="B1693" s="230">
        <v>43504</v>
      </c>
      <c r="C1693" s="124">
        <v>275.5</v>
      </c>
      <c r="D1693" s="156">
        <f t="shared" si="27"/>
        <v>-5.7740887766150224E-3</v>
      </c>
      <c r="E1693" s="156">
        <v>4.8575844557298426E-3</v>
      </c>
      <c r="G1693" s="156"/>
    </row>
    <row r="1694" spans="2:7" x14ac:dyDescent="0.2">
      <c r="B1694" s="230">
        <v>43503</v>
      </c>
      <c r="C1694" s="124">
        <v>280.3</v>
      </c>
      <c r="D1694" s="156">
        <f t="shared" si="27"/>
        <v>1.7422867513611655E-2</v>
      </c>
      <c r="E1694" s="156">
        <v>4.8459674627898139E-3</v>
      </c>
      <c r="G1694" s="156"/>
    </row>
    <row r="1695" spans="2:7" x14ac:dyDescent="0.2">
      <c r="B1695" s="230">
        <v>43502</v>
      </c>
      <c r="C1695" s="124">
        <v>277.7</v>
      </c>
      <c r="D1695" s="156">
        <f t="shared" si="27"/>
        <v>-9.2757759543347224E-3</v>
      </c>
      <c r="E1695" s="156">
        <v>4.8408117668963368E-3</v>
      </c>
      <c r="G1695" s="156"/>
    </row>
    <row r="1696" spans="2:7" x14ac:dyDescent="0.2">
      <c r="B1696" s="230">
        <v>43501</v>
      </c>
      <c r="C1696" s="124">
        <v>274.14999999999998</v>
      </c>
      <c r="D1696" s="156">
        <f t="shared" si="27"/>
        <v>-1.2783579402232667E-2</v>
      </c>
      <c r="E1696" s="156">
        <v>4.8403641492500574E-3</v>
      </c>
      <c r="G1696" s="156"/>
    </row>
    <row r="1697" spans="2:7" x14ac:dyDescent="0.2">
      <c r="B1697" s="230">
        <v>43500</v>
      </c>
      <c r="C1697" s="124">
        <v>277.10000000000002</v>
      </c>
      <c r="D1697" s="156">
        <f t="shared" si="27"/>
        <v>1.0760532555170694E-2</v>
      </c>
      <c r="E1697" s="156">
        <v>4.8349800294303375E-3</v>
      </c>
      <c r="G1697" s="156"/>
    </row>
    <row r="1698" spans="2:7" x14ac:dyDescent="0.2">
      <c r="B1698" s="230">
        <v>43497</v>
      </c>
      <c r="C1698" s="124">
        <v>280.85000000000002</v>
      </c>
      <c r="D1698" s="156">
        <f t="shared" si="27"/>
        <v>1.3533020570191266E-2</v>
      </c>
      <c r="E1698" s="156">
        <v>4.8127223268466445E-3</v>
      </c>
      <c r="G1698" s="156"/>
    </row>
    <row r="1699" spans="2:7" x14ac:dyDescent="0.2">
      <c r="B1699" s="230">
        <v>43496</v>
      </c>
      <c r="C1699" s="124">
        <v>278.64999999999998</v>
      </c>
      <c r="D1699" s="156">
        <f t="shared" si="27"/>
        <v>-7.8333630051630604E-3</v>
      </c>
      <c r="E1699" s="156">
        <v>4.810261892036375E-3</v>
      </c>
      <c r="G1699" s="156"/>
    </row>
    <row r="1700" spans="2:7" x14ac:dyDescent="0.2">
      <c r="B1700" s="230">
        <v>43495</v>
      </c>
      <c r="C1700" s="124">
        <v>275.5</v>
      </c>
      <c r="D1700" s="156">
        <f t="shared" si="27"/>
        <v>-1.1304503857886157E-2</v>
      </c>
      <c r="E1700" s="156">
        <v>4.7870658898974943E-3</v>
      </c>
      <c r="G1700" s="156"/>
    </row>
    <row r="1701" spans="2:7" x14ac:dyDescent="0.2">
      <c r="B1701" s="230">
        <v>43494</v>
      </c>
      <c r="C1701" s="124">
        <v>278.45</v>
      </c>
      <c r="D1701" s="156">
        <f t="shared" si="27"/>
        <v>1.070780399274043E-2</v>
      </c>
      <c r="E1701" s="156">
        <v>4.7869321686776663E-3</v>
      </c>
      <c r="G1701" s="156"/>
    </row>
    <row r="1702" spans="2:7" x14ac:dyDescent="0.2">
      <c r="B1702" s="230">
        <v>43493</v>
      </c>
      <c r="C1702" s="124">
        <v>274.75</v>
      </c>
      <c r="D1702" s="156">
        <f t="shared" si="27"/>
        <v>-1.3287843418926158E-2</v>
      </c>
      <c r="E1702" s="156">
        <v>4.7855530474040734E-3</v>
      </c>
      <c r="G1702" s="156"/>
    </row>
    <row r="1703" spans="2:7" x14ac:dyDescent="0.2">
      <c r="B1703" s="230">
        <v>43490</v>
      </c>
      <c r="C1703" s="124">
        <v>279.2</v>
      </c>
      <c r="D1703" s="156">
        <f t="shared" si="27"/>
        <v>1.6196542311191952E-2</v>
      </c>
      <c r="E1703" s="156">
        <v>4.7818290496115445E-3</v>
      </c>
      <c r="G1703" s="156"/>
    </row>
    <row r="1704" spans="2:7" x14ac:dyDescent="0.2">
      <c r="B1704" s="230">
        <v>43489</v>
      </c>
      <c r="C1704" s="124">
        <v>278.89999999999998</v>
      </c>
      <c r="D1704" s="156">
        <f t="shared" si="27"/>
        <v>-1.0744985673352843E-3</v>
      </c>
      <c r="E1704" s="156">
        <v>4.7794916358896121E-3</v>
      </c>
      <c r="G1704" s="156"/>
    </row>
    <row r="1705" spans="2:7" x14ac:dyDescent="0.2">
      <c r="B1705" s="230">
        <v>43488</v>
      </c>
      <c r="C1705" s="124">
        <v>277.3</v>
      </c>
      <c r="D1705" s="156">
        <f t="shared" si="27"/>
        <v>-5.7368232341339764E-3</v>
      </c>
      <c r="E1705" s="156">
        <v>4.7775455359809578E-3</v>
      </c>
      <c r="G1705" s="156"/>
    </row>
    <row r="1706" spans="2:7" x14ac:dyDescent="0.2">
      <c r="B1706" s="230">
        <v>43487</v>
      </c>
      <c r="C1706" s="124">
        <v>289.75</v>
      </c>
      <c r="D1706" s="156">
        <f t="shared" si="27"/>
        <v>4.489722322394514E-2</v>
      </c>
      <c r="E1706" s="156">
        <v>4.7645226314823328E-3</v>
      </c>
      <c r="G1706" s="156"/>
    </row>
    <row r="1707" spans="2:7" x14ac:dyDescent="0.2">
      <c r="B1707" s="230">
        <v>43486</v>
      </c>
      <c r="C1707" s="124">
        <v>289.89999999999998</v>
      </c>
      <c r="D1707" s="156">
        <f t="shared" si="27"/>
        <v>5.1768766177731585E-4</v>
      </c>
      <c r="E1707" s="156">
        <v>4.7592643933093114E-3</v>
      </c>
      <c r="G1707" s="156"/>
    </row>
    <row r="1708" spans="2:7" x14ac:dyDescent="0.2">
      <c r="B1708" s="230">
        <v>43483</v>
      </c>
      <c r="C1708" s="124">
        <v>291.45</v>
      </c>
      <c r="D1708" s="156">
        <f t="shared" si="27"/>
        <v>5.346671265953817E-3</v>
      </c>
      <c r="E1708" s="156">
        <v>4.7553305721736812E-3</v>
      </c>
      <c r="G1708" s="156"/>
    </row>
    <row r="1709" spans="2:7" x14ac:dyDescent="0.2">
      <c r="B1709" s="230">
        <v>43482</v>
      </c>
      <c r="C1709" s="124">
        <v>293.95</v>
      </c>
      <c r="D1709" s="156">
        <f t="shared" si="27"/>
        <v>8.5778006519128501E-3</v>
      </c>
      <c r="E1709" s="156">
        <v>4.7486894850445995E-3</v>
      </c>
      <c r="G1709" s="156"/>
    </row>
    <row r="1710" spans="2:7" x14ac:dyDescent="0.2">
      <c r="B1710" s="230">
        <v>43481</v>
      </c>
      <c r="C1710" s="124">
        <v>294.05</v>
      </c>
      <c r="D1710" s="156">
        <f t="shared" si="27"/>
        <v>3.4019391052907892E-4</v>
      </c>
      <c r="E1710" s="156">
        <v>4.7465672147821852E-3</v>
      </c>
      <c r="G1710" s="156"/>
    </row>
    <row r="1711" spans="2:7" x14ac:dyDescent="0.2">
      <c r="B1711" s="230">
        <v>43480</v>
      </c>
      <c r="C1711" s="124">
        <v>296.55</v>
      </c>
      <c r="D1711" s="156">
        <f t="shared" si="27"/>
        <v>8.5019554497534431E-3</v>
      </c>
      <c r="E1711" s="156">
        <v>4.7456621681744712E-3</v>
      </c>
      <c r="G1711" s="156"/>
    </row>
    <row r="1712" spans="2:7" x14ac:dyDescent="0.2">
      <c r="B1712" s="230">
        <v>43479</v>
      </c>
      <c r="C1712" s="124">
        <v>294.3</v>
      </c>
      <c r="D1712" s="156">
        <f t="shared" si="27"/>
        <v>-7.5872534142640358E-3</v>
      </c>
      <c r="E1712" s="156">
        <v>4.7436187034107461E-3</v>
      </c>
      <c r="G1712" s="156"/>
    </row>
    <row r="1713" spans="2:7" x14ac:dyDescent="0.2">
      <c r="B1713" s="230">
        <v>43476</v>
      </c>
      <c r="C1713" s="124">
        <v>295.35000000000002</v>
      </c>
      <c r="D1713" s="156">
        <f t="shared" si="27"/>
        <v>3.5677879714577348E-3</v>
      </c>
      <c r="E1713" s="156">
        <v>4.7361622733579347E-3</v>
      </c>
      <c r="G1713" s="156"/>
    </row>
    <row r="1714" spans="2:7" x14ac:dyDescent="0.2">
      <c r="B1714" s="230">
        <v>43475</v>
      </c>
      <c r="C1714" s="124">
        <v>289.60000000000002</v>
      </c>
      <c r="D1714" s="156">
        <f t="shared" si="27"/>
        <v>-1.9468427289656337E-2</v>
      </c>
      <c r="E1714" s="156">
        <v>4.7349285533102416E-3</v>
      </c>
      <c r="G1714" s="156"/>
    </row>
    <row r="1715" spans="2:7" x14ac:dyDescent="0.2">
      <c r="B1715" s="230">
        <v>43474</v>
      </c>
      <c r="C1715" s="124">
        <v>290.39999999999998</v>
      </c>
      <c r="D1715" s="156">
        <f t="shared" si="27"/>
        <v>2.7624309392263622E-3</v>
      </c>
      <c r="E1715" s="156">
        <v>4.7318611987382008E-3</v>
      </c>
      <c r="G1715" s="156"/>
    </row>
    <row r="1716" spans="2:7" x14ac:dyDescent="0.2">
      <c r="B1716" s="230">
        <v>43473</v>
      </c>
      <c r="C1716" s="124">
        <v>284.25</v>
      </c>
      <c r="D1716" s="156">
        <f t="shared" si="27"/>
        <v>-2.1177685950413146E-2</v>
      </c>
      <c r="E1716" s="156">
        <v>4.7315058205031572E-3</v>
      </c>
      <c r="G1716" s="156"/>
    </row>
    <row r="1717" spans="2:7" x14ac:dyDescent="0.2">
      <c r="B1717" s="230">
        <v>43472</v>
      </c>
      <c r="C1717" s="124">
        <v>281.64999999999998</v>
      </c>
      <c r="D1717" s="156">
        <f t="shared" si="27"/>
        <v>-9.146877748460942E-3</v>
      </c>
      <c r="E1717" s="156">
        <v>4.7144152311877109E-3</v>
      </c>
      <c r="G1717" s="156"/>
    </row>
    <row r="1718" spans="2:7" x14ac:dyDescent="0.2">
      <c r="B1718" s="230">
        <v>43469</v>
      </c>
      <c r="C1718" s="124">
        <v>280.95</v>
      </c>
      <c r="D1718" s="156">
        <f t="shared" si="27"/>
        <v>-2.4853541629681827E-3</v>
      </c>
      <c r="E1718" s="156">
        <v>4.7133951649686919E-3</v>
      </c>
      <c r="G1718" s="156"/>
    </row>
    <row r="1719" spans="2:7" x14ac:dyDescent="0.2">
      <c r="B1719" s="230">
        <v>43468</v>
      </c>
      <c r="C1719" s="124">
        <v>278.85000000000002</v>
      </c>
      <c r="D1719" s="156">
        <f t="shared" si="27"/>
        <v>-7.4746396155898412E-3</v>
      </c>
      <c r="E1719" s="156">
        <v>4.7022815804117915E-3</v>
      </c>
      <c r="G1719" s="156"/>
    </row>
    <row r="1720" spans="2:7" x14ac:dyDescent="0.2">
      <c r="B1720" s="230">
        <v>43467</v>
      </c>
      <c r="C1720" s="124">
        <v>280.60000000000002</v>
      </c>
      <c r="D1720" s="156">
        <f t="shared" si="27"/>
        <v>6.2757755065447366E-3</v>
      </c>
      <c r="E1720" s="156">
        <v>4.687761593838961E-3</v>
      </c>
      <c r="G1720" s="156"/>
    </row>
    <row r="1721" spans="2:7" x14ac:dyDescent="0.2">
      <c r="B1721" s="230">
        <v>43466</v>
      </c>
      <c r="C1721" s="124">
        <v>282.7</v>
      </c>
      <c r="D1721" s="156">
        <f t="shared" si="27"/>
        <v>7.4839629365643827E-3</v>
      </c>
      <c r="E1721" s="156">
        <v>4.683402023229674E-3</v>
      </c>
      <c r="G1721" s="156"/>
    </row>
    <row r="1722" spans="2:7" x14ac:dyDescent="0.2">
      <c r="B1722" s="230">
        <v>43465</v>
      </c>
      <c r="C1722" s="124">
        <v>281.64999999999998</v>
      </c>
      <c r="D1722" s="156">
        <f t="shared" si="27"/>
        <v>-3.7141846480368283E-3</v>
      </c>
      <c r="E1722" s="156">
        <v>4.6814671814671763E-3</v>
      </c>
      <c r="G1722" s="156"/>
    </row>
    <row r="1723" spans="2:7" x14ac:dyDescent="0.2">
      <c r="B1723" s="230">
        <v>43462</v>
      </c>
      <c r="C1723" s="124">
        <v>282.25</v>
      </c>
      <c r="D1723" s="156">
        <f t="shared" si="27"/>
        <v>2.1303035682585579E-3</v>
      </c>
      <c r="E1723" s="156">
        <v>4.6776489729510092E-3</v>
      </c>
      <c r="G1723" s="156"/>
    </row>
    <row r="1724" spans="2:7" x14ac:dyDescent="0.2">
      <c r="B1724" s="230">
        <v>43461</v>
      </c>
      <c r="C1724" s="124">
        <v>280.75</v>
      </c>
      <c r="D1724" s="156">
        <f t="shared" si="27"/>
        <v>-5.3144375553587243E-3</v>
      </c>
      <c r="E1724" s="156">
        <v>4.6714419184054369E-3</v>
      </c>
      <c r="G1724" s="156"/>
    </row>
    <row r="1725" spans="2:7" x14ac:dyDescent="0.2">
      <c r="B1725" s="230">
        <v>43460</v>
      </c>
      <c r="C1725" s="124">
        <v>276.64999999999998</v>
      </c>
      <c r="D1725" s="156">
        <f t="shared" si="27"/>
        <v>-1.4603739982190642E-2</v>
      </c>
      <c r="E1725" s="156">
        <v>4.6674445740956822E-3</v>
      </c>
      <c r="G1725" s="156"/>
    </row>
    <row r="1726" spans="2:7" x14ac:dyDescent="0.2">
      <c r="B1726" s="230">
        <v>43458</v>
      </c>
      <c r="C1726" s="124">
        <v>276</v>
      </c>
      <c r="D1726" s="156">
        <f t="shared" ref="D1726:D1789" si="28">(C1726-C1725)/C1725</f>
        <v>-2.3495391288631024E-3</v>
      </c>
      <c r="E1726" s="156">
        <v>4.6653144016227414E-3</v>
      </c>
      <c r="G1726" s="156"/>
    </row>
    <row r="1727" spans="2:7" x14ac:dyDescent="0.2">
      <c r="B1727" s="230">
        <v>43455</v>
      </c>
      <c r="C1727" s="124">
        <v>276.75</v>
      </c>
      <c r="D1727" s="156">
        <f t="shared" si="28"/>
        <v>2.717391304347826E-3</v>
      </c>
      <c r="E1727" s="156">
        <v>4.6602894285014329E-3</v>
      </c>
      <c r="G1727" s="156"/>
    </row>
    <row r="1728" spans="2:7" x14ac:dyDescent="0.2">
      <c r="B1728" s="230">
        <v>43454</v>
      </c>
      <c r="C1728" s="124">
        <v>282.64999999999998</v>
      </c>
      <c r="D1728" s="156">
        <f t="shared" si="28"/>
        <v>2.1318879855465139E-2</v>
      </c>
      <c r="E1728" s="156">
        <v>4.6429361043554829E-3</v>
      </c>
      <c r="G1728" s="156"/>
    </row>
    <row r="1729" spans="2:7" x14ac:dyDescent="0.2">
      <c r="B1729" s="230">
        <v>43453</v>
      </c>
      <c r="C1729" s="124">
        <v>283.45</v>
      </c>
      <c r="D1729" s="156">
        <f t="shared" si="28"/>
        <v>2.830355563417695E-3</v>
      </c>
      <c r="E1729" s="156">
        <v>4.6375944348867118E-3</v>
      </c>
      <c r="G1729" s="156"/>
    </row>
    <row r="1730" spans="2:7" x14ac:dyDescent="0.2">
      <c r="B1730" s="230">
        <v>43452</v>
      </c>
      <c r="C1730" s="124">
        <v>278.14999999999998</v>
      </c>
      <c r="D1730" s="156">
        <f t="shared" si="28"/>
        <v>-1.8698183101076068E-2</v>
      </c>
      <c r="E1730" s="156">
        <v>4.6021093000958337E-3</v>
      </c>
      <c r="G1730" s="156"/>
    </row>
    <row r="1731" spans="2:7" x14ac:dyDescent="0.2">
      <c r="B1731" s="230">
        <v>43451</v>
      </c>
      <c r="C1731" s="124">
        <v>279.85000000000002</v>
      </c>
      <c r="D1731" s="156">
        <f t="shared" si="28"/>
        <v>6.1118101743665131E-3</v>
      </c>
      <c r="E1731" s="156">
        <v>4.5990227076746848E-3</v>
      </c>
      <c r="G1731" s="156"/>
    </row>
    <row r="1732" spans="2:7" x14ac:dyDescent="0.2">
      <c r="B1732" s="230">
        <v>43448</v>
      </c>
      <c r="C1732" s="124">
        <v>275.75</v>
      </c>
      <c r="D1732" s="156">
        <f t="shared" si="28"/>
        <v>-1.4650705735215375E-2</v>
      </c>
      <c r="E1732" s="156">
        <v>4.595404595404618E-3</v>
      </c>
      <c r="G1732" s="156"/>
    </row>
    <row r="1733" spans="2:7" x14ac:dyDescent="0.2">
      <c r="B1733" s="230">
        <v>43447</v>
      </c>
      <c r="C1733" s="124">
        <v>275.3</v>
      </c>
      <c r="D1733" s="156">
        <f t="shared" si="28"/>
        <v>-1.6319129646418446E-3</v>
      </c>
      <c r="E1733" s="156">
        <v>4.5946832950443245E-3</v>
      </c>
      <c r="G1733" s="156"/>
    </row>
    <row r="1734" spans="2:7" x14ac:dyDescent="0.2">
      <c r="B1734" s="230">
        <v>43446</v>
      </c>
      <c r="C1734" s="124">
        <v>276.05</v>
      </c>
      <c r="D1734" s="156">
        <f t="shared" si="28"/>
        <v>2.7243007628042133E-3</v>
      </c>
      <c r="E1734" s="156">
        <v>4.5938104448742193E-3</v>
      </c>
      <c r="G1734" s="156"/>
    </row>
    <row r="1735" spans="2:7" x14ac:dyDescent="0.2">
      <c r="B1735" s="230">
        <v>43445</v>
      </c>
      <c r="C1735" s="124">
        <v>274.7</v>
      </c>
      <c r="D1735" s="156">
        <f t="shared" si="28"/>
        <v>-4.8904184024634043E-3</v>
      </c>
      <c r="E1735" s="156">
        <v>4.5920169551396176E-3</v>
      </c>
      <c r="G1735" s="156"/>
    </row>
    <row r="1736" spans="2:7" x14ac:dyDescent="0.2">
      <c r="B1736" s="230">
        <v>43444</v>
      </c>
      <c r="C1736" s="124">
        <v>270.45</v>
      </c>
      <c r="D1736" s="156">
        <f t="shared" si="28"/>
        <v>-1.5471423370950128E-2</v>
      </c>
      <c r="E1736" s="156">
        <v>4.5901639344262789E-3</v>
      </c>
      <c r="G1736" s="156"/>
    </row>
    <row r="1737" spans="2:7" x14ac:dyDescent="0.2">
      <c r="B1737" s="230">
        <v>43441</v>
      </c>
      <c r="C1737" s="124">
        <v>274.05</v>
      </c>
      <c r="D1737" s="156">
        <f t="shared" si="28"/>
        <v>1.3311148086522548E-2</v>
      </c>
      <c r="E1737" s="156">
        <v>4.58790758643292E-3</v>
      </c>
      <c r="G1737" s="156"/>
    </row>
    <row r="1738" spans="2:7" x14ac:dyDescent="0.2">
      <c r="B1738" s="230">
        <v>43440</v>
      </c>
      <c r="C1738" s="124">
        <v>273.05</v>
      </c>
      <c r="D1738" s="156">
        <f t="shared" si="28"/>
        <v>-3.6489691662105455E-3</v>
      </c>
      <c r="E1738" s="156">
        <v>4.580152671755682E-3</v>
      </c>
      <c r="G1738" s="156"/>
    </row>
    <row r="1739" spans="2:7" x14ac:dyDescent="0.2">
      <c r="B1739" s="230">
        <v>43439</v>
      </c>
      <c r="C1739" s="124">
        <v>275.35000000000002</v>
      </c>
      <c r="D1739" s="156">
        <f t="shared" si="28"/>
        <v>8.4233656839407117E-3</v>
      </c>
      <c r="E1739" s="156">
        <v>4.5793758480324482E-3</v>
      </c>
      <c r="G1739" s="156"/>
    </row>
    <row r="1740" spans="2:7" x14ac:dyDescent="0.2">
      <c r="B1740" s="230">
        <v>43438</v>
      </c>
      <c r="C1740" s="124">
        <v>281.85000000000002</v>
      </c>
      <c r="D1740" s="156">
        <f t="shared" si="28"/>
        <v>2.3606319230070817E-2</v>
      </c>
      <c r="E1740" s="156">
        <v>4.5779161325764511E-3</v>
      </c>
      <c r="G1740" s="156"/>
    </row>
    <row r="1741" spans="2:7" x14ac:dyDescent="0.2">
      <c r="B1741" s="230">
        <v>43437</v>
      </c>
      <c r="C1741" s="124">
        <v>282.95</v>
      </c>
      <c r="D1741" s="156">
        <f t="shared" si="28"/>
        <v>3.9027851694162347E-3</v>
      </c>
      <c r="E1741" s="156">
        <v>4.5612114577631814E-3</v>
      </c>
      <c r="G1741" s="156"/>
    </row>
    <row r="1742" spans="2:7" x14ac:dyDescent="0.2">
      <c r="B1742" s="230">
        <v>43434</v>
      </c>
      <c r="C1742" s="124">
        <v>285.8</v>
      </c>
      <c r="D1742" s="156">
        <f t="shared" si="28"/>
        <v>1.0072450963067761E-2</v>
      </c>
      <c r="E1742" s="156">
        <v>4.5605306799337596E-3</v>
      </c>
      <c r="G1742" s="156"/>
    </row>
    <row r="1743" spans="2:7" x14ac:dyDescent="0.2">
      <c r="B1743" s="230">
        <v>43433</v>
      </c>
      <c r="C1743" s="124">
        <v>287.55</v>
      </c>
      <c r="D1743" s="156">
        <f t="shared" si="28"/>
        <v>6.1231630510846747E-3</v>
      </c>
      <c r="E1743" s="156">
        <v>4.5393336518830089E-3</v>
      </c>
      <c r="G1743" s="156"/>
    </row>
    <row r="1744" spans="2:7" x14ac:dyDescent="0.2">
      <c r="B1744" s="230">
        <v>43432</v>
      </c>
      <c r="C1744" s="124">
        <v>282.2</v>
      </c>
      <c r="D1744" s="156">
        <f t="shared" si="28"/>
        <v>-1.860545992001399E-2</v>
      </c>
      <c r="E1744" s="156">
        <v>4.5167888188171225E-3</v>
      </c>
      <c r="G1744" s="156"/>
    </row>
    <row r="1745" spans="2:7" x14ac:dyDescent="0.2">
      <c r="B1745" s="230">
        <v>43431</v>
      </c>
      <c r="C1745" s="124">
        <v>284.85000000000002</v>
      </c>
      <c r="D1745" s="156">
        <f t="shared" si="28"/>
        <v>9.3905031892276194E-3</v>
      </c>
      <c r="E1745" s="156">
        <v>4.5053868756122235E-3</v>
      </c>
      <c r="G1745" s="156"/>
    </row>
    <row r="1746" spans="2:7" x14ac:dyDescent="0.2">
      <c r="B1746" s="230">
        <v>43430</v>
      </c>
      <c r="C1746" s="124">
        <v>285.64999999999998</v>
      </c>
      <c r="D1746" s="156">
        <f t="shared" si="28"/>
        <v>2.8084956994908002E-3</v>
      </c>
      <c r="E1746" s="156">
        <v>4.5021078050177807E-3</v>
      </c>
      <c r="G1746" s="156"/>
    </row>
    <row r="1747" spans="2:7" x14ac:dyDescent="0.2">
      <c r="B1747" s="230">
        <v>43426</v>
      </c>
      <c r="C1747" s="124">
        <v>280.5</v>
      </c>
      <c r="D1747" s="156">
        <f t="shared" si="28"/>
        <v>-1.8029056537720908E-2</v>
      </c>
      <c r="E1747" s="156">
        <v>4.4918950589154204E-3</v>
      </c>
      <c r="G1747" s="156"/>
    </row>
    <row r="1748" spans="2:7" x14ac:dyDescent="0.2">
      <c r="B1748" s="230">
        <v>43425</v>
      </c>
      <c r="C1748" s="124">
        <v>281.75</v>
      </c>
      <c r="D1748" s="156">
        <f t="shared" si="28"/>
        <v>4.4563279857397506E-3</v>
      </c>
      <c r="E1748" s="156">
        <v>4.4897959183673878E-3</v>
      </c>
      <c r="G1748" s="156"/>
    </row>
    <row r="1749" spans="2:7" x14ac:dyDescent="0.2">
      <c r="B1749" s="230">
        <v>43424</v>
      </c>
      <c r="C1749" s="124">
        <v>283.85000000000002</v>
      </c>
      <c r="D1749" s="156">
        <f t="shared" si="28"/>
        <v>7.4534161490684035E-3</v>
      </c>
      <c r="E1749" s="156">
        <v>4.4862518089725367E-3</v>
      </c>
      <c r="G1749" s="156"/>
    </row>
    <row r="1750" spans="2:7" x14ac:dyDescent="0.2">
      <c r="B1750" s="230">
        <v>43423</v>
      </c>
      <c r="C1750" s="124">
        <v>284.5</v>
      </c>
      <c r="D1750" s="156">
        <f t="shared" si="28"/>
        <v>2.2899418707062785E-3</v>
      </c>
      <c r="E1750" s="156">
        <v>4.4837615123606948E-3</v>
      </c>
      <c r="G1750" s="156"/>
    </row>
    <row r="1751" spans="2:7" x14ac:dyDescent="0.2">
      <c r="B1751" s="230">
        <v>43420</v>
      </c>
      <c r="C1751" s="124">
        <v>276.55</v>
      </c>
      <c r="D1751" s="156">
        <f t="shared" si="28"/>
        <v>-2.7943760984182737E-2</v>
      </c>
      <c r="E1751" s="156">
        <v>4.4712990936556438E-3</v>
      </c>
      <c r="G1751" s="156"/>
    </row>
    <row r="1752" spans="2:7" x14ac:dyDescent="0.2">
      <c r="B1752" s="230">
        <v>43419</v>
      </c>
      <c r="C1752" s="124">
        <v>274.5</v>
      </c>
      <c r="D1752" s="156">
        <f t="shared" si="28"/>
        <v>-7.4127644187308309E-3</v>
      </c>
      <c r="E1752" s="156">
        <v>4.4686813602969281E-3</v>
      </c>
      <c r="G1752" s="156"/>
    </row>
    <row r="1753" spans="2:7" x14ac:dyDescent="0.2">
      <c r="B1753" s="230">
        <v>43418</v>
      </c>
      <c r="C1753" s="124">
        <v>276.45</v>
      </c>
      <c r="D1753" s="156">
        <f t="shared" si="28"/>
        <v>7.1038251366119807E-3</v>
      </c>
      <c r="E1753" s="156">
        <v>4.4590471720252923E-3</v>
      </c>
      <c r="G1753" s="156"/>
    </row>
    <row r="1754" spans="2:7" x14ac:dyDescent="0.2">
      <c r="B1754" s="230">
        <v>43417</v>
      </c>
      <c r="C1754" s="124">
        <v>276.85000000000002</v>
      </c>
      <c r="D1754" s="156">
        <f t="shared" si="28"/>
        <v>1.446916259721592E-3</v>
      </c>
      <c r="E1754" s="156">
        <v>4.4565486506561317E-3</v>
      </c>
      <c r="G1754" s="156"/>
    </row>
    <row r="1755" spans="2:7" x14ac:dyDescent="0.2">
      <c r="B1755" s="230">
        <v>43416</v>
      </c>
      <c r="C1755" s="124">
        <v>273.85000000000002</v>
      </c>
      <c r="D1755" s="156">
        <f t="shared" si="28"/>
        <v>-1.0836192884233339E-2</v>
      </c>
      <c r="E1755" s="156">
        <v>4.4563279857397506E-3</v>
      </c>
      <c r="G1755" s="156"/>
    </row>
    <row r="1756" spans="2:7" x14ac:dyDescent="0.2">
      <c r="B1756" s="230">
        <v>43413</v>
      </c>
      <c r="C1756" s="124">
        <v>277.25</v>
      </c>
      <c r="D1756" s="156">
        <f t="shared" si="28"/>
        <v>1.2415555961292594E-2</v>
      </c>
      <c r="E1756" s="156">
        <v>4.4537594969871327E-3</v>
      </c>
      <c r="G1756" s="156"/>
    </row>
    <row r="1757" spans="2:7" x14ac:dyDescent="0.2">
      <c r="B1757" s="230">
        <v>43411</v>
      </c>
      <c r="C1757" s="124">
        <v>280.05</v>
      </c>
      <c r="D1757" s="156">
        <f t="shared" si="28"/>
        <v>1.0099188458070375E-2</v>
      </c>
      <c r="E1757" s="156">
        <v>4.4477390659748246E-3</v>
      </c>
      <c r="G1757" s="156"/>
    </row>
    <row r="1758" spans="2:7" x14ac:dyDescent="0.2">
      <c r="B1758" s="230">
        <v>43410</v>
      </c>
      <c r="C1758" s="124">
        <v>277.3</v>
      </c>
      <c r="D1758" s="156">
        <f t="shared" si="28"/>
        <v>-9.8196750580253518E-3</v>
      </c>
      <c r="E1758" s="156">
        <v>4.4326056645788035E-3</v>
      </c>
      <c r="G1758" s="156"/>
    </row>
    <row r="1759" spans="2:7" x14ac:dyDescent="0.2">
      <c r="B1759" s="230">
        <v>43409</v>
      </c>
      <c r="C1759" s="124">
        <v>279.60000000000002</v>
      </c>
      <c r="D1759" s="156">
        <f t="shared" si="28"/>
        <v>8.2942661377569827E-3</v>
      </c>
      <c r="E1759" s="156">
        <v>4.4303949038485115E-3</v>
      </c>
      <c r="G1759" s="156"/>
    </row>
    <row r="1760" spans="2:7" x14ac:dyDescent="0.2">
      <c r="B1760" s="230">
        <v>43406</v>
      </c>
      <c r="C1760" s="124">
        <v>283.25</v>
      </c>
      <c r="D1760" s="156">
        <f t="shared" si="28"/>
        <v>1.3054363376251706E-2</v>
      </c>
      <c r="E1760" s="156">
        <v>4.4092546937227707E-3</v>
      </c>
      <c r="G1760" s="156"/>
    </row>
    <row r="1761" spans="2:7" x14ac:dyDescent="0.2">
      <c r="B1761" s="230">
        <v>43405</v>
      </c>
      <c r="C1761" s="124">
        <v>277.39999999999998</v>
      </c>
      <c r="D1761" s="156">
        <f t="shared" si="28"/>
        <v>-2.0653133274492579E-2</v>
      </c>
      <c r="E1761" s="156">
        <v>4.4087136929460286E-3</v>
      </c>
      <c r="G1761" s="156"/>
    </row>
    <row r="1762" spans="2:7" x14ac:dyDescent="0.2">
      <c r="B1762" s="230">
        <v>43404</v>
      </c>
      <c r="C1762" s="124">
        <v>280.10000000000002</v>
      </c>
      <c r="D1762" s="156">
        <f t="shared" si="28"/>
        <v>9.7332372025956942E-3</v>
      </c>
      <c r="E1762" s="156">
        <v>4.4085231447465031E-3</v>
      </c>
      <c r="G1762" s="156"/>
    </row>
    <row r="1763" spans="2:7" x14ac:dyDescent="0.2">
      <c r="B1763" s="230">
        <v>43403</v>
      </c>
      <c r="C1763" s="124">
        <v>278.95</v>
      </c>
      <c r="D1763" s="156">
        <f t="shared" si="28"/>
        <v>-4.1056765440915174E-3</v>
      </c>
      <c r="E1763" s="156">
        <v>4.3971076802814422E-3</v>
      </c>
      <c r="G1763" s="156"/>
    </row>
    <row r="1764" spans="2:7" x14ac:dyDescent="0.2">
      <c r="B1764" s="230">
        <v>43402</v>
      </c>
      <c r="C1764" s="124">
        <v>283.5</v>
      </c>
      <c r="D1764" s="156">
        <f t="shared" si="28"/>
        <v>1.6311166875784232E-2</v>
      </c>
      <c r="E1764" s="156">
        <v>4.387990762124659E-3</v>
      </c>
      <c r="G1764" s="156"/>
    </row>
    <row r="1765" spans="2:7" x14ac:dyDescent="0.2">
      <c r="B1765" s="230">
        <v>43399</v>
      </c>
      <c r="C1765" s="124">
        <v>280.89999999999998</v>
      </c>
      <c r="D1765" s="156">
        <f t="shared" si="28"/>
        <v>-9.1710758377425844E-3</v>
      </c>
      <c r="E1765" s="156">
        <v>4.3850906916483726E-3</v>
      </c>
      <c r="G1765" s="156"/>
    </row>
    <row r="1766" spans="2:7" x14ac:dyDescent="0.2">
      <c r="B1766" s="230">
        <v>43398</v>
      </c>
      <c r="C1766" s="124">
        <v>287.55</v>
      </c>
      <c r="D1766" s="156">
        <f t="shared" si="28"/>
        <v>2.3673905304378906E-2</v>
      </c>
      <c r="E1766" s="156">
        <v>4.3774814211543578E-3</v>
      </c>
      <c r="G1766" s="156"/>
    </row>
    <row r="1767" spans="2:7" x14ac:dyDescent="0.2">
      <c r="B1767" s="230">
        <v>43397</v>
      </c>
      <c r="C1767" s="124">
        <v>287.75</v>
      </c>
      <c r="D1767" s="156">
        <f t="shared" si="28"/>
        <v>6.9553121196309724E-4</v>
      </c>
      <c r="E1767" s="156">
        <v>4.3757118024335536E-3</v>
      </c>
      <c r="G1767" s="156"/>
    </row>
    <row r="1768" spans="2:7" x14ac:dyDescent="0.2">
      <c r="B1768" s="230">
        <v>43396</v>
      </c>
      <c r="C1768" s="124">
        <v>286</v>
      </c>
      <c r="D1768" s="156">
        <f t="shared" si="28"/>
        <v>-6.0816681146828849E-3</v>
      </c>
      <c r="E1768" s="156">
        <v>4.3737828432781163E-3</v>
      </c>
      <c r="G1768" s="156"/>
    </row>
    <row r="1769" spans="2:7" x14ac:dyDescent="0.2">
      <c r="B1769" s="230">
        <v>43395</v>
      </c>
      <c r="C1769" s="124">
        <v>288.5</v>
      </c>
      <c r="D1769" s="156">
        <f t="shared" si="28"/>
        <v>8.7412587412587419E-3</v>
      </c>
      <c r="E1769" s="156">
        <v>4.3557168784028625E-3</v>
      </c>
      <c r="G1769" s="156"/>
    </row>
    <row r="1770" spans="2:7" x14ac:dyDescent="0.2">
      <c r="B1770" s="230">
        <v>43392</v>
      </c>
      <c r="C1770" s="124">
        <v>289.45</v>
      </c>
      <c r="D1770" s="156">
        <f t="shared" si="28"/>
        <v>3.2928942807625254E-3</v>
      </c>
      <c r="E1770" s="156">
        <v>4.3489383474035444E-3</v>
      </c>
      <c r="G1770" s="156"/>
    </row>
    <row r="1771" spans="2:7" x14ac:dyDescent="0.2">
      <c r="B1771" s="230">
        <v>43390</v>
      </c>
      <c r="C1771" s="124">
        <v>286.45</v>
      </c>
      <c r="D1771" s="156">
        <f t="shared" si="28"/>
        <v>-1.0364484366902746E-2</v>
      </c>
      <c r="E1771" s="156">
        <v>4.3463342102254016E-3</v>
      </c>
      <c r="G1771" s="156"/>
    </row>
    <row r="1772" spans="2:7" x14ac:dyDescent="0.2">
      <c r="B1772" s="230">
        <v>43389</v>
      </c>
      <c r="C1772" s="124">
        <v>282.64999999999998</v>
      </c>
      <c r="D1772" s="156">
        <f t="shared" si="28"/>
        <v>-1.3265840460813446E-2</v>
      </c>
      <c r="E1772" s="156">
        <v>4.3329120779924532E-3</v>
      </c>
      <c r="G1772" s="156"/>
    </row>
    <row r="1773" spans="2:7" x14ac:dyDescent="0.2">
      <c r="B1773" s="230">
        <v>43388</v>
      </c>
      <c r="C1773" s="124">
        <v>282.5</v>
      </c>
      <c r="D1773" s="156">
        <f t="shared" si="28"/>
        <v>-5.3069166814072983E-4</v>
      </c>
      <c r="E1773" s="156">
        <v>4.3227665706052146E-3</v>
      </c>
      <c r="G1773" s="156"/>
    </row>
    <row r="1774" spans="2:7" x14ac:dyDescent="0.2">
      <c r="B1774" s="230">
        <v>43385</v>
      </c>
      <c r="C1774" s="124">
        <v>275.2</v>
      </c>
      <c r="D1774" s="156">
        <f t="shared" si="28"/>
        <v>-2.5840707964601809E-2</v>
      </c>
      <c r="E1774" s="156">
        <v>4.3182121711258462E-3</v>
      </c>
      <c r="G1774" s="156"/>
    </row>
    <row r="1775" spans="2:7" x14ac:dyDescent="0.2">
      <c r="B1775" s="230">
        <v>43384</v>
      </c>
      <c r="C1775" s="124">
        <v>265.2</v>
      </c>
      <c r="D1775" s="156">
        <f t="shared" si="28"/>
        <v>-3.6337209302325583E-2</v>
      </c>
      <c r="E1775" s="156">
        <v>4.2985541227041589E-3</v>
      </c>
      <c r="G1775" s="156"/>
    </row>
    <row r="1776" spans="2:7" x14ac:dyDescent="0.2">
      <c r="B1776" s="230">
        <v>43383</v>
      </c>
      <c r="C1776" s="124">
        <v>270.10000000000002</v>
      </c>
      <c r="D1776" s="156">
        <f t="shared" si="28"/>
        <v>1.8476621417798017E-2</v>
      </c>
      <c r="E1776" s="156">
        <v>4.2687453600595178E-3</v>
      </c>
      <c r="G1776" s="156"/>
    </row>
    <row r="1777" spans="2:7" x14ac:dyDescent="0.2">
      <c r="B1777" s="230">
        <v>43382</v>
      </c>
      <c r="C1777" s="124">
        <v>268.5</v>
      </c>
      <c r="D1777" s="156">
        <f t="shared" si="28"/>
        <v>-5.9237319511292949E-3</v>
      </c>
      <c r="E1777" s="156">
        <v>4.2601999016876621E-3</v>
      </c>
      <c r="G1777" s="156"/>
    </row>
    <row r="1778" spans="2:7" x14ac:dyDescent="0.2">
      <c r="B1778" s="230">
        <v>43381</v>
      </c>
      <c r="C1778" s="124">
        <v>273.2</v>
      </c>
      <c r="D1778" s="156">
        <f t="shared" si="28"/>
        <v>1.7504655493482266E-2</v>
      </c>
      <c r="E1778" s="156">
        <v>4.2341110572046399E-3</v>
      </c>
      <c r="G1778" s="156"/>
    </row>
    <row r="1779" spans="2:7" x14ac:dyDescent="0.2">
      <c r="B1779" s="230">
        <v>43378</v>
      </c>
      <c r="C1779" s="124">
        <v>276.5</v>
      </c>
      <c r="D1779" s="156">
        <f t="shared" si="28"/>
        <v>1.2079062957540306E-2</v>
      </c>
      <c r="E1779" s="156">
        <v>4.2317173377156986E-3</v>
      </c>
      <c r="G1779" s="156"/>
    </row>
    <row r="1780" spans="2:7" x14ac:dyDescent="0.2">
      <c r="B1780" s="230">
        <v>43377</v>
      </c>
      <c r="C1780" s="124">
        <v>287.10000000000002</v>
      </c>
      <c r="D1780" s="156">
        <f t="shared" si="28"/>
        <v>3.8336347197106775E-2</v>
      </c>
      <c r="E1780" s="156">
        <v>4.2014777611435964E-3</v>
      </c>
      <c r="G1780" s="156"/>
    </row>
    <row r="1781" spans="2:7" x14ac:dyDescent="0.2">
      <c r="B1781" s="230">
        <v>43376</v>
      </c>
      <c r="C1781" s="124">
        <v>295.2</v>
      </c>
      <c r="D1781" s="156">
        <f t="shared" si="28"/>
        <v>2.8213166144200507E-2</v>
      </c>
      <c r="E1781" s="156">
        <v>4.1790490341752284E-3</v>
      </c>
      <c r="G1781" s="156"/>
    </row>
    <row r="1782" spans="2:7" x14ac:dyDescent="0.2">
      <c r="B1782" s="230">
        <v>43374</v>
      </c>
      <c r="C1782" s="124">
        <v>297.10000000000002</v>
      </c>
      <c r="D1782" s="156">
        <f t="shared" si="28"/>
        <v>6.4363143631437471E-3</v>
      </c>
      <c r="E1782" s="156">
        <v>4.177417373141706E-3</v>
      </c>
      <c r="G1782" s="156"/>
    </row>
    <row r="1783" spans="2:7" x14ac:dyDescent="0.2">
      <c r="B1783" s="230">
        <v>43371</v>
      </c>
      <c r="C1783" s="124">
        <v>297.75</v>
      </c>
      <c r="D1783" s="156">
        <f t="shared" si="28"/>
        <v>2.187815550319681E-3</v>
      </c>
      <c r="E1783" s="156">
        <v>4.163649529326699E-3</v>
      </c>
      <c r="G1783" s="156"/>
    </row>
    <row r="1784" spans="2:7" x14ac:dyDescent="0.2">
      <c r="B1784" s="230">
        <v>43370</v>
      </c>
      <c r="C1784" s="124">
        <v>293.3</v>
      </c>
      <c r="D1784" s="156">
        <f t="shared" si="28"/>
        <v>-1.4945424013434051E-2</v>
      </c>
      <c r="E1784" s="156">
        <v>4.163197335553705E-3</v>
      </c>
      <c r="G1784" s="156"/>
    </row>
    <row r="1785" spans="2:7" x14ac:dyDescent="0.2">
      <c r="B1785" s="230">
        <v>43369</v>
      </c>
      <c r="C1785" s="124">
        <v>293.14999999999998</v>
      </c>
      <c r="D1785" s="156">
        <f t="shared" si="28"/>
        <v>-5.1142175247198812E-4</v>
      </c>
      <c r="E1785" s="156">
        <v>4.1576584067852989E-3</v>
      </c>
      <c r="G1785" s="156"/>
    </row>
    <row r="1786" spans="2:7" x14ac:dyDescent="0.2">
      <c r="B1786" s="230">
        <v>43368</v>
      </c>
      <c r="C1786" s="124">
        <v>301.14999999999998</v>
      </c>
      <c r="D1786" s="156">
        <f t="shared" si="28"/>
        <v>2.7289783387344366E-2</v>
      </c>
      <c r="E1786" s="156">
        <v>4.1526323074793786E-3</v>
      </c>
      <c r="G1786" s="156"/>
    </row>
    <row r="1787" spans="2:7" x14ac:dyDescent="0.2">
      <c r="B1787" s="230">
        <v>43367</v>
      </c>
      <c r="C1787" s="124">
        <v>297.95</v>
      </c>
      <c r="D1787" s="156">
        <f t="shared" si="28"/>
        <v>-1.0625933919973398E-2</v>
      </c>
      <c r="E1787" s="156">
        <v>4.1383876841582521E-3</v>
      </c>
      <c r="G1787" s="156"/>
    </row>
    <row r="1788" spans="2:7" x14ac:dyDescent="0.2">
      <c r="B1788" s="230">
        <v>43364</v>
      </c>
      <c r="C1788" s="124">
        <v>303.95</v>
      </c>
      <c r="D1788" s="156">
        <f t="shared" si="28"/>
        <v>2.0137606981037087E-2</v>
      </c>
      <c r="E1788" s="156">
        <v>4.1368634568165136E-3</v>
      </c>
      <c r="G1788" s="156"/>
    </row>
    <row r="1789" spans="2:7" x14ac:dyDescent="0.2">
      <c r="B1789" s="230">
        <v>43362</v>
      </c>
      <c r="C1789" s="124">
        <v>299.64999999999998</v>
      </c>
      <c r="D1789" s="156">
        <f t="shared" si="28"/>
        <v>-1.4147063661786516E-2</v>
      </c>
      <c r="E1789" s="156">
        <v>4.133236080719538E-3</v>
      </c>
      <c r="G1789" s="156"/>
    </row>
    <row r="1790" spans="2:7" x14ac:dyDescent="0.2">
      <c r="B1790" s="230">
        <v>43361</v>
      </c>
      <c r="C1790" s="124">
        <v>303.25</v>
      </c>
      <c r="D1790" s="156">
        <f t="shared" ref="D1790:D1853" si="29">(C1790-C1789)/C1789</f>
        <v>1.2014016352411222E-2</v>
      </c>
      <c r="E1790" s="156">
        <v>4.1317636404799053E-3</v>
      </c>
      <c r="G1790" s="156"/>
    </row>
    <row r="1791" spans="2:7" x14ac:dyDescent="0.2">
      <c r="B1791" s="230">
        <v>43360</v>
      </c>
      <c r="C1791" s="124">
        <v>302</v>
      </c>
      <c r="D1791" s="156">
        <f t="shared" si="29"/>
        <v>-4.1220115416323163E-3</v>
      </c>
      <c r="E1791" s="156">
        <v>4.1250542770299116E-3</v>
      </c>
      <c r="G1791" s="156"/>
    </row>
    <row r="1792" spans="2:7" x14ac:dyDescent="0.2">
      <c r="B1792" s="230">
        <v>43357</v>
      </c>
      <c r="C1792" s="124">
        <v>307.14999999999998</v>
      </c>
      <c r="D1792" s="156">
        <f t="shared" si="29"/>
        <v>1.7052980132450254E-2</v>
      </c>
      <c r="E1792" s="156">
        <v>4.1237113402061857E-3</v>
      </c>
      <c r="G1792" s="156"/>
    </row>
    <row r="1793" spans="2:7" x14ac:dyDescent="0.2">
      <c r="B1793" s="230">
        <v>43355</v>
      </c>
      <c r="C1793" s="124">
        <v>306.8</v>
      </c>
      <c r="D1793" s="156">
        <f t="shared" si="29"/>
        <v>-1.1395083835258535E-3</v>
      </c>
      <c r="E1793" s="156">
        <v>4.1183077499062741E-3</v>
      </c>
      <c r="G1793" s="156"/>
    </row>
    <row r="1794" spans="2:7" x14ac:dyDescent="0.2">
      <c r="B1794" s="230">
        <v>43354</v>
      </c>
      <c r="C1794" s="124">
        <v>297.2</v>
      </c>
      <c r="D1794" s="156">
        <f t="shared" si="29"/>
        <v>-3.1290743155150007E-2</v>
      </c>
      <c r="E1794" s="156">
        <v>4.1124057573680862E-3</v>
      </c>
      <c r="G1794" s="156"/>
    </row>
    <row r="1795" spans="2:7" x14ac:dyDescent="0.2">
      <c r="B1795" s="230">
        <v>43353</v>
      </c>
      <c r="C1795" s="124">
        <v>306.55</v>
      </c>
      <c r="D1795" s="156">
        <f t="shared" si="29"/>
        <v>3.1460296096904518E-2</v>
      </c>
      <c r="E1795" s="156">
        <v>4.1084634346755314E-3</v>
      </c>
      <c r="G1795" s="156"/>
    </row>
    <row r="1796" spans="2:7" x14ac:dyDescent="0.2">
      <c r="B1796" s="230">
        <v>43350</v>
      </c>
      <c r="C1796" s="124">
        <v>310.45</v>
      </c>
      <c r="D1796" s="156">
        <f t="shared" si="29"/>
        <v>1.2722231283640442E-2</v>
      </c>
      <c r="E1796" s="156">
        <v>4.0975973179363861E-3</v>
      </c>
      <c r="G1796" s="156"/>
    </row>
    <row r="1797" spans="2:7" x14ac:dyDescent="0.2">
      <c r="B1797" s="230">
        <v>43349</v>
      </c>
      <c r="C1797" s="124">
        <v>310.8</v>
      </c>
      <c r="D1797" s="156">
        <f t="shared" si="29"/>
        <v>1.1273957158963528E-3</v>
      </c>
      <c r="E1797" s="156">
        <v>4.0975973179363861E-3</v>
      </c>
      <c r="G1797" s="156"/>
    </row>
    <row r="1798" spans="2:7" x14ac:dyDescent="0.2">
      <c r="B1798" s="230">
        <v>43348</v>
      </c>
      <c r="C1798" s="124">
        <v>310.25</v>
      </c>
      <c r="D1798" s="156">
        <f t="shared" si="29"/>
        <v>-1.7696267696268061E-3</v>
      </c>
      <c r="E1798" s="156">
        <v>4.0862411957631644E-3</v>
      </c>
      <c r="G1798" s="156"/>
    </row>
    <row r="1799" spans="2:7" x14ac:dyDescent="0.2">
      <c r="B1799" s="230">
        <v>43347</v>
      </c>
      <c r="C1799" s="124">
        <v>309.60000000000002</v>
      </c>
      <c r="D1799" s="156">
        <f t="shared" si="29"/>
        <v>-2.0950846091860671E-3</v>
      </c>
      <c r="E1799" s="156">
        <v>4.0816326530611754E-3</v>
      </c>
      <c r="G1799" s="156"/>
    </row>
    <row r="1800" spans="2:7" x14ac:dyDescent="0.2">
      <c r="B1800" s="230">
        <v>43346</v>
      </c>
      <c r="C1800" s="124">
        <v>313.2</v>
      </c>
      <c r="D1800" s="156">
        <f t="shared" si="29"/>
        <v>1.1627906976744075E-2</v>
      </c>
      <c r="E1800" s="156">
        <v>4.0721614304889331E-3</v>
      </c>
      <c r="G1800" s="156"/>
    </row>
    <row r="1801" spans="2:7" x14ac:dyDescent="0.2">
      <c r="B1801" s="230">
        <v>43343</v>
      </c>
      <c r="C1801" s="124">
        <v>319.85000000000002</v>
      </c>
      <c r="D1801" s="156">
        <f t="shared" si="29"/>
        <v>2.1232439335887723E-2</v>
      </c>
      <c r="E1801" s="156">
        <v>4.059395363743141E-3</v>
      </c>
      <c r="G1801" s="156"/>
    </row>
    <row r="1802" spans="2:7" x14ac:dyDescent="0.2">
      <c r="B1802" s="230">
        <v>43342</v>
      </c>
      <c r="C1802" s="124">
        <v>319.85000000000002</v>
      </c>
      <c r="D1802" s="156">
        <f t="shared" si="29"/>
        <v>0</v>
      </c>
      <c r="E1802" s="156">
        <v>4.0567951318459519E-3</v>
      </c>
      <c r="G1802" s="156"/>
    </row>
    <row r="1803" spans="2:7" x14ac:dyDescent="0.2">
      <c r="B1803" s="230">
        <v>43341</v>
      </c>
      <c r="C1803" s="124">
        <v>312.8</v>
      </c>
      <c r="D1803" s="156">
        <f t="shared" si="29"/>
        <v>-2.2041581991558576E-2</v>
      </c>
      <c r="E1803" s="156">
        <v>4.056403322387307E-3</v>
      </c>
      <c r="G1803" s="156"/>
    </row>
    <row r="1804" spans="2:7" x14ac:dyDescent="0.2">
      <c r="B1804" s="230">
        <v>43340</v>
      </c>
      <c r="C1804" s="124">
        <v>311.64999999999998</v>
      </c>
      <c r="D1804" s="156">
        <f t="shared" si="29"/>
        <v>-3.6764705882354029E-3</v>
      </c>
      <c r="E1804" s="156">
        <v>4.0538349278417384E-3</v>
      </c>
      <c r="G1804" s="156"/>
    </row>
    <row r="1805" spans="2:7" x14ac:dyDescent="0.2">
      <c r="B1805" s="230">
        <v>43339</v>
      </c>
      <c r="C1805" s="124">
        <v>313.39999999999998</v>
      </c>
      <c r="D1805" s="156">
        <f t="shared" si="29"/>
        <v>5.6152735440397885E-3</v>
      </c>
      <c r="E1805" s="156">
        <v>4.0470225476970951E-3</v>
      </c>
      <c r="G1805" s="156"/>
    </row>
    <row r="1806" spans="2:7" x14ac:dyDescent="0.2">
      <c r="B1806" s="230">
        <v>43336</v>
      </c>
      <c r="C1806" s="124">
        <v>310.39999999999998</v>
      </c>
      <c r="D1806" s="156">
        <f t="shared" si="29"/>
        <v>-9.5724313975749844E-3</v>
      </c>
      <c r="E1806" s="156">
        <v>4.0397239521966334E-3</v>
      </c>
      <c r="G1806" s="156"/>
    </row>
    <row r="1807" spans="2:7" x14ac:dyDescent="0.2">
      <c r="B1807" s="230">
        <v>43335</v>
      </c>
      <c r="C1807" s="124">
        <v>312</v>
      </c>
      <c r="D1807" s="156">
        <f t="shared" si="29"/>
        <v>5.1546391752578056E-3</v>
      </c>
      <c r="E1807" s="156">
        <v>4.0385844616188807E-3</v>
      </c>
      <c r="G1807" s="156"/>
    </row>
    <row r="1808" spans="2:7" x14ac:dyDescent="0.2">
      <c r="B1808" s="230">
        <v>43333</v>
      </c>
      <c r="C1808" s="124">
        <v>312.89999999999998</v>
      </c>
      <c r="D1808" s="156">
        <f t="shared" si="29"/>
        <v>2.8846153846153119E-3</v>
      </c>
      <c r="E1808" s="156">
        <v>4.0381791483112507E-3</v>
      </c>
      <c r="G1808" s="156"/>
    </row>
    <row r="1809" spans="2:7" x14ac:dyDescent="0.2">
      <c r="B1809" s="230">
        <v>43332</v>
      </c>
      <c r="C1809" s="124">
        <v>313.3</v>
      </c>
      <c r="D1809" s="156">
        <f t="shared" si="29"/>
        <v>1.2783636944711861E-3</v>
      </c>
      <c r="E1809" s="156">
        <v>4.035087719298191E-3</v>
      </c>
      <c r="G1809" s="156"/>
    </row>
    <row r="1810" spans="2:7" x14ac:dyDescent="0.2">
      <c r="B1810" s="230">
        <v>43329</v>
      </c>
      <c r="C1810" s="124">
        <v>313.75</v>
      </c>
      <c r="D1810" s="156">
        <f t="shared" si="29"/>
        <v>1.4363230130864622E-3</v>
      </c>
      <c r="E1810" s="156">
        <v>4.0329651060844619E-3</v>
      </c>
      <c r="G1810" s="156"/>
    </row>
    <row r="1811" spans="2:7" x14ac:dyDescent="0.2">
      <c r="B1811" s="230">
        <v>43328</v>
      </c>
      <c r="C1811" s="124">
        <v>307.45</v>
      </c>
      <c r="D1811" s="156">
        <f t="shared" si="29"/>
        <v>-2.0079681274900434E-2</v>
      </c>
      <c r="E1811" s="156">
        <v>4.0322580645161593E-3</v>
      </c>
      <c r="G1811" s="156"/>
    </row>
    <row r="1812" spans="2:7" x14ac:dyDescent="0.2">
      <c r="B1812" s="230">
        <v>43326</v>
      </c>
      <c r="C1812" s="124">
        <v>307.89999999999998</v>
      </c>
      <c r="D1812" s="156">
        <f t="shared" si="29"/>
        <v>1.4636526264432872E-3</v>
      </c>
      <c r="E1812" s="156">
        <v>4.0167975168886828E-3</v>
      </c>
      <c r="G1812" s="156"/>
    </row>
    <row r="1813" spans="2:7" x14ac:dyDescent="0.2">
      <c r="B1813" s="230">
        <v>43325</v>
      </c>
      <c r="C1813" s="124">
        <v>305.95</v>
      </c>
      <c r="D1813" s="156">
        <f t="shared" si="29"/>
        <v>-6.3332250730756372E-3</v>
      </c>
      <c r="E1813" s="156">
        <v>4.0098848323775523E-3</v>
      </c>
      <c r="G1813" s="156"/>
    </row>
    <row r="1814" spans="2:7" x14ac:dyDescent="0.2">
      <c r="B1814" s="230">
        <v>43322</v>
      </c>
      <c r="C1814" s="124">
        <v>304.8</v>
      </c>
      <c r="D1814" s="156">
        <f t="shared" si="29"/>
        <v>-3.7587841150514049E-3</v>
      </c>
      <c r="E1814" s="156">
        <v>4.0069686411150522E-3</v>
      </c>
      <c r="G1814" s="156"/>
    </row>
    <row r="1815" spans="2:7" x14ac:dyDescent="0.2">
      <c r="B1815" s="230">
        <v>43321</v>
      </c>
      <c r="C1815" s="124">
        <v>302.5</v>
      </c>
      <c r="D1815" s="156">
        <f t="shared" si="29"/>
        <v>-7.5459317585302209E-3</v>
      </c>
      <c r="E1815" s="156">
        <v>4.0063496862952691E-3</v>
      </c>
      <c r="G1815" s="156"/>
    </row>
    <row r="1816" spans="2:7" x14ac:dyDescent="0.2">
      <c r="B1816" s="230">
        <v>43320</v>
      </c>
      <c r="C1816" s="124">
        <v>300.95</v>
      </c>
      <c r="D1816" s="156">
        <f t="shared" si="29"/>
        <v>-5.123966942148798E-3</v>
      </c>
      <c r="E1816" s="156">
        <v>3.9973930045621876E-3</v>
      </c>
      <c r="G1816" s="156"/>
    </row>
    <row r="1817" spans="2:7" x14ac:dyDescent="0.2">
      <c r="B1817" s="230">
        <v>43319</v>
      </c>
      <c r="C1817" s="124">
        <v>301.10000000000002</v>
      </c>
      <c r="D1817" s="156">
        <f t="shared" si="29"/>
        <v>4.9842166472847352E-4</v>
      </c>
      <c r="E1817" s="156">
        <v>3.9965871839777933E-3</v>
      </c>
      <c r="G1817" s="156"/>
    </row>
    <row r="1818" spans="2:7" x14ac:dyDescent="0.2">
      <c r="B1818" s="230">
        <v>43318</v>
      </c>
      <c r="C1818" s="124">
        <v>301.8</v>
      </c>
      <c r="D1818" s="156">
        <f t="shared" si="29"/>
        <v>2.3248090335436355E-3</v>
      </c>
      <c r="E1818" s="156">
        <v>3.9957939011566294E-3</v>
      </c>
      <c r="G1818" s="156"/>
    </row>
    <row r="1819" spans="2:7" x14ac:dyDescent="0.2">
      <c r="B1819" s="230">
        <v>43315</v>
      </c>
      <c r="C1819" s="124">
        <v>303.95</v>
      </c>
      <c r="D1819" s="156">
        <f t="shared" si="29"/>
        <v>7.1239231278991955E-3</v>
      </c>
      <c r="E1819" s="156">
        <v>3.9787488005243654E-3</v>
      </c>
      <c r="G1819" s="156"/>
    </row>
    <row r="1820" spans="2:7" x14ac:dyDescent="0.2">
      <c r="B1820" s="230">
        <v>43314</v>
      </c>
      <c r="C1820" s="124">
        <v>299.2</v>
      </c>
      <c r="D1820" s="156">
        <f t="shared" si="29"/>
        <v>-1.5627570324066458E-2</v>
      </c>
      <c r="E1820" s="156">
        <v>3.9772727272727702E-3</v>
      </c>
      <c r="G1820" s="156"/>
    </row>
    <row r="1821" spans="2:7" x14ac:dyDescent="0.2">
      <c r="B1821" s="230">
        <v>43313</v>
      </c>
      <c r="C1821" s="124">
        <v>301.60000000000002</v>
      </c>
      <c r="D1821" s="156">
        <f t="shared" si="29"/>
        <v>8.0213903743316644E-3</v>
      </c>
      <c r="E1821" s="156">
        <v>3.9712556732224335E-3</v>
      </c>
      <c r="G1821" s="156"/>
    </row>
    <row r="1822" spans="2:7" x14ac:dyDescent="0.2">
      <c r="B1822" s="230">
        <v>43312</v>
      </c>
      <c r="C1822" s="124">
        <v>297.7</v>
      </c>
      <c r="D1822" s="156">
        <f t="shared" si="29"/>
        <v>-1.2931034482758733E-2</v>
      </c>
      <c r="E1822" s="156">
        <v>3.9682539682537963E-3</v>
      </c>
      <c r="G1822" s="156"/>
    </row>
    <row r="1823" spans="2:7" x14ac:dyDescent="0.2">
      <c r="B1823" s="230">
        <v>43311</v>
      </c>
      <c r="C1823" s="124">
        <v>301.05</v>
      </c>
      <c r="D1823" s="156">
        <f t="shared" si="29"/>
        <v>1.1252939200537531E-2</v>
      </c>
      <c r="E1823" s="156">
        <v>3.9669263489939899E-3</v>
      </c>
      <c r="G1823" s="156"/>
    </row>
    <row r="1824" spans="2:7" x14ac:dyDescent="0.2">
      <c r="B1824" s="230">
        <v>43308</v>
      </c>
      <c r="C1824" s="124">
        <v>302.55</v>
      </c>
      <c r="D1824" s="156">
        <f t="shared" si="29"/>
        <v>4.9825610363726956E-3</v>
      </c>
      <c r="E1824" s="156">
        <v>3.9653929343908536E-3</v>
      </c>
      <c r="G1824" s="156"/>
    </row>
    <row r="1825" spans="2:7" x14ac:dyDescent="0.2">
      <c r="B1825" s="230">
        <v>43307</v>
      </c>
      <c r="C1825" s="124">
        <v>287.2</v>
      </c>
      <c r="D1825" s="156">
        <f t="shared" si="29"/>
        <v>-5.0735415633779611E-2</v>
      </c>
      <c r="E1825" s="156">
        <v>3.955696202531645E-3</v>
      </c>
      <c r="G1825" s="156"/>
    </row>
    <row r="1826" spans="2:7" x14ac:dyDescent="0.2">
      <c r="B1826" s="230">
        <v>43306</v>
      </c>
      <c r="C1826" s="124">
        <v>286.14999999999998</v>
      </c>
      <c r="D1826" s="156">
        <f t="shared" si="29"/>
        <v>-3.6559888579387584E-3</v>
      </c>
      <c r="E1826" s="156">
        <v>3.9546079779918157E-3</v>
      </c>
      <c r="G1826" s="156"/>
    </row>
    <row r="1827" spans="2:7" x14ac:dyDescent="0.2">
      <c r="B1827" s="230">
        <v>43305</v>
      </c>
      <c r="C1827" s="124">
        <v>285.64999999999998</v>
      </c>
      <c r="D1827" s="156">
        <f t="shared" si="29"/>
        <v>-1.747335313646689E-3</v>
      </c>
      <c r="E1827" s="156">
        <v>3.9506953223767379E-3</v>
      </c>
      <c r="G1827" s="156"/>
    </row>
    <row r="1828" spans="2:7" x14ac:dyDescent="0.2">
      <c r="B1828" s="230">
        <v>43304</v>
      </c>
      <c r="C1828" s="124">
        <v>284.14999999999998</v>
      </c>
      <c r="D1828" s="156">
        <f t="shared" si="29"/>
        <v>-5.2511815158410649E-3</v>
      </c>
      <c r="E1828" s="156">
        <v>3.9506878004663907E-3</v>
      </c>
      <c r="G1828" s="156"/>
    </row>
    <row r="1829" spans="2:7" x14ac:dyDescent="0.2">
      <c r="B1829" s="230">
        <v>43301</v>
      </c>
      <c r="C1829" s="124">
        <v>274</v>
      </c>
      <c r="D1829" s="156">
        <f t="shared" si="29"/>
        <v>-3.572057012141467E-2</v>
      </c>
      <c r="E1829" s="156">
        <v>3.9502671494771012E-3</v>
      </c>
      <c r="G1829" s="156"/>
    </row>
    <row r="1830" spans="2:7" x14ac:dyDescent="0.2">
      <c r="B1830" s="230">
        <v>43300</v>
      </c>
      <c r="C1830" s="124">
        <v>273.3</v>
      </c>
      <c r="D1830" s="156">
        <f t="shared" si="29"/>
        <v>-2.5547445255474036E-3</v>
      </c>
      <c r="E1830" s="156">
        <v>3.9481105470953615E-3</v>
      </c>
      <c r="G1830" s="156"/>
    </row>
    <row r="1831" spans="2:7" x14ac:dyDescent="0.2">
      <c r="B1831" s="230">
        <v>43299</v>
      </c>
      <c r="C1831" s="124">
        <v>268.55</v>
      </c>
      <c r="D1831" s="156">
        <f t="shared" si="29"/>
        <v>-1.7380168313208925E-2</v>
      </c>
      <c r="E1831" s="156">
        <v>3.9412396990326868E-3</v>
      </c>
      <c r="G1831" s="156"/>
    </row>
    <row r="1832" spans="2:7" x14ac:dyDescent="0.2">
      <c r="B1832" s="230">
        <v>43298</v>
      </c>
      <c r="C1832" s="124">
        <v>269.85000000000002</v>
      </c>
      <c r="D1832" s="156">
        <f t="shared" si="29"/>
        <v>4.8408117668963368E-3</v>
      </c>
      <c r="E1832" s="156">
        <v>3.9215686274510619E-3</v>
      </c>
      <c r="G1832" s="156"/>
    </row>
    <row r="1833" spans="2:7" x14ac:dyDescent="0.2">
      <c r="B1833" s="230">
        <v>43297</v>
      </c>
      <c r="C1833" s="124">
        <v>271.60000000000002</v>
      </c>
      <c r="D1833" s="156">
        <f t="shared" si="29"/>
        <v>6.4850843060959788E-3</v>
      </c>
      <c r="E1833" s="156">
        <v>3.9146080529080278E-3</v>
      </c>
      <c r="G1833" s="156"/>
    </row>
    <row r="1834" spans="2:7" x14ac:dyDescent="0.2">
      <c r="B1834" s="230">
        <v>43294</v>
      </c>
      <c r="C1834" s="124">
        <v>270.39999999999998</v>
      </c>
      <c r="D1834" s="156">
        <f t="shared" si="29"/>
        <v>-4.4182621502210804E-3</v>
      </c>
      <c r="E1834" s="156">
        <v>3.909158600148936E-3</v>
      </c>
      <c r="G1834" s="156"/>
    </row>
    <row r="1835" spans="2:7" x14ac:dyDescent="0.2">
      <c r="B1835" s="230">
        <v>43293</v>
      </c>
      <c r="C1835" s="124">
        <v>277.2</v>
      </c>
      <c r="D1835" s="156">
        <f t="shared" si="29"/>
        <v>2.5147928994082885E-2</v>
      </c>
      <c r="E1835" s="156">
        <v>3.9083318529046819E-3</v>
      </c>
      <c r="G1835" s="156"/>
    </row>
    <row r="1836" spans="2:7" x14ac:dyDescent="0.2">
      <c r="B1836" s="230">
        <v>43292</v>
      </c>
      <c r="C1836" s="124">
        <v>275.75</v>
      </c>
      <c r="D1836" s="156">
        <f t="shared" si="29"/>
        <v>-5.2308802308801902E-3</v>
      </c>
      <c r="E1836" s="156">
        <v>3.904797322424736E-3</v>
      </c>
      <c r="G1836" s="156"/>
    </row>
    <row r="1837" spans="2:7" x14ac:dyDescent="0.2">
      <c r="B1837" s="230">
        <v>43291</v>
      </c>
      <c r="C1837" s="124">
        <v>277.05</v>
      </c>
      <c r="D1837" s="156">
        <f t="shared" si="29"/>
        <v>4.7144152311877109E-3</v>
      </c>
      <c r="E1837" s="156">
        <v>3.9027851694162347E-3</v>
      </c>
      <c r="G1837" s="156"/>
    </row>
    <row r="1838" spans="2:7" x14ac:dyDescent="0.2">
      <c r="B1838" s="230">
        <v>43290</v>
      </c>
      <c r="C1838" s="124">
        <v>274.39999999999998</v>
      </c>
      <c r="D1838" s="156">
        <f t="shared" si="29"/>
        <v>-9.5650604584011333E-3</v>
      </c>
      <c r="E1838" s="156">
        <v>3.8917803722979512E-3</v>
      </c>
      <c r="G1838" s="156"/>
    </row>
    <row r="1839" spans="2:7" x14ac:dyDescent="0.2">
      <c r="B1839" s="230">
        <v>43287</v>
      </c>
      <c r="C1839" s="124">
        <v>272.64999999999998</v>
      </c>
      <c r="D1839" s="156">
        <f t="shared" si="29"/>
        <v>-6.3775510204081634E-3</v>
      </c>
      <c r="E1839" s="156">
        <v>3.8903625110522718E-3</v>
      </c>
      <c r="G1839" s="156"/>
    </row>
    <row r="1840" spans="2:7" x14ac:dyDescent="0.2">
      <c r="B1840" s="230">
        <v>43286</v>
      </c>
      <c r="C1840" s="124">
        <v>272.5</v>
      </c>
      <c r="D1840" s="156">
        <f t="shared" si="29"/>
        <v>-5.5015587749854126E-4</v>
      </c>
      <c r="E1840" s="156">
        <v>3.8894118812862139E-3</v>
      </c>
      <c r="G1840" s="156"/>
    </row>
    <row r="1841" spans="2:7" x14ac:dyDescent="0.2">
      <c r="B1841" s="230">
        <v>43285</v>
      </c>
      <c r="C1841" s="124">
        <v>264.39999999999998</v>
      </c>
      <c r="D1841" s="156">
        <f t="shared" si="29"/>
        <v>-2.9724770642201918E-2</v>
      </c>
      <c r="E1841" s="156">
        <v>3.8687712782420301E-3</v>
      </c>
      <c r="G1841" s="156"/>
    </row>
    <row r="1842" spans="2:7" x14ac:dyDescent="0.2">
      <c r="B1842" s="230">
        <v>43284</v>
      </c>
      <c r="C1842" s="124">
        <v>265.45</v>
      </c>
      <c r="D1842" s="156">
        <f t="shared" si="29"/>
        <v>3.9712556732224335E-3</v>
      </c>
      <c r="E1842" s="156">
        <v>3.864945671990091E-3</v>
      </c>
      <c r="G1842" s="156"/>
    </row>
    <row r="1843" spans="2:7" x14ac:dyDescent="0.2">
      <c r="B1843" s="230">
        <v>43283</v>
      </c>
      <c r="C1843" s="124">
        <v>263.05</v>
      </c>
      <c r="D1843" s="156">
        <f t="shared" si="29"/>
        <v>-9.0412507063476269E-3</v>
      </c>
      <c r="E1843" s="156">
        <v>3.86396908824719E-3</v>
      </c>
      <c r="G1843" s="156"/>
    </row>
    <row r="1844" spans="2:7" x14ac:dyDescent="0.2">
      <c r="B1844" s="230">
        <v>43280</v>
      </c>
      <c r="C1844" s="124">
        <v>266.2</v>
      </c>
      <c r="D1844" s="156">
        <f t="shared" si="29"/>
        <v>1.1974909712982236E-2</v>
      </c>
      <c r="E1844" s="156">
        <v>3.8394874832708044E-3</v>
      </c>
      <c r="G1844" s="156"/>
    </row>
    <row r="1845" spans="2:7" x14ac:dyDescent="0.2">
      <c r="B1845" s="230">
        <v>43279</v>
      </c>
      <c r="C1845" s="124">
        <v>260.5</v>
      </c>
      <c r="D1845" s="156">
        <f t="shared" si="29"/>
        <v>-2.1412471825694925E-2</v>
      </c>
      <c r="E1845" s="156">
        <v>3.830718715796988E-3</v>
      </c>
      <c r="G1845" s="156"/>
    </row>
    <row r="1846" spans="2:7" x14ac:dyDescent="0.2">
      <c r="B1846" s="230">
        <v>43278</v>
      </c>
      <c r="C1846" s="124">
        <v>262.75</v>
      </c>
      <c r="D1846" s="156">
        <f t="shared" si="29"/>
        <v>8.6372360844529754E-3</v>
      </c>
      <c r="E1846" s="156">
        <v>3.7947063845935459E-3</v>
      </c>
      <c r="G1846" s="156"/>
    </row>
    <row r="1847" spans="2:7" x14ac:dyDescent="0.2">
      <c r="B1847" s="230">
        <v>43277</v>
      </c>
      <c r="C1847" s="124">
        <v>264.8</v>
      </c>
      <c r="D1847" s="156">
        <f t="shared" si="29"/>
        <v>7.8020932445290632E-3</v>
      </c>
      <c r="E1847" s="156">
        <v>3.7918871252203934E-3</v>
      </c>
      <c r="G1847" s="156"/>
    </row>
    <row r="1848" spans="2:7" x14ac:dyDescent="0.2">
      <c r="B1848" s="230">
        <v>43276</v>
      </c>
      <c r="C1848" s="124">
        <v>262.60000000000002</v>
      </c>
      <c r="D1848" s="156">
        <f t="shared" si="29"/>
        <v>-8.308157099697842E-3</v>
      </c>
      <c r="E1848" s="156">
        <v>3.7910200213245753E-3</v>
      </c>
      <c r="G1848" s="156"/>
    </row>
    <row r="1849" spans="2:7" x14ac:dyDescent="0.2">
      <c r="B1849" s="230">
        <v>43273</v>
      </c>
      <c r="C1849" s="124">
        <v>265.14999999999998</v>
      </c>
      <c r="D1849" s="156">
        <f t="shared" si="29"/>
        <v>9.7105864432595369E-3</v>
      </c>
      <c r="E1849" s="156">
        <v>3.7884217639711317E-3</v>
      </c>
      <c r="G1849" s="156"/>
    </row>
    <row r="1850" spans="2:7" x14ac:dyDescent="0.2">
      <c r="B1850" s="230">
        <v>43272</v>
      </c>
      <c r="C1850" s="124">
        <v>260.85000000000002</v>
      </c>
      <c r="D1850" s="156">
        <f t="shared" si="29"/>
        <v>-1.6217235527059986E-2</v>
      </c>
      <c r="E1850" s="156">
        <v>3.7857360428179996E-3</v>
      </c>
      <c r="G1850" s="156"/>
    </row>
    <row r="1851" spans="2:7" x14ac:dyDescent="0.2">
      <c r="B1851" s="230">
        <v>43271</v>
      </c>
      <c r="C1851" s="124">
        <v>263.75</v>
      </c>
      <c r="D1851" s="156">
        <f t="shared" si="29"/>
        <v>1.1117500479202519E-2</v>
      </c>
      <c r="E1851" s="156">
        <v>3.776063043835232E-3</v>
      </c>
      <c r="G1851" s="156"/>
    </row>
    <row r="1852" spans="2:7" x14ac:dyDescent="0.2">
      <c r="B1852" s="230">
        <v>43270</v>
      </c>
      <c r="C1852" s="124">
        <v>266.05</v>
      </c>
      <c r="D1852" s="156">
        <f t="shared" si="29"/>
        <v>8.7203791469194752E-3</v>
      </c>
      <c r="E1852" s="156">
        <v>3.7700282752121178E-3</v>
      </c>
      <c r="G1852" s="156"/>
    </row>
    <row r="1853" spans="2:7" x14ac:dyDescent="0.2">
      <c r="B1853" s="230">
        <v>43269</v>
      </c>
      <c r="C1853" s="124">
        <v>264.55</v>
      </c>
      <c r="D1853" s="156">
        <f t="shared" si="29"/>
        <v>-5.6380379627889495E-3</v>
      </c>
      <c r="E1853" s="156">
        <v>3.7644932992019274E-3</v>
      </c>
      <c r="G1853" s="156"/>
    </row>
    <row r="1854" spans="2:7" x14ac:dyDescent="0.2">
      <c r="B1854" s="230">
        <v>43266</v>
      </c>
      <c r="C1854" s="124">
        <v>264.5</v>
      </c>
      <c r="D1854" s="156">
        <f t="shared" ref="D1854:D1917" si="30">(C1854-C1853)/C1853</f>
        <v>-1.8900018900023195E-4</v>
      </c>
      <c r="E1854" s="156">
        <v>3.7511722413254454E-3</v>
      </c>
      <c r="G1854" s="156"/>
    </row>
    <row r="1855" spans="2:7" x14ac:dyDescent="0.2">
      <c r="B1855" s="230">
        <v>43265</v>
      </c>
      <c r="C1855" s="124">
        <v>267.25</v>
      </c>
      <c r="D1855" s="156">
        <f t="shared" si="30"/>
        <v>1.0396975425330813E-2</v>
      </c>
      <c r="E1855" s="156">
        <v>3.7327645311189201E-3</v>
      </c>
      <c r="G1855" s="156"/>
    </row>
    <row r="1856" spans="2:7" x14ac:dyDescent="0.2">
      <c r="B1856" s="230">
        <v>43264</v>
      </c>
      <c r="C1856" s="124">
        <v>267.85000000000002</v>
      </c>
      <c r="D1856" s="156">
        <f t="shared" si="30"/>
        <v>2.2450888681011141E-3</v>
      </c>
      <c r="E1856" s="156">
        <v>3.7099494097808765E-3</v>
      </c>
      <c r="G1856" s="156"/>
    </row>
    <row r="1857" spans="2:7" x14ac:dyDescent="0.2">
      <c r="B1857" s="230">
        <v>43263</v>
      </c>
      <c r="C1857" s="124">
        <v>270.25</v>
      </c>
      <c r="D1857" s="156">
        <f t="shared" si="30"/>
        <v>8.9602389397049724E-3</v>
      </c>
      <c r="E1857" s="156">
        <v>3.7014188772362972E-3</v>
      </c>
      <c r="G1857" s="156"/>
    </row>
    <row r="1858" spans="2:7" x14ac:dyDescent="0.2">
      <c r="B1858" s="230">
        <v>43262</v>
      </c>
      <c r="C1858" s="124">
        <v>269.25</v>
      </c>
      <c r="D1858" s="156">
        <f t="shared" si="30"/>
        <v>-3.7002775208140612E-3</v>
      </c>
      <c r="E1858" s="156">
        <v>3.7007775791092616E-3</v>
      </c>
      <c r="G1858" s="156"/>
    </row>
    <row r="1859" spans="2:7" x14ac:dyDescent="0.2">
      <c r="B1859" s="230">
        <v>43259</v>
      </c>
      <c r="C1859" s="124">
        <v>267.89999999999998</v>
      </c>
      <c r="D1859" s="156">
        <f t="shared" si="30"/>
        <v>-5.0139275766017555E-3</v>
      </c>
      <c r="E1859" s="156">
        <v>3.7000493339910847E-3</v>
      </c>
      <c r="G1859" s="156"/>
    </row>
    <row r="1860" spans="2:7" x14ac:dyDescent="0.2">
      <c r="B1860" s="230">
        <v>43258</v>
      </c>
      <c r="C1860" s="124">
        <v>271.05</v>
      </c>
      <c r="D1860" s="156">
        <f t="shared" si="30"/>
        <v>1.1758118701007967E-2</v>
      </c>
      <c r="E1860" s="156">
        <v>3.6956521739130188E-3</v>
      </c>
      <c r="G1860" s="156"/>
    </row>
    <row r="1861" spans="2:7" x14ac:dyDescent="0.2">
      <c r="B1861" s="230">
        <v>43257</v>
      </c>
      <c r="C1861" s="124">
        <v>270.39999999999998</v>
      </c>
      <c r="D1861" s="156">
        <f t="shared" si="30"/>
        <v>-2.3980815347723079E-3</v>
      </c>
      <c r="E1861" s="156">
        <v>3.6900369003690036E-3</v>
      </c>
      <c r="G1861" s="156"/>
    </row>
    <row r="1862" spans="2:7" x14ac:dyDescent="0.2">
      <c r="B1862" s="230">
        <v>43256</v>
      </c>
      <c r="C1862" s="124">
        <v>267.5</v>
      </c>
      <c r="D1862" s="156">
        <f t="shared" si="30"/>
        <v>-1.0724852071005833E-2</v>
      </c>
      <c r="E1862" s="156">
        <v>3.6877688998155182E-3</v>
      </c>
      <c r="G1862" s="156"/>
    </row>
    <row r="1863" spans="2:7" x14ac:dyDescent="0.2">
      <c r="B1863" s="230">
        <v>43255</v>
      </c>
      <c r="C1863" s="124">
        <v>268.89999999999998</v>
      </c>
      <c r="D1863" s="156">
        <f t="shared" si="30"/>
        <v>5.2336448598129994E-3</v>
      </c>
      <c r="E1863" s="156">
        <v>3.6775436343470633E-3</v>
      </c>
      <c r="G1863" s="156"/>
    </row>
    <row r="1864" spans="2:7" x14ac:dyDescent="0.2">
      <c r="B1864" s="230">
        <v>43252</v>
      </c>
      <c r="C1864" s="124">
        <v>269.95</v>
      </c>
      <c r="D1864" s="156">
        <f t="shared" si="30"/>
        <v>3.904797322424736E-3</v>
      </c>
      <c r="E1864" s="156">
        <v>3.6554161082004558E-3</v>
      </c>
      <c r="G1864" s="156"/>
    </row>
    <row r="1865" spans="2:7" x14ac:dyDescent="0.2">
      <c r="B1865" s="230">
        <v>43251</v>
      </c>
      <c r="C1865" s="124">
        <v>271.64999999999998</v>
      </c>
      <c r="D1865" s="156">
        <f t="shared" si="30"/>
        <v>6.2974624930542279E-3</v>
      </c>
      <c r="E1865" s="156">
        <v>3.6496350364963502E-3</v>
      </c>
      <c r="G1865" s="156"/>
    </row>
    <row r="1866" spans="2:7" x14ac:dyDescent="0.2">
      <c r="B1866" s="230">
        <v>43250</v>
      </c>
      <c r="C1866" s="124">
        <v>271.89999999999998</v>
      </c>
      <c r="D1866" s="156">
        <f t="shared" si="30"/>
        <v>9.2030185900975525E-4</v>
      </c>
      <c r="E1866" s="156">
        <v>3.6231884057971015E-3</v>
      </c>
      <c r="G1866" s="156"/>
    </row>
    <row r="1867" spans="2:7" x14ac:dyDescent="0.2">
      <c r="B1867" s="230">
        <v>43249</v>
      </c>
      <c r="C1867" s="124">
        <v>274.05</v>
      </c>
      <c r="D1867" s="156">
        <f t="shared" si="30"/>
        <v>7.9073188672307247E-3</v>
      </c>
      <c r="E1867" s="156">
        <v>3.621807091116998E-3</v>
      </c>
      <c r="G1867" s="156"/>
    </row>
    <row r="1868" spans="2:7" x14ac:dyDescent="0.2">
      <c r="B1868" s="230">
        <v>43248</v>
      </c>
      <c r="C1868" s="124">
        <v>275.3</v>
      </c>
      <c r="D1868" s="156">
        <f t="shared" si="30"/>
        <v>4.5612114577631814E-3</v>
      </c>
      <c r="E1868" s="156">
        <v>3.6154201874973105E-3</v>
      </c>
      <c r="G1868" s="156"/>
    </row>
    <row r="1869" spans="2:7" x14ac:dyDescent="0.2">
      <c r="B1869" s="230">
        <v>43245</v>
      </c>
      <c r="C1869" s="124">
        <v>272.3</v>
      </c>
      <c r="D1869" s="156">
        <f t="shared" si="30"/>
        <v>-1.0897203051216853E-2</v>
      </c>
      <c r="E1869" s="156">
        <v>3.6129343048111901E-3</v>
      </c>
      <c r="G1869" s="156"/>
    </row>
    <row r="1870" spans="2:7" x14ac:dyDescent="0.2">
      <c r="B1870" s="230">
        <v>43244</v>
      </c>
      <c r="C1870" s="124">
        <v>274.85000000000002</v>
      </c>
      <c r="D1870" s="156">
        <f t="shared" si="30"/>
        <v>9.3646713183988661E-3</v>
      </c>
      <c r="E1870" s="156">
        <v>3.6080516521078184E-3</v>
      </c>
      <c r="G1870" s="156"/>
    </row>
    <row r="1871" spans="2:7" x14ac:dyDescent="0.2">
      <c r="B1871" s="230">
        <v>43243</v>
      </c>
      <c r="C1871" s="124">
        <v>273.45</v>
      </c>
      <c r="D1871" s="156">
        <f t="shared" si="30"/>
        <v>-5.0936874658906095E-3</v>
      </c>
      <c r="E1871" s="156">
        <v>3.6066362106275548E-3</v>
      </c>
      <c r="G1871" s="156"/>
    </row>
    <row r="1872" spans="2:7" x14ac:dyDescent="0.2">
      <c r="B1872" s="230">
        <v>43242</v>
      </c>
      <c r="C1872" s="124">
        <v>278.75</v>
      </c>
      <c r="D1872" s="156">
        <f t="shared" si="30"/>
        <v>1.9381971109892163E-2</v>
      </c>
      <c r="E1872" s="156">
        <v>3.6036036036035451E-3</v>
      </c>
      <c r="G1872" s="156"/>
    </row>
    <row r="1873" spans="2:7" x14ac:dyDescent="0.2">
      <c r="B1873" s="230">
        <v>43241</v>
      </c>
      <c r="C1873" s="124">
        <v>282.35000000000002</v>
      </c>
      <c r="D1873" s="156">
        <f t="shared" si="30"/>
        <v>1.2914798206278109E-2</v>
      </c>
      <c r="E1873" s="156">
        <v>3.5991500802219508E-3</v>
      </c>
      <c r="G1873" s="156"/>
    </row>
    <row r="1874" spans="2:7" x14ac:dyDescent="0.2">
      <c r="B1874" s="230">
        <v>43238</v>
      </c>
      <c r="C1874" s="124">
        <v>282.3</v>
      </c>
      <c r="D1874" s="156">
        <f t="shared" si="30"/>
        <v>-1.7708517797064411E-4</v>
      </c>
      <c r="E1874" s="156">
        <v>3.595946387708476E-3</v>
      </c>
      <c r="G1874" s="156"/>
    </row>
    <row r="1875" spans="2:7" x14ac:dyDescent="0.2">
      <c r="B1875" s="230">
        <v>43237</v>
      </c>
      <c r="C1875" s="124">
        <v>278.95</v>
      </c>
      <c r="D1875" s="156">
        <f t="shared" si="30"/>
        <v>-1.1866808359900895E-2</v>
      </c>
      <c r="E1875" s="156">
        <v>3.5837223558259977E-3</v>
      </c>
      <c r="G1875" s="156"/>
    </row>
    <row r="1876" spans="2:7" x14ac:dyDescent="0.2">
      <c r="B1876" s="230">
        <v>43236</v>
      </c>
      <c r="C1876" s="124">
        <v>285.85000000000002</v>
      </c>
      <c r="D1876" s="156">
        <f t="shared" si="30"/>
        <v>2.4735615701738788E-2</v>
      </c>
      <c r="E1876" s="156">
        <v>3.5677879714577348E-3</v>
      </c>
      <c r="G1876" s="156"/>
    </row>
    <row r="1877" spans="2:7" x14ac:dyDescent="0.2">
      <c r="B1877" s="230">
        <v>43235</v>
      </c>
      <c r="C1877" s="124">
        <v>281.85000000000002</v>
      </c>
      <c r="D1877" s="156">
        <f t="shared" si="30"/>
        <v>-1.3993353157250305E-2</v>
      </c>
      <c r="E1877" s="156">
        <v>3.5500061207001804E-3</v>
      </c>
      <c r="G1877" s="156"/>
    </row>
    <row r="1878" spans="2:7" x14ac:dyDescent="0.2">
      <c r="B1878" s="230">
        <v>43234</v>
      </c>
      <c r="C1878" s="124">
        <v>284.8</v>
      </c>
      <c r="D1878" s="156">
        <f t="shared" si="30"/>
        <v>1.0466560227071096E-2</v>
      </c>
      <c r="E1878" s="156">
        <v>3.5431429762400762E-3</v>
      </c>
      <c r="G1878" s="156"/>
    </row>
    <row r="1879" spans="2:7" x14ac:dyDescent="0.2">
      <c r="B1879" s="230">
        <v>43231</v>
      </c>
      <c r="C1879" s="124">
        <v>283.64999999999998</v>
      </c>
      <c r="D1879" s="156">
        <f t="shared" si="30"/>
        <v>-4.0379213483147268E-3</v>
      </c>
      <c r="E1879" s="156">
        <v>3.5349567949725003E-3</v>
      </c>
      <c r="G1879" s="156"/>
    </row>
    <row r="1880" spans="2:7" x14ac:dyDescent="0.2">
      <c r="B1880" s="230">
        <v>43230</v>
      </c>
      <c r="C1880" s="124">
        <v>280.14999999999998</v>
      </c>
      <c r="D1880" s="156">
        <f t="shared" si="30"/>
        <v>-1.2339150361360834E-2</v>
      </c>
      <c r="E1880" s="156">
        <v>3.5211267605634025E-3</v>
      </c>
      <c r="G1880" s="156"/>
    </row>
    <row r="1881" spans="2:7" x14ac:dyDescent="0.2">
      <c r="B1881" s="230">
        <v>43229</v>
      </c>
      <c r="C1881" s="124">
        <v>282.3</v>
      </c>
      <c r="D1881" s="156">
        <f t="shared" si="30"/>
        <v>7.6744601106551284E-3</v>
      </c>
      <c r="E1881" s="156">
        <v>3.5211267605633196E-3</v>
      </c>
      <c r="G1881" s="156"/>
    </row>
    <row r="1882" spans="2:7" x14ac:dyDescent="0.2">
      <c r="B1882" s="230">
        <v>43228</v>
      </c>
      <c r="C1882" s="124">
        <v>282.7</v>
      </c>
      <c r="D1882" s="156">
        <f t="shared" si="30"/>
        <v>1.4169323414806136E-3</v>
      </c>
      <c r="E1882" s="156">
        <v>3.5139424166854556E-3</v>
      </c>
      <c r="G1882" s="156"/>
    </row>
    <row r="1883" spans="2:7" x14ac:dyDescent="0.2">
      <c r="B1883" s="230">
        <v>43227</v>
      </c>
      <c r="C1883" s="124">
        <v>282.25</v>
      </c>
      <c r="D1883" s="156">
        <f t="shared" si="30"/>
        <v>-1.5917934205871547E-3</v>
      </c>
      <c r="E1883" s="156">
        <v>3.5081240768095427E-3</v>
      </c>
      <c r="G1883" s="156"/>
    </row>
    <row r="1884" spans="2:7" x14ac:dyDescent="0.2">
      <c r="B1884" s="230">
        <v>43224</v>
      </c>
      <c r="C1884" s="124">
        <v>277.14999999999998</v>
      </c>
      <c r="D1884" s="156">
        <f t="shared" si="30"/>
        <v>-1.8069087688219743E-2</v>
      </c>
      <c r="E1884" s="156">
        <v>3.5066006600659831E-3</v>
      </c>
      <c r="G1884" s="156"/>
    </row>
    <row r="1885" spans="2:7" x14ac:dyDescent="0.2">
      <c r="B1885" s="230">
        <v>43223</v>
      </c>
      <c r="C1885" s="124">
        <v>285</v>
      </c>
      <c r="D1885" s="156">
        <f t="shared" si="30"/>
        <v>2.8324012267725143E-2</v>
      </c>
      <c r="E1885" s="156">
        <v>3.4856102902618693E-3</v>
      </c>
      <c r="G1885" s="156"/>
    </row>
    <row r="1886" spans="2:7" x14ac:dyDescent="0.2">
      <c r="B1886" s="230">
        <v>43222</v>
      </c>
      <c r="C1886" s="124">
        <v>287.25</v>
      </c>
      <c r="D1886" s="156">
        <f t="shared" si="30"/>
        <v>7.8947368421052634E-3</v>
      </c>
      <c r="E1886" s="156">
        <v>3.4846240961755506E-3</v>
      </c>
      <c r="G1886" s="156"/>
    </row>
    <row r="1887" spans="2:7" x14ac:dyDescent="0.2">
      <c r="B1887" s="230">
        <v>43220</v>
      </c>
      <c r="C1887" s="124">
        <v>281.45</v>
      </c>
      <c r="D1887" s="156">
        <f t="shared" si="30"/>
        <v>-2.0191470844212397E-2</v>
      </c>
      <c r="E1887" s="156">
        <v>3.4838413935365155E-3</v>
      </c>
      <c r="G1887" s="156"/>
    </row>
    <row r="1888" spans="2:7" x14ac:dyDescent="0.2">
      <c r="B1888" s="230">
        <v>43217</v>
      </c>
      <c r="C1888" s="124">
        <v>279.39999999999998</v>
      </c>
      <c r="D1888" s="156">
        <f t="shared" si="30"/>
        <v>-7.2837093622313432E-3</v>
      </c>
      <c r="E1888" s="156">
        <v>3.4762456546930639E-3</v>
      </c>
      <c r="G1888" s="156"/>
    </row>
    <row r="1889" spans="2:7" x14ac:dyDescent="0.2">
      <c r="B1889" s="230">
        <v>43216</v>
      </c>
      <c r="C1889" s="124">
        <v>278.25</v>
      </c>
      <c r="D1889" s="156">
        <f t="shared" si="30"/>
        <v>-4.1159627773800188E-3</v>
      </c>
      <c r="E1889" s="156">
        <v>3.4722222222222363E-3</v>
      </c>
      <c r="G1889" s="156"/>
    </row>
    <row r="1890" spans="2:7" x14ac:dyDescent="0.2">
      <c r="B1890" s="230">
        <v>43215</v>
      </c>
      <c r="C1890" s="124">
        <v>274.10000000000002</v>
      </c>
      <c r="D1890" s="156">
        <f t="shared" si="30"/>
        <v>-1.4914645103324266E-2</v>
      </c>
      <c r="E1890" s="156">
        <v>3.472222222222222E-3</v>
      </c>
      <c r="G1890" s="156"/>
    </row>
    <row r="1891" spans="2:7" x14ac:dyDescent="0.2">
      <c r="B1891" s="230">
        <v>43214</v>
      </c>
      <c r="C1891" s="124">
        <v>276</v>
      </c>
      <c r="D1891" s="156">
        <f t="shared" si="30"/>
        <v>6.9317767238233387E-3</v>
      </c>
      <c r="E1891" s="156">
        <v>3.4700519430134638E-3</v>
      </c>
      <c r="G1891" s="156"/>
    </row>
    <row r="1892" spans="2:7" x14ac:dyDescent="0.2">
      <c r="B1892" s="230">
        <v>43213</v>
      </c>
      <c r="C1892" s="124">
        <v>275.5</v>
      </c>
      <c r="D1892" s="156">
        <f t="shared" si="30"/>
        <v>-1.8115942028985507E-3</v>
      </c>
      <c r="E1892" s="156">
        <v>3.4670910537684075E-3</v>
      </c>
      <c r="G1892" s="156"/>
    </row>
    <row r="1893" spans="2:7" x14ac:dyDescent="0.2">
      <c r="B1893" s="230">
        <v>43210</v>
      </c>
      <c r="C1893" s="124">
        <v>276.2</v>
      </c>
      <c r="D1893" s="156">
        <f t="shared" si="30"/>
        <v>2.540834845734986E-3</v>
      </c>
      <c r="E1893" s="156">
        <v>3.4668053388802714E-3</v>
      </c>
      <c r="G1893" s="156"/>
    </row>
    <row r="1894" spans="2:7" x14ac:dyDescent="0.2">
      <c r="B1894" s="230">
        <v>43209</v>
      </c>
      <c r="C1894" s="124">
        <v>277.35000000000002</v>
      </c>
      <c r="D1894" s="156">
        <f t="shared" si="30"/>
        <v>4.163649529326699E-3</v>
      </c>
      <c r="E1894" s="156">
        <v>3.462686567164152E-3</v>
      </c>
      <c r="G1894" s="156"/>
    </row>
    <row r="1895" spans="2:7" x14ac:dyDescent="0.2">
      <c r="B1895" s="230">
        <v>43208</v>
      </c>
      <c r="C1895" s="124">
        <v>275.35000000000002</v>
      </c>
      <c r="D1895" s="156">
        <f t="shared" si="30"/>
        <v>-7.2111051018568587E-3</v>
      </c>
      <c r="E1895" s="156">
        <v>3.4611099257995789E-3</v>
      </c>
      <c r="G1895" s="156"/>
    </row>
    <row r="1896" spans="2:7" x14ac:dyDescent="0.2">
      <c r="B1896" s="230">
        <v>43207</v>
      </c>
      <c r="C1896" s="124">
        <v>267.60000000000002</v>
      </c>
      <c r="D1896" s="156">
        <f t="shared" si="30"/>
        <v>-2.8145996005084436E-2</v>
      </c>
      <c r="E1896" s="156">
        <v>3.457643862682228E-3</v>
      </c>
      <c r="G1896" s="156"/>
    </row>
    <row r="1897" spans="2:7" x14ac:dyDescent="0.2">
      <c r="B1897" s="230">
        <v>43206</v>
      </c>
      <c r="C1897" s="124">
        <v>264.45</v>
      </c>
      <c r="D1897" s="156">
        <f t="shared" si="30"/>
        <v>-1.1771300448430619E-2</v>
      </c>
      <c r="E1897" s="156">
        <v>3.4531877239176909E-3</v>
      </c>
      <c r="G1897" s="156"/>
    </row>
    <row r="1898" spans="2:7" x14ac:dyDescent="0.2">
      <c r="B1898" s="230">
        <v>43203</v>
      </c>
      <c r="C1898" s="124">
        <v>260.75</v>
      </c>
      <c r="D1898" s="156">
        <f t="shared" si="30"/>
        <v>-1.3991302703724669E-2</v>
      </c>
      <c r="E1898" s="156">
        <v>3.4513144367747787E-3</v>
      </c>
      <c r="G1898" s="156"/>
    </row>
    <row r="1899" spans="2:7" x14ac:dyDescent="0.2">
      <c r="B1899" s="230">
        <v>43202</v>
      </c>
      <c r="C1899" s="124">
        <v>261.95</v>
      </c>
      <c r="D1899" s="156">
        <f t="shared" si="30"/>
        <v>4.6021093000958337E-3</v>
      </c>
      <c r="E1899" s="156">
        <v>3.4440344403443477E-3</v>
      </c>
      <c r="G1899" s="156"/>
    </row>
    <row r="1900" spans="2:7" x14ac:dyDescent="0.2">
      <c r="B1900" s="230">
        <v>43201</v>
      </c>
      <c r="C1900" s="124">
        <v>265.14999999999998</v>
      </c>
      <c r="D1900" s="156">
        <f t="shared" si="30"/>
        <v>1.2216071769421603E-2</v>
      </c>
      <c r="E1900" s="156">
        <v>3.4355828220858338E-3</v>
      </c>
      <c r="G1900" s="156"/>
    </row>
    <row r="1901" spans="2:7" x14ac:dyDescent="0.2">
      <c r="B1901" s="230">
        <v>43200</v>
      </c>
      <c r="C1901" s="124">
        <v>266.7</v>
      </c>
      <c r="D1901" s="156">
        <f t="shared" si="30"/>
        <v>5.8457476899868429E-3</v>
      </c>
      <c r="E1901" s="156">
        <v>3.4352622411456335E-3</v>
      </c>
      <c r="G1901" s="156"/>
    </row>
    <row r="1902" spans="2:7" x14ac:dyDescent="0.2">
      <c r="B1902" s="230">
        <v>43199</v>
      </c>
      <c r="C1902" s="124">
        <v>265.8</v>
      </c>
      <c r="D1902" s="156">
        <f t="shared" si="30"/>
        <v>-3.3745781777276989E-3</v>
      </c>
      <c r="E1902" s="156">
        <v>3.4163987138263437E-3</v>
      </c>
      <c r="G1902" s="156"/>
    </row>
    <row r="1903" spans="2:7" x14ac:dyDescent="0.2">
      <c r="B1903" s="230">
        <v>43196</v>
      </c>
      <c r="C1903" s="124">
        <v>260.85000000000002</v>
      </c>
      <c r="D1903" s="156">
        <f t="shared" si="30"/>
        <v>-1.862302483069973E-2</v>
      </c>
      <c r="E1903" s="156">
        <v>3.4083162917518746E-3</v>
      </c>
      <c r="G1903" s="156"/>
    </row>
    <row r="1904" spans="2:7" x14ac:dyDescent="0.2">
      <c r="B1904" s="230">
        <v>43195</v>
      </c>
      <c r="C1904" s="124">
        <v>259.64999999999998</v>
      </c>
      <c r="D1904" s="156">
        <f t="shared" si="30"/>
        <v>-4.6003450258771143E-3</v>
      </c>
      <c r="E1904" s="156">
        <v>3.4080482369903118E-3</v>
      </c>
      <c r="G1904" s="156"/>
    </row>
    <row r="1905" spans="2:7" x14ac:dyDescent="0.2">
      <c r="B1905" s="230">
        <v>43194</v>
      </c>
      <c r="C1905" s="124">
        <v>258.60000000000002</v>
      </c>
      <c r="D1905" s="156">
        <f t="shared" si="30"/>
        <v>-4.043905257076659E-3</v>
      </c>
      <c r="E1905" s="156">
        <v>3.4043743879120913E-3</v>
      </c>
      <c r="G1905" s="156"/>
    </row>
    <row r="1906" spans="2:7" x14ac:dyDescent="0.2">
      <c r="B1906" s="230">
        <v>43193</v>
      </c>
      <c r="C1906" s="124">
        <v>258.5</v>
      </c>
      <c r="D1906" s="156">
        <f t="shared" si="30"/>
        <v>-3.8669760247495255E-4</v>
      </c>
      <c r="E1906" s="156">
        <v>3.3991926917357612E-3</v>
      </c>
      <c r="G1906" s="156"/>
    </row>
    <row r="1907" spans="2:7" x14ac:dyDescent="0.2">
      <c r="B1907" s="230">
        <v>43192</v>
      </c>
      <c r="C1907" s="124">
        <v>258.25</v>
      </c>
      <c r="D1907" s="156">
        <f t="shared" si="30"/>
        <v>-9.6711798839458415E-4</v>
      </c>
      <c r="E1907" s="156">
        <v>3.3896731054977236E-3</v>
      </c>
      <c r="G1907" s="156"/>
    </row>
    <row r="1908" spans="2:7" x14ac:dyDescent="0.2">
      <c r="B1908" s="230">
        <v>43187</v>
      </c>
      <c r="C1908" s="124">
        <v>255.5</v>
      </c>
      <c r="D1908" s="156">
        <f t="shared" si="30"/>
        <v>-1.0648596321393998E-2</v>
      </c>
      <c r="E1908" s="156">
        <v>3.3869602032176606E-3</v>
      </c>
      <c r="G1908" s="156"/>
    </row>
    <row r="1909" spans="2:7" x14ac:dyDescent="0.2">
      <c r="B1909" s="230">
        <v>43186</v>
      </c>
      <c r="C1909" s="124">
        <v>258.89999999999998</v>
      </c>
      <c r="D1909" s="156">
        <f t="shared" si="30"/>
        <v>1.330724070450089E-2</v>
      </c>
      <c r="E1909" s="156">
        <v>3.3799008562415502E-3</v>
      </c>
      <c r="G1909" s="156"/>
    </row>
    <row r="1910" spans="2:7" x14ac:dyDescent="0.2">
      <c r="B1910" s="230">
        <v>43185</v>
      </c>
      <c r="C1910" s="124">
        <v>258.10000000000002</v>
      </c>
      <c r="D1910" s="156">
        <f t="shared" si="30"/>
        <v>-3.0899961375046529E-3</v>
      </c>
      <c r="E1910" s="156">
        <v>3.3730260131855936E-3</v>
      </c>
      <c r="G1910" s="156"/>
    </row>
    <row r="1911" spans="2:7" x14ac:dyDescent="0.2">
      <c r="B1911" s="230">
        <v>43182</v>
      </c>
      <c r="C1911" s="124">
        <v>256</v>
      </c>
      <c r="D1911" s="156">
        <f t="shared" si="30"/>
        <v>-8.136381247578546E-3</v>
      </c>
      <c r="E1911" s="156">
        <v>3.3690658499233505E-3</v>
      </c>
      <c r="G1911" s="156"/>
    </row>
    <row r="1912" spans="2:7" x14ac:dyDescent="0.2">
      <c r="B1912" s="230">
        <v>43181</v>
      </c>
      <c r="C1912" s="124">
        <v>258.3</v>
      </c>
      <c r="D1912" s="156">
        <f t="shared" si="30"/>
        <v>8.9843750000000444E-3</v>
      </c>
      <c r="E1912" s="156">
        <v>3.3641057737443815E-3</v>
      </c>
      <c r="G1912" s="156"/>
    </row>
    <row r="1913" spans="2:7" x14ac:dyDescent="0.2">
      <c r="B1913" s="230">
        <v>43180</v>
      </c>
      <c r="C1913" s="124">
        <v>259.05</v>
      </c>
      <c r="D1913" s="156">
        <f t="shared" si="30"/>
        <v>2.9036004645760743E-3</v>
      </c>
      <c r="E1913" s="156">
        <v>3.3626714231409609E-3</v>
      </c>
      <c r="G1913" s="156"/>
    </row>
    <row r="1914" spans="2:7" x14ac:dyDescent="0.2">
      <c r="B1914" s="230">
        <v>43179</v>
      </c>
      <c r="C1914" s="124">
        <v>259.2</v>
      </c>
      <c r="D1914" s="156">
        <f t="shared" si="30"/>
        <v>5.790387955992174E-4</v>
      </c>
      <c r="E1914" s="156">
        <v>3.360648190774283E-3</v>
      </c>
      <c r="G1914" s="156"/>
    </row>
    <row r="1915" spans="2:7" x14ac:dyDescent="0.2">
      <c r="B1915" s="230">
        <v>43178</v>
      </c>
      <c r="C1915" s="124">
        <v>259.14999999999998</v>
      </c>
      <c r="D1915" s="156">
        <f t="shared" si="30"/>
        <v>-1.9290123456794511E-4</v>
      </c>
      <c r="E1915" s="156">
        <v>3.347280334728081E-3</v>
      </c>
      <c r="G1915" s="156"/>
    </row>
    <row r="1916" spans="2:7" x14ac:dyDescent="0.2">
      <c r="B1916" s="230">
        <v>43175</v>
      </c>
      <c r="C1916" s="124">
        <v>260.5</v>
      </c>
      <c r="D1916" s="156">
        <f t="shared" si="30"/>
        <v>5.209338221107555E-3</v>
      </c>
      <c r="E1916" s="156">
        <v>3.3462603878116142E-3</v>
      </c>
      <c r="G1916" s="156"/>
    </row>
    <row r="1917" spans="2:7" x14ac:dyDescent="0.2">
      <c r="B1917" s="230">
        <v>43174</v>
      </c>
      <c r="C1917" s="124">
        <v>265.55</v>
      </c>
      <c r="D1917" s="156">
        <f t="shared" si="30"/>
        <v>1.938579654510561E-2</v>
      </c>
      <c r="E1917" s="156">
        <v>3.3416875522137967E-3</v>
      </c>
      <c r="G1917" s="156"/>
    </row>
    <row r="1918" spans="2:7" x14ac:dyDescent="0.2">
      <c r="B1918" s="230">
        <v>43173</v>
      </c>
      <c r="C1918" s="124">
        <v>268.05</v>
      </c>
      <c r="D1918" s="156">
        <f t="shared" ref="D1918:D1981" si="31">(C1918-C1917)/C1917</f>
        <v>9.4144228958764828E-3</v>
      </c>
      <c r="E1918" s="156">
        <v>3.3401134782143288E-3</v>
      </c>
      <c r="G1918" s="156"/>
    </row>
    <row r="1919" spans="2:7" x14ac:dyDescent="0.2">
      <c r="B1919" s="230">
        <v>43172</v>
      </c>
      <c r="C1919" s="124">
        <v>269.45</v>
      </c>
      <c r="D1919" s="156">
        <f t="shared" si="31"/>
        <v>5.2229061742211421E-3</v>
      </c>
      <c r="E1919" s="156">
        <v>3.3340279224838986E-3</v>
      </c>
      <c r="G1919" s="156"/>
    </row>
    <row r="1920" spans="2:7" x14ac:dyDescent="0.2">
      <c r="B1920" s="230">
        <v>43171</v>
      </c>
      <c r="C1920" s="124">
        <v>270.10000000000002</v>
      </c>
      <c r="D1920" s="156">
        <f t="shared" si="31"/>
        <v>2.4123213954352725E-3</v>
      </c>
      <c r="E1920" s="156">
        <v>3.3322549336783328E-3</v>
      </c>
      <c r="G1920" s="156"/>
    </row>
    <row r="1921" spans="2:7" x14ac:dyDescent="0.2">
      <c r="B1921" s="230">
        <v>43168</v>
      </c>
      <c r="C1921" s="124">
        <v>259.25</v>
      </c>
      <c r="D1921" s="156">
        <f t="shared" si="31"/>
        <v>-4.0170307293595046E-2</v>
      </c>
      <c r="E1921" s="156">
        <v>3.3307210031348856E-3</v>
      </c>
      <c r="G1921" s="156"/>
    </row>
    <row r="1922" spans="2:7" x14ac:dyDescent="0.2">
      <c r="B1922" s="230">
        <v>43167</v>
      </c>
      <c r="C1922" s="124">
        <v>258.85000000000002</v>
      </c>
      <c r="D1922" s="156">
        <f t="shared" si="31"/>
        <v>-1.5429122468658717E-3</v>
      </c>
      <c r="E1922" s="156">
        <v>3.3294730746960622E-3</v>
      </c>
      <c r="G1922" s="156"/>
    </row>
    <row r="1923" spans="2:7" x14ac:dyDescent="0.2">
      <c r="B1923" s="230">
        <v>43166</v>
      </c>
      <c r="C1923" s="124">
        <v>259.89999999999998</v>
      </c>
      <c r="D1923" s="156">
        <f t="shared" si="31"/>
        <v>4.056403322387307E-3</v>
      </c>
      <c r="E1923" s="156">
        <v>3.3271543324303299E-3</v>
      </c>
      <c r="G1923" s="156"/>
    </row>
    <row r="1924" spans="2:7" x14ac:dyDescent="0.2">
      <c r="B1924" s="230">
        <v>43165</v>
      </c>
      <c r="C1924" s="124">
        <v>256.5</v>
      </c>
      <c r="D1924" s="156">
        <f t="shared" si="31"/>
        <v>-1.3081954597922191E-2</v>
      </c>
      <c r="E1924" s="156">
        <v>3.3242312715184748E-3</v>
      </c>
      <c r="G1924" s="156"/>
    </row>
    <row r="1925" spans="2:7" x14ac:dyDescent="0.2">
      <c r="B1925" s="230">
        <v>43164</v>
      </c>
      <c r="C1925" s="124">
        <v>260.25</v>
      </c>
      <c r="D1925" s="156">
        <f t="shared" si="31"/>
        <v>1.4619883040935672E-2</v>
      </c>
      <c r="E1925" s="156">
        <v>3.3214595167035607E-3</v>
      </c>
      <c r="G1925" s="156"/>
    </row>
    <row r="1926" spans="2:7" x14ac:dyDescent="0.2">
      <c r="B1926" s="230">
        <v>43160</v>
      </c>
      <c r="C1926" s="124">
        <v>264</v>
      </c>
      <c r="D1926" s="156">
        <f t="shared" si="31"/>
        <v>1.4409221902017291E-2</v>
      </c>
      <c r="E1926" s="156">
        <v>3.3191085822664229E-3</v>
      </c>
      <c r="G1926" s="156"/>
    </row>
    <row r="1927" spans="2:7" x14ac:dyDescent="0.2">
      <c r="B1927" s="230">
        <v>43159</v>
      </c>
      <c r="C1927" s="124">
        <v>265.05</v>
      </c>
      <c r="D1927" s="156">
        <f t="shared" si="31"/>
        <v>3.9772727272727702E-3</v>
      </c>
      <c r="E1927" s="156">
        <v>3.3061494379545116E-3</v>
      </c>
      <c r="G1927" s="156"/>
    </row>
    <row r="1928" spans="2:7" x14ac:dyDescent="0.2">
      <c r="B1928" s="230">
        <v>43158</v>
      </c>
      <c r="C1928" s="124">
        <v>266.39999999999998</v>
      </c>
      <c r="D1928" s="156">
        <f t="shared" si="31"/>
        <v>5.0933786078097183E-3</v>
      </c>
      <c r="E1928" s="156">
        <v>3.3030383849988994E-3</v>
      </c>
      <c r="G1928" s="156"/>
    </row>
    <row r="1929" spans="2:7" x14ac:dyDescent="0.2">
      <c r="B1929" s="230">
        <v>43157</v>
      </c>
      <c r="C1929" s="124">
        <v>266.55</v>
      </c>
      <c r="D1929" s="156">
        <f t="shared" si="31"/>
        <v>5.630630630631911E-4</v>
      </c>
      <c r="E1929" s="156">
        <v>3.3018330866447258E-3</v>
      </c>
      <c r="G1929" s="156"/>
    </row>
    <row r="1930" spans="2:7" x14ac:dyDescent="0.2">
      <c r="B1930" s="230">
        <v>43154</v>
      </c>
      <c r="C1930" s="124">
        <v>269.05</v>
      </c>
      <c r="D1930" s="156">
        <f t="shared" si="31"/>
        <v>9.3791033577190017E-3</v>
      </c>
      <c r="E1930" s="156">
        <v>3.2928942807625254E-3</v>
      </c>
      <c r="G1930" s="156"/>
    </row>
    <row r="1931" spans="2:7" x14ac:dyDescent="0.2">
      <c r="B1931" s="230">
        <v>43153</v>
      </c>
      <c r="C1931" s="124">
        <v>267.10000000000002</v>
      </c>
      <c r="D1931" s="156">
        <f t="shared" si="31"/>
        <v>-7.2477234714736615E-3</v>
      </c>
      <c r="E1931" s="156">
        <v>3.2888726475426063E-3</v>
      </c>
      <c r="G1931" s="156"/>
    </row>
    <row r="1932" spans="2:7" x14ac:dyDescent="0.2">
      <c r="B1932" s="230">
        <v>43152</v>
      </c>
      <c r="C1932" s="124">
        <v>268.2</v>
      </c>
      <c r="D1932" s="156">
        <f t="shared" si="31"/>
        <v>4.1183077499062741E-3</v>
      </c>
      <c r="E1932" s="156">
        <v>3.2882718304712952E-3</v>
      </c>
      <c r="G1932" s="156"/>
    </row>
    <row r="1933" spans="2:7" x14ac:dyDescent="0.2">
      <c r="B1933" s="230">
        <v>43151</v>
      </c>
      <c r="C1933" s="124">
        <v>263.25</v>
      </c>
      <c r="D1933" s="156">
        <f t="shared" si="31"/>
        <v>-1.8456375838926134E-2</v>
      </c>
      <c r="E1933" s="156">
        <v>3.2739922242685138E-3</v>
      </c>
      <c r="G1933" s="156"/>
    </row>
    <row r="1934" spans="2:7" x14ac:dyDescent="0.2">
      <c r="B1934" s="230">
        <v>43150</v>
      </c>
      <c r="C1934" s="124">
        <v>264.10000000000002</v>
      </c>
      <c r="D1934" s="156">
        <f t="shared" si="31"/>
        <v>3.2288698955366484E-3</v>
      </c>
      <c r="E1934" s="156">
        <v>3.2724297791109592E-3</v>
      </c>
      <c r="G1934" s="156"/>
    </row>
    <row r="1935" spans="2:7" x14ac:dyDescent="0.2">
      <c r="B1935" s="230">
        <v>43147</v>
      </c>
      <c r="C1935" s="124">
        <v>266.45</v>
      </c>
      <c r="D1935" s="156">
        <f t="shared" si="31"/>
        <v>8.8981446421808625E-3</v>
      </c>
      <c r="E1935" s="156">
        <v>3.2522283787038446E-3</v>
      </c>
      <c r="G1935" s="156"/>
    </row>
    <row r="1936" spans="2:7" x14ac:dyDescent="0.2">
      <c r="B1936" s="230">
        <v>43146</v>
      </c>
      <c r="C1936" s="124">
        <v>268.10000000000002</v>
      </c>
      <c r="D1936" s="156">
        <f t="shared" si="31"/>
        <v>6.1925314317884559E-3</v>
      </c>
      <c r="E1936" s="156">
        <v>3.2397408207342007E-3</v>
      </c>
      <c r="G1936" s="156"/>
    </row>
    <row r="1937" spans="2:7" x14ac:dyDescent="0.2">
      <c r="B1937" s="230">
        <v>43145</v>
      </c>
      <c r="C1937" s="124">
        <v>266.5</v>
      </c>
      <c r="D1937" s="156">
        <f t="shared" si="31"/>
        <v>-5.9679224170086633E-3</v>
      </c>
      <c r="E1937" s="156">
        <v>3.2375159423133353E-3</v>
      </c>
      <c r="G1937" s="156"/>
    </row>
    <row r="1938" spans="2:7" x14ac:dyDescent="0.2">
      <c r="B1938" s="230">
        <v>43143</v>
      </c>
      <c r="C1938" s="124">
        <v>269.85000000000002</v>
      </c>
      <c r="D1938" s="156">
        <f t="shared" si="31"/>
        <v>1.2570356472795582E-2</v>
      </c>
      <c r="E1938" s="156">
        <v>3.2288698955366484E-3</v>
      </c>
      <c r="G1938" s="156"/>
    </row>
    <row r="1939" spans="2:7" x14ac:dyDescent="0.2">
      <c r="B1939" s="230">
        <v>43140</v>
      </c>
      <c r="C1939" s="124">
        <v>271.35000000000002</v>
      </c>
      <c r="D1939" s="156">
        <f t="shared" si="31"/>
        <v>5.5586436909394101E-3</v>
      </c>
      <c r="E1939" s="156">
        <v>3.2282095852992584E-3</v>
      </c>
      <c r="G1939" s="156"/>
    </row>
    <row r="1940" spans="2:7" x14ac:dyDescent="0.2">
      <c r="B1940" s="230">
        <v>43139</v>
      </c>
      <c r="C1940" s="124">
        <v>274.10000000000002</v>
      </c>
      <c r="D1940" s="156">
        <f t="shared" si="31"/>
        <v>1.013451262207481E-2</v>
      </c>
      <c r="E1940" s="156">
        <v>3.2260411866011133E-3</v>
      </c>
      <c r="G1940" s="156"/>
    </row>
    <row r="1941" spans="2:7" x14ac:dyDescent="0.2">
      <c r="B1941" s="230">
        <v>43138</v>
      </c>
      <c r="C1941" s="124">
        <v>275.14999999999998</v>
      </c>
      <c r="D1941" s="156">
        <f t="shared" si="31"/>
        <v>3.830718715796988E-3</v>
      </c>
      <c r="E1941" s="156">
        <v>3.2230703986428789E-3</v>
      </c>
      <c r="G1941" s="156"/>
    </row>
    <row r="1942" spans="2:7" x14ac:dyDescent="0.2">
      <c r="B1942" s="230">
        <v>43137</v>
      </c>
      <c r="C1942" s="124">
        <v>273.5</v>
      </c>
      <c r="D1942" s="156">
        <f t="shared" si="31"/>
        <v>-5.9967290568779842E-3</v>
      </c>
      <c r="E1942" s="156">
        <v>3.2214309935570994E-3</v>
      </c>
      <c r="G1942" s="156"/>
    </row>
    <row r="1943" spans="2:7" x14ac:dyDescent="0.2">
      <c r="B1943" s="230">
        <v>43136</v>
      </c>
      <c r="C1943" s="124">
        <v>279.25</v>
      </c>
      <c r="D1943" s="156">
        <f t="shared" si="31"/>
        <v>2.1023765996343691E-2</v>
      </c>
      <c r="E1943" s="156">
        <v>3.2195750160978749E-3</v>
      </c>
      <c r="G1943" s="156"/>
    </row>
    <row r="1944" spans="2:7" x14ac:dyDescent="0.2">
      <c r="B1944" s="230">
        <v>43133</v>
      </c>
      <c r="C1944" s="124">
        <v>275.35000000000002</v>
      </c>
      <c r="D1944" s="156">
        <f t="shared" si="31"/>
        <v>-1.3965980304386668E-2</v>
      </c>
      <c r="E1944" s="156">
        <v>3.2160085760227879E-3</v>
      </c>
      <c r="G1944" s="156"/>
    </row>
    <row r="1945" spans="2:7" x14ac:dyDescent="0.2">
      <c r="B1945" s="230">
        <v>43132</v>
      </c>
      <c r="C1945" s="124">
        <v>275.3</v>
      </c>
      <c r="D1945" s="156">
        <f t="shared" si="31"/>
        <v>-1.8158707100058603E-4</v>
      </c>
      <c r="E1945" s="156">
        <v>3.2154340836013143E-3</v>
      </c>
      <c r="G1945" s="156"/>
    </row>
    <row r="1946" spans="2:7" x14ac:dyDescent="0.2">
      <c r="B1946" s="230">
        <v>43131</v>
      </c>
      <c r="C1946" s="124">
        <v>271.39999999999998</v>
      </c>
      <c r="D1946" s="156">
        <f t="shared" si="31"/>
        <v>-1.4166363966582034E-2</v>
      </c>
      <c r="E1946" s="156">
        <v>3.2143267133508831E-3</v>
      </c>
      <c r="G1946" s="156"/>
    </row>
    <row r="1947" spans="2:7" x14ac:dyDescent="0.2">
      <c r="B1947" s="230">
        <v>43130</v>
      </c>
      <c r="C1947" s="124">
        <v>275.2</v>
      </c>
      <c r="D1947" s="156">
        <f t="shared" si="31"/>
        <v>1.4001473839351554E-2</v>
      </c>
      <c r="E1947" s="156">
        <v>3.2091281868425691E-3</v>
      </c>
      <c r="G1947" s="156"/>
    </row>
    <row r="1948" spans="2:7" x14ac:dyDescent="0.2">
      <c r="B1948" s="230">
        <v>43129</v>
      </c>
      <c r="C1948" s="124">
        <v>275.64999999999998</v>
      </c>
      <c r="D1948" s="156">
        <f t="shared" si="31"/>
        <v>1.6351744186046098E-3</v>
      </c>
      <c r="E1948" s="156">
        <v>3.2043381809218918E-3</v>
      </c>
      <c r="G1948" s="156"/>
    </row>
    <row r="1949" spans="2:7" x14ac:dyDescent="0.2">
      <c r="B1949" s="230">
        <v>43125</v>
      </c>
      <c r="C1949" s="124">
        <v>281.25</v>
      </c>
      <c r="D1949" s="156">
        <f t="shared" si="31"/>
        <v>2.0315617631053957E-2</v>
      </c>
      <c r="E1949" s="156">
        <v>3.1939605110336655E-3</v>
      </c>
      <c r="G1949" s="156"/>
    </row>
    <row r="1950" spans="2:7" x14ac:dyDescent="0.2">
      <c r="B1950" s="230">
        <v>43124</v>
      </c>
      <c r="C1950" s="124">
        <v>281.45</v>
      </c>
      <c r="D1950" s="156">
        <f t="shared" si="31"/>
        <v>7.111111111110707E-4</v>
      </c>
      <c r="E1950" s="156">
        <v>3.1824611032531354E-3</v>
      </c>
      <c r="G1950" s="156"/>
    </row>
    <row r="1951" spans="2:7" x14ac:dyDescent="0.2">
      <c r="B1951" s="230">
        <v>43123</v>
      </c>
      <c r="C1951" s="124">
        <v>276.60000000000002</v>
      </c>
      <c r="D1951" s="156">
        <f t="shared" si="31"/>
        <v>-1.7232190442351986E-2</v>
      </c>
      <c r="E1951" s="156">
        <v>3.1780513315632472E-3</v>
      </c>
      <c r="G1951" s="156"/>
    </row>
    <row r="1952" spans="2:7" x14ac:dyDescent="0.2">
      <c r="B1952" s="230">
        <v>43122</v>
      </c>
      <c r="C1952" s="124">
        <v>273.64999999999998</v>
      </c>
      <c r="D1952" s="156">
        <f t="shared" si="31"/>
        <v>-1.0665220535068855E-2</v>
      </c>
      <c r="E1952" s="156">
        <v>3.1669150521610387E-3</v>
      </c>
      <c r="G1952" s="156"/>
    </row>
    <row r="1953" spans="2:7" x14ac:dyDescent="0.2">
      <c r="B1953" s="230">
        <v>43119</v>
      </c>
      <c r="C1953" s="124">
        <v>274.55</v>
      </c>
      <c r="D1953" s="156">
        <f t="shared" si="31"/>
        <v>3.2888726475426063E-3</v>
      </c>
      <c r="E1953" s="156">
        <v>3.1607099440796363E-3</v>
      </c>
      <c r="G1953" s="156"/>
    </row>
    <row r="1954" spans="2:7" x14ac:dyDescent="0.2">
      <c r="B1954" s="230">
        <v>43118</v>
      </c>
      <c r="C1954" s="124">
        <v>273.39999999999998</v>
      </c>
      <c r="D1954" s="156">
        <f t="shared" si="31"/>
        <v>-4.1886723729740814E-3</v>
      </c>
      <c r="E1954" s="156">
        <v>3.1471631205674112E-3</v>
      </c>
      <c r="G1954" s="156"/>
    </row>
    <row r="1955" spans="2:7" x14ac:dyDescent="0.2">
      <c r="B1955" s="230">
        <v>43117</v>
      </c>
      <c r="C1955" s="124">
        <v>266.05</v>
      </c>
      <c r="D1955" s="156">
        <f t="shared" si="31"/>
        <v>-2.6883686905632649E-2</v>
      </c>
      <c r="E1955" s="156">
        <v>3.1419939577039548E-3</v>
      </c>
      <c r="G1955" s="156"/>
    </row>
    <row r="1956" spans="2:7" x14ac:dyDescent="0.2">
      <c r="B1956" s="230">
        <v>43116</v>
      </c>
      <c r="C1956" s="124">
        <v>261.7</v>
      </c>
      <c r="D1956" s="156">
        <f t="shared" si="31"/>
        <v>-1.6350310092088038E-2</v>
      </c>
      <c r="E1956" s="156">
        <v>3.1239153071851238E-3</v>
      </c>
      <c r="G1956" s="156"/>
    </row>
    <row r="1957" spans="2:7" x14ac:dyDescent="0.2">
      <c r="B1957" s="230">
        <v>43115</v>
      </c>
      <c r="C1957" s="124">
        <v>267.60000000000002</v>
      </c>
      <c r="D1957" s="156">
        <f t="shared" si="31"/>
        <v>2.2544898739014271E-2</v>
      </c>
      <c r="E1957" s="156">
        <v>3.1175168300727318E-3</v>
      </c>
      <c r="G1957" s="156"/>
    </row>
    <row r="1958" spans="2:7" x14ac:dyDescent="0.2">
      <c r="B1958" s="230">
        <v>43112</v>
      </c>
      <c r="C1958" s="124">
        <v>267.55</v>
      </c>
      <c r="D1958" s="156">
        <f t="shared" si="31"/>
        <v>-1.8684603886401856E-4</v>
      </c>
      <c r="E1958" s="156">
        <v>3.1122031122031916E-3</v>
      </c>
      <c r="G1958" s="156"/>
    </row>
    <row r="1959" spans="2:7" x14ac:dyDescent="0.2">
      <c r="B1959" s="230">
        <v>43111</v>
      </c>
      <c r="C1959" s="124">
        <v>269.8</v>
      </c>
      <c r="D1959" s="156">
        <f t="shared" si="31"/>
        <v>8.4096430573724536E-3</v>
      </c>
      <c r="E1959" s="156">
        <v>3.0878558436613925E-3</v>
      </c>
      <c r="G1959" s="156"/>
    </row>
    <row r="1960" spans="2:7" x14ac:dyDescent="0.2">
      <c r="B1960" s="230">
        <v>43110</v>
      </c>
      <c r="C1960" s="124">
        <v>269.39999999999998</v>
      </c>
      <c r="D1960" s="156">
        <f t="shared" si="31"/>
        <v>-1.4825796886583917E-3</v>
      </c>
      <c r="E1960" s="156">
        <v>3.0799556486386594E-3</v>
      </c>
      <c r="G1960" s="156"/>
    </row>
    <row r="1961" spans="2:7" x14ac:dyDescent="0.2">
      <c r="B1961" s="230">
        <v>43109</v>
      </c>
      <c r="C1961" s="124">
        <v>270.55</v>
      </c>
      <c r="D1961" s="156">
        <f t="shared" si="31"/>
        <v>4.2687453600595178E-3</v>
      </c>
      <c r="E1961" s="156">
        <v>3.0683403068340149E-3</v>
      </c>
      <c r="G1961" s="156"/>
    </row>
    <row r="1962" spans="2:7" x14ac:dyDescent="0.2">
      <c r="B1962" s="230">
        <v>43108</v>
      </c>
      <c r="C1962" s="124">
        <v>265.60000000000002</v>
      </c>
      <c r="D1962" s="156">
        <f t="shared" si="31"/>
        <v>-1.8296063574200661E-2</v>
      </c>
      <c r="E1962" s="156">
        <v>3.0193236714975845E-3</v>
      </c>
      <c r="G1962" s="156"/>
    </row>
    <row r="1963" spans="2:7" x14ac:dyDescent="0.2">
      <c r="B1963" s="230">
        <v>43105</v>
      </c>
      <c r="C1963" s="124">
        <v>262.89999999999998</v>
      </c>
      <c r="D1963" s="156">
        <f t="shared" si="31"/>
        <v>-1.0165662650602579E-2</v>
      </c>
      <c r="E1963" s="156">
        <v>3.0148320936578595E-3</v>
      </c>
      <c r="G1963" s="156"/>
    </row>
    <row r="1964" spans="2:7" x14ac:dyDescent="0.2">
      <c r="B1964" s="230">
        <v>43104</v>
      </c>
      <c r="C1964" s="124">
        <v>261.55</v>
      </c>
      <c r="D1964" s="156">
        <f t="shared" si="31"/>
        <v>-5.135032331684922E-3</v>
      </c>
      <c r="E1964" s="156">
        <v>3.014318010550156E-3</v>
      </c>
      <c r="G1964" s="156"/>
    </row>
    <row r="1965" spans="2:7" x14ac:dyDescent="0.2">
      <c r="B1965" s="230">
        <v>43103</v>
      </c>
      <c r="C1965" s="124">
        <v>261.14999999999998</v>
      </c>
      <c r="D1965" s="156">
        <f t="shared" si="31"/>
        <v>-1.5293442936342347E-3</v>
      </c>
      <c r="E1965" s="156">
        <v>3.0018010806483891E-3</v>
      </c>
      <c r="G1965" s="156"/>
    </row>
    <row r="1966" spans="2:7" x14ac:dyDescent="0.2">
      <c r="B1966" s="230">
        <v>43102</v>
      </c>
      <c r="C1966" s="124">
        <v>260.75</v>
      </c>
      <c r="D1966" s="156">
        <f t="shared" si="31"/>
        <v>-1.5316867700554367E-3</v>
      </c>
      <c r="E1966" s="156">
        <v>3.0003000300030001E-3</v>
      </c>
      <c r="G1966" s="156"/>
    </row>
    <row r="1967" spans="2:7" x14ac:dyDescent="0.2">
      <c r="B1967" s="230">
        <v>43101</v>
      </c>
      <c r="C1967" s="124">
        <v>262.3</v>
      </c>
      <c r="D1967" s="156">
        <f t="shared" si="31"/>
        <v>5.9443911792905514E-3</v>
      </c>
      <c r="E1967" s="156">
        <v>2.9967036260114305E-3</v>
      </c>
      <c r="G1967" s="156"/>
    </row>
    <row r="1968" spans="2:7" x14ac:dyDescent="0.2">
      <c r="B1968" s="230">
        <v>43098</v>
      </c>
      <c r="C1968" s="124">
        <v>263.25</v>
      </c>
      <c r="D1968" s="156">
        <f t="shared" si="31"/>
        <v>3.621807091116998E-3</v>
      </c>
      <c r="E1968" s="156">
        <v>2.9850746268656435E-3</v>
      </c>
      <c r="G1968" s="156"/>
    </row>
    <row r="1969" spans="2:7" x14ac:dyDescent="0.2">
      <c r="B1969" s="230">
        <v>43097</v>
      </c>
      <c r="C1969" s="124">
        <v>261.85000000000002</v>
      </c>
      <c r="D1969" s="156">
        <f t="shared" si="31"/>
        <v>-5.3181386514718982E-3</v>
      </c>
      <c r="E1969" s="156">
        <v>2.9823768639855243E-3</v>
      </c>
      <c r="G1969" s="156"/>
    </row>
    <row r="1970" spans="2:7" x14ac:dyDescent="0.2">
      <c r="B1970" s="230">
        <v>43096</v>
      </c>
      <c r="C1970" s="124">
        <v>262.14999999999998</v>
      </c>
      <c r="D1970" s="156">
        <f t="shared" si="31"/>
        <v>1.1456940996752128E-3</v>
      </c>
      <c r="E1970" s="156">
        <v>2.9798505344812405E-3</v>
      </c>
      <c r="G1970" s="156"/>
    </row>
    <row r="1971" spans="2:7" x14ac:dyDescent="0.2">
      <c r="B1971" s="230">
        <v>43095</v>
      </c>
      <c r="C1971" s="124">
        <v>264.14999999999998</v>
      </c>
      <c r="D1971" s="156">
        <f t="shared" si="31"/>
        <v>7.6292199122639714E-3</v>
      </c>
      <c r="E1971" s="156">
        <v>2.9717682020802094E-3</v>
      </c>
      <c r="G1971" s="156"/>
    </row>
    <row r="1972" spans="2:7" x14ac:dyDescent="0.2">
      <c r="B1972" s="230">
        <v>43091</v>
      </c>
      <c r="C1972" s="124">
        <v>263.10000000000002</v>
      </c>
      <c r="D1972" s="156">
        <f t="shared" si="31"/>
        <v>-3.975014196479101E-3</v>
      </c>
      <c r="E1972" s="156">
        <v>2.9644268774703278E-3</v>
      </c>
      <c r="G1972" s="156"/>
    </row>
    <row r="1973" spans="2:7" x14ac:dyDescent="0.2">
      <c r="B1973" s="230">
        <v>43090</v>
      </c>
      <c r="C1973" s="124">
        <v>263.05</v>
      </c>
      <c r="D1973" s="156">
        <f t="shared" si="31"/>
        <v>-1.9004180919806677E-4</v>
      </c>
      <c r="E1973" s="156">
        <v>2.9600394671930081E-3</v>
      </c>
      <c r="G1973" s="156"/>
    </row>
    <row r="1974" spans="2:7" x14ac:dyDescent="0.2">
      <c r="B1974" s="230">
        <v>43089</v>
      </c>
      <c r="C1974" s="124">
        <v>263.3</v>
      </c>
      <c r="D1974" s="156">
        <f t="shared" si="31"/>
        <v>9.5038965976050182E-4</v>
      </c>
      <c r="E1974" s="156">
        <v>2.9543161838882122E-3</v>
      </c>
      <c r="G1974" s="156"/>
    </row>
    <row r="1975" spans="2:7" x14ac:dyDescent="0.2">
      <c r="B1975" s="230">
        <v>43088</v>
      </c>
      <c r="C1975" s="124">
        <v>264.25</v>
      </c>
      <c r="D1975" s="156">
        <f t="shared" si="31"/>
        <v>3.6080516521078184E-3</v>
      </c>
      <c r="E1975" s="156">
        <v>2.9517027635317548E-3</v>
      </c>
      <c r="G1975" s="156"/>
    </row>
    <row r="1976" spans="2:7" x14ac:dyDescent="0.2">
      <c r="B1976" s="230">
        <v>43087</v>
      </c>
      <c r="C1976" s="124">
        <v>263.2</v>
      </c>
      <c r="D1976" s="156">
        <f t="shared" si="31"/>
        <v>-3.9735099337748778E-3</v>
      </c>
      <c r="E1976" s="156">
        <v>2.9314767314034562E-3</v>
      </c>
      <c r="G1976" s="156"/>
    </row>
    <row r="1977" spans="2:7" x14ac:dyDescent="0.2">
      <c r="B1977" s="230">
        <v>43084</v>
      </c>
      <c r="C1977" s="124">
        <v>264.60000000000002</v>
      </c>
      <c r="D1977" s="156">
        <f t="shared" si="31"/>
        <v>5.3191489361703427E-3</v>
      </c>
      <c r="E1977" s="156">
        <v>2.9263101888800064E-3</v>
      </c>
      <c r="G1977" s="156"/>
    </row>
    <row r="1978" spans="2:7" x14ac:dyDescent="0.2">
      <c r="B1978" s="230">
        <v>43083</v>
      </c>
      <c r="C1978" s="124">
        <v>264.25</v>
      </c>
      <c r="D1978" s="156">
        <f t="shared" si="31"/>
        <v>-1.3227513227514085E-3</v>
      </c>
      <c r="E1978" s="156">
        <v>2.9234067433248599E-3</v>
      </c>
      <c r="G1978" s="156"/>
    </row>
    <row r="1979" spans="2:7" x14ac:dyDescent="0.2">
      <c r="B1979" s="230">
        <v>43082</v>
      </c>
      <c r="C1979" s="124">
        <v>259</v>
      </c>
      <c r="D1979" s="156">
        <f t="shared" si="31"/>
        <v>-1.9867549668874173E-2</v>
      </c>
      <c r="E1979" s="156">
        <v>2.9126213592232859E-3</v>
      </c>
      <c r="G1979" s="156"/>
    </row>
    <row r="1980" spans="2:7" x14ac:dyDescent="0.2">
      <c r="B1980" s="230">
        <v>43081</v>
      </c>
      <c r="C1980" s="124">
        <v>261.55</v>
      </c>
      <c r="D1980" s="156">
        <f t="shared" si="31"/>
        <v>9.8455598455598897E-3</v>
      </c>
      <c r="E1980" s="156">
        <v>2.9085620796219279E-3</v>
      </c>
      <c r="G1980" s="156"/>
    </row>
    <row r="1981" spans="2:7" x14ac:dyDescent="0.2">
      <c r="B1981" s="230">
        <v>43080</v>
      </c>
      <c r="C1981" s="124">
        <v>266.25</v>
      </c>
      <c r="D1981" s="156">
        <f t="shared" si="31"/>
        <v>1.7969795450200683E-2</v>
      </c>
      <c r="E1981" s="156">
        <v>2.9051670471052795E-3</v>
      </c>
      <c r="G1981" s="156"/>
    </row>
    <row r="1982" spans="2:7" x14ac:dyDescent="0.2">
      <c r="B1982" s="230">
        <v>43077</v>
      </c>
      <c r="C1982" s="124">
        <v>262.2</v>
      </c>
      <c r="D1982" s="156">
        <f t="shared" ref="D1982:D2045" si="32">(C1982-C1981)/C1981</f>
        <v>-1.5211267605633846E-2</v>
      </c>
      <c r="E1982" s="156">
        <v>2.9041626331074389E-3</v>
      </c>
      <c r="G1982" s="156"/>
    </row>
    <row r="1983" spans="2:7" x14ac:dyDescent="0.2">
      <c r="B1983" s="230">
        <v>43076</v>
      </c>
      <c r="C1983" s="124">
        <v>253.35</v>
      </c>
      <c r="D1983" s="156">
        <f t="shared" si="32"/>
        <v>-3.3752860411899295E-2</v>
      </c>
      <c r="E1983" s="156">
        <v>2.9036004645760743E-3</v>
      </c>
      <c r="G1983" s="156"/>
    </row>
    <row r="1984" spans="2:7" x14ac:dyDescent="0.2">
      <c r="B1984" s="230">
        <v>43075</v>
      </c>
      <c r="C1984" s="124">
        <v>251.6</v>
      </c>
      <c r="D1984" s="156">
        <f t="shared" si="32"/>
        <v>-6.9074402999802645E-3</v>
      </c>
      <c r="E1984" s="156">
        <v>2.8968135051444036E-3</v>
      </c>
      <c r="G1984" s="156"/>
    </row>
    <row r="1985" spans="2:7" x14ac:dyDescent="0.2">
      <c r="B1985" s="230">
        <v>43074</v>
      </c>
      <c r="C1985" s="124">
        <v>253.85</v>
      </c>
      <c r="D1985" s="156">
        <f t="shared" si="32"/>
        <v>8.942766295707472E-3</v>
      </c>
      <c r="E1985" s="156">
        <v>2.8943560057886845E-3</v>
      </c>
      <c r="G1985" s="156"/>
    </row>
    <row r="1986" spans="2:7" x14ac:dyDescent="0.2">
      <c r="B1986" s="230">
        <v>43073</v>
      </c>
      <c r="C1986" s="124">
        <v>255.1</v>
      </c>
      <c r="D1986" s="156">
        <f t="shared" si="32"/>
        <v>4.924167815639157E-3</v>
      </c>
      <c r="E1986" s="156">
        <v>2.8846153846153119E-3</v>
      </c>
      <c r="G1986" s="156"/>
    </row>
    <row r="1987" spans="2:7" x14ac:dyDescent="0.2">
      <c r="B1987" s="230">
        <v>43070</v>
      </c>
      <c r="C1987" s="124">
        <v>255.2</v>
      </c>
      <c r="D1987" s="156">
        <f t="shared" si="32"/>
        <v>3.9200313602506592E-4</v>
      </c>
      <c r="E1987" s="156">
        <v>2.8841300742663903E-3</v>
      </c>
      <c r="G1987" s="156"/>
    </row>
    <row r="1988" spans="2:7" x14ac:dyDescent="0.2">
      <c r="B1988" s="230">
        <v>43069</v>
      </c>
      <c r="C1988" s="124">
        <v>256.05</v>
      </c>
      <c r="D1988" s="156">
        <f t="shared" si="32"/>
        <v>3.3307210031348856E-3</v>
      </c>
      <c r="E1988" s="156">
        <v>2.8735632183908046E-3</v>
      </c>
      <c r="G1988" s="156"/>
    </row>
    <row r="1989" spans="2:7" x14ac:dyDescent="0.2">
      <c r="B1989" s="230">
        <v>43068</v>
      </c>
      <c r="C1989" s="124">
        <v>258.05</v>
      </c>
      <c r="D1989" s="156">
        <f t="shared" si="32"/>
        <v>7.8109744190587773E-3</v>
      </c>
      <c r="E1989" s="156">
        <v>2.8717752357248568E-3</v>
      </c>
      <c r="G1989" s="156"/>
    </row>
    <row r="1990" spans="2:7" x14ac:dyDescent="0.2">
      <c r="B1990" s="230">
        <v>43067</v>
      </c>
      <c r="C1990" s="124">
        <v>257</v>
      </c>
      <c r="D1990" s="156">
        <f t="shared" si="32"/>
        <v>-4.0689788800620475E-3</v>
      </c>
      <c r="E1990" s="156">
        <v>2.868545772013056E-3</v>
      </c>
      <c r="G1990" s="156"/>
    </row>
    <row r="1991" spans="2:7" x14ac:dyDescent="0.2">
      <c r="B1991" s="230">
        <v>43066</v>
      </c>
      <c r="C1991" s="124">
        <v>259.25</v>
      </c>
      <c r="D1991" s="156">
        <f t="shared" si="32"/>
        <v>8.7548638132295721E-3</v>
      </c>
      <c r="E1991" s="156">
        <v>2.8485254691689296E-3</v>
      </c>
      <c r="G1991" s="156"/>
    </row>
    <row r="1992" spans="2:7" x14ac:dyDescent="0.2">
      <c r="B1992" s="230">
        <v>43063</v>
      </c>
      <c r="C1992" s="124">
        <v>260.75</v>
      </c>
      <c r="D1992" s="156">
        <f t="shared" si="32"/>
        <v>5.7859209257473485E-3</v>
      </c>
      <c r="E1992" s="156">
        <v>2.8449502133712388E-3</v>
      </c>
      <c r="G1992" s="156"/>
    </row>
    <row r="1993" spans="2:7" x14ac:dyDescent="0.2">
      <c r="B1993" s="230">
        <v>43062</v>
      </c>
      <c r="C1993" s="124">
        <v>258.14999999999998</v>
      </c>
      <c r="D1993" s="156">
        <f t="shared" si="32"/>
        <v>-9.9712368168744878E-3</v>
      </c>
      <c r="E1993" s="156">
        <v>2.8385570668243375E-3</v>
      </c>
      <c r="G1993" s="156"/>
    </row>
    <row r="1994" spans="2:7" x14ac:dyDescent="0.2">
      <c r="B1994" s="230">
        <v>43061</v>
      </c>
      <c r="C1994" s="124">
        <v>258.14999999999998</v>
      </c>
      <c r="D1994" s="156">
        <f t="shared" si="32"/>
        <v>0</v>
      </c>
      <c r="E1994" s="156">
        <v>2.8373569298836368E-3</v>
      </c>
      <c r="G1994" s="156"/>
    </row>
    <row r="1995" spans="2:7" x14ac:dyDescent="0.2">
      <c r="B1995" s="230">
        <v>43060</v>
      </c>
      <c r="C1995" s="124">
        <v>255.8</v>
      </c>
      <c r="D1995" s="156">
        <f t="shared" si="32"/>
        <v>-9.1032345535540047E-3</v>
      </c>
      <c r="E1995" s="156">
        <v>2.8358738036156784E-3</v>
      </c>
      <c r="G1995" s="156"/>
    </row>
    <row r="1996" spans="2:7" x14ac:dyDescent="0.2">
      <c r="B1996" s="230">
        <v>43059</v>
      </c>
      <c r="C1996" s="124">
        <v>259.2</v>
      </c>
      <c r="D1996" s="156">
        <f t="shared" si="32"/>
        <v>1.3291634089132046E-2</v>
      </c>
      <c r="E1996" s="156">
        <v>2.830355563417695E-3</v>
      </c>
      <c r="G1996" s="156"/>
    </row>
    <row r="1997" spans="2:7" x14ac:dyDescent="0.2">
      <c r="B1997" s="230">
        <v>43056</v>
      </c>
      <c r="C1997" s="124">
        <v>258</v>
      </c>
      <c r="D1997" s="156">
        <f t="shared" si="32"/>
        <v>-4.629629629629586E-3</v>
      </c>
      <c r="E1997" s="156">
        <v>2.8273879647518698E-3</v>
      </c>
      <c r="G1997" s="156"/>
    </row>
    <row r="1998" spans="2:7" x14ac:dyDescent="0.2">
      <c r="B1998" s="230">
        <v>43055</v>
      </c>
      <c r="C1998" s="124">
        <v>255.1</v>
      </c>
      <c r="D1998" s="156">
        <f t="shared" si="32"/>
        <v>-1.1240310077519402E-2</v>
      </c>
      <c r="E1998" s="156">
        <v>2.8240040342914887E-3</v>
      </c>
      <c r="G1998" s="156"/>
    </row>
    <row r="1999" spans="2:7" x14ac:dyDescent="0.2">
      <c r="B1999" s="230">
        <v>43054</v>
      </c>
      <c r="C1999" s="124">
        <v>253.3</v>
      </c>
      <c r="D1999" s="156">
        <f t="shared" si="32"/>
        <v>-7.0560564484515205E-3</v>
      </c>
      <c r="E1999" s="156">
        <v>2.8170431108204752E-3</v>
      </c>
      <c r="G1999" s="156"/>
    </row>
    <row r="2000" spans="2:7" x14ac:dyDescent="0.2">
      <c r="B2000" s="230">
        <v>43053</v>
      </c>
      <c r="C2000" s="124">
        <v>256.55</v>
      </c>
      <c r="D2000" s="156">
        <f t="shared" si="32"/>
        <v>1.2830635609948677E-2</v>
      </c>
      <c r="E2000" s="156">
        <v>2.8084956994908002E-3</v>
      </c>
      <c r="G2000" s="156"/>
    </row>
    <row r="2001" spans="2:7" x14ac:dyDescent="0.2">
      <c r="B2001" s="230">
        <v>43052</v>
      </c>
      <c r="C2001" s="124">
        <v>258.3</v>
      </c>
      <c r="D2001" s="156">
        <f t="shared" si="32"/>
        <v>6.8212824010914046E-3</v>
      </c>
      <c r="E2001" s="156">
        <v>2.8025057698648488E-3</v>
      </c>
      <c r="G2001" s="156"/>
    </row>
    <row r="2002" spans="2:7" x14ac:dyDescent="0.2">
      <c r="B2002" s="230">
        <v>43049</v>
      </c>
      <c r="C2002" s="124">
        <v>261.7</v>
      </c>
      <c r="D2002" s="156">
        <f t="shared" si="32"/>
        <v>1.3162988772744782E-2</v>
      </c>
      <c r="E2002" s="156">
        <v>2.7968856300552162E-3</v>
      </c>
      <c r="G2002" s="156"/>
    </row>
    <row r="2003" spans="2:7" x14ac:dyDescent="0.2">
      <c r="B2003" s="230">
        <v>43048</v>
      </c>
      <c r="C2003" s="124">
        <v>260.05</v>
      </c>
      <c r="D2003" s="156">
        <f t="shared" si="32"/>
        <v>-6.3049293083682744E-3</v>
      </c>
      <c r="E2003" s="156">
        <v>2.7961362480936015E-3</v>
      </c>
      <c r="G2003" s="156"/>
    </row>
    <row r="2004" spans="2:7" x14ac:dyDescent="0.2">
      <c r="B2004" s="230">
        <v>43047</v>
      </c>
      <c r="C2004" s="124">
        <v>265.39999999999998</v>
      </c>
      <c r="D2004" s="156">
        <f t="shared" si="32"/>
        <v>2.0572966737165799E-2</v>
      </c>
      <c r="E2004" s="156">
        <v>2.7929027412692399E-3</v>
      </c>
      <c r="G2004" s="156"/>
    </row>
    <row r="2005" spans="2:7" x14ac:dyDescent="0.2">
      <c r="B2005" s="230">
        <v>43046</v>
      </c>
      <c r="C2005" s="124">
        <v>265.3</v>
      </c>
      <c r="D2005" s="156">
        <f t="shared" si="32"/>
        <v>-3.7678975131863566E-4</v>
      </c>
      <c r="E2005" s="156">
        <v>2.7849893792778069E-3</v>
      </c>
      <c r="G2005" s="156"/>
    </row>
    <row r="2006" spans="2:7" x14ac:dyDescent="0.2">
      <c r="B2006" s="230">
        <v>43045</v>
      </c>
      <c r="C2006" s="124">
        <v>264.89999999999998</v>
      </c>
      <c r="D2006" s="156">
        <f t="shared" si="32"/>
        <v>-1.507727101394776E-3</v>
      </c>
      <c r="E2006" s="156">
        <v>2.7770063871146904E-3</v>
      </c>
      <c r="G2006" s="156"/>
    </row>
    <row r="2007" spans="2:7" x14ac:dyDescent="0.2">
      <c r="B2007" s="230">
        <v>43042</v>
      </c>
      <c r="C2007" s="124">
        <v>265.39999999999998</v>
      </c>
      <c r="D2007" s="156">
        <f t="shared" si="32"/>
        <v>1.887504718761797E-3</v>
      </c>
      <c r="E2007" s="156">
        <v>2.7768136063865134E-3</v>
      </c>
      <c r="G2007" s="156"/>
    </row>
    <row r="2008" spans="2:7" x14ac:dyDescent="0.2">
      <c r="B2008" s="230">
        <v>43041</v>
      </c>
      <c r="C2008" s="124">
        <v>265.64999999999998</v>
      </c>
      <c r="D2008" s="156">
        <f t="shared" si="32"/>
        <v>9.4197437829691044E-4</v>
      </c>
      <c r="E2008" s="156">
        <v>2.7717893440098351E-3</v>
      </c>
      <c r="G2008" s="156"/>
    </row>
    <row r="2009" spans="2:7" x14ac:dyDescent="0.2">
      <c r="B2009" s="230">
        <v>43040</v>
      </c>
      <c r="C2009" s="124">
        <v>269.85000000000002</v>
      </c>
      <c r="D2009" s="156">
        <f t="shared" si="32"/>
        <v>1.581027667984207E-2</v>
      </c>
      <c r="E2009" s="156">
        <v>2.7624309392263622E-3</v>
      </c>
      <c r="G2009" s="156"/>
    </row>
    <row r="2010" spans="2:7" x14ac:dyDescent="0.2">
      <c r="B2010" s="230">
        <v>43039</v>
      </c>
      <c r="C2010" s="124">
        <v>265.7</v>
      </c>
      <c r="D2010" s="156">
        <f t="shared" si="32"/>
        <v>-1.5378914211599162E-2</v>
      </c>
      <c r="E2010" s="156">
        <v>2.7548209366390986E-3</v>
      </c>
      <c r="G2010" s="156"/>
    </row>
    <row r="2011" spans="2:7" x14ac:dyDescent="0.2">
      <c r="B2011" s="230">
        <v>43038</v>
      </c>
      <c r="C2011" s="124">
        <v>265.14999999999998</v>
      </c>
      <c r="D2011" s="156">
        <f t="shared" si="32"/>
        <v>-2.0700037636432497E-3</v>
      </c>
      <c r="E2011" s="156">
        <v>2.7482594356907034E-3</v>
      </c>
      <c r="G2011" s="156"/>
    </row>
    <row r="2012" spans="2:7" x14ac:dyDescent="0.2">
      <c r="B2012" s="230">
        <v>43035</v>
      </c>
      <c r="C2012" s="124">
        <v>269.35000000000002</v>
      </c>
      <c r="D2012" s="156">
        <f t="shared" si="32"/>
        <v>1.5840090514803114E-2</v>
      </c>
      <c r="E2012" s="156">
        <v>2.7354900095148292E-3</v>
      </c>
      <c r="G2012" s="156"/>
    </row>
    <row r="2013" spans="2:7" x14ac:dyDescent="0.2">
      <c r="B2013" s="230">
        <v>43034</v>
      </c>
      <c r="C2013" s="124">
        <v>268.39999999999998</v>
      </c>
      <c r="D2013" s="156">
        <f t="shared" si="32"/>
        <v>-3.5270094672361068E-3</v>
      </c>
      <c r="E2013" s="156">
        <v>2.7342325920524969E-3</v>
      </c>
      <c r="G2013" s="156"/>
    </row>
    <row r="2014" spans="2:7" x14ac:dyDescent="0.2">
      <c r="B2014" s="230">
        <v>43033</v>
      </c>
      <c r="C2014" s="124">
        <v>269.25</v>
      </c>
      <c r="D2014" s="156">
        <f t="shared" si="32"/>
        <v>3.1669150521610387E-3</v>
      </c>
      <c r="E2014" s="156">
        <v>2.7272727272728307E-3</v>
      </c>
      <c r="G2014" s="156"/>
    </row>
    <row r="2015" spans="2:7" x14ac:dyDescent="0.2">
      <c r="B2015" s="230">
        <v>43032</v>
      </c>
      <c r="C2015" s="124">
        <v>267</v>
      </c>
      <c r="D2015" s="156">
        <f t="shared" si="32"/>
        <v>-8.356545961002786E-3</v>
      </c>
      <c r="E2015" s="156">
        <v>2.7243007628042133E-3</v>
      </c>
      <c r="G2015" s="156"/>
    </row>
    <row r="2016" spans="2:7" x14ac:dyDescent="0.2">
      <c r="B2016" s="230">
        <v>43031</v>
      </c>
      <c r="C2016" s="124">
        <v>267.05</v>
      </c>
      <c r="D2016" s="156">
        <f t="shared" si="32"/>
        <v>1.8726591760303884E-4</v>
      </c>
      <c r="E2016" s="156">
        <v>2.717391304347826E-3</v>
      </c>
      <c r="G2016" s="156"/>
    </row>
    <row r="2017" spans="2:7" x14ac:dyDescent="0.2">
      <c r="B2017" s="230">
        <v>43027</v>
      </c>
      <c r="C2017" s="124">
        <v>269.64999999999998</v>
      </c>
      <c r="D2017" s="156">
        <f t="shared" si="32"/>
        <v>9.7360044935404077E-3</v>
      </c>
      <c r="E2017" s="156">
        <v>2.7110522665656539E-3</v>
      </c>
      <c r="G2017" s="156"/>
    </row>
    <row r="2018" spans="2:7" x14ac:dyDescent="0.2">
      <c r="B2018" s="230">
        <v>43026</v>
      </c>
      <c r="C2018" s="124">
        <v>270.35000000000002</v>
      </c>
      <c r="D2018" s="156">
        <f t="shared" si="32"/>
        <v>2.5959577229743946E-3</v>
      </c>
      <c r="E2018" s="156">
        <v>2.70247205074971E-3</v>
      </c>
      <c r="G2018" s="156"/>
    </row>
    <row r="2019" spans="2:7" x14ac:dyDescent="0.2">
      <c r="B2019" s="230">
        <v>43025</v>
      </c>
      <c r="C2019" s="124">
        <v>267.25</v>
      </c>
      <c r="D2019" s="156">
        <f t="shared" si="32"/>
        <v>-1.1466617347882457E-2</v>
      </c>
      <c r="E2019" s="156">
        <v>2.6992696093998368E-3</v>
      </c>
      <c r="G2019" s="156"/>
    </row>
    <row r="2020" spans="2:7" x14ac:dyDescent="0.2">
      <c r="B2020" s="230">
        <v>43024</v>
      </c>
      <c r="C2020" s="124">
        <v>267.5</v>
      </c>
      <c r="D2020" s="156">
        <f t="shared" si="32"/>
        <v>9.3545369504209543E-4</v>
      </c>
      <c r="E2020" s="156">
        <v>2.696256351757657E-3</v>
      </c>
      <c r="G2020" s="156"/>
    </row>
    <row r="2021" spans="2:7" x14ac:dyDescent="0.2">
      <c r="B2021" s="230">
        <v>43021</v>
      </c>
      <c r="C2021" s="124">
        <v>265.95</v>
      </c>
      <c r="D2021" s="156">
        <f t="shared" si="32"/>
        <v>-5.7943925233645286E-3</v>
      </c>
      <c r="E2021" s="156">
        <v>2.6922813662187289E-3</v>
      </c>
      <c r="G2021" s="156"/>
    </row>
    <row r="2022" spans="2:7" x14ac:dyDescent="0.2">
      <c r="B2022" s="230">
        <v>43020</v>
      </c>
      <c r="C2022" s="124">
        <v>267</v>
      </c>
      <c r="D2022" s="156">
        <f t="shared" si="32"/>
        <v>3.9481105470953615E-3</v>
      </c>
      <c r="E2022" s="156">
        <v>2.6860185665142696E-3</v>
      </c>
      <c r="G2022" s="156"/>
    </row>
    <row r="2023" spans="2:7" x14ac:dyDescent="0.2">
      <c r="B2023" s="230">
        <v>43019</v>
      </c>
      <c r="C2023" s="124">
        <v>265.39999999999998</v>
      </c>
      <c r="D2023" s="156">
        <f t="shared" si="32"/>
        <v>-5.9925093632959654E-3</v>
      </c>
      <c r="E2023" s="156">
        <v>2.684236212786642E-3</v>
      </c>
      <c r="G2023" s="156"/>
    </row>
    <row r="2024" spans="2:7" x14ac:dyDescent="0.2">
      <c r="B2024" s="230">
        <v>43018</v>
      </c>
      <c r="C2024" s="124">
        <v>266.2</v>
      </c>
      <c r="D2024" s="156">
        <f t="shared" si="32"/>
        <v>3.014318010550156E-3</v>
      </c>
      <c r="E2024" s="156">
        <v>2.6783540297054364E-3</v>
      </c>
      <c r="G2024" s="156"/>
    </row>
    <row r="2025" spans="2:7" x14ac:dyDescent="0.2">
      <c r="B2025" s="230">
        <v>43017</v>
      </c>
      <c r="C2025" s="124">
        <v>268</v>
      </c>
      <c r="D2025" s="156">
        <f t="shared" si="32"/>
        <v>6.7618332081142429E-3</v>
      </c>
      <c r="E2025" s="156">
        <v>2.6731470230863248E-3</v>
      </c>
      <c r="G2025" s="156"/>
    </row>
    <row r="2026" spans="2:7" x14ac:dyDescent="0.2">
      <c r="B2026" s="230">
        <v>43014</v>
      </c>
      <c r="C2026" s="124">
        <v>266.14999999999998</v>
      </c>
      <c r="D2026" s="156">
        <f t="shared" si="32"/>
        <v>-6.9029850746269508E-3</v>
      </c>
      <c r="E2026" s="156">
        <v>2.6690391459074478E-3</v>
      </c>
      <c r="G2026" s="156"/>
    </row>
    <row r="2027" spans="2:7" x14ac:dyDescent="0.2">
      <c r="B2027" s="230">
        <v>43013</v>
      </c>
      <c r="C2027" s="124">
        <v>265.25</v>
      </c>
      <c r="D2027" s="156">
        <f t="shared" si="32"/>
        <v>-3.3815517565281882E-3</v>
      </c>
      <c r="E2027" s="156">
        <v>2.6680006670000149E-3</v>
      </c>
      <c r="G2027" s="156"/>
    </row>
    <row r="2028" spans="2:7" x14ac:dyDescent="0.2">
      <c r="B2028" s="230">
        <v>43012</v>
      </c>
      <c r="C2028" s="124">
        <v>267.39999999999998</v>
      </c>
      <c r="D2028" s="156">
        <f t="shared" si="32"/>
        <v>8.1055607917058514E-3</v>
      </c>
      <c r="E2028" s="156">
        <v>2.6656973221859271E-3</v>
      </c>
      <c r="G2028" s="156"/>
    </row>
    <row r="2029" spans="2:7" x14ac:dyDescent="0.2">
      <c r="B2029" s="230">
        <v>43011</v>
      </c>
      <c r="C2029" s="124">
        <v>261.39999999999998</v>
      </c>
      <c r="D2029" s="156">
        <f t="shared" si="32"/>
        <v>-2.243829468960359E-2</v>
      </c>
      <c r="E2029" s="156">
        <v>2.6631158455391714E-3</v>
      </c>
      <c r="G2029" s="156"/>
    </row>
    <row r="2030" spans="2:7" x14ac:dyDescent="0.2">
      <c r="B2030" s="230">
        <v>43007</v>
      </c>
      <c r="C2030" s="124">
        <v>258.3</v>
      </c>
      <c r="D2030" s="156">
        <f t="shared" si="32"/>
        <v>-1.1859219586839963E-2</v>
      </c>
      <c r="E2030" s="156">
        <v>2.644230769230824E-3</v>
      </c>
      <c r="G2030" s="156"/>
    </row>
    <row r="2031" spans="2:7" x14ac:dyDescent="0.2">
      <c r="B2031" s="230">
        <v>43006</v>
      </c>
      <c r="C2031" s="124">
        <v>261.55</v>
      </c>
      <c r="D2031" s="156">
        <f t="shared" si="32"/>
        <v>1.2582268679829655E-2</v>
      </c>
      <c r="E2031" s="156">
        <v>2.64177527298342E-3</v>
      </c>
      <c r="G2031" s="156"/>
    </row>
    <row r="2032" spans="2:7" x14ac:dyDescent="0.2">
      <c r="B2032" s="230">
        <v>43005</v>
      </c>
      <c r="C2032" s="124">
        <v>258.5</v>
      </c>
      <c r="D2032" s="156">
        <f t="shared" si="32"/>
        <v>-1.1661250238960089E-2</v>
      </c>
      <c r="E2032" s="156">
        <v>2.6293595277075018E-3</v>
      </c>
      <c r="G2032" s="156"/>
    </row>
    <row r="2033" spans="2:7" x14ac:dyDescent="0.2">
      <c r="B2033" s="230">
        <v>43004</v>
      </c>
      <c r="C2033" s="124">
        <v>262.45</v>
      </c>
      <c r="D2033" s="156">
        <f t="shared" si="32"/>
        <v>1.5280464216634385E-2</v>
      </c>
      <c r="E2033" s="156">
        <v>2.6287668305193805E-3</v>
      </c>
      <c r="G2033" s="156"/>
    </row>
    <row r="2034" spans="2:7" x14ac:dyDescent="0.2">
      <c r="B2034" s="230">
        <v>43003</v>
      </c>
      <c r="C2034" s="124">
        <v>262.25</v>
      </c>
      <c r="D2034" s="156">
        <f t="shared" si="32"/>
        <v>-7.6204991426934133E-4</v>
      </c>
      <c r="E2034" s="156">
        <v>2.6182294223531942E-3</v>
      </c>
      <c r="G2034" s="156"/>
    </row>
    <row r="2035" spans="2:7" x14ac:dyDescent="0.2">
      <c r="B2035" s="230">
        <v>43000</v>
      </c>
      <c r="C2035" s="124">
        <v>268.45</v>
      </c>
      <c r="D2035" s="156">
        <f t="shared" si="32"/>
        <v>2.3641563393708251E-2</v>
      </c>
      <c r="E2035" s="156">
        <v>2.6078710289235796E-3</v>
      </c>
      <c r="G2035" s="156"/>
    </row>
    <row r="2036" spans="2:7" x14ac:dyDescent="0.2">
      <c r="B2036" s="230">
        <v>42999</v>
      </c>
      <c r="C2036" s="124">
        <v>269.55</v>
      </c>
      <c r="D2036" s="156">
        <f t="shared" si="32"/>
        <v>4.0975973179363861E-3</v>
      </c>
      <c r="E2036" s="156">
        <v>2.6020491136769649E-3</v>
      </c>
      <c r="G2036" s="156"/>
    </row>
    <row r="2037" spans="2:7" x14ac:dyDescent="0.2">
      <c r="B2037" s="230">
        <v>42998</v>
      </c>
      <c r="C2037" s="124">
        <v>271.55</v>
      </c>
      <c r="D2037" s="156">
        <f t="shared" si="32"/>
        <v>7.4197736969022444E-3</v>
      </c>
      <c r="E2037" s="156">
        <v>2.5959577229743946E-3</v>
      </c>
      <c r="G2037" s="156"/>
    </row>
    <row r="2038" spans="2:7" x14ac:dyDescent="0.2">
      <c r="B2038" s="230">
        <v>42997</v>
      </c>
      <c r="C2038" s="124">
        <v>267.85000000000002</v>
      </c>
      <c r="D2038" s="156">
        <f t="shared" si="32"/>
        <v>-1.3625483336402093E-2</v>
      </c>
      <c r="E2038" s="156">
        <v>2.5935851992737713E-3</v>
      </c>
      <c r="G2038" s="156"/>
    </row>
    <row r="2039" spans="2:7" x14ac:dyDescent="0.2">
      <c r="B2039" s="230">
        <v>42996</v>
      </c>
      <c r="C2039" s="124">
        <v>267</v>
      </c>
      <c r="D2039" s="156">
        <f t="shared" si="32"/>
        <v>-3.173417957812293E-3</v>
      </c>
      <c r="E2039" s="156">
        <v>2.5924147863657801E-3</v>
      </c>
      <c r="G2039" s="156"/>
    </row>
    <row r="2040" spans="2:7" x14ac:dyDescent="0.2">
      <c r="B2040" s="230">
        <v>42993</v>
      </c>
      <c r="C2040" s="124">
        <v>269.3</v>
      </c>
      <c r="D2040" s="156">
        <f t="shared" si="32"/>
        <v>8.6142322097378706E-3</v>
      </c>
      <c r="E2040" s="156">
        <v>2.5867245600258775E-3</v>
      </c>
      <c r="G2040" s="156"/>
    </row>
    <row r="2041" spans="2:7" x14ac:dyDescent="0.2">
      <c r="B2041" s="230">
        <v>42992</v>
      </c>
      <c r="C2041" s="124">
        <v>272</v>
      </c>
      <c r="D2041" s="156">
        <f t="shared" si="32"/>
        <v>1.0025993316004414E-2</v>
      </c>
      <c r="E2041" s="156">
        <v>2.5809361531523244E-3</v>
      </c>
      <c r="G2041" s="156"/>
    </row>
    <row r="2042" spans="2:7" x14ac:dyDescent="0.2">
      <c r="B2042" s="230">
        <v>42991</v>
      </c>
      <c r="C2042" s="124">
        <v>271.5</v>
      </c>
      <c r="D2042" s="156">
        <f t="shared" si="32"/>
        <v>-1.838235294117647E-3</v>
      </c>
      <c r="E2042" s="156">
        <v>2.5792188651435873E-3</v>
      </c>
      <c r="G2042" s="156"/>
    </row>
    <row r="2043" spans="2:7" x14ac:dyDescent="0.2">
      <c r="B2043" s="230">
        <v>42990</v>
      </c>
      <c r="C2043" s="124">
        <v>277.64999999999998</v>
      </c>
      <c r="D2043" s="156">
        <f t="shared" si="32"/>
        <v>2.2651933701657374E-2</v>
      </c>
      <c r="E2043" s="156">
        <v>2.5791324736225622E-3</v>
      </c>
      <c r="G2043" s="156"/>
    </row>
    <row r="2044" spans="2:7" x14ac:dyDescent="0.2">
      <c r="B2044" s="230">
        <v>42989</v>
      </c>
      <c r="C2044" s="124">
        <v>273.60000000000002</v>
      </c>
      <c r="D2044" s="156">
        <f t="shared" si="32"/>
        <v>-1.4586709886547649E-2</v>
      </c>
      <c r="E2044" s="156">
        <v>2.5789813023856171E-3</v>
      </c>
      <c r="G2044" s="156"/>
    </row>
    <row r="2045" spans="2:7" x14ac:dyDescent="0.2">
      <c r="B2045" s="230">
        <v>42986</v>
      </c>
      <c r="C2045" s="124">
        <v>272.35000000000002</v>
      </c>
      <c r="D2045" s="156">
        <f t="shared" si="32"/>
        <v>-4.5687134502923974E-3</v>
      </c>
      <c r="E2045" s="156">
        <v>2.5698324022346286E-3</v>
      </c>
      <c r="G2045" s="156"/>
    </row>
    <row r="2046" spans="2:7" x14ac:dyDescent="0.2">
      <c r="B2046" s="230">
        <v>42985</v>
      </c>
      <c r="C2046" s="124">
        <v>270.39999999999998</v>
      </c>
      <c r="D2046" s="156">
        <f t="shared" ref="D2046:D2109" si="33">(C2046-C2045)/C2045</f>
        <v>-7.1599045346063712E-3</v>
      </c>
      <c r="E2046" s="156">
        <v>2.5545750116116252E-3</v>
      </c>
      <c r="G2046" s="156"/>
    </row>
    <row r="2047" spans="2:7" x14ac:dyDescent="0.2">
      <c r="B2047" s="230">
        <v>42984</v>
      </c>
      <c r="C2047" s="124">
        <v>275.7</v>
      </c>
      <c r="D2047" s="156">
        <f t="shared" si="33"/>
        <v>1.9600591715976376E-2</v>
      </c>
      <c r="E2047" s="156">
        <v>2.5522150416784485E-3</v>
      </c>
      <c r="G2047" s="156"/>
    </row>
    <row r="2048" spans="2:7" x14ac:dyDescent="0.2">
      <c r="B2048" s="230">
        <v>42983</v>
      </c>
      <c r="C2048" s="124">
        <v>282.85000000000002</v>
      </c>
      <c r="D2048" s="156">
        <f t="shared" si="33"/>
        <v>2.5933986216902554E-2</v>
      </c>
      <c r="E2048" s="156">
        <v>2.5465230166503931E-3</v>
      </c>
      <c r="G2048" s="156"/>
    </row>
    <row r="2049" spans="2:7" x14ac:dyDescent="0.2">
      <c r="B2049" s="230">
        <v>42982</v>
      </c>
      <c r="C2049" s="124">
        <v>283.10000000000002</v>
      </c>
      <c r="D2049" s="156">
        <f t="shared" si="33"/>
        <v>8.8386070355311994E-4</v>
      </c>
      <c r="E2049" s="156">
        <v>2.5441439258563009E-3</v>
      </c>
      <c r="G2049" s="156"/>
    </row>
    <row r="2050" spans="2:7" x14ac:dyDescent="0.2">
      <c r="B2050" s="230">
        <v>42979</v>
      </c>
      <c r="C2050" s="124">
        <v>283.60000000000002</v>
      </c>
      <c r="D2050" s="156">
        <f t="shared" si="33"/>
        <v>1.7661603673613563E-3</v>
      </c>
      <c r="E2050" s="156">
        <v>2.540834845734986E-3</v>
      </c>
      <c r="G2050" s="156"/>
    </row>
    <row r="2051" spans="2:7" x14ac:dyDescent="0.2">
      <c r="B2051" s="230">
        <v>42978</v>
      </c>
      <c r="C2051" s="124">
        <v>282.25</v>
      </c>
      <c r="D2051" s="156">
        <f t="shared" si="33"/>
        <v>-4.7602256699577671E-3</v>
      </c>
      <c r="E2051" s="156">
        <v>2.5351014040560734E-3</v>
      </c>
      <c r="G2051" s="156"/>
    </row>
    <row r="2052" spans="2:7" x14ac:dyDescent="0.2">
      <c r="B2052" s="230">
        <v>42977</v>
      </c>
      <c r="C2052" s="124">
        <v>282</v>
      </c>
      <c r="D2052" s="156">
        <f t="shared" si="33"/>
        <v>-8.8573959255978745E-4</v>
      </c>
      <c r="E2052" s="156">
        <v>2.535007242877761E-3</v>
      </c>
      <c r="G2052" s="156"/>
    </row>
    <row r="2053" spans="2:7" x14ac:dyDescent="0.2">
      <c r="B2053" s="230">
        <v>42976</v>
      </c>
      <c r="C2053" s="124">
        <v>280.25</v>
      </c>
      <c r="D2053" s="156">
        <f t="shared" si="33"/>
        <v>-6.2056737588652485E-3</v>
      </c>
      <c r="E2053" s="156">
        <v>2.5304253524521302E-3</v>
      </c>
      <c r="G2053" s="156"/>
    </row>
    <row r="2054" spans="2:7" x14ac:dyDescent="0.2">
      <c r="B2054" s="230">
        <v>42975</v>
      </c>
      <c r="C2054" s="124">
        <v>282.45</v>
      </c>
      <c r="D2054" s="156">
        <f t="shared" si="33"/>
        <v>7.8501338090989775E-3</v>
      </c>
      <c r="E2054" s="156">
        <v>2.5295736924336241E-3</v>
      </c>
      <c r="G2054" s="156"/>
    </row>
    <row r="2055" spans="2:7" x14ac:dyDescent="0.2">
      <c r="B2055" s="230">
        <v>42971</v>
      </c>
      <c r="C2055" s="124">
        <v>281.45</v>
      </c>
      <c r="D2055" s="156">
        <f t="shared" si="33"/>
        <v>-3.5404496371039124E-3</v>
      </c>
      <c r="E2055" s="156">
        <v>2.5286075515363431E-3</v>
      </c>
      <c r="G2055" s="156"/>
    </row>
    <row r="2056" spans="2:7" x14ac:dyDescent="0.2">
      <c r="B2056" s="230">
        <v>42970</v>
      </c>
      <c r="C2056" s="124">
        <v>282.55</v>
      </c>
      <c r="D2056" s="156">
        <f t="shared" si="33"/>
        <v>3.9083318529046819E-3</v>
      </c>
      <c r="E2056" s="156">
        <v>2.5205210563882838E-3</v>
      </c>
      <c r="G2056" s="156"/>
    </row>
    <row r="2057" spans="2:7" x14ac:dyDescent="0.2">
      <c r="B2057" s="230">
        <v>42969</v>
      </c>
      <c r="C2057" s="124">
        <v>282.89999999999998</v>
      </c>
      <c r="D2057" s="156">
        <f t="shared" si="33"/>
        <v>1.2387188108298208E-3</v>
      </c>
      <c r="E2057" s="156">
        <v>2.5008775008775958E-3</v>
      </c>
      <c r="G2057" s="156"/>
    </row>
    <row r="2058" spans="2:7" x14ac:dyDescent="0.2">
      <c r="B2058" s="230">
        <v>42968</v>
      </c>
      <c r="C2058" s="124">
        <v>281.60000000000002</v>
      </c>
      <c r="D2058" s="156">
        <f t="shared" si="33"/>
        <v>-4.5952633439376271E-3</v>
      </c>
      <c r="E2058" s="156">
        <v>2.4912805181863239E-3</v>
      </c>
      <c r="G2058" s="156"/>
    </row>
    <row r="2059" spans="2:7" x14ac:dyDescent="0.2">
      <c r="B2059" s="230">
        <v>42965</v>
      </c>
      <c r="C2059" s="124">
        <v>281.85000000000002</v>
      </c>
      <c r="D2059" s="156">
        <f t="shared" si="33"/>
        <v>8.8778409090909088E-4</v>
      </c>
      <c r="E2059" s="156">
        <v>2.4658885418378856E-3</v>
      </c>
      <c r="G2059" s="156"/>
    </row>
    <row r="2060" spans="2:7" x14ac:dyDescent="0.2">
      <c r="B2060" s="230">
        <v>42964</v>
      </c>
      <c r="C2060" s="124">
        <v>280</v>
      </c>
      <c r="D2060" s="156">
        <f t="shared" si="33"/>
        <v>-6.5637750576548609E-3</v>
      </c>
      <c r="E2060" s="156">
        <v>2.4650780608052587E-3</v>
      </c>
      <c r="G2060" s="156"/>
    </row>
    <row r="2061" spans="2:7" x14ac:dyDescent="0.2">
      <c r="B2061" s="230">
        <v>42963</v>
      </c>
      <c r="C2061" s="124">
        <v>279.2</v>
      </c>
      <c r="D2061" s="156">
        <f t="shared" si="33"/>
        <v>-2.8571428571428979E-3</v>
      </c>
      <c r="E2061" s="156">
        <v>2.450579970593017E-3</v>
      </c>
      <c r="G2061" s="156"/>
    </row>
    <row r="2062" spans="2:7" x14ac:dyDescent="0.2">
      <c r="B2062" s="230">
        <v>42961</v>
      </c>
      <c r="C2062" s="124">
        <v>271.25</v>
      </c>
      <c r="D2062" s="156">
        <f t="shared" si="33"/>
        <v>-2.8474212034383915E-2</v>
      </c>
      <c r="E2062" s="156">
        <v>2.4449877750611754E-3</v>
      </c>
      <c r="G2062" s="156"/>
    </row>
    <row r="2063" spans="2:7" x14ac:dyDescent="0.2">
      <c r="B2063" s="230">
        <v>42958</v>
      </c>
      <c r="C2063" s="124">
        <v>271.5</v>
      </c>
      <c r="D2063" s="156">
        <f t="shared" si="33"/>
        <v>9.2165898617511521E-4</v>
      </c>
      <c r="E2063" s="156">
        <v>2.4293956878226643E-3</v>
      </c>
      <c r="G2063" s="156"/>
    </row>
    <row r="2064" spans="2:7" x14ac:dyDescent="0.2">
      <c r="B2064" s="230">
        <v>42957</v>
      </c>
      <c r="C2064" s="124">
        <v>273.10000000000002</v>
      </c>
      <c r="D2064" s="156">
        <f t="shared" si="33"/>
        <v>5.8931860036833253E-3</v>
      </c>
      <c r="E2064" s="156">
        <v>2.4277456647398121E-3</v>
      </c>
      <c r="G2064" s="156"/>
    </row>
    <row r="2065" spans="2:7" x14ac:dyDescent="0.2">
      <c r="B2065" s="230">
        <v>42956</v>
      </c>
      <c r="C2065" s="124">
        <v>272.85000000000002</v>
      </c>
      <c r="D2065" s="156">
        <f t="shared" si="33"/>
        <v>-9.1541559868180144E-4</v>
      </c>
      <c r="E2065" s="156">
        <v>2.4165012514024433E-3</v>
      </c>
      <c r="G2065" s="156"/>
    </row>
    <row r="2066" spans="2:7" x14ac:dyDescent="0.2">
      <c r="B2066" s="230">
        <v>42955</v>
      </c>
      <c r="C2066" s="124">
        <v>274.14999999999998</v>
      </c>
      <c r="D2066" s="156">
        <f t="shared" si="33"/>
        <v>4.7645226314823328E-3</v>
      </c>
      <c r="E2066" s="156">
        <v>2.4164130207486711E-3</v>
      </c>
      <c r="G2066" s="156"/>
    </row>
    <row r="2067" spans="2:7" x14ac:dyDescent="0.2">
      <c r="B2067" s="230">
        <v>42954</v>
      </c>
      <c r="C2067" s="124">
        <v>279.85000000000002</v>
      </c>
      <c r="D2067" s="156">
        <f t="shared" si="33"/>
        <v>2.0791537479482203E-2</v>
      </c>
      <c r="E2067" s="156">
        <v>2.4123213954352725E-3</v>
      </c>
      <c r="G2067" s="156"/>
    </row>
    <row r="2068" spans="2:7" x14ac:dyDescent="0.2">
      <c r="B2068" s="230">
        <v>42951</v>
      </c>
      <c r="C2068" s="124">
        <v>280.75</v>
      </c>
      <c r="D2068" s="156">
        <f t="shared" si="33"/>
        <v>3.2160085760227879E-3</v>
      </c>
      <c r="E2068" s="156">
        <v>2.4077046548957575E-3</v>
      </c>
      <c r="G2068" s="156"/>
    </row>
    <row r="2069" spans="2:7" x14ac:dyDescent="0.2">
      <c r="B2069" s="230">
        <v>42950</v>
      </c>
      <c r="C2069" s="124">
        <v>281.39999999999998</v>
      </c>
      <c r="D2069" s="156">
        <f t="shared" si="33"/>
        <v>2.3152270703472029E-3</v>
      </c>
      <c r="E2069" s="156">
        <v>2.3820565791137813E-3</v>
      </c>
      <c r="G2069" s="156"/>
    </row>
    <row r="2070" spans="2:7" x14ac:dyDescent="0.2">
      <c r="B2070" s="230">
        <v>42949</v>
      </c>
      <c r="C2070" s="124">
        <v>285.45</v>
      </c>
      <c r="D2070" s="156">
        <f t="shared" si="33"/>
        <v>1.4392324093816673E-2</v>
      </c>
      <c r="E2070" s="156">
        <v>2.3800079333597553E-3</v>
      </c>
      <c r="G2070" s="156"/>
    </row>
    <row r="2071" spans="2:7" x14ac:dyDescent="0.2">
      <c r="B2071" s="230">
        <v>42948</v>
      </c>
      <c r="C2071" s="124">
        <v>287.85000000000002</v>
      </c>
      <c r="D2071" s="156">
        <f t="shared" si="33"/>
        <v>8.407777193904481E-3</v>
      </c>
      <c r="E2071" s="156">
        <v>2.3798191337458126E-3</v>
      </c>
      <c r="G2071" s="156"/>
    </row>
    <row r="2072" spans="2:7" x14ac:dyDescent="0.2">
      <c r="B2072" s="230">
        <v>42947</v>
      </c>
      <c r="C2072" s="124">
        <v>285.25</v>
      </c>
      <c r="D2072" s="156">
        <f t="shared" si="33"/>
        <v>-9.0324821955880576E-3</v>
      </c>
      <c r="E2072" s="156">
        <v>2.376188094046995E-3</v>
      </c>
      <c r="G2072" s="156"/>
    </row>
    <row r="2073" spans="2:7" x14ac:dyDescent="0.2">
      <c r="B2073" s="230">
        <v>42944</v>
      </c>
      <c r="C2073" s="124">
        <v>291.55</v>
      </c>
      <c r="D2073" s="156">
        <f t="shared" si="33"/>
        <v>2.2085889570552186E-2</v>
      </c>
      <c r="E2073" s="156">
        <v>2.3748939779474226E-3</v>
      </c>
      <c r="G2073" s="156"/>
    </row>
    <row r="2074" spans="2:7" x14ac:dyDescent="0.2">
      <c r="B2074" s="230">
        <v>42943</v>
      </c>
      <c r="C2074" s="124">
        <v>288.55</v>
      </c>
      <c r="D2074" s="156">
        <f t="shared" si="33"/>
        <v>-1.0289830217801405E-2</v>
      </c>
      <c r="E2074" s="156">
        <v>2.37404378791872E-3</v>
      </c>
      <c r="G2074" s="156"/>
    </row>
    <row r="2075" spans="2:7" x14ac:dyDescent="0.2">
      <c r="B2075" s="230">
        <v>42942</v>
      </c>
      <c r="C2075" s="124">
        <v>293.64999999999998</v>
      </c>
      <c r="D2075" s="156">
        <f t="shared" si="33"/>
        <v>1.7674579795529253E-2</v>
      </c>
      <c r="E2075" s="156">
        <v>2.3668639053254438E-3</v>
      </c>
      <c r="G2075" s="156"/>
    </row>
    <row r="2076" spans="2:7" x14ac:dyDescent="0.2">
      <c r="B2076" s="230">
        <v>42941</v>
      </c>
      <c r="C2076" s="124">
        <v>291.39999999999998</v>
      </c>
      <c r="D2076" s="156">
        <f t="shared" si="33"/>
        <v>-7.6621828707645161E-3</v>
      </c>
      <c r="E2076" s="156">
        <v>2.3628248884221795E-3</v>
      </c>
      <c r="G2076" s="156"/>
    </row>
    <row r="2077" spans="2:7" x14ac:dyDescent="0.2">
      <c r="B2077" s="230">
        <v>42940</v>
      </c>
      <c r="C2077" s="124">
        <v>293.25</v>
      </c>
      <c r="D2077" s="156">
        <f t="shared" si="33"/>
        <v>6.3486616334935582E-3</v>
      </c>
      <c r="E2077" s="156">
        <v>2.3616504303200048E-3</v>
      </c>
      <c r="G2077" s="156"/>
    </row>
    <row r="2078" spans="2:7" x14ac:dyDescent="0.2">
      <c r="B2078" s="230">
        <v>42937</v>
      </c>
      <c r="C2078" s="124">
        <v>288.89999999999998</v>
      </c>
      <c r="D2078" s="156">
        <f t="shared" si="33"/>
        <v>-1.4833759590792917E-2</v>
      </c>
      <c r="E2078" s="156">
        <v>2.3598820058997384E-3</v>
      </c>
      <c r="G2078" s="156"/>
    </row>
    <row r="2079" spans="2:7" x14ac:dyDescent="0.2">
      <c r="B2079" s="230">
        <v>42936</v>
      </c>
      <c r="C2079" s="124">
        <v>289.5</v>
      </c>
      <c r="D2079" s="156">
        <f t="shared" si="33"/>
        <v>2.0768431983386043E-3</v>
      </c>
      <c r="E2079" s="156">
        <v>2.3584905660377358E-3</v>
      </c>
      <c r="G2079" s="156"/>
    </row>
    <row r="2080" spans="2:7" x14ac:dyDescent="0.2">
      <c r="B2080" s="230">
        <v>42935</v>
      </c>
      <c r="C2080" s="124">
        <v>291.45</v>
      </c>
      <c r="D2080" s="156">
        <f t="shared" si="33"/>
        <v>6.735751295336748E-3</v>
      </c>
      <c r="E2080" s="156">
        <v>2.3567802755620482E-3</v>
      </c>
      <c r="G2080" s="156"/>
    </row>
    <row r="2081" spans="2:7" x14ac:dyDescent="0.2">
      <c r="B2081" s="230">
        <v>42934</v>
      </c>
      <c r="C2081" s="124">
        <v>284.55</v>
      </c>
      <c r="D2081" s="156">
        <f t="shared" si="33"/>
        <v>-2.3674729799279388E-2</v>
      </c>
      <c r="E2081" s="156">
        <v>2.3565573770491723E-3</v>
      </c>
      <c r="G2081" s="156"/>
    </row>
    <row r="2082" spans="2:7" x14ac:dyDescent="0.2">
      <c r="B2082" s="230">
        <v>42933</v>
      </c>
      <c r="C2082" s="124">
        <v>325.14999999999998</v>
      </c>
      <c r="D2082" s="156">
        <f t="shared" si="33"/>
        <v>0.14268142681426801</v>
      </c>
      <c r="E2082" s="156">
        <v>2.3490721165140105E-3</v>
      </c>
      <c r="G2082" s="156"/>
    </row>
    <row r="2083" spans="2:7" x14ac:dyDescent="0.2">
      <c r="B2083" s="230">
        <v>42930</v>
      </c>
      <c r="C2083" s="124">
        <v>337.15</v>
      </c>
      <c r="D2083" s="156">
        <f t="shared" si="33"/>
        <v>3.6906043364600953E-2</v>
      </c>
      <c r="E2083" s="156">
        <v>2.3474178403755487E-3</v>
      </c>
      <c r="G2083" s="156"/>
    </row>
    <row r="2084" spans="2:7" x14ac:dyDescent="0.2">
      <c r="B2084" s="230">
        <v>42929</v>
      </c>
      <c r="C2084" s="124">
        <v>338.75</v>
      </c>
      <c r="D2084" s="156">
        <f t="shared" si="33"/>
        <v>4.7456621681744712E-3</v>
      </c>
      <c r="E2084" s="156">
        <v>2.3407022106631398E-3</v>
      </c>
      <c r="G2084" s="156"/>
    </row>
    <row r="2085" spans="2:7" x14ac:dyDescent="0.2">
      <c r="B2085" s="230">
        <v>42928</v>
      </c>
      <c r="C2085" s="124">
        <v>328.85</v>
      </c>
      <c r="D2085" s="156">
        <f t="shared" si="33"/>
        <v>-2.9225092250922444E-2</v>
      </c>
      <c r="E2085" s="156">
        <v>2.3404587299109296E-3</v>
      </c>
      <c r="G2085" s="156"/>
    </row>
    <row r="2086" spans="2:7" x14ac:dyDescent="0.2">
      <c r="B2086" s="230">
        <v>42927</v>
      </c>
      <c r="C2086" s="124">
        <v>330.4</v>
      </c>
      <c r="D2086" s="156">
        <f t="shared" si="33"/>
        <v>4.7133951649686919E-3</v>
      </c>
      <c r="E2086" s="156">
        <v>2.3248090335436355E-3</v>
      </c>
      <c r="G2086" s="156"/>
    </row>
    <row r="2087" spans="2:7" x14ac:dyDescent="0.2">
      <c r="B2087" s="230">
        <v>42926</v>
      </c>
      <c r="C2087" s="124">
        <v>333.3</v>
      </c>
      <c r="D2087" s="156">
        <f t="shared" si="33"/>
        <v>8.777239709443203E-3</v>
      </c>
      <c r="E2087" s="156">
        <v>2.3210318644518902E-3</v>
      </c>
      <c r="G2087" s="156"/>
    </row>
    <row r="2088" spans="2:7" x14ac:dyDescent="0.2">
      <c r="B2088" s="230">
        <v>42923</v>
      </c>
      <c r="C2088" s="124">
        <v>334.3</v>
      </c>
      <c r="D2088" s="156">
        <f t="shared" si="33"/>
        <v>3.0003000300030001E-3</v>
      </c>
      <c r="E2088" s="156">
        <v>2.3152270703472029E-3</v>
      </c>
      <c r="G2088" s="156"/>
    </row>
    <row r="2089" spans="2:7" x14ac:dyDescent="0.2">
      <c r="B2089" s="230">
        <v>42922</v>
      </c>
      <c r="C2089" s="124">
        <v>337.1</v>
      </c>
      <c r="D2089" s="156">
        <f t="shared" si="33"/>
        <v>8.375710439724831E-3</v>
      </c>
      <c r="E2089" s="156">
        <v>2.308284175429685E-3</v>
      </c>
      <c r="G2089" s="156"/>
    </row>
    <row r="2090" spans="2:7" x14ac:dyDescent="0.2">
      <c r="B2090" s="230">
        <v>42921</v>
      </c>
      <c r="C2090" s="124">
        <v>331.05</v>
      </c>
      <c r="D2090" s="156">
        <f t="shared" si="33"/>
        <v>-1.7947196677543787E-2</v>
      </c>
      <c r="E2090" s="156">
        <v>2.3049645390071376E-3</v>
      </c>
      <c r="G2090" s="156"/>
    </row>
    <row r="2091" spans="2:7" x14ac:dyDescent="0.2">
      <c r="B2091" s="230">
        <v>42920</v>
      </c>
      <c r="C2091" s="124">
        <v>337.25</v>
      </c>
      <c r="D2091" s="156">
        <f t="shared" si="33"/>
        <v>1.8728288778130157E-2</v>
      </c>
      <c r="E2091" s="156">
        <v>2.2962112514351321E-3</v>
      </c>
      <c r="G2091" s="156"/>
    </row>
    <row r="2092" spans="2:7" x14ac:dyDescent="0.2">
      <c r="B2092" s="230">
        <v>42919</v>
      </c>
      <c r="C2092" s="124">
        <v>342.5</v>
      </c>
      <c r="D2092" s="156">
        <f t="shared" si="33"/>
        <v>1.5567086730911787E-2</v>
      </c>
      <c r="E2092" s="156">
        <v>2.2899418707062785E-3</v>
      </c>
      <c r="G2092" s="156"/>
    </row>
    <row r="2093" spans="2:7" x14ac:dyDescent="0.2">
      <c r="B2093" s="230">
        <v>42916</v>
      </c>
      <c r="C2093" s="124">
        <v>323.64999999999998</v>
      </c>
      <c r="D2093" s="156">
        <f t="shared" si="33"/>
        <v>-5.5036496350365033E-2</v>
      </c>
      <c r="E2093" s="156">
        <v>2.2871955170968732E-3</v>
      </c>
      <c r="G2093" s="156"/>
    </row>
    <row r="2094" spans="2:7" x14ac:dyDescent="0.2">
      <c r="B2094" s="230">
        <v>42915</v>
      </c>
      <c r="C2094" s="124">
        <v>311.60000000000002</v>
      </c>
      <c r="D2094" s="156">
        <f t="shared" si="33"/>
        <v>-3.7231577321180147E-2</v>
      </c>
      <c r="E2094" s="156">
        <v>2.2720452694302787E-3</v>
      </c>
      <c r="G2094" s="156"/>
    </row>
    <row r="2095" spans="2:7" x14ac:dyDescent="0.2">
      <c r="B2095" s="230">
        <v>42914</v>
      </c>
      <c r="C2095" s="124">
        <v>308.35000000000002</v>
      </c>
      <c r="D2095" s="156">
        <f t="shared" si="33"/>
        <v>-1.0430038510911423E-2</v>
      </c>
      <c r="E2095" s="156">
        <v>2.2507219296755612E-3</v>
      </c>
      <c r="G2095" s="156"/>
    </row>
    <row r="2096" spans="2:7" x14ac:dyDescent="0.2">
      <c r="B2096" s="230">
        <v>42913</v>
      </c>
      <c r="C2096" s="124">
        <v>312.35000000000002</v>
      </c>
      <c r="D2096" s="156">
        <f t="shared" si="33"/>
        <v>1.2972271769093562E-2</v>
      </c>
      <c r="E2096" s="156">
        <v>2.2494376405897956E-3</v>
      </c>
      <c r="G2096" s="156"/>
    </row>
    <row r="2097" spans="2:7" x14ac:dyDescent="0.2">
      <c r="B2097" s="230">
        <v>42909</v>
      </c>
      <c r="C2097" s="124">
        <v>311</v>
      </c>
      <c r="D2097" s="156">
        <f t="shared" si="33"/>
        <v>-4.3220745958060594E-3</v>
      </c>
      <c r="E2097" s="156">
        <v>2.2450888681011141E-3</v>
      </c>
      <c r="G2097" s="156"/>
    </row>
    <row r="2098" spans="2:7" x14ac:dyDescent="0.2">
      <c r="B2098" s="230">
        <v>42908</v>
      </c>
      <c r="C2098" s="124">
        <v>311.3</v>
      </c>
      <c r="D2098" s="156">
        <f t="shared" si="33"/>
        <v>9.6463022508042236E-4</v>
      </c>
      <c r="E2098" s="156">
        <v>2.238987588221017E-3</v>
      </c>
      <c r="G2098" s="156"/>
    </row>
    <row r="2099" spans="2:7" x14ac:dyDescent="0.2">
      <c r="B2099" s="230">
        <v>42907</v>
      </c>
      <c r="C2099" s="124">
        <v>308.95</v>
      </c>
      <c r="D2099" s="156">
        <f t="shared" si="33"/>
        <v>-7.5489881143592117E-3</v>
      </c>
      <c r="E2099" s="156">
        <v>2.2334723049435034E-3</v>
      </c>
      <c r="G2099" s="156"/>
    </row>
    <row r="2100" spans="2:7" x14ac:dyDescent="0.2">
      <c r="B2100" s="230">
        <v>42906</v>
      </c>
      <c r="C2100" s="124">
        <v>308.7</v>
      </c>
      <c r="D2100" s="156">
        <f t="shared" si="33"/>
        <v>-8.0919242595889308E-4</v>
      </c>
      <c r="E2100" s="156">
        <v>2.2310361923649829E-3</v>
      </c>
      <c r="G2100" s="156"/>
    </row>
    <row r="2101" spans="2:7" x14ac:dyDescent="0.2">
      <c r="B2101" s="230">
        <v>42905</v>
      </c>
      <c r="C2101" s="124">
        <v>310.89999999999998</v>
      </c>
      <c r="D2101" s="156">
        <f t="shared" si="33"/>
        <v>7.1266601878846409E-3</v>
      </c>
      <c r="E2101" s="156">
        <v>2.2299827491900582E-3</v>
      </c>
      <c r="G2101" s="156"/>
    </row>
    <row r="2102" spans="2:7" x14ac:dyDescent="0.2">
      <c r="B2102" s="230">
        <v>42902</v>
      </c>
      <c r="C2102" s="124">
        <v>306.8</v>
      </c>
      <c r="D2102" s="156">
        <f t="shared" si="33"/>
        <v>-1.3187520102926878E-2</v>
      </c>
      <c r="E2102" s="156">
        <v>2.2290331568682402E-3</v>
      </c>
      <c r="G2102" s="156"/>
    </row>
    <row r="2103" spans="2:7" x14ac:dyDescent="0.2">
      <c r="B2103" s="230">
        <v>42901</v>
      </c>
      <c r="C2103" s="124">
        <v>301.89999999999998</v>
      </c>
      <c r="D2103" s="156">
        <f t="shared" si="33"/>
        <v>-1.5971316818774558E-2</v>
      </c>
      <c r="E2103" s="156">
        <v>2.2246391140992123E-3</v>
      </c>
      <c r="G2103" s="156"/>
    </row>
    <row r="2104" spans="2:7" x14ac:dyDescent="0.2">
      <c r="B2104" s="230">
        <v>42900</v>
      </c>
      <c r="C2104" s="124">
        <v>299.85000000000002</v>
      </c>
      <c r="D2104" s="156">
        <f t="shared" si="33"/>
        <v>-6.7903279231532115E-3</v>
      </c>
      <c r="E2104" s="156">
        <v>2.1916473882869453E-3</v>
      </c>
      <c r="G2104" s="156"/>
    </row>
    <row r="2105" spans="2:7" x14ac:dyDescent="0.2">
      <c r="B2105" s="230">
        <v>42899</v>
      </c>
      <c r="C2105" s="124">
        <v>305.25</v>
      </c>
      <c r="D2105" s="156">
        <f t="shared" si="33"/>
        <v>1.8009004502251048E-2</v>
      </c>
      <c r="E2105" s="156">
        <v>2.1890900485148274E-3</v>
      </c>
      <c r="G2105" s="156"/>
    </row>
    <row r="2106" spans="2:7" x14ac:dyDescent="0.2">
      <c r="B2106" s="230">
        <v>42898</v>
      </c>
      <c r="C2106" s="124">
        <v>304.39999999999998</v>
      </c>
      <c r="D2106" s="156">
        <f t="shared" si="33"/>
        <v>-2.784602784602859E-3</v>
      </c>
      <c r="E2106" s="156">
        <v>2.187815550319681E-3</v>
      </c>
      <c r="G2106" s="156"/>
    </row>
    <row r="2107" spans="2:7" x14ac:dyDescent="0.2">
      <c r="B2107" s="230">
        <v>42895</v>
      </c>
      <c r="C2107" s="124">
        <v>306</v>
      </c>
      <c r="D2107" s="156">
        <f t="shared" si="33"/>
        <v>5.2562417871222823E-3</v>
      </c>
      <c r="E2107" s="156">
        <v>2.1814215597162909E-3</v>
      </c>
      <c r="G2107" s="156"/>
    </row>
    <row r="2108" spans="2:7" x14ac:dyDescent="0.2">
      <c r="B2108" s="230">
        <v>42894</v>
      </c>
      <c r="C2108" s="124">
        <v>311.60000000000002</v>
      </c>
      <c r="D2108" s="156">
        <f t="shared" si="33"/>
        <v>1.8300653594771316E-2</v>
      </c>
      <c r="E2108" s="156">
        <v>2.1691973969630643E-3</v>
      </c>
      <c r="G2108" s="156"/>
    </row>
    <row r="2109" spans="2:7" x14ac:dyDescent="0.2">
      <c r="B2109" s="230">
        <v>42893</v>
      </c>
      <c r="C2109" s="124">
        <v>312.25</v>
      </c>
      <c r="D2109" s="156">
        <f t="shared" si="33"/>
        <v>2.0860077021822116E-3</v>
      </c>
      <c r="E2109" s="156">
        <v>2.1626870282915175E-3</v>
      </c>
      <c r="G2109" s="156"/>
    </row>
    <row r="2110" spans="2:7" x14ac:dyDescent="0.2">
      <c r="B2110" s="230">
        <v>42892</v>
      </c>
      <c r="C2110" s="124">
        <v>311.05</v>
      </c>
      <c r="D2110" s="156">
        <f t="shared" ref="D2110:D2173" si="34">(C2110-C2109)/C2109</f>
        <v>-3.8430744595676176E-3</v>
      </c>
      <c r="E2110" s="156">
        <v>2.1553272505209524E-3</v>
      </c>
      <c r="G2110" s="156"/>
    </row>
    <row r="2111" spans="2:7" x14ac:dyDescent="0.2">
      <c r="B2111" s="230">
        <v>42891</v>
      </c>
      <c r="C2111" s="124">
        <v>317.45</v>
      </c>
      <c r="D2111" s="156">
        <f t="shared" si="34"/>
        <v>2.0575470181642748E-2</v>
      </c>
      <c r="E2111" s="156">
        <v>2.1303035682585579E-3</v>
      </c>
      <c r="G2111" s="156"/>
    </row>
    <row r="2112" spans="2:7" x14ac:dyDescent="0.2">
      <c r="B2112" s="230">
        <v>42888</v>
      </c>
      <c r="C2112" s="124">
        <v>319.2</v>
      </c>
      <c r="D2112" s="156">
        <f t="shared" si="34"/>
        <v>5.5126791620727679E-3</v>
      </c>
      <c r="E2112" s="156">
        <v>2.1093000958773206E-3</v>
      </c>
      <c r="G2112" s="156"/>
    </row>
    <row r="2113" spans="2:7" x14ac:dyDescent="0.2">
      <c r="B2113" s="230">
        <v>42887</v>
      </c>
      <c r="C2113" s="124">
        <v>314.2</v>
      </c>
      <c r="D2113" s="156">
        <f t="shared" si="34"/>
        <v>-1.5664160401002505E-2</v>
      </c>
      <c r="E2113" s="156">
        <v>2.1087160262417463E-3</v>
      </c>
      <c r="G2113" s="156"/>
    </row>
    <row r="2114" spans="2:7" x14ac:dyDescent="0.2">
      <c r="B2114" s="230">
        <v>42886</v>
      </c>
      <c r="C2114" s="124">
        <v>311.8</v>
      </c>
      <c r="D2114" s="156">
        <f t="shared" si="34"/>
        <v>-7.6384468491406026E-3</v>
      </c>
      <c r="E2114" s="156">
        <v>2.1047708138446615E-3</v>
      </c>
      <c r="G2114" s="156"/>
    </row>
    <row r="2115" spans="2:7" x14ac:dyDescent="0.2">
      <c r="B2115" s="230">
        <v>42885</v>
      </c>
      <c r="C2115" s="124">
        <v>311.45</v>
      </c>
      <c r="D2115" s="156">
        <f t="shared" si="34"/>
        <v>-1.1225144323284886E-3</v>
      </c>
      <c r="E2115" s="156">
        <v>2.1034917963819941E-3</v>
      </c>
      <c r="G2115" s="156"/>
    </row>
    <row r="2116" spans="2:7" x14ac:dyDescent="0.2">
      <c r="B2116" s="230">
        <v>42884</v>
      </c>
      <c r="C2116" s="124">
        <v>315.85000000000002</v>
      </c>
      <c r="D2116" s="156">
        <f t="shared" si="34"/>
        <v>1.4127468293466157E-2</v>
      </c>
      <c r="E2116" s="156">
        <v>2.0885547201336674E-3</v>
      </c>
      <c r="G2116" s="156"/>
    </row>
    <row r="2117" spans="2:7" x14ac:dyDescent="0.2">
      <c r="B2117" s="230">
        <v>42881</v>
      </c>
      <c r="C2117" s="124">
        <v>309.10000000000002</v>
      </c>
      <c r="D2117" s="156">
        <f t="shared" si="34"/>
        <v>-2.1370903910083901E-2</v>
      </c>
      <c r="E2117" s="156">
        <v>2.0860077021822116E-3</v>
      </c>
      <c r="G2117" s="156"/>
    </row>
    <row r="2118" spans="2:7" x14ac:dyDescent="0.2">
      <c r="B2118" s="230">
        <v>42880</v>
      </c>
      <c r="C2118" s="124">
        <v>300.05</v>
      </c>
      <c r="D2118" s="156">
        <f t="shared" si="34"/>
        <v>-2.9278550630863834E-2</v>
      </c>
      <c r="E2118" s="156">
        <v>2.0853778213934392E-3</v>
      </c>
      <c r="G2118" s="156"/>
    </row>
    <row r="2119" spans="2:7" x14ac:dyDescent="0.2">
      <c r="B2119" s="230">
        <v>42879</v>
      </c>
      <c r="C2119" s="124">
        <v>299.89999999999998</v>
      </c>
      <c r="D2119" s="156">
        <f t="shared" si="34"/>
        <v>-4.9991668055335476E-4</v>
      </c>
      <c r="E2119" s="156">
        <v>2.0768431983386043E-3</v>
      </c>
      <c r="G2119" s="156"/>
    </row>
    <row r="2120" spans="2:7" x14ac:dyDescent="0.2">
      <c r="B2120" s="230">
        <v>42878</v>
      </c>
      <c r="C2120" s="124">
        <v>300.14999999999998</v>
      </c>
      <c r="D2120" s="156">
        <f t="shared" si="34"/>
        <v>8.3361120373457831E-4</v>
      </c>
      <c r="E2120" s="156">
        <v>2.075496173303886E-3</v>
      </c>
      <c r="G2120" s="156"/>
    </row>
    <row r="2121" spans="2:7" x14ac:dyDescent="0.2">
      <c r="B2121" s="230">
        <v>42877</v>
      </c>
      <c r="C2121" s="124">
        <v>303.60000000000002</v>
      </c>
      <c r="D2121" s="156">
        <f t="shared" si="34"/>
        <v>1.1494252873563371E-2</v>
      </c>
      <c r="E2121" s="156">
        <v>2.0688991531947979E-3</v>
      </c>
      <c r="G2121" s="156"/>
    </row>
    <row r="2122" spans="2:7" x14ac:dyDescent="0.2">
      <c r="B2122" s="230">
        <v>42874</v>
      </c>
      <c r="C2122" s="124">
        <v>286.2</v>
      </c>
      <c r="D2122" s="156">
        <f t="shared" si="34"/>
        <v>-5.7312252964426984E-2</v>
      </c>
      <c r="E2122" s="156">
        <v>2.0684900022982697E-3</v>
      </c>
      <c r="G2122" s="156"/>
    </row>
    <row r="2123" spans="2:7" x14ac:dyDescent="0.2">
      <c r="B2123" s="230">
        <v>42873</v>
      </c>
      <c r="C2123" s="124">
        <v>277.89999999999998</v>
      </c>
      <c r="D2123" s="156">
        <f t="shared" si="34"/>
        <v>-2.9000698812019606E-2</v>
      </c>
      <c r="E2123" s="156">
        <v>2.0479213598197312E-3</v>
      </c>
      <c r="G2123" s="156"/>
    </row>
    <row r="2124" spans="2:7" x14ac:dyDescent="0.2">
      <c r="B2124" s="230">
        <v>42872</v>
      </c>
      <c r="C2124" s="124">
        <v>281.64999999999998</v>
      </c>
      <c r="D2124" s="156">
        <f t="shared" si="34"/>
        <v>1.3494062612450524E-2</v>
      </c>
      <c r="E2124" s="156">
        <v>2.0361622414073952E-3</v>
      </c>
      <c r="G2124" s="156"/>
    </row>
    <row r="2125" spans="2:7" x14ac:dyDescent="0.2">
      <c r="B2125" s="230">
        <v>42871</v>
      </c>
      <c r="C2125" s="124">
        <v>283.45</v>
      </c>
      <c r="D2125" s="156">
        <f t="shared" si="34"/>
        <v>6.3909107047754711E-3</v>
      </c>
      <c r="E2125" s="156">
        <v>2.0214030915577234E-3</v>
      </c>
      <c r="G2125" s="156"/>
    </row>
    <row r="2126" spans="2:7" x14ac:dyDescent="0.2">
      <c r="B2126" s="230">
        <v>42870</v>
      </c>
      <c r="C2126" s="124">
        <v>277.95</v>
      </c>
      <c r="D2126" s="156">
        <f t="shared" si="34"/>
        <v>-1.9403774916210974E-2</v>
      </c>
      <c r="E2126" s="156">
        <v>2.0212228398181187E-3</v>
      </c>
      <c r="G2126" s="156"/>
    </row>
    <row r="2127" spans="2:7" x14ac:dyDescent="0.2">
      <c r="B2127" s="230">
        <v>42867</v>
      </c>
      <c r="C2127" s="124">
        <v>274.95</v>
      </c>
      <c r="D2127" s="156">
        <f t="shared" si="34"/>
        <v>-1.0793308148947653E-2</v>
      </c>
      <c r="E2127" s="156">
        <v>1.9979280745893906E-3</v>
      </c>
      <c r="G2127" s="156"/>
    </row>
    <row r="2128" spans="2:7" x14ac:dyDescent="0.2">
      <c r="B2128" s="230">
        <v>42866</v>
      </c>
      <c r="C2128" s="124">
        <v>276.64999999999998</v>
      </c>
      <c r="D2128" s="156">
        <f t="shared" si="34"/>
        <v>6.1829423531550784E-3</v>
      </c>
      <c r="E2128" s="156">
        <v>1.9966567607725594E-3</v>
      </c>
      <c r="G2128" s="156"/>
    </row>
    <row r="2129" spans="2:7" x14ac:dyDescent="0.2">
      <c r="B2129" s="230">
        <v>42865</v>
      </c>
      <c r="C2129" s="124">
        <v>273.95</v>
      </c>
      <c r="D2129" s="156">
        <f t="shared" si="34"/>
        <v>-9.7596240737393408E-3</v>
      </c>
      <c r="E2129" s="156">
        <v>1.9946028393758603E-3</v>
      </c>
      <c r="G2129" s="156"/>
    </row>
    <row r="2130" spans="2:7" x14ac:dyDescent="0.2">
      <c r="B2130" s="230">
        <v>42864</v>
      </c>
      <c r="C2130" s="124">
        <v>271.5</v>
      </c>
      <c r="D2130" s="156">
        <f t="shared" si="34"/>
        <v>-8.9432378171198715E-3</v>
      </c>
      <c r="E2130" s="156">
        <v>1.9865357024611723E-3</v>
      </c>
      <c r="G2130" s="156"/>
    </row>
    <row r="2131" spans="2:7" x14ac:dyDescent="0.2">
      <c r="B2131" s="230">
        <v>42863</v>
      </c>
      <c r="C2131" s="124">
        <v>272.95</v>
      </c>
      <c r="D2131" s="156">
        <f t="shared" si="34"/>
        <v>5.3406998158378955E-3</v>
      </c>
      <c r="E2131" s="156">
        <v>1.9858015191381905E-3</v>
      </c>
      <c r="G2131" s="156"/>
    </row>
    <row r="2132" spans="2:7" x14ac:dyDescent="0.2">
      <c r="B2132" s="230">
        <v>42860</v>
      </c>
      <c r="C2132" s="124">
        <v>277.14999999999998</v>
      </c>
      <c r="D2132" s="156">
        <f t="shared" si="34"/>
        <v>1.5387433595896644E-2</v>
      </c>
      <c r="E2132" s="156">
        <v>1.9466906259358408E-3</v>
      </c>
      <c r="G2132" s="156"/>
    </row>
    <row r="2133" spans="2:7" x14ac:dyDescent="0.2">
      <c r="B2133" s="230">
        <v>42859</v>
      </c>
      <c r="C2133" s="124">
        <v>281.2</v>
      </c>
      <c r="D2133" s="156">
        <f t="shared" si="34"/>
        <v>1.4613025437488767E-2</v>
      </c>
      <c r="E2133" s="156">
        <v>1.9391588898315631E-3</v>
      </c>
      <c r="G2133" s="156"/>
    </row>
    <row r="2134" spans="2:7" x14ac:dyDescent="0.2">
      <c r="B2134" s="230">
        <v>42858</v>
      </c>
      <c r="C2134" s="124">
        <v>277.25</v>
      </c>
      <c r="D2134" s="156">
        <f t="shared" si="34"/>
        <v>-1.4046941678520585E-2</v>
      </c>
      <c r="E2134" s="156">
        <v>1.9332161687170375E-3</v>
      </c>
      <c r="G2134" s="156"/>
    </row>
    <row r="2135" spans="2:7" x14ac:dyDescent="0.2">
      <c r="B2135" s="230">
        <v>42857</v>
      </c>
      <c r="C2135" s="124">
        <v>279.2</v>
      </c>
      <c r="D2135" s="156">
        <f t="shared" si="34"/>
        <v>7.0333633904417986E-3</v>
      </c>
      <c r="E2135" s="156">
        <v>1.9330922653567641E-3</v>
      </c>
      <c r="G2135" s="156"/>
    </row>
    <row r="2136" spans="2:7" x14ac:dyDescent="0.2">
      <c r="B2136" s="230">
        <v>42853</v>
      </c>
      <c r="C2136" s="124">
        <v>278</v>
      </c>
      <c r="D2136" s="156">
        <f t="shared" si="34"/>
        <v>-4.2979942693409335E-3</v>
      </c>
      <c r="E2136" s="156">
        <v>1.9166267369430078E-3</v>
      </c>
      <c r="G2136" s="156"/>
    </row>
    <row r="2137" spans="2:7" x14ac:dyDescent="0.2">
      <c r="B2137" s="230">
        <v>42852</v>
      </c>
      <c r="C2137" s="124">
        <v>285.8</v>
      </c>
      <c r="D2137" s="156">
        <f t="shared" si="34"/>
        <v>2.8057553956834572E-2</v>
      </c>
      <c r="E2137" s="156">
        <v>1.894387875917621E-3</v>
      </c>
      <c r="G2137" s="156"/>
    </row>
    <row r="2138" spans="2:7" x14ac:dyDescent="0.2">
      <c r="B2138" s="230">
        <v>42851</v>
      </c>
      <c r="C2138" s="124">
        <v>290.89999999999998</v>
      </c>
      <c r="D2138" s="156">
        <f t="shared" si="34"/>
        <v>1.7844646606018075E-2</v>
      </c>
      <c r="E2138" s="156">
        <v>1.887504718761797E-3</v>
      </c>
      <c r="G2138" s="156"/>
    </row>
    <row r="2139" spans="2:7" x14ac:dyDescent="0.2">
      <c r="B2139" s="230">
        <v>42850</v>
      </c>
      <c r="C2139" s="124">
        <v>281.3</v>
      </c>
      <c r="D2139" s="156">
        <f t="shared" si="34"/>
        <v>-3.3001031282227457E-2</v>
      </c>
      <c r="E2139" s="156">
        <v>1.8689151599442732E-3</v>
      </c>
      <c r="G2139" s="156"/>
    </row>
    <row r="2140" spans="2:7" x14ac:dyDescent="0.2">
      <c r="B2140" s="230">
        <v>42849</v>
      </c>
      <c r="C2140" s="124">
        <v>276.75</v>
      </c>
      <c r="D2140" s="156">
        <f t="shared" si="34"/>
        <v>-1.6174902239601888E-2</v>
      </c>
      <c r="E2140" s="156">
        <v>1.8602488082781336E-3</v>
      </c>
      <c r="G2140" s="156"/>
    </row>
    <row r="2141" spans="2:7" x14ac:dyDescent="0.2">
      <c r="B2141" s="230">
        <v>42846</v>
      </c>
      <c r="C2141" s="124">
        <v>274.35000000000002</v>
      </c>
      <c r="D2141" s="156">
        <f t="shared" si="34"/>
        <v>-8.6720867208671271E-3</v>
      </c>
      <c r="E2141" s="156">
        <v>1.8527095877721429E-3</v>
      </c>
      <c r="G2141" s="156"/>
    </row>
    <row r="2142" spans="2:7" x14ac:dyDescent="0.2">
      <c r="B2142" s="230">
        <v>42845</v>
      </c>
      <c r="C2142" s="124">
        <v>279.5</v>
      </c>
      <c r="D2142" s="156">
        <f t="shared" si="34"/>
        <v>1.8771642063058053E-2</v>
      </c>
      <c r="E2142" s="156">
        <v>1.848884506347907E-3</v>
      </c>
      <c r="G2142" s="156"/>
    </row>
    <row r="2143" spans="2:7" x14ac:dyDescent="0.2">
      <c r="B2143" s="230">
        <v>42844</v>
      </c>
      <c r="C2143" s="124">
        <v>278.7</v>
      </c>
      <c r="D2143" s="156">
        <f t="shared" si="34"/>
        <v>-2.8622540250447634E-3</v>
      </c>
      <c r="E2143" s="156">
        <v>1.8460481689778338E-3</v>
      </c>
      <c r="G2143" s="156"/>
    </row>
    <row r="2144" spans="2:7" x14ac:dyDescent="0.2">
      <c r="B2144" s="230">
        <v>42843</v>
      </c>
      <c r="C2144" s="124">
        <v>279.05</v>
      </c>
      <c r="D2144" s="156">
        <f t="shared" si="34"/>
        <v>1.255830642267753E-3</v>
      </c>
      <c r="E2144" s="156">
        <v>1.8400802944128854E-3</v>
      </c>
      <c r="G2144" s="156"/>
    </row>
    <row r="2145" spans="2:7" x14ac:dyDescent="0.2">
      <c r="B2145" s="230">
        <v>42842</v>
      </c>
      <c r="C2145" s="124">
        <v>279.10000000000002</v>
      </c>
      <c r="D2145" s="156">
        <f t="shared" si="34"/>
        <v>1.7917935853793717E-4</v>
      </c>
      <c r="E2145" s="156">
        <v>1.8176034897987262E-3</v>
      </c>
      <c r="G2145" s="156"/>
    </row>
    <row r="2146" spans="2:7" x14ac:dyDescent="0.2">
      <c r="B2146" s="230">
        <v>42838</v>
      </c>
      <c r="C2146" s="124">
        <v>279.14999999999998</v>
      </c>
      <c r="D2146" s="156">
        <f t="shared" si="34"/>
        <v>1.7914725904677364E-4</v>
      </c>
      <c r="E2146" s="156">
        <v>1.8165304268846503E-3</v>
      </c>
      <c r="G2146" s="156"/>
    </row>
    <row r="2147" spans="2:7" x14ac:dyDescent="0.2">
      <c r="B2147" s="230">
        <v>42837</v>
      </c>
      <c r="C2147" s="124">
        <v>281.89999999999998</v>
      </c>
      <c r="D2147" s="156">
        <f t="shared" si="34"/>
        <v>9.8513344080243606E-3</v>
      </c>
      <c r="E2147" s="156">
        <v>1.8152938506921065E-3</v>
      </c>
      <c r="G2147" s="156"/>
    </row>
    <row r="2148" spans="2:7" x14ac:dyDescent="0.2">
      <c r="B2148" s="230">
        <v>42836</v>
      </c>
      <c r="C2148" s="124">
        <v>282.05</v>
      </c>
      <c r="D2148" s="156">
        <f t="shared" si="34"/>
        <v>5.3210358283091214E-4</v>
      </c>
      <c r="E2148" s="156">
        <v>1.8128916741271314E-3</v>
      </c>
      <c r="G2148" s="156"/>
    </row>
    <row r="2149" spans="2:7" x14ac:dyDescent="0.2">
      <c r="B2149" s="230">
        <v>42835</v>
      </c>
      <c r="C2149" s="124">
        <v>273.55</v>
      </c>
      <c r="D2149" s="156">
        <f t="shared" si="34"/>
        <v>-3.0136500620457366E-2</v>
      </c>
      <c r="E2149" s="156">
        <v>1.8097363817336245E-3</v>
      </c>
      <c r="G2149" s="156"/>
    </row>
    <row r="2150" spans="2:7" x14ac:dyDescent="0.2">
      <c r="B2150" s="230">
        <v>42832</v>
      </c>
      <c r="C2150" s="124">
        <v>272.64999999999998</v>
      </c>
      <c r="D2150" s="156">
        <f t="shared" si="34"/>
        <v>-3.2900749405959935E-3</v>
      </c>
      <c r="E2150" s="156">
        <v>1.8050541516245193E-3</v>
      </c>
      <c r="G2150" s="156"/>
    </row>
    <row r="2151" spans="2:7" x14ac:dyDescent="0.2">
      <c r="B2151" s="230">
        <v>42831</v>
      </c>
      <c r="C2151" s="124">
        <v>274.10000000000002</v>
      </c>
      <c r="D2151" s="156">
        <f t="shared" si="34"/>
        <v>5.3181734824868715E-3</v>
      </c>
      <c r="E2151" s="156">
        <v>1.7885088307623774E-3</v>
      </c>
      <c r="G2151" s="156"/>
    </row>
    <row r="2152" spans="2:7" x14ac:dyDescent="0.2">
      <c r="B2152" s="230">
        <v>42830</v>
      </c>
      <c r="C2152" s="124">
        <v>278.95</v>
      </c>
      <c r="D2152" s="156">
        <f t="shared" si="34"/>
        <v>1.7694272163443873E-2</v>
      </c>
      <c r="E2152" s="156">
        <v>1.7837235228539195E-3</v>
      </c>
      <c r="G2152" s="156"/>
    </row>
    <row r="2153" spans="2:7" x14ac:dyDescent="0.2">
      <c r="B2153" s="230">
        <v>42828</v>
      </c>
      <c r="C2153" s="124">
        <v>281.55</v>
      </c>
      <c r="D2153" s="156">
        <f t="shared" si="34"/>
        <v>9.3206667861624772E-3</v>
      </c>
      <c r="E2153" s="156">
        <v>1.7750954113783868E-3</v>
      </c>
      <c r="G2153" s="156"/>
    </row>
    <row r="2154" spans="2:7" x14ac:dyDescent="0.2">
      <c r="B2154" s="230">
        <v>42825</v>
      </c>
      <c r="C2154" s="124">
        <v>280.3</v>
      </c>
      <c r="D2154" s="156">
        <f t="shared" si="34"/>
        <v>-4.4397087551056652E-3</v>
      </c>
      <c r="E2154" s="156">
        <v>1.7743250371649382E-3</v>
      </c>
      <c r="G2154" s="156"/>
    </row>
    <row r="2155" spans="2:7" x14ac:dyDescent="0.2">
      <c r="B2155" s="230">
        <v>42824</v>
      </c>
      <c r="C2155" s="124">
        <v>282.75</v>
      </c>
      <c r="D2155" s="156">
        <f t="shared" si="34"/>
        <v>8.7406350338922172E-3</v>
      </c>
      <c r="E2155" s="156">
        <v>1.7667844522967192E-3</v>
      </c>
      <c r="G2155" s="156"/>
    </row>
    <row r="2156" spans="2:7" x14ac:dyDescent="0.2">
      <c r="B2156" s="230">
        <v>42823</v>
      </c>
      <c r="C2156" s="124">
        <v>283.2</v>
      </c>
      <c r="D2156" s="156">
        <f t="shared" si="34"/>
        <v>1.5915119363394824E-3</v>
      </c>
      <c r="E2156" s="156">
        <v>1.7661603673613563E-3</v>
      </c>
      <c r="G2156" s="156"/>
    </row>
    <row r="2157" spans="2:7" x14ac:dyDescent="0.2">
      <c r="B2157" s="230">
        <v>42822</v>
      </c>
      <c r="C2157" s="124">
        <v>280.5</v>
      </c>
      <c r="D2157" s="156">
        <f t="shared" si="34"/>
        <v>-9.5338983050847065E-3</v>
      </c>
      <c r="E2157" s="156">
        <v>1.7354415734670925E-3</v>
      </c>
      <c r="G2157" s="156"/>
    </row>
    <row r="2158" spans="2:7" x14ac:dyDescent="0.2">
      <c r="B2158" s="230">
        <v>42821</v>
      </c>
      <c r="C2158" s="124">
        <v>281.60000000000002</v>
      </c>
      <c r="D2158" s="156">
        <f t="shared" si="34"/>
        <v>3.9215686274510619E-3</v>
      </c>
      <c r="E2158" s="156">
        <v>1.7340769555232907E-3</v>
      </c>
      <c r="G2158" s="156"/>
    </row>
    <row r="2159" spans="2:7" x14ac:dyDescent="0.2">
      <c r="B2159" s="230">
        <v>42818</v>
      </c>
      <c r="C2159" s="124">
        <v>281</v>
      </c>
      <c r="D2159" s="156">
        <f t="shared" si="34"/>
        <v>-2.1306818181818987E-3</v>
      </c>
      <c r="E2159" s="156">
        <v>1.7298045320877757E-3</v>
      </c>
      <c r="G2159" s="156"/>
    </row>
    <row r="2160" spans="2:7" x14ac:dyDescent="0.2">
      <c r="B2160" s="230">
        <v>42817</v>
      </c>
      <c r="C2160" s="124">
        <v>277.60000000000002</v>
      </c>
      <c r="D2160" s="156">
        <f t="shared" si="34"/>
        <v>-1.2099644128113799E-2</v>
      </c>
      <c r="E2160" s="156">
        <v>1.6803192606594298E-3</v>
      </c>
      <c r="G2160" s="156"/>
    </row>
    <row r="2161" spans="2:7" x14ac:dyDescent="0.2">
      <c r="B2161" s="230">
        <v>42816</v>
      </c>
      <c r="C2161" s="124">
        <v>279.85000000000002</v>
      </c>
      <c r="D2161" s="156">
        <f t="shared" si="34"/>
        <v>8.1051873198847262E-3</v>
      </c>
      <c r="E2161" s="156">
        <v>1.6760595839182321E-3</v>
      </c>
      <c r="G2161" s="156"/>
    </row>
    <row r="2162" spans="2:7" x14ac:dyDescent="0.2">
      <c r="B2162" s="230">
        <v>42815</v>
      </c>
      <c r="C2162" s="124">
        <v>287.89999999999998</v>
      </c>
      <c r="D2162" s="156">
        <f t="shared" si="34"/>
        <v>2.876541004109328E-2</v>
      </c>
      <c r="E2162" s="156">
        <v>1.6744408563568679E-3</v>
      </c>
      <c r="G2162" s="156"/>
    </row>
    <row r="2163" spans="2:7" x14ac:dyDescent="0.2">
      <c r="B2163" s="230">
        <v>42814</v>
      </c>
      <c r="C2163" s="124">
        <v>281.89999999999998</v>
      </c>
      <c r="D2163" s="156">
        <f t="shared" si="34"/>
        <v>-2.0840569642236888E-2</v>
      </c>
      <c r="E2163" s="156">
        <v>1.6662038322687459E-3</v>
      </c>
      <c r="G2163" s="156"/>
    </row>
    <row r="2164" spans="2:7" x14ac:dyDescent="0.2">
      <c r="B2164" s="230">
        <v>42811</v>
      </c>
      <c r="C2164" s="124">
        <v>281.25</v>
      </c>
      <c r="D2164" s="156">
        <f t="shared" si="34"/>
        <v>-2.3057821922666806E-3</v>
      </c>
      <c r="E2164" s="156">
        <v>1.6652789342215058E-3</v>
      </c>
      <c r="G2164" s="156"/>
    </row>
    <row r="2165" spans="2:7" x14ac:dyDescent="0.2">
      <c r="B2165" s="230">
        <v>42810</v>
      </c>
      <c r="C2165" s="124">
        <v>268.45</v>
      </c>
      <c r="D2165" s="156">
        <f t="shared" si="34"/>
        <v>-4.5511111111111155E-2</v>
      </c>
      <c r="E2165" s="156">
        <v>1.662547742080324E-3</v>
      </c>
      <c r="G2165" s="156"/>
    </row>
    <row r="2166" spans="2:7" x14ac:dyDescent="0.2">
      <c r="B2166" s="230">
        <v>42809</v>
      </c>
      <c r="C2166" s="124">
        <v>268.2</v>
      </c>
      <c r="D2166" s="156">
        <f t="shared" si="34"/>
        <v>-9.312721177127957E-4</v>
      </c>
      <c r="E2166" s="156">
        <v>1.6573295985061541E-3</v>
      </c>
      <c r="G2166" s="156"/>
    </row>
    <row r="2167" spans="2:7" x14ac:dyDescent="0.2">
      <c r="B2167" s="230">
        <v>42808</v>
      </c>
      <c r="C2167" s="124">
        <v>267.10000000000002</v>
      </c>
      <c r="D2167" s="156">
        <f t="shared" si="34"/>
        <v>-4.1014168530945786E-3</v>
      </c>
      <c r="E2167" s="156">
        <v>1.6419544233257663E-3</v>
      </c>
      <c r="G2167" s="156"/>
    </row>
    <row r="2168" spans="2:7" x14ac:dyDescent="0.2">
      <c r="B2168" s="230">
        <v>42804</v>
      </c>
      <c r="C2168" s="124">
        <v>263.45</v>
      </c>
      <c r="D2168" s="156">
        <f t="shared" si="34"/>
        <v>-1.3665293897416825E-2</v>
      </c>
      <c r="E2168" s="156">
        <v>1.635991820040923E-3</v>
      </c>
      <c r="G2168" s="156"/>
    </row>
    <row r="2169" spans="2:7" x14ac:dyDescent="0.2">
      <c r="B2169" s="230">
        <v>42803</v>
      </c>
      <c r="C2169" s="124">
        <v>264.95</v>
      </c>
      <c r="D2169" s="156">
        <f t="shared" si="34"/>
        <v>5.6936800151831468E-3</v>
      </c>
      <c r="E2169" s="156">
        <v>1.6351744186046098E-3</v>
      </c>
      <c r="G2169" s="156"/>
    </row>
    <row r="2170" spans="2:7" x14ac:dyDescent="0.2">
      <c r="B2170" s="230">
        <v>42802</v>
      </c>
      <c r="C2170" s="124">
        <v>264.14999999999998</v>
      </c>
      <c r="D2170" s="156">
        <f t="shared" si="34"/>
        <v>-3.0194376297415036E-3</v>
      </c>
      <c r="E2170" s="156">
        <v>1.6297262059974157E-3</v>
      </c>
      <c r="G2170" s="156"/>
    </row>
    <row r="2171" spans="2:7" x14ac:dyDescent="0.2">
      <c r="B2171" s="230">
        <v>42801</v>
      </c>
      <c r="C2171" s="124">
        <v>264.25</v>
      </c>
      <c r="D2171" s="156">
        <f t="shared" si="34"/>
        <v>3.7857278061715976E-4</v>
      </c>
      <c r="E2171" s="156">
        <v>1.6268098259313718E-3</v>
      </c>
      <c r="G2171" s="156"/>
    </row>
    <row r="2172" spans="2:7" x14ac:dyDescent="0.2">
      <c r="B2172" s="230">
        <v>42800</v>
      </c>
      <c r="C2172" s="124">
        <v>264.10000000000002</v>
      </c>
      <c r="D2172" s="156">
        <f t="shared" si="34"/>
        <v>-5.6764427625346169E-4</v>
      </c>
      <c r="E2172" s="156">
        <v>1.6202680807188014E-3</v>
      </c>
      <c r="G2172" s="156"/>
    </row>
    <row r="2173" spans="2:7" x14ac:dyDescent="0.2">
      <c r="B2173" s="230">
        <v>42797</v>
      </c>
      <c r="C2173" s="124">
        <v>261.55</v>
      </c>
      <c r="D2173" s="156">
        <f t="shared" si="34"/>
        <v>-9.6554335478985648E-3</v>
      </c>
      <c r="E2173" s="156">
        <v>1.6138497652582772E-3</v>
      </c>
      <c r="G2173" s="156"/>
    </row>
    <row r="2174" spans="2:7" x14ac:dyDescent="0.2">
      <c r="B2174" s="230">
        <v>42796</v>
      </c>
      <c r="C2174" s="124">
        <v>264.75</v>
      </c>
      <c r="D2174" s="156">
        <f t="shared" ref="D2174:D2237" si="35">(C2174-C2173)/C2173</f>
        <v>1.223475434907279E-2</v>
      </c>
      <c r="E2174" s="156">
        <v>1.6036655211912683E-3</v>
      </c>
      <c r="G2174" s="156"/>
    </row>
    <row r="2175" spans="2:7" x14ac:dyDescent="0.2">
      <c r="B2175" s="230">
        <v>42795</v>
      </c>
      <c r="C2175" s="124">
        <v>268.5</v>
      </c>
      <c r="D2175" s="156">
        <f t="shared" si="35"/>
        <v>1.4164305949008499E-2</v>
      </c>
      <c r="E2175" s="156">
        <v>1.5915119363394824E-3</v>
      </c>
      <c r="G2175" s="156"/>
    </row>
    <row r="2176" spans="2:7" x14ac:dyDescent="0.2">
      <c r="B2176" s="230">
        <v>42794</v>
      </c>
      <c r="C2176" s="124">
        <v>262.2</v>
      </c>
      <c r="D2176" s="156">
        <f t="shared" si="35"/>
        <v>-2.346368715083803E-2</v>
      </c>
      <c r="E2176" s="156">
        <v>1.5882469724042315E-3</v>
      </c>
      <c r="G2176" s="156"/>
    </row>
    <row r="2177" spans="2:7" x14ac:dyDescent="0.2">
      <c r="B2177" s="230">
        <v>42793</v>
      </c>
      <c r="C2177" s="124">
        <v>264.60000000000002</v>
      </c>
      <c r="D2177" s="156">
        <f t="shared" si="35"/>
        <v>9.1533180778033338E-3</v>
      </c>
      <c r="E2177" s="156">
        <v>1.5826362197603179E-3</v>
      </c>
      <c r="G2177" s="156"/>
    </row>
    <row r="2178" spans="2:7" x14ac:dyDescent="0.2">
      <c r="B2178" s="230">
        <v>42789</v>
      </c>
      <c r="C2178" s="124">
        <v>265.64999999999998</v>
      </c>
      <c r="D2178" s="156">
        <f t="shared" si="35"/>
        <v>3.9682539682537963E-3</v>
      </c>
      <c r="E2178" s="156">
        <v>1.5816896166728851E-3</v>
      </c>
      <c r="G2178" s="156"/>
    </row>
    <row r="2179" spans="2:7" x14ac:dyDescent="0.2">
      <c r="B2179" s="230">
        <v>42788</v>
      </c>
      <c r="C2179" s="124">
        <v>263.45</v>
      </c>
      <c r="D2179" s="156">
        <f t="shared" si="35"/>
        <v>-8.2815734989647605E-3</v>
      </c>
      <c r="E2179" s="156">
        <v>1.5814443858724902E-3</v>
      </c>
      <c r="G2179" s="156"/>
    </row>
    <row r="2180" spans="2:7" x14ac:dyDescent="0.2">
      <c r="B2180" s="230">
        <v>42787</v>
      </c>
      <c r="C2180" s="124">
        <v>263.14999999999998</v>
      </c>
      <c r="D2180" s="156">
        <f t="shared" si="35"/>
        <v>-1.1387360030366725E-3</v>
      </c>
      <c r="E2180" s="156">
        <v>1.5413683373110693E-3</v>
      </c>
      <c r="G2180" s="156"/>
    </row>
    <row r="2181" spans="2:7" x14ac:dyDescent="0.2">
      <c r="B2181" s="230">
        <v>42786</v>
      </c>
      <c r="C2181" s="124">
        <v>266.05</v>
      </c>
      <c r="D2181" s="156">
        <f t="shared" si="35"/>
        <v>1.1020330609918428E-2</v>
      </c>
      <c r="E2181" s="156">
        <v>1.5331996697724593E-3</v>
      </c>
      <c r="G2181" s="156"/>
    </row>
    <row r="2182" spans="2:7" x14ac:dyDescent="0.2">
      <c r="B2182" s="230">
        <v>42783</v>
      </c>
      <c r="C2182" s="124">
        <v>268.14999999999998</v>
      </c>
      <c r="D2182" s="156">
        <f t="shared" si="35"/>
        <v>7.8932531479043999E-3</v>
      </c>
      <c r="E2182" s="156">
        <v>1.4956625785222002E-3</v>
      </c>
      <c r="G2182" s="156"/>
    </row>
    <row r="2183" spans="2:7" x14ac:dyDescent="0.2">
      <c r="B2183" s="230">
        <v>42782</v>
      </c>
      <c r="C2183" s="124">
        <v>266.64999999999998</v>
      </c>
      <c r="D2183" s="156">
        <f t="shared" si="35"/>
        <v>-5.5938840201379828E-3</v>
      </c>
      <c r="E2183" s="156">
        <v>1.4939309056957125E-3</v>
      </c>
      <c r="G2183" s="156"/>
    </row>
    <row r="2184" spans="2:7" x14ac:dyDescent="0.2">
      <c r="B2184" s="230">
        <v>42781</v>
      </c>
      <c r="C2184" s="124">
        <v>273.39999999999998</v>
      </c>
      <c r="D2184" s="156">
        <f t="shared" si="35"/>
        <v>2.5314082130133135E-2</v>
      </c>
      <c r="E2184" s="156">
        <v>1.4817781337605309E-3</v>
      </c>
      <c r="G2184" s="156"/>
    </row>
    <row r="2185" spans="2:7" x14ac:dyDescent="0.2">
      <c r="B2185" s="230">
        <v>42780</v>
      </c>
      <c r="C2185" s="124">
        <v>270.8</v>
      </c>
      <c r="D2185" s="156">
        <f t="shared" si="35"/>
        <v>-9.5098756400876592E-3</v>
      </c>
      <c r="E2185" s="156">
        <v>1.479483051216237E-3</v>
      </c>
      <c r="G2185" s="156"/>
    </row>
    <row r="2186" spans="2:7" x14ac:dyDescent="0.2">
      <c r="B2186" s="230">
        <v>42779</v>
      </c>
      <c r="C2186" s="124">
        <v>270.60000000000002</v>
      </c>
      <c r="D2186" s="156">
        <f t="shared" si="35"/>
        <v>-7.3855243722300082E-4</v>
      </c>
      <c r="E2186" s="156">
        <v>1.4756517461878157E-3</v>
      </c>
      <c r="G2186" s="156"/>
    </row>
    <row r="2187" spans="2:7" x14ac:dyDescent="0.2">
      <c r="B2187" s="230">
        <v>42776</v>
      </c>
      <c r="C2187" s="124">
        <v>273.35000000000002</v>
      </c>
      <c r="D2187" s="156">
        <f t="shared" si="35"/>
        <v>1.016260162601626E-2</v>
      </c>
      <c r="E2187" s="156">
        <v>1.4705882352940864E-3</v>
      </c>
      <c r="G2187" s="156"/>
    </row>
    <row r="2188" spans="2:7" x14ac:dyDescent="0.2">
      <c r="B2188" s="230">
        <v>42775</v>
      </c>
      <c r="C2188" s="124">
        <v>277.64999999999998</v>
      </c>
      <c r="D2188" s="156">
        <f t="shared" si="35"/>
        <v>1.5730748125114154E-2</v>
      </c>
      <c r="E2188" s="156">
        <v>1.4636526264432872E-3</v>
      </c>
      <c r="G2188" s="156"/>
    </row>
    <row r="2189" spans="2:7" x14ac:dyDescent="0.2">
      <c r="B2189" s="230">
        <v>42774</v>
      </c>
      <c r="C2189" s="124">
        <v>274.8</v>
      </c>
      <c r="D2189" s="156">
        <f t="shared" si="35"/>
        <v>-1.0264721772015005E-2</v>
      </c>
      <c r="E2189" s="156">
        <v>1.4629605000665536E-3</v>
      </c>
      <c r="G2189" s="156"/>
    </row>
    <row r="2190" spans="2:7" x14ac:dyDescent="0.2">
      <c r="B2190" s="230">
        <v>42773</v>
      </c>
      <c r="C2190" s="124">
        <v>277.10000000000002</v>
      </c>
      <c r="D2190" s="156">
        <f t="shared" si="35"/>
        <v>8.3697234352256601E-3</v>
      </c>
      <c r="E2190" s="156">
        <v>1.4548417132216015E-3</v>
      </c>
      <c r="G2190" s="156"/>
    </row>
    <row r="2191" spans="2:7" x14ac:dyDescent="0.2">
      <c r="B2191" s="230">
        <v>42772</v>
      </c>
      <c r="C2191" s="124">
        <v>276.8</v>
      </c>
      <c r="D2191" s="156">
        <f t="shared" si="35"/>
        <v>-1.0826416456153423E-3</v>
      </c>
      <c r="E2191" s="156">
        <v>1.4541224371092598E-3</v>
      </c>
      <c r="G2191" s="156"/>
    </row>
    <row r="2192" spans="2:7" x14ac:dyDescent="0.2">
      <c r="B2192" s="230">
        <v>42769</v>
      </c>
      <c r="C2192" s="124">
        <v>273.05</v>
      </c>
      <c r="D2192" s="156">
        <f t="shared" si="35"/>
        <v>-1.3547687861271676E-2</v>
      </c>
      <c r="E2192" s="156">
        <v>1.454016721192211E-3</v>
      </c>
      <c r="G2192" s="156"/>
    </row>
    <row r="2193" spans="2:7" x14ac:dyDescent="0.2">
      <c r="B2193" s="230">
        <v>42768</v>
      </c>
      <c r="C2193" s="124">
        <v>274.3</v>
      </c>
      <c r="D2193" s="156">
        <f t="shared" si="35"/>
        <v>4.5779161325764511E-3</v>
      </c>
      <c r="E2193" s="156">
        <v>1.446916259721592E-3</v>
      </c>
      <c r="G2193" s="156"/>
    </row>
    <row r="2194" spans="2:7" x14ac:dyDescent="0.2">
      <c r="B2194" s="230">
        <v>42767</v>
      </c>
      <c r="C2194" s="124">
        <v>269.7</v>
      </c>
      <c r="D2194" s="156">
        <f t="shared" si="35"/>
        <v>-1.6769959897922064E-2</v>
      </c>
      <c r="E2194" s="156">
        <v>1.4417012074247305E-3</v>
      </c>
      <c r="G2194" s="156"/>
    </row>
    <row r="2195" spans="2:7" x14ac:dyDescent="0.2">
      <c r="B2195" s="230">
        <v>42766</v>
      </c>
      <c r="C2195" s="124">
        <v>258.10000000000002</v>
      </c>
      <c r="D2195" s="156">
        <f t="shared" si="35"/>
        <v>-4.3010752688171922E-2</v>
      </c>
      <c r="E2195" s="156">
        <v>1.4371257485030484E-3</v>
      </c>
      <c r="G2195" s="156"/>
    </row>
    <row r="2196" spans="2:7" x14ac:dyDescent="0.2">
      <c r="B2196" s="230">
        <v>42765</v>
      </c>
      <c r="C2196" s="124">
        <v>256.10000000000002</v>
      </c>
      <c r="D2196" s="156">
        <f t="shared" si="35"/>
        <v>-7.7489345215032927E-3</v>
      </c>
      <c r="E2196" s="156">
        <v>1.4363230130864622E-3</v>
      </c>
      <c r="G2196" s="156"/>
    </row>
    <row r="2197" spans="2:7" x14ac:dyDescent="0.2">
      <c r="B2197" s="230">
        <v>42762</v>
      </c>
      <c r="C2197" s="124">
        <v>257.39999999999998</v>
      </c>
      <c r="D2197" s="156">
        <f t="shared" si="35"/>
        <v>5.0761421319795172E-3</v>
      </c>
      <c r="E2197" s="156">
        <v>1.4350143501434781E-3</v>
      </c>
      <c r="G2197" s="156"/>
    </row>
    <row r="2198" spans="2:7" x14ac:dyDescent="0.2">
      <c r="B2198" s="230">
        <v>42760</v>
      </c>
      <c r="C2198" s="124">
        <v>265.5</v>
      </c>
      <c r="D2198" s="156">
        <f t="shared" si="35"/>
        <v>3.1468531468531562E-2</v>
      </c>
      <c r="E2198" s="156">
        <v>1.4245014245014786E-3</v>
      </c>
      <c r="G2198" s="156"/>
    </row>
    <row r="2199" spans="2:7" x14ac:dyDescent="0.2">
      <c r="B2199" s="230">
        <v>42759</v>
      </c>
      <c r="C2199" s="124">
        <v>259.85000000000002</v>
      </c>
      <c r="D2199" s="156">
        <f t="shared" si="35"/>
        <v>-2.1280602636534755E-2</v>
      </c>
      <c r="E2199" s="156">
        <v>1.4186633039092594E-3</v>
      </c>
      <c r="G2199" s="156"/>
    </row>
    <row r="2200" spans="2:7" x14ac:dyDescent="0.2">
      <c r="B2200" s="230">
        <v>42758</v>
      </c>
      <c r="C2200" s="124">
        <v>259.64999999999998</v>
      </c>
      <c r="D2200" s="156">
        <f t="shared" si="35"/>
        <v>-7.6967481239193945E-4</v>
      </c>
      <c r="E2200" s="156">
        <v>1.4169323414806136E-3</v>
      </c>
      <c r="G2200" s="156"/>
    </row>
    <row r="2201" spans="2:7" x14ac:dyDescent="0.2">
      <c r="B2201" s="230">
        <v>42755</v>
      </c>
      <c r="C2201" s="124">
        <v>255.4</v>
      </c>
      <c r="D2201" s="156">
        <f t="shared" si="35"/>
        <v>-1.6368187945310888E-2</v>
      </c>
      <c r="E2201" s="156">
        <v>1.4165924098064856E-3</v>
      </c>
      <c r="G2201" s="156"/>
    </row>
    <row r="2202" spans="2:7" x14ac:dyDescent="0.2">
      <c r="B2202" s="230">
        <v>42754</v>
      </c>
      <c r="C2202" s="124">
        <v>254.15</v>
      </c>
      <c r="D2202" s="156">
        <f t="shared" si="35"/>
        <v>-4.8942834768989823E-3</v>
      </c>
      <c r="E2202" s="156">
        <v>1.4094000857895078E-3</v>
      </c>
      <c r="G2202" s="156"/>
    </row>
    <row r="2203" spans="2:7" x14ac:dyDescent="0.2">
      <c r="B2203" s="230">
        <v>42753</v>
      </c>
      <c r="C2203" s="124">
        <v>250.85</v>
      </c>
      <c r="D2203" s="156">
        <f t="shared" si="35"/>
        <v>-1.2984457997245765E-2</v>
      </c>
      <c r="E2203" s="156">
        <v>1.3982458370408563E-3</v>
      </c>
      <c r="G2203" s="156"/>
    </row>
    <row r="2204" spans="2:7" x14ac:dyDescent="0.2">
      <c r="B2204" s="230">
        <v>42752</v>
      </c>
      <c r="C2204" s="124">
        <v>251.95</v>
      </c>
      <c r="D2204" s="156">
        <f t="shared" si="35"/>
        <v>4.3850906916483726E-3</v>
      </c>
      <c r="E2204" s="156">
        <v>1.3891258255550245E-3</v>
      </c>
      <c r="G2204" s="156"/>
    </row>
    <row r="2205" spans="2:7" x14ac:dyDescent="0.2">
      <c r="B2205" s="230">
        <v>42751</v>
      </c>
      <c r="C2205" s="124">
        <v>248.8</v>
      </c>
      <c r="D2205" s="156">
        <f t="shared" si="35"/>
        <v>-1.2502480650922713E-2</v>
      </c>
      <c r="E2205" s="156">
        <v>1.3736263736262955E-3</v>
      </c>
      <c r="G2205" s="156"/>
    </row>
    <row r="2206" spans="2:7" x14ac:dyDescent="0.2">
      <c r="B2206" s="230">
        <v>42748</v>
      </c>
      <c r="C2206" s="124">
        <v>249.65</v>
      </c>
      <c r="D2206" s="156">
        <f t="shared" si="35"/>
        <v>3.4163987138263437E-3</v>
      </c>
      <c r="E2206" s="156">
        <v>1.3692377909630825E-3</v>
      </c>
      <c r="G2206" s="156"/>
    </row>
    <row r="2207" spans="2:7" x14ac:dyDescent="0.2">
      <c r="B2207" s="230">
        <v>42747</v>
      </c>
      <c r="C2207" s="124">
        <v>244.65</v>
      </c>
      <c r="D2207" s="156">
        <f t="shared" si="35"/>
        <v>-2.0028039254956938E-2</v>
      </c>
      <c r="E2207" s="156">
        <v>1.3655391641109751E-3</v>
      </c>
      <c r="G2207" s="156"/>
    </row>
    <row r="2208" spans="2:7" x14ac:dyDescent="0.2">
      <c r="B2208" s="230">
        <v>42746</v>
      </c>
      <c r="C2208" s="124">
        <v>247.55</v>
      </c>
      <c r="D2208" s="156">
        <f t="shared" si="35"/>
        <v>1.1853668506029045E-2</v>
      </c>
      <c r="E2208" s="156">
        <v>1.3602798289933985E-3</v>
      </c>
      <c r="G2208" s="156"/>
    </row>
    <row r="2209" spans="2:7" x14ac:dyDescent="0.2">
      <c r="B2209" s="230">
        <v>42745</v>
      </c>
      <c r="C2209" s="124">
        <v>248.95</v>
      </c>
      <c r="D2209" s="156">
        <f t="shared" si="35"/>
        <v>5.6554231468389305E-3</v>
      </c>
      <c r="E2209" s="156">
        <v>1.353694160115879E-3</v>
      </c>
      <c r="G2209" s="156"/>
    </row>
    <row r="2210" spans="2:7" x14ac:dyDescent="0.2">
      <c r="B2210" s="230">
        <v>42744</v>
      </c>
      <c r="C2210" s="124">
        <v>245.85</v>
      </c>
      <c r="D2210" s="156">
        <f t="shared" si="35"/>
        <v>-1.2452299658565955E-2</v>
      </c>
      <c r="E2210" s="156">
        <v>1.343429408891088E-3</v>
      </c>
      <c r="G2210" s="156"/>
    </row>
    <row r="2211" spans="2:7" x14ac:dyDescent="0.2">
      <c r="B2211" s="230">
        <v>42741</v>
      </c>
      <c r="C2211" s="124">
        <v>242.7</v>
      </c>
      <c r="D2211" s="156">
        <f t="shared" si="35"/>
        <v>-1.2812690665039681E-2</v>
      </c>
      <c r="E2211" s="156">
        <v>1.333451862387734E-3</v>
      </c>
      <c r="G2211" s="156"/>
    </row>
    <row r="2212" spans="2:7" x14ac:dyDescent="0.2">
      <c r="B2212" s="230">
        <v>42740</v>
      </c>
      <c r="C2212" s="124">
        <v>246.75</v>
      </c>
      <c r="D2212" s="156">
        <f t="shared" si="35"/>
        <v>1.668726823238571E-2</v>
      </c>
      <c r="E2212" s="156">
        <v>1.3324647637095481E-3</v>
      </c>
      <c r="G2212" s="156"/>
    </row>
    <row r="2213" spans="2:7" x14ac:dyDescent="0.2">
      <c r="B2213" s="230">
        <v>42739</v>
      </c>
      <c r="C2213" s="124">
        <v>245.45</v>
      </c>
      <c r="D2213" s="156">
        <f t="shared" si="35"/>
        <v>-5.2684903748733995E-3</v>
      </c>
      <c r="E2213" s="156">
        <v>1.3280653408146927E-3</v>
      </c>
      <c r="G2213" s="156"/>
    </row>
    <row r="2214" spans="2:7" x14ac:dyDescent="0.2">
      <c r="B2214" s="230">
        <v>42738</v>
      </c>
      <c r="C2214" s="124">
        <v>243.35</v>
      </c>
      <c r="D2214" s="156">
        <f t="shared" si="35"/>
        <v>-8.5557139947035829E-3</v>
      </c>
      <c r="E2214" s="156">
        <v>1.3153717059009935E-3</v>
      </c>
      <c r="G2214" s="156"/>
    </row>
    <row r="2215" spans="2:7" x14ac:dyDescent="0.2">
      <c r="B2215" s="230">
        <v>42737</v>
      </c>
      <c r="C2215" s="124">
        <v>240.95</v>
      </c>
      <c r="D2215" s="156">
        <f t="shared" si="35"/>
        <v>-9.862338196013995E-3</v>
      </c>
      <c r="E2215" s="156">
        <v>1.3140604467805237E-3</v>
      </c>
      <c r="G2215" s="156"/>
    </row>
    <row r="2216" spans="2:7" x14ac:dyDescent="0.2">
      <c r="B2216" s="230">
        <v>42734</v>
      </c>
      <c r="C2216" s="124">
        <v>241.65</v>
      </c>
      <c r="D2216" s="156">
        <f t="shared" si="35"/>
        <v>2.9051670471052795E-3</v>
      </c>
      <c r="E2216" s="156">
        <v>1.3115746462531385E-3</v>
      </c>
      <c r="G2216" s="156"/>
    </row>
    <row r="2217" spans="2:7" x14ac:dyDescent="0.2">
      <c r="B2217" s="230">
        <v>42733</v>
      </c>
      <c r="C2217" s="124">
        <v>236</v>
      </c>
      <c r="D2217" s="156">
        <f t="shared" si="35"/>
        <v>-2.3380922822263627E-2</v>
      </c>
      <c r="E2217" s="156">
        <v>1.3074524791310011E-3</v>
      </c>
      <c r="G2217" s="156"/>
    </row>
    <row r="2218" spans="2:7" x14ac:dyDescent="0.2">
      <c r="B2218" s="230">
        <v>42732</v>
      </c>
      <c r="C2218" s="124">
        <v>235.45</v>
      </c>
      <c r="D2218" s="156">
        <f t="shared" si="35"/>
        <v>-2.3305084745763194E-3</v>
      </c>
      <c r="E2218" s="156">
        <v>1.3059945148231492E-3</v>
      </c>
      <c r="G2218" s="156"/>
    </row>
    <row r="2219" spans="2:7" x14ac:dyDescent="0.2">
      <c r="B2219" s="230">
        <v>42731</v>
      </c>
      <c r="C2219" s="124">
        <v>234.05</v>
      </c>
      <c r="D2219" s="156">
        <f t="shared" si="35"/>
        <v>-5.9460607347631231E-3</v>
      </c>
      <c r="E2219" s="156">
        <v>1.3009283898054453E-3</v>
      </c>
      <c r="G2219" s="156"/>
    </row>
    <row r="2220" spans="2:7" x14ac:dyDescent="0.2">
      <c r="B2220" s="230">
        <v>42730</v>
      </c>
      <c r="C2220" s="124">
        <v>225</v>
      </c>
      <c r="D2220" s="156">
        <f t="shared" si="35"/>
        <v>-3.8666951506088489E-2</v>
      </c>
      <c r="E2220" s="156">
        <v>1.2979233226838025E-3</v>
      </c>
      <c r="G2220" s="156"/>
    </row>
    <row r="2221" spans="2:7" x14ac:dyDescent="0.2">
      <c r="B2221" s="230">
        <v>42727</v>
      </c>
      <c r="C2221" s="124">
        <v>224.7</v>
      </c>
      <c r="D2221" s="156">
        <f t="shared" si="35"/>
        <v>-1.3333333333333838E-3</v>
      </c>
      <c r="E2221" s="156">
        <v>1.2874155133569085E-3</v>
      </c>
      <c r="G2221" s="156"/>
    </row>
    <row r="2222" spans="2:7" x14ac:dyDescent="0.2">
      <c r="B2222" s="230">
        <v>42726</v>
      </c>
      <c r="C2222" s="124">
        <v>227.55</v>
      </c>
      <c r="D2222" s="156">
        <f t="shared" si="35"/>
        <v>1.2683578104138954E-2</v>
      </c>
      <c r="E2222" s="156">
        <v>1.2783636944711861E-3</v>
      </c>
      <c r="G2222" s="156"/>
    </row>
    <row r="2223" spans="2:7" x14ac:dyDescent="0.2">
      <c r="B2223" s="230">
        <v>42725</v>
      </c>
      <c r="C2223" s="124">
        <v>226.3</v>
      </c>
      <c r="D2223" s="156">
        <f t="shared" si="35"/>
        <v>-5.4932981762250048E-3</v>
      </c>
      <c r="E2223" s="156">
        <v>1.2772875058057467E-3</v>
      </c>
      <c r="G2223" s="156"/>
    </row>
    <row r="2224" spans="2:7" x14ac:dyDescent="0.2">
      <c r="B2224" s="230">
        <v>42724</v>
      </c>
      <c r="C2224" s="124">
        <v>229.95</v>
      </c>
      <c r="D2224" s="156">
        <f t="shared" si="35"/>
        <v>1.6129032258064415E-2</v>
      </c>
      <c r="E2224" s="156">
        <v>1.2708498808577965E-3</v>
      </c>
      <c r="G2224" s="156"/>
    </row>
    <row r="2225" spans="2:7" x14ac:dyDescent="0.2">
      <c r="B2225" s="230">
        <v>42723</v>
      </c>
      <c r="C2225" s="124">
        <v>227</v>
      </c>
      <c r="D2225" s="156">
        <f t="shared" si="35"/>
        <v>-1.2828875842574423E-2</v>
      </c>
      <c r="E2225" s="156">
        <v>1.2660113196305293E-3</v>
      </c>
      <c r="G2225" s="156"/>
    </row>
    <row r="2226" spans="2:7" x14ac:dyDescent="0.2">
      <c r="B2226" s="230">
        <v>42720</v>
      </c>
      <c r="C2226" s="124">
        <v>226.35</v>
      </c>
      <c r="D2226" s="156">
        <f t="shared" si="35"/>
        <v>-2.8634361233480427E-3</v>
      </c>
      <c r="E2226" s="156">
        <v>1.265822784810155E-3</v>
      </c>
      <c r="G2226" s="156"/>
    </row>
    <row r="2227" spans="2:7" x14ac:dyDescent="0.2">
      <c r="B2227" s="230">
        <v>42719</v>
      </c>
      <c r="C2227" s="124">
        <v>229.7</v>
      </c>
      <c r="D2227" s="156">
        <f t="shared" si="35"/>
        <v>1.4800088358736445E-2</v>
      </c>
      <c r="E2227" s="156">
        <v>1.2599951538648866E-3</v>
      </c>
      <c r="G2227" s="156"/>
    </row>
    <row r="2228" spans="2:7" x14ac:dyDescent="0.2">
      <c r="B2228" s="230">
        <v>42718</v>
      </c>
      <c r="C2228" s="124">
        <v>233.15</v>
      </c>
      <c r="D2228" s="156">
        <f t="shared" si="35"/>
        <v>1.5019590770570385E-2</v>
      </c>
      <c r="E2228" s="156">
        <v>1.2585812356979665E-3</v>
      </c>
      <c r="G2228" s="156"/>
    </row>
    <row r="2229" spans="2:7" x14ac:dyDescent="0.2">
      <c r="B2229" s="230">
        <v>42717</v>
      </c>
      <c r="C2229" s="124">
        <v>235.65</v>
      </c>
      <c r="D2229" s="156">
        <f t="shared" si="35"/>
        <v>1.072271070126528E-2</v>
      </c>
      <c r="E2229" s="156">
        <v>1.258540093491555E-3</v>
      </c>
      <c r="G2229" s="156"/>
    </row>
    <row r="2230" spans="2:7" x14ac:dyDescent="0.2">
      <c r="B2230" s="230">
        <v>42716</v>
      </c>
      <c r="C2230" s="124">
        <v>232.3</v>
      </c>
      <c r="D2230" s="156">
        <f t="shared" si="35"/>
        <v>-1.4215998302567343E-2</v>
      </c>
      <c r="E2230" s="156">
        <v>1.255830642267753E-3</v>
      </c>
      <c r="G2230" s="156"/>
    </row>
    <row r="2231" spans="2:7" x14ac:dyDescent="0.2">
      <c r="B2231" s="230">
        <v>42713</v>
      </c>
      <c r="C2231" s="124">
        <v>236.15</v>
      </c>
      <c r="D2231" s="156">
        <f t="shared" si="35"/>
        <v>1.6573396470081766E-2</v>
      </c>
      <c r="E2231" s="156">
        <v>1.2497596616036306E-3</v>
      </c>
      <c r="G2231" s="156"/>
    </row>
    <row r="2232" spans="2:7" x14ac:dyDescent="0.2">
      <c r="B2232" s="230">
        <v>42712</v>
      </c>
      <c r="C2232" s="124">
        <v>233.3</v>
      </c>
      <c r="D2232" s="156">
        <f t="shared" si="35"/>
        <v>-1.2068600465805608E-2</v>
      </c>
      <c r="E2232" s="156">
        <v>1.2431626056688214E-3</v>
      </c>
      <c r="G2232" s="156"/>
    </row>
    <row r="2233" spans="2:7" x14ac:dyDescent="0.2">
      <c r="B2233" s="230">
        <v>42711</v>
      </c>
      <c r="C2233" s="124">
        <v>227.2</v>
      </c>
      <c r="D2233" s="156">
        <f t="shared" si="35"/>
        <v>-2.6146592370338714E-2</v>
      </c>
      <c r="E2233" s="156">
        <v>1.2396891241120457E-3</v>
      </c>
      <c r="G2233" s="156"/>
    </row>
    <row r="2234" spans="2:7" x14ac:dyDescent="0.2">
      <c r="B2234" s="230">
        <v>42710</v>
      </c>
      <c r="C2234" s="124">
        <v>230.2</v>
      </c>
      <c r="D2234" s="156">
        <f t="shared" si="35"/>
        <v>1.3204225352112678E-2</v>
      </c>
      <c r="E2234" s="156">
        <v>1.2393767705382488E-3</v>
      </c>
      <c r="G2234" s="156"/>
    </row>
    <row r="2235" spans="2:7" x14ac:dyDescent="0.2">
      <c r="B2235" s="230">
        <v>42709</v>
      </c>
      <c r="C2235" s="124">
        <v>232.55</v>
      </c>
      <c r="D2235" s="156">
        <f t="shared" si="35"/>
        <v>1.0208514335360656E-2</v>
      </c>
      <c r="E2235" s="156">
        <v>1.2387188108298208E-3</v>
      </c>
      <c r="G2235" s="156"/>
    </row>
    <row r="2236" spans="2:7" x14ac:dyDescent="0.2">
      <c r="B2236" s="230">
        <v>42706</v>
      </c>
      <c r="C2236" s="124">
        <v>228.5</v>
      </c>
      <c r="D2236" s="156">
        <f t="shared" si="35"/>
        <v>-1.7415609546334171E-2</v>
      </c>
      <c r="E2236" s="156">
        <v>1.2342908438060978E-3</v>
      </c>
      <c r="G2236" s="156"/>
    </row>
    <row r="2237" spans="2:7" x14ac:dyDescent="0.2">
      <c r="B2237" s="230">
        <v>42705</v>
      </c>
      <c r="C2237" s="124">
        <v>233.5</v>
      </c>
      <c r="D2237" s="156">
        <f t="shared" si="35"/>
        <v>2.1881838074398249E-2</v>
      </c>
      <c r="E2237" s="156">
        <v>1.2328936012822092E-3</v>
      </c>
      <c r="G2237" s="156"/>
    </row>
    <row r="2238" spans="2:7" x14ac:dyDescent="0.2">
      <c r="B2238" s="230">
        <v>42704</v>
      </c>
      <c r="C2238" s="124">
        <v>232.5</v>
      </c>
      <c r="D2238" s="156">
        <f t="shared" ref="D2238:D2301" si="36">(C2238-C2237)/C2237</f>
        <v>-4.2826552462526769E-3</v>
      </c>
      <c r="E2238" s="156">
        <v>1.229580186193576E-3</v>
      </c>
      <c r="G2238" s="156"/>
    </row>
    <row r="2239" spans="2:7" x14ac:dyDescent="0.2">
      <c r="B2239" s="230">
        <v>42703</v>
      </c>
      <c r="C2239" s="124">
        <v>231.05</v>
      </c>
      <c r="D2239" s="156">
        <f t="shared" si="36"/>
        <v>-6.2365591397848972E-3</v>
      </c>
      <c r="E2239" s="156">
        <v>1.2258009975483642E-3</v>
      </c>
      <c r="G2239" s="156"/>
    </row>
    <row r="2240" spans="2:7" x14ac:dyDescent="0.2">
      <c r="B2240" s="230">
        <v>42702</v>
      </c>
      <c r="C2240" s="124">
        <v>233.7</v>
      </c>
      <c r="D2240" s="156">
        <f t="shared" si="36"/>
        <v>1.1469378922311089E-2</v>
      </c>
      <c r="E2240" s="156">
        <v>1.2175324675323983E-3</v>
      </c>
      <c r="G2240" s="156"/>
    </row>
    <row r="2241" spans="2:7" x14ac:dyDescent="0.2">
      <c r="B2241" s="230">
        <v>42699</v>
      </c>
      <c r="C2241" s="124">
        <v>228.8</v>
      </c>
      <c r="D2241" s="156">
        <f t="shared" si="36"/>
        <v>-2.0967051775780818E-2</v>
      </c>
      <c r="E2241" s="156">
        <v>1.216249087813115E-3</v>
      </c>
      <c r="G2241" s="156"/>
    </row>
    <row r="2242" spans="2:7" x14ac:dyDescent="0.2">
      <c r="B2242" s="230">
        <v>42698</v>
      </c>
      <c r="C2242" s="124">
        <v>223.5</v>
      </c>
      <c r="D2242" s="156">
        <f t="shared" si="36"/>
        <v>-2.3164335664335713E-2</v>
      </c>
      <c r="E2242" s="156">
        <v>1.2090984659562955E-3</v>
      </c>
      <c r="G2242" s="156"/>
    </row>
    <row r="2243" spans="2:7" x14ac:dyDescent="0.2">
      <c r="B2243" s="230">
        <v>42697</v>
      </c>
      <c r="C2243" s="124">
        <v>224.65</v>
      </c>
      <c r="D2243" s="156">
        <f t="shared" si="36"/>
        <v>5.1454138702461101E-3</v>
      </c>
      <c r="E2243" s="156">
        <v>1.2081784386617999E-3</v>
      </c>
      <c r="G2243" s="156"/>
    </row>
    <row r="2244" spans="2:7" x14ac:dyDescent="0.2">
      <c r="B2244" s="230">
        <v>42696</v>
      </c>
      <c r="C2244" s="124">
        <v>226.1</v>
      </c>
      <c r="D2244" s="156">
        <f t="shared" si="36"/>
        <v>6.4544847540618233E-3</v>
      </c>
      <c r="E2244" s="156">
        <v>1.2074378169524269E-3</v>
      </c>
      <c r="G2244" s="156"/>
    </row>
    <row r="2245" spans="2:7" x14ac:dyDescent="0.2">
      <c r="B2245" s="230">
        <v>42695</v>
      </c>
      <c r="C2245" s="124">
        <v>224.2</v>
      </c>
      <c r="D2245" s="156">
        <f t="shared" si="36"/>
        <v>-8.4033613445378408E-3</v>
      </c>
      <c r="E2245" s="156">
        <v>1.2009126936471718E-3</v>
      </c>
      <c r="G2245" s="156"/>
    </row>
    <row r="2246" spans="2:7" x14ac:dyDescent="0.2">
      <c r="B2246" s="230">
        <v>42692</v>
      </c>
      <c r="C2246" s="124">
        <v>227.85</v>
      </c>
      <c r="D2246" s="156">
        <f t="shared" si="36"/>
        <v>1.6280107047279242E-2</v>
      </c>
      <c r="E2246" s="156">
        <v>1.1964584828906438E-3</v>
      </c>
      <c r="G2246" s="156"/>
    </row>
    <row r="2247" spans="2:7" x14ac:dyDescent="0.2">
      <c r="B2247" s="230">
        <v>42691</v>
      </c>
      <c r="C2247" s="124">
        <v>231.5</v>
      </c>
      <c r="D2247" s="156">
        <f t="shared" si="36"/>
        <v>1.6019310950186553E-2</v>
      </c>
      <c r="E2247" s="156">
        <v>1.1957484499556324E-3</v>
      </c>
      <c r="G2247" s="156"/>
    </row>
    <row r="2248" spans="2:7" x14ac:dyDescent="0.2">
      <c r="B2248" s="230">
        <v>42690</v>
      </c>
      <c r="C2248" s="124">
        <v>230.9</v>
      </c>
      <c r="D2248" s="156">
        <f t="shared" si="36"/>
        <v>-2.5917926565874484E-3</v>
      </c>
      <c r="E2248" s="156">
        <v>1.1951357973049009E-3</v>
      </c>
      <c r="G2248" s="156"/>
    </row>
    <row r="2249" spans="2:7" x14ac:dyDescent="0.2">
      <c r="B2249" s="230">
        <v>42689</v>
      </c>
      <c r="C2249" s="124">
        <v>237.5</v>
      </c>
      <c r="D2249" s="156">
        <f t="shared" si="36"/>
        <v>2.8583802511909891E-2</v>
      </c>
      <c r="E2249" s="156">
        <v>1.1921793037672867E-3</v>
      </c>
      <c r="G2249" s="156"/>
    </row>
    <row r="2250" spans="2:7" x14ac:dyDescent="0.2">
      <c r="B2250" s="230">
        <v>42685</v>
      </c>
      <c r="C2250" s="124">
        <v>242.95</v>
      </c>
      <c r="D2250" s="156">
        <f t="shared" si="36"/>
        <v>2.2947368421052584E-2</v>
      </c>
      <c r="E2250" s="156">
        <v>1.1772496505039849E-3</v>
      </c>
      <c r="G2250" s="156"/>
    </row>
    <row r="2251" spans="2:7" x14ac:dyDescent="0.2">
      <c r="B2251" s="230">
        <v>42684</v>
      </c>
      <c r="C2251" s="124">
        <v>251.05</v>
      </c>
      <c r="D2251" s="156">
        <f t="shared" si="36"/>
        <v>3.3340193455443604E-2</v>
      </c>
      <c r="E2251" s="156">
        <v>1.1763058395183193E-3</v>
      </c>
      <c r="G2251" s="156"/>
    </row>
    <row r="2252" spans="2:7" x14ac:dyDescent="0.2">
      <c r="B2252" s="230">
        <v>42683</v>
      </c>
      <c r="C2252" s="124">
        <v>248.15</v>
      </c>
      <c r="D2252" s="156">
        <f t="shared" si="36"/>
        <v>-1.1551483768173693E-2</v>
      </c>
      <c r="E2252" s="156">
        <v>1.1706438541198528E-3</v>
      </c>
      <c r="G2252" s="156"/>
    </row>
    <row r="2253" spans="2:7" x14ac:dyDescent="0.2">
      <c r="B2253" s="230">
        <v>42682</v>
      </c>
      <c r="C2253" s="124">
        <v>255.6</v>
      </c>
      <c r="D2253" s="156">
        <f t="shared" si="36"/>
        <v>3.0022164013701343E-2</v>
      </c>
      <c r="E2253" s="156">
        <v>1.1701038467163711E-3</v>
      </c>
      <c r="G2253" s="156"/>
    </row>
    <row r="2254" spans="2:7" x14ac:dyDescent="0.2">
      <c r="B2254" s="230">
        <v>42681</v>
      </c>
      <c r="C2254" s="124">
        <v>256.5</v>
      </c>
      <c r="D2254" s="156">
        <f t="shared" si="36"/>
        <v>3.5211267605634025E-3</v>
      </c>
      <c r="E2254" s="156">
        <v>1.1637014658162287E-3</v>
      </c>
      <c r="G2254" s="156"/>
    </row>
    <row r="2255" spans="2:7" x14ac:dyDescent="0.2">
      <c r="B2255" s="230">
        <v>42678</v>
      </c>
      <c r="C2255" s="124">
        <v>249.05</v>
      </c>
      <c r="D2255" s="156">
        <f t="shared" si="36"/>
        <v>-2.9044834307992158E-2</v>
      </c>
      <c r="E2255" s="156">
        <v>1.1482939632545979E-3</v>
      </c>
      <c r="G2255" s="156"/>
    </row>
    <row r="2256" spans="2:7" x14ac:dyDescent="0.2">
      <c r="B2256" s="230">
        <v>42677</v>
      </c>
      <c r="C2256" s="124">
        <v>240.3</v>
      </c>
      <c r="D2256" s="156">
        <f t="shared" si="36"/>
        <v>-3.5133507327845814E-2</v>
      </c>
      <c r="E2256" s="156">
        <v>1.146405540960158E-3</v>
      </c>
      <c r="G2256" s="156"/>
    </row>
    <row r="2257" spans="2:7" x14ac:dyDescent="0.2">
      <c r="B2257" s="230">
        <v>42676</v>
      </c>
      <c r="C2257" s="124">
        <v>237.3</v>
      </c>
      <c r="D2257" s="156">
        <f t="shared" si="36"/>
        <v>-1.2484394506866416E-2</v>
      </c>
      <c r="E2257" s="156">
        <v>1.1456940996752128E-3</v>
      </c>
      <c r="G2257" s="156"/>
    </row>
    <row r="2258" spans="2:7" x14ac:dyDescent="0.2">
      <c r="B2258" s="230">
        <v>42675</v>
      </c>
      <c r="C2258" s="124">
        <v>239.95</v>
      </c>
      <c r="D2258" s="156">
        <f t="shared" si="36"/>
        <v>1.1167298777918151E-2</v>
      </c>
      <c r="E2258" s="156">
        <v>1.1424219345009692E-3</v>
      </c>
      <c r="G2258" s="156"/>
    </row>
    <row r="2259" spans="2:7" x14ac:dyDescent="0.2">
      <c r="B2259" s="230">
        <v>42673</v>
      </c>
      <c r="C2259" s="124">
        <v>241.65</v>
      </c>
      <c r="D2259" s="156">
        <f t="shared" si="36"/>
        <v>7.084809335278254E-3</v>
      </c>
      <c r="E2259" s="156">
        <v>1.1416861826697492E-3</v>
      </c>
      <c r="G2259" s="156"/>
    </row>
    <row r="2260" spans="2:7" x14ac:dyDescent="0.2">
      <c r="B2260" s="230">
        <v>42671</v>
      </c>
      <c r="C2260" s="124">
        <v>243.1</v>
      </c>
      <c r="D2260" s="156">
        <f t="shared" si="36"/>
        <v>6.0004138216428245E-3</v>
      </c>
      <c r="E2260" s="156">
        <v>1.1273957158963528E-3</v>
      </c>
      <c r="G2260" s="156"/>
    </row>
    <row r="2261" spans="2:7" x14ac:dyDescent="0.2">
      <c r="B2261" s="230">
        <v>42670</v>
      </c>
      <c r="C2261" s="124">
        <v>243.1</v>
      </c>
      <c r="D2261" s="156">
        <f t="shared" si="36"/>
        <v>0</v>
      </c>
      <c r="E2261" s="156">
        <v>1.1230697239120687E-3</v>
      </c>
      <c r="G2261" s="156"/>
    </row>
    <row r="2262" spans="2:7" x14ac:dyDescent="0.2">
      <c r="B2262" s="230">
        <v>42669</v>
      </c>
      <c r="C2262" s="124">
        <v>238.75</v>
      </c>
      <c r="D2262" s="156">
        <f t="shared" si="36"/>
        <v>-1.7893870835047284E-2</v>
      </c>
      <c r="E2262" s="156">
        <v>1.1223344556677891E-3</v>
      </c>
      <c r="G2262" s="156"/>
    </row>
    <row r="2263" spans="2:7" x14ac:dyDescent="0.2">
      <c r="B2263" s="230">
        <v>42668</v>
      </c>
      <c r="C2263" s="124">
        <v>238.75</v>
      </c>
      <c r="D2263" s="156">
        <f t="shared" si="36"/>
        <v>0</v>
      </c>
      <c r="E2263" s="156">
        <v>1.1120378092856105E-3</v>
      </c>
      <c r="G2263" s="156"/>
    </row>
    <row r="2264" spans="2:7" x14ac:dyDescent="0.2">
      <c r="B2264" s="230">
        <v>42667</v>
      </c>
      <c r="C2264" s="124">
        <v>241.35</v>
      </c>
      <c r="D2264" s="156">
        <f t="shared" si="36"/>
        <v>1.0890052356020918E-2</v>
      </c>
      <c r="E2264" s="156">
        <v>1.0987286140323384E-3</v>
      </c>
      <c r="G2264" s="156"/>
    </row>
    <row r="2265" spans="2:7" x14ac:dyDescent="0.2">
      <c r="B2265" s="230">
        <v>42664</v>
      </c>
      <c r="C2265" s="124">
        <v>240.15</v>
      </c>
      <c r="D2265" s="156">
        <f t="shared" si="36"/>
        <v>-4.9720323182100212E-3</v>
      </c>
      <c r="E2265" s="156">
        <v>1.0844964164465757E-3</v>
      </c>
      <c r="G2265" s="156"/>
    </row>
    <row r="2266" spans="2:7" x14ac:dyDescent="0.2">
      <c r="B2266" s="230">
        <v>42663</v>
      </c>
      <c r="C2266" s="124">
        <v>239.35</v>
      </c>
      <c r="D2266" s="156">
        <f t="shared" si="36"/>
        <v>-3.3312513012700869E-3</v>
      </c>
      <c r="E2266" s="156">
        <v>1.0531858873090501E-3</v>
      </c>
      <c r="G2266" s="156"/>
    </row>
    <row r="2267" spans="2:7" x14ac:dyDescent="0.2">
      <c r="B2267" s="230">
        <v>42662</v>
      </c>
      <c r="C2267" s="124">
        <v>239.45</v>
      </c>
      <c r="D2267" s="156">
        <f t="shared" si="36"/>
        <v>4.1779820346770133E-4</v>
      </c>
      <c r="E2267" s="156">
        <v>1.0347206254312383E-3</v>
      </c>
      <c r="G2267" s="156"/>
    </row>
    <row r="2268" spans="2:7" x14ac:dyDescent="0.2">
      <c r="B2268" s="230">
        <v>42661</v>
      </c>
      <c r="C2268" s="124">
        <v>245.95</v>
      </c>
      <c r="D2268" s="156">
        <f t="shared" si="36"/>
        <v>2.7145541866778033E-2</v>
      </c>
      <c r="E2268" s="156">
        <v>1.0316368638239731E-3</v>
      </c>
      <c r="G2268" s="156"/>
    </row>
    <row r="2269" spans="2:7" x14ac:dyDescent="0.2">
      <c r="B2269" s="230">
        <v>42660</v>
      </c>
      <c r="C2269" s="124">
        <v>240.6</v>
      </c>
      <c r="D2269" s="156">
        <f t="shared" si="36"/>
        <v>-2.1752388696889589E-2</v>
      </c>
      <c r="E2269" s="156">
        <v>1.0258240042816545E-3</v>
      </c>
      <c r="G2269" s="156"/>
    </row>
    <row r="2270" spans="2:7" x14ac:dyDescent="0.2">
      <c r="B2270" s="230">
        <v>42657</v>
      </c>
      <c r="C2270" s="124">
        <v>239.9</v>
      </c>
      <c r="D2270" s="156">
        <f t="shared" si="36"/>
        <v>-2.9093931837073511E-3</v>
      </c>
      <c r="E2270" s="156">
        <v>1.0235414534287086E-3</v>
      </c>
      <c r="G2270" s="156"/>
    </row>
    <row r="2271" spans="2:7" x14ac:dyDescent="0.2">
      <c r="B2271" s="230">
        <v>42656</v>
      </c>
      <c r="C2271" s="124">
        <v>238.95</v>
      </c>
      <c r="D2271" s="156">
        <f t="shared" si="36"/>
        <v>-3.9599833263860651E-3</v>
      </c>
      <c r="E2271" s="156">
        <v>1.0133765707336848E-3</v>
      </c>
      <c r="G2271" s="156"/>
    </row>
    <row r="2272" spans="2:7" x14ac:dyDescent="0.2">
      <c r="B2272" s="230">
        <v>42653</v>
      </c>
      <c r="C2272" s="124">
        <v>240.1</v>
      </c>
      <c r="D2272" s="156">
        <f t="shared" si="36"/>
        <v>4.8127223268466445E-3</v>
      </c>
      <c r="E2272" s="156">
        <v>1.0129481194397507E-3</v>
      </c>
      <c r="G2272" s="156"/>
    </row>
    <row r="2273" spans="2:7" x14ac:dyDescent="0.2">
      <c r="B2273" s="230">
        <v>42650</v>
      </c>
      <c r="C2273" s="124">
        <v>238.95</v>
      </c>
      <c r="D2273" s="156">
        <f t="shared" si="36"/>
        <v>-4.7896709704290117E-3</v>
      </c>
      <c r="E2273" s="156">
        <v>1.0099679444957547E-3</v>
      </c>
      <c r="G2273" s="156"/>
    </row>
    <row r="2274" spans="2:7" x14ac:dyDescent="0.2">
      <c r="B2274" s="230">
        <v>42649</v>
      </c>
      <c r="C2274" s="124">
        <v>237.4</v>
      </c>
      <c r="D2274" s="156">
        <f t="shared" si="36"/>
        <v>-6.4867127014018961E-3</v>
      </c>
      <c r="E2274" s="156">
        <v>1.0073029463610608E-3</v>
      </c>
      <c r="G2274" s="156"/>
    </row>
    <row r="2275" spans="2:7" x14ac:dyDescent="0.2">
      <c r="B2275" s="230">
        <v>42648</v>
      </c>
      <c r="C2275" s="124">
        <v>240.2</v>
      </c>
      <c r="D2275" s="156">
        <f t="shared" si="36"/>
        <v>1.1794439764111132E-2</v>
      </c>
      <c r="E2275" s="156">
        <v>1.0005628165843073E-3</v>
      </c>
      <c r="G2275" s="156"/>
    </row>
    <row r="2276" spans="2:7" x14ac:dyDescent="0.2">
      <c r="B2276" s="230">
        <v>42647</v>
      </c>
      <c r="C2276" s="124">
        <v>241.2</v>
      </c>
      <c r="D2276" s="156">
        <f t="shared" si="36"/>
        <v>4.163197335553705E-3</v>
      </c>
      <c r="E2276" s="156">
        <v>9.7981579463055383E-4</v>
      </c>
      <c r="G2276" s="156"/>
    </row>
    <row r="2277" spans="2:7" x14ac:dyDescent="0.2">
      <c r="B2277" s="230">
        <v>42646</v>
      </c>
      <c r="C2277" s="124">
        <v>242.3</v>
      </c>
      <c r="D2277" s="156">
        <f t="shared" si="36"/>
        <v>4.5605306799337596E-3</v>
      </c>
      <c r="E2277" s="156">
        <v>9.7012029491665239E-4</v>
      </c>
      <c r="G2277" s="156"/>
    </row>
    <row r="2278" spans="2:7" x14ac:dyDescent="0.2">
      <c r="B2278" s="230">
        <v>42643</v>
      </c>
      <c r="C2278" s="124">
        <v>241.35</v>
      </c>
      <c r="D2278" s="156">
        <f t="shared" si="36"/>
        <v>-3.9207593891870283E-3</v>
      </c>
      <c r="E2278" s="156">
        <v>9.6463022508042236E-4</v>
      </c>
      <c r="G2278" s="156"/>
    </row>
    <row r="2279" spans="2:7" x14ac:dyDescent="0.2">
      <c r="B2279" s="230">
        <v>42642</v>
      </c>
      <c r="C2279" s="124">
        <v>245.7</v>
      </c>
      <c r="D2279" s="156">
        <f t="shared" si="36"/>
        <v>1.8023617153511473E-2</v>
      </c>
      <c r="E2279" s="156">
        <v>9.6246390760341006E-4</v>
      </c>
      <c r="G2279" s="156"/>
    </row>
    <row r="2280" spans="2:7" x14ac:dyDescent="0.2">
      <c r="B2280" s="230">
        <v>42641</v>
      </c>
      <c r="C2280" s="124">
        <v>246.95</v>
      </c>
      <c r="D2280" s="156">
        <f t="shared" si="36"/>
        <v>5.0875050875050874E-3</v>
      </c>
      <c r="E2280" s="156">
        <v>9.5667623342890766E-4</v>
      </c>
      <c r="G2280" s="156"/>
    </row>
    <row r="2281" spans="2:7" x14ac:dyDescent="0.2">
      <c r="B2281" s="230">
        <v>42640</v>
      </c>
      <c r="C2281" s="124">
        <v>245.85</v>
      </c>
      <c r="D2281" s="156">
        <f t="shared" si="36"/>
        <v>-4.4543429844097768E-3</v>
      </c>
      <c r="E2281" s="156">
        <v>9.5434225727056971E-4</v>
      </c>
      <c r="G2281" s="156"/>
    </row>
    <row r="2282" spans="2:7" x14ac:dyDescent="0.2">
      <c r="B2282" s="230">
        <v>42639</v>
      </c>
      <c r="C2282" s="124">
        <v>248.05</v>
      </c>
      <c r="D2282" s="156">
        <f t="shared" si="36"/>
        <v>8.9485458612976083E-3</v>
      </c>
      <c r="E2282" s="156">
        <v>9.5038965976050182E-4</v>
      </c>
      <c r="G2282" s="156"/>
    </row>
    <row r="2283" spans="2:7" x14ac:dyDescent="0.2">
      <c r="B2283" s="230">
        <v>42636</v>
      </c>
      <c r="C2283" s="124">
        <v>253.45</v>
      </c>
      <c r="D2283" s="156">
        <f t="shared" si="36"/>
        <v>2.1769804474904161E-2</v>
      </c>
      <c r="E2283" s="156">
        <v>9.4661113214686027E-4</v>
      </c>
      <c r="G2283" s="156"/>
    </row>
    <row r="2284" spans="2:7" x14ac:dyDescent="0.2">
      <c r="B2284" s="230">
        <v>42635</v>
      </c>
      <c r="C2284" s="124">
        <v>255.25</v>
      </c>
      <c r="D2284" s="156">
        <f t="shared" si="36"/>
        <v>7.1019925034524027E-3</v>
      </c>
      <c r="E2284" s="156">
        <v>9.4304036212744535E-4</v>
      </c>
      <c r="G2284" s="156"/>
    </row>
    <row r="2285" spans="2:7" x14ac:dyDescent="0.2">
      <c r="B2285" s="230">
        <v>42634</v>
      </c>
      <c r="C2285" s="124">
        <v>253.65</v>
      </c>
      <c r="D2285" s="156">
        <f t="shared" si="36"/>
        <v>-6.2683643486777449E-3</v>
      </c>
      <c r="E2285" s="156">
        <v>9.4197437829691044E-4</v>
      </c>
      <c r="G2285" s="156"/>
    </row>
    <row r="2286" spans="2:7" x14ac:dyDescent="0.2">
      <c r="B2286" s="230">
        <v>42633</v>
      </c>
      <c r="C2286" s="124">
        <v>256.95</v>
      </c>
      <c r="D2286" s="156">
        <f t="shared" si="36"/>
        <v>1.3010053222944936E-2</v>
      </c>
      <c r="E2286" s="156">
        <v>9.3545369504209543E-4</v>
      </c>
      <c r="G2286" s="156"/>
    </row>
    <row r="2287" spans="2:7" x14ac:dyDescent="0.2">
      <c r="B2287" s="230">
        <v>42632</v>
      </c>
      <c r="C2287" s="124">
        <v>258.85000000000002</v>
      </c>
      <c r="D2287" s="156">
        <f t="shared" si="36"/>
        <v>7.3944347149252155E-3</v>
      </c>
      <c r="E2287" s="156">
        <v>9.2165898617511521E-4</v>
      </c>
      <c r="G2287" s="156"/>
    </row>
    <row r="2288" spans="2:7" x14ac:dyDescent="0.2">
      <c r="B2288" s="230">
        <v>42629</v>
      </c>
      <c r="C2288" s="124">
        <v>260.35000000000002</v>
      </c>
      <c r="D2288" s="156">
        <f t="shared" si="36"/>
        <v>5.7948618891249751E-3</v>
      </c>
      <c r="E2288" s="156">
        <v>9.2114959469412599E-4</v>
      </c>
      <c r="G2288" s="156"/>
    </row>
    <row r="2289" spans="2:7" x14ac:dyDescent="0.2">
      <c r="B2289" s="230">
        <v>42628</v>
      </c>
      <c r="C2289" s="124">
        <v>255.9</v>
      </c>
      <c r="D2289" s="156">
        <f t="shared" si="36"/>
        <v>-1.7092375648165993E-2</v>
      </c>
      <c r="E2289" s="156">
        <v>9.2030185900975525E-4</v>
      </c>
      <c r="G2289" s="156"/>
    </row>
    <row r="2290" spans="2:7" x14ac:dyDescent="0.2">
      <c r="B2290" s="230">
        <v>42627</v>
      </c>
      <c r="C2290" s="124">
        <v>251.85</v>
      </c>
      <c r="D2290" s="156">
        <f t="shared" si="36"/>
        <v>-1.5826494724501802E-2</v>
      </c>
      <c r="E2290" s="156">
        <v>9.0810025426801952E-4</v>
      </c>
      <c r="G2290" s="156"/>
    </row>
    <row r="2291" spans="2:7" x14ac:dyDescent="0.2">
      <c r="B2291" s="230">
        <v>42625</v>
      </c>
      <c r="C2291" s="124">
        <v>252.25</v>
      </c>
      <c r="D2291" s="156">
        <f t="shared" si="36"/>
        <v>1.5882469724042315E-3</v>
      </c>
      <c r="E2291" s="156">
        <v>9.0320638265825766E-4</v>
      </c>
      <c r="G2291" s="156"/>
    </row>
    <row r="2292" spans="2:7" x14ac:dyDescent="0.2">
      <c r="B2292" s="230">
        <v>42622</v>
      </c>
      <c r="C2292" s="124">
        <v>258.3</v>
      </c>
      <c r="D2292" s="156">
        <f t="shared" si="36"/>
        <v>2.3984142715560007E-2</v>
      </c>
      <c r="E2292" s="156">
        <v>8.8857295183929544E-4</v>
      </c>
      <c r="G2292" s="156"/>
    </row>
    <row r="2293" spans="2:7" x14ac:dyDescent="0.2">
      <c r="B2293" s="230">
        <v>42621</v>
      </c>
      <c r="C2293" s="124">
        <v>264.89999999999998</v>
      </c>
      <c r="D2293" s="156">
        <f t="shared" si="36"/>
        <v>2.5551684088269321E-2</v>
      </c>
      <c r="E2293" s="156">
        <v>8.8778409090909088E-4</v>
      </c>
      <c r="G2293" s="156"/>
    </row>
    <row r="2294" spans="2:7" x14ac:dyDescent="0.2">
      <c r="B2294" s="230">
        <v>42620</v>
      </c>
      <c r="C2294" s="124">
        <v>262.8</v>
      </c>
      <c r="D2294" s="156">
        <f t="shared" si="36"/>
        <v>-7.9275198187994181E-3</v>
      </c>
      <c r="E2294" s="156">
        <v>8.8386070355311994E-4</v>
      </c>
      <c r="G2294" s="156"/>
    </row>
    <row r="2295" spans="2:7" x14ac:dyDescent="0.2">
      <c r="B2295" s="230">
        <v>42619</v>
      </c>
      <c r="C2295" s="124">
        <v>262.60000000000002</v>
      </c>
      <c r="D2295" s="156">
        <f t="shared" si="36"/>
        <v>-7.6103500761030677E-4</v>
      </c>
      <c r="E2295" s="156">
        <v>8.837044892188806E-4</v>
      </c>
      <c r="G2295" s="156"/>
    </row>
    <row r="2296" spans="2:7" x14ac:dyDescent="0.2">
      <c r="B2296" s="230">
        <v>42615</v>
      </c>
      <c r="C2296" s="124">
        <v>262.89999999999998</v>
      </c>
      <c r="D2296" s="156">
        <f t="shared" si="36"/>
        <v>1.1424219345009692E-3</v>
      </c>
      <c r="E2296" s="156">
        <v>8.6256469235195909E-4</v>
      </c>
      <c r="G2296" s="156"/>
    </row>
    <row r="2297" spans="2:7" x14ac:dyDescent="0.2">
      <c r="B2297" s="230">
        <v>42614</v>
      </c>
      <c r="C2297" s="124">
        <v>261</v>
      </c>
      <c r="D2297" s="156">
        <f t="shared" si="36"/>
        <v>-7.2270825408899866E-3</v>
      </c>
      <c r="E2297" s="156">
        <v>8.49411479189336E-4</v>
      </c>
      <c r="G2297" s="156"/>
    </row>
    <row r="2298" spans="2:7" x14ac:dyDescent="0.2">
      <c r="B2298" s="230">
        <v>42613</v>
      </c>
      <c r="C2298" s="124">
        <v>260.05</v>
      </c>
      <c r="D2298" s="156">
        <f t="shared" si="36"/>
        <v>-3.6398467432949754E-3</v>
      </c>
      <c r="E2298" s="156">
        <v>8.4875233406891861E-4</v>
      </c>
      <c r="G2298" s="156"/>
    </row>
    <row r="2299" spans="2:7" x14ac:dyDescent="0.2">
      <c r="B2299" s="230">
        <v>42612</v>
      </c>
      <c r="C2299" s="124">
        <v>257.3</v>
      </c>
      <c r="D2299" s="156">
        <f t="shared" si="36"/>
        <v>-1.0574889444337626E-2</v>
      </c>
      <c r="E2299" s="156">
        <v>8.3710028461416819E-4</v>
      </c>
      <c r="G2299" s="156"/>
    </row>
    <row r="2300" spans="2:7" x14ac:dyDescent="0.2">
      <c r="B2300" s="230">
        <v>42611</v>
      </c>
      <c r="C2300" s="124">
        <v>252.8</v>
      </c>
      <c r="D2300" s="156">
        <f t="shared" si="36"/>
        <v>-1.7489312087057909E-2</v>
      </c>
      <c r="E2300" s="156">
        <v>8.3361120373457831E-4</v>
      </c>
      <c r="G2300" s="156"/>
    </row>
    <row r="2301" spans="2:7" x14ac:dyDescent="0.2">
      <c r="B2301" s="230">
        <v>42608</v>
      </c>
      <c r="C2301" s="124">
        <v>253.8</v>
      </c>
      <c r="D2301" s="156">
        <f t="shared" si="36"/>
        <v>3.955696202531645E-3</v>
      </c>
      <c r="E2301" s="156">
        <v>8.2407291796724705E-4</v>
      </c>
      <c r="G2301" s="156"/>
    </row>
    <row r="2302" spans="2:7" x14ac:dyDescent="0.2">
      <c r="B2302" s="230">
        <v>42607</v>
      </c>
      <c r="C2302" s="124">
        <v>253.45</v>
      </c>
      <c r="D2302" s="156">
        <f t="shared" ref="D2302:D2365" si="37">(C2302-C2301)/C2301</f>
        <v>-1.3790386130812559E-3</v>
      </c>
      <c r="E2302" s="156">
        <v>8.1833060556464816E-4</v>
      </c>
      <c r="G2302" s="156"/>
    </row>
    <row r="2303" spans="2:7" x14ac:dyDescent="0.2">
      <c r="B2303" s="230">
        <v>42606</v>
      </c>
      <c r="C2303" s="124">
        <v>250.25</v>
      </c>
      <c r="D2303" s="156">
        <f t="shared" si="37"/>
        <v>-1.2625764450581925E-2</v>
      </c>
      <c r="E2303" s="156">
        <v>8.141664970486291E-4</v>
      </c>
      <c r="G2303" s="156"/>
    </row>
    <row r="2304" spans="2:7" x14ac:dyDescent="0.2">
      <c r="B2304" s="230">
        <v>42605</v>
      </c>
      <c r="C2304" s="124">
        <v>251.4</v>
      </c>
      <c r="D2304" s="156">
        <f t="shared" si="37"/>
        <v>4.595404595404618E-3</v>
      </c>
      <c r="E2304" s="156">
        <v>8.0658170672684556E-4</v>
      </c>
      <c r="G2304" s="156"/>
    </row>
    <row r="2305" spans="2:7" x14ac:dyDescent="0.2">
      <c r="B2305" s="230">
        <v>42604</v>
      </c>
      <c r="C2305" s="124">
        <v>254.1</v>
      </c>
      <c r="D2305" s="156">
        <f t="shared" si="37"/>
        <v>1.0739856801909262E-2</v>
      </c>
      <c r="E2305" s="156">
        <v>8.03950844148308E-4</v>
      </c>
      <c r="G2305" s="156"/>
    </row>
    <row r="2306" spans="2:7" x14ac:dyDescent="0.2">
      <c r="B2306" s="230">
        <v>42601</v>
      </c>
      <c r="C2306" s="124">
        <v>250.95</v>
      </c>
      <c r="D2306" s="156">
        <f t="shared" si="37"/>
        <v>-1.2396694214876056E-2</v>
      </c>
      <c r="E2306" s="156">
        <v>7.9173264438702276E-4</v>
      </c>
      <c r="G2306" s="156"/>
    </row>
    <row r="2307" spans="2:7" x14ac:dyDescent="0.2">
      <c r="B2307" s="230">
        <v>42600</v>
      </c>
      <c r="C2307" s="124">
        <v>252.15</v>
      </c>
      <c r="D2307" s="156">
        <f t="shared" si="37"/>
        <v>4.7818290496115445E-3</v>
      </c>
      <c r="E2307" s="156">
        <v>7.8937592867750505E-4</v>
      </c>
      <c r="G2307" s="156"/>
    </row>
    <row r="2308" spans="2:7" x14ac:dyDescent="0.2">
      <c r="B2308" s="230">
        <v>42599</v>
      </c>
      <c r="C2308" s="124">
        <v>253.7</v>
      </c>
      <c r="D2308" s="156">
        <f t="shared" si="37"/>
        <v>6.1471346420780603E-3</v>
      </c>
      <c r="E2308" s="156">
        <v>7.8492935635785129E-4</v>
      </c>
      <c r="G2308" s="156"/>
    </row>
    <row r="2309" spans="2:7" x14ac:dyDescent="0.2">
      <c r="B2309" s="230">
        <v>42598</v>
      </c>
      <c r="C2309" s="124">
        <v>255.1</v>
      </c>
      <c r="D2309" s="156">
        <f t="shared" si="37"/>
        <v>5.5183287347260771E-3</v>
      </c>
      <c r="E2309" s="156">
        <v>7.7754451442340645E-4</v>
      </c>
      <c r="G2309" s="156"/>
    </row>
    <row r="2310" spans="2:7" x14ac:dyDescent="0.2">
      <c r="B2310" s="230">
        <v>42594</v>
      </c>
      <c r="C2310" s="124">
        <v>254.1</v>
      </c>
      <c r="D2310" s="156">
        <f t="shared" si="37"/>
        <v>-3.9200313602508821E-3</v>
      </c>
      <c r="E2310" s="156">
        <v>7.772849892551209E-4</v>
      </c>
      <c r="G2310" s="156"/>
    </row>
    <row r="2311" spans="2:7" x14ac:dyDescent="0.2">
      <c r="B2311" s="230">
        <v>42593</v>
      </c>
      <c r="C2311" s="124">
        <v>251.65</v>
      </c>
      <c r="D2311" s="156">
        <f t="shared" si="37"/>
        <v>-9.6418732782368698E-3</v>
      </c>
      <c r="E2311" s="156">
        <v>7.6215881484302669E-4</v>
      </c>
      <c r="G2311" s="156"/>
    </row>
    <row r="2312" spans="2:7" x14ac:dyDescent="0.2">
      <c r="B2312" s="230">
        <v>42592</v>
      </c>
      <c r="C2312" s="124">
        <v>246.5</v>
      </c>
      <c r="D2312" s="156">
        <f t="shared" si="37"/>
        <v>-2.0464931452414091E-2</v>
      </c>
      <c r="E2312" s="156">
        <v>7.5184436821576332E-4</v>
      </c>
      <c r="G2312" s="156"/>
    </row>
    <row r="2313" spans="2:7" x14ac:dyDescent="0.2">
      <c r="B2313" s="230">
        <v>42591</v>
      </c>
      <c r="C2313" s="124">
        <v>247.65</v>
      </c>
      <c r="D2313" s="156">
        <f t="shared" si="37"/>
        <v>4.6653144016227414E-3</v>
      </c>
      <c r="E2313" s="156">
        <v>7.5000000000002842E-4</v>
      </c>
      <c r="G2313" s="156"/>
    </row>
    <row r="2314" spans="2:7" x14ac:dyDescent="0.2">
      <c r="B2314" s="230">
        <v>42590</v>
      </c>
      <c r="C2314" s="124">
        <v>249.95</v>
      </c>
      <c r="D2314" s="156">
        <f t="shared" si="37"/>
        <v>9.2873006258832342E-3</v>
      </c>
      <c r="E2314" s="156">
        <v>7.3971062520342037E-4</v>
      </c>
      <c r="G2314" s="156"/>
    </row>
    <row r="2315" spans="2:7" x14ac:dyDescent="0.2">
      <c r="B2315" s="230">
        <v>42587</v>
      </c>
      <c r="C2315" s="124">
        <v>252.55</v>
      </c>
      <c r="D2315" s="156">
        <f t="shared" si="37"/>
        <v>1.0402080416083308E-2</v>
      </c>
      <c r="E2315" s="156">
        <v>7.3292289651124534E-4</v>
      </c>
      <c r="G2315" s="156"/>
    </row>
    <row r="2316" spans="2:7" x14ac:dyDescent="0.2">
      <c r="B2316" s="230">
        <v>42586</v>
      </c>
      <c r="C2316" s="124">
        <v>252.1</v>
      </c>
      <c r="D2316" s="156">
        <f t="shared" si="37"/>
        <v>-1.7818253811127183E-3</v>
      </c>
      <c r="E2316" s="156">
        <v>7.2202166064984689E-4</v>
      </c>
      <c r="G2316" s="156"/>
    </row>
    <row r="2317" spans="2:7" x14ac:dyDescent="0.2">
      <c r="B2317" s="230">
        <v>42585</v>
      </c>
      <c r="C2317" s="124">
        <v>252.7</v>
      </c>
      <c r="D2317" s="156">
        <f t="shared" si="37"/>
        <v>2.3800079333597553E-3</v>
      </c>
      <c r="E2317" s="156">
        <v>7.2202166064977847E-4</v>
      </c>
      <c r="G2317" s="156"/>
    </row>
    <row r="2318" spans="2:7" x14ac:dyDescent="0.2">
      <c r="B2318" s="230">
        <v>42584</v>
      </c>
      <c r="C2318" s="124">
        <v>260.8</v>
      </c>
      <c r="D2318" s="156">
        <f t="shared" si="37"/>
        <v>3.2053818757419958E-2</v>
      </c>
      <c r="E2318" s="156">
        <v>7.2117551609121328E-4</v>
      </c>
      <c r="G2318" s="156"/>
    </row>
    <row r="2319" spans="2:7" x14ac:dyDescent="0.2">
      <c r="B2319" s="230">
        <v>42583</v>
      </c>
      <c r="C2319" s="124">
        <v>250.6</v>
      </c>
      <c r="D2319" s="156">
        <f t="shared" si="37"/>
        <v>-3.9110429447852826E-2</v>
      </c>
      <c r="E2319" s="156">
        <v>7.2098053352562209E-4</v>
      </c>
      <c r="G2319" s="156"/>
    </row>
    <row r="2320" spans="2:7" x14ac:dyDescent="0.2">
      <c r="B2320" s="230">
        <v>42580</v>
      </c>
      <c r="C2320" s="124">
        <v>252.45</v>
      </c>
      <c r="D2320" s="156">
        <f t="shared" si="37"/>
        <v>7.3822825219473035E-3</v>
      </c>
      <c r="E2320" s="156">
        <v>7.1474343175423577E-4</v>
      </c>
      <c r="G2320" s="156"/>
    </row>
    <row r="2321" spans="2:7" x14ac:dyDescent="0.2">
      <c r="B2321" s="230">
        <v>42579</v>
      </c>
      <c r="C2321" s="124">
        <v>254.3</v>
      </c>
      <c r="D2321" s="156">
        <f t="shared" si="37"/>
        <v>7.3281837987721242E-3</v>
      </c>
      <c r="E2321" s="156">
        <v>7.111111111110707E-4</v>
      </c>
      <c r="G2321" s="156"/>
    </row>
    <row r="2322" spans="2:7" x14ac:dyDescent="0.2">
      <c r="B2322" s="230">
        <v>42578</v>
      </c>
      <c r="C2322" s="124">
        <v>247.4</v>
      </c>
      <c r="D2322" s="156">
        <f t="shared" si="37"/>
        <v>-2.7133307117577686E-2</v>
      </c>
      <c r="E2322" s="156">
        <v>7.0389488503052884E-4</v>
      </c>
      <c r="G2322" s="156"/>
    </row>
    <row r="2323" spans="2:7" x14ac:dyDescent="0.2">
      <c r="B2323" s="230">
        <v>42577</v>
      </c>
      <c r="C2323" s="124">
        <v>251.75</v>
      </c>
      <c r="D2323" s="156">
        <f t="shared" si="37"/>
        <v>1.7582861762328188E-2</v>
      </c>
      <c r="E2323" s="156">
        <v>7.0290534208062639E-4</v>
      </c>
      <c r="G2323" s="156"/>
    </row>
    <row r="2324" spans="2:7" x14ac:dyDescent="0.2">
      <c r="B2324" s="230">
        <v>42576</v>
      </c>
      <c r="C2324" s="124">
        <v>251.75</v>
      </c>
      <c r="D2324" s="156">
        <f t="shared" si="37"/>
        <v>0</v>
      </c>
      <c r="E2324" s="156">
        <v>6.9553121196309724E-4</v>
      </c>
      <c r="G2324" s="156"/>
    </row>
    <row r="2325" spans="2:7" x14ac:dyDescent="0.2">
      <c r="B2325" s="230">
        <v>42573</v>
      </c>
      <c r="C2325" s="124">
        <v>249.85</v>
      </c>
      <c r="D2325" s="156">
        <f t="shared" si="37"/>
        <v>-7.5471698113207773E-3</v>
      </c>
      <c r="E2325" s="156">
        <v>6.9137509568130743E-4</v>
      </c>
      <c r="G2325" s="156"/>
    </row>
    <row r="2326" spans="2:7" x14ac:dyDescent="0.2">
      <c r="B2326" s="230">
        <v>42572</v>
      </c>
      <c r="C2326" s="124">
        <v>250.6</v>
      </c>
      <c r="D2326" s="156">
        <f t="shared" si="37"/>
        <v>3.0018010806483891E-3</v>
      </c>
      <c r="E2326" s="156">
        <v>6.5439672801634601E-4</v>
      </c>
      <c r="G2326" s="156"/>
    </row>
    <row r="2327" spans="2:7" x14ac:dyDescent="0.2">
      <c r="B2327" s="230">
        <v>42571</v>
      </c>
      <c r="C2327" s="124">
        <v>250.25</v>
      </c>
      <c r="D2327" s="156">
        <f t="shared" si="37"/>
        <v>-1.3966480446927147E-3</v>
      </c>
      <c r="E2327" s="156">
        <v>6.4020486555688117E-4</v>
      </c>
      <c r="G2327" s="156"/>
    </row>
    <row r="2328" spans="2:7" x14ac:dyDescent="0.2">
      <c r="B2328" s="230">
        <v>42570</v>
      </c>
      <c r="C2328" s="124">
        <v>249.05</v>
      </c>
      <c r="D2328" s="156">
        <f t="shared" si="37"/>
        <v>-4.7952047952047501E-3</v>
      </c>
      <c r="E2328" s="156">
        <v>6.3959066197635936E-4</v>
      </c>
      <c r="G2328" s="156"/>
    </row>
    <row r="2329" spans="2:7" x14ac:dyDescent="0.2">
      <c r="B2329" s="230">
        <v>42569</v>
      </c>
      <c r="C2329" s="124">
        <v>248.9</v>
      </c>
      <c r="D2329" s="156">
        <f t="shared" si="37"/>
        <v>-6.0228869704880819E-4</v>
      </c>
      <c r="E2329" s="156">
        <v>6.3051702395967076E-4</v>
      </c>
      <c r="G2329" s="156"/>
    </row>
    <row r="2330" spans="2:7" x14ac:dyDescent="0.2">
      <c r="B2330" s="230">
        <v>42566</v>
      </c>
      <c r="C2330" s="124">
        <v>248.85</v>
      </c>
      <c r="D2330" s="156">
        <f t="shared" si="37"/>
        <v>-2.0088388911213887E-4</v>
      </c>
      <c r="E2330" s="156">
        <v>6.2870486797191646E-4</v>
      </c>
      <c r="G2330" s="156"/>
    </row>
    <row r="2331" spans="2:7" x14ac:dyDescent="0.2">
      <c r="B2331" s="230">
        <v>42565</v>
      </c>
      <c r="C2331" s="124">
        <v>248.7</v>
      </c>
      <c r="D2331" s="156">
        <f t="shared" si="37"/>
        <v>-6.0277275467151171E-4</v>
      </c>
      <c r="E2331" s="156">
        <v>6.2827225130892433E-4</v>
      </c>
      <c r="G2331" s="156"/>
    </row>
    <row r="2332" spans="2:7" x14ac:dyDescent="0.2">
      <c r="B2332" s="230">
        <v>42564</v>
      </c>
      <c r="C2332" s="124">
        <v>247.1</v>
      </c>
      <c r="D2332" s="156">
        <f t="shared" si="37"/>
        <v>-6.4334539605950718E-3</v>
      </c>
      <c r="E2332" s="156">
        <v>6.2707157574135443E-4</v>
      </c>
      <c r="G2332" s="156"/>
    </row>
    <row r="2333" spans="2:7" x14ac:dyDescent="0.2">
      <c r="B2333" s="230">
        <v>42563</v>
      </c>
      <c r="C2333" s="124">
        <v>248.4</v>
      </c>
      <c r="D2333" s="156">
        <f t="shared" si="37"/>
        <v>5.2610279239174882E-3</v>
      </c>
      <c r="E2333" s="156">
        <v>6.2299324291955661E-4</v>
      </c>
      <c r="G2333" s="156"/>
    </row>
    <row r="2334" spans="2:7" x14ac:dyDescent="0.2">
      <c r="B2334" s="230">
        <v>42562</v>
      </c>
      <c r="C2334" s="124">
        <v>249.15</v>
      </c>
      <c r="D2334" s="156">
        <f t="shared" si="37"/>
        <v>3.0193236714975845E-3</v>
      </c>
      <c r="E2334" s="156">
        <v>6.2266500622667369E-4</v>
      </c>
      <c r="G2334" s="156"/>
    </row>
    <row r="2335" spans="2:7" x14ac:dyDescent="0.2">
      <c r="B2335" s="230">
        <v>42559</v>
      </c>
      <c r="C2335" s="124">
        <v>245.85</v>
      </c>
      <c r="D2335" s="156">
        <f t="shared" si="37"/>
        <v>-1.3245033112582827E-2</v>
      </c>
      <c r="E2335" s="156">
        <v>6.0518034374240084E-4</v>
      </c>
      <c r="G2335" s="156"/>
    </row>
    <row r="2336" spans="2:7" x14ac:dyDescent="0.2">
      <c r="B2336" s="230">
        <v>42558</v>
      </c>
      <c r="C2336" s="124">
        <v>247</v>
      </c>
      <c r="D2336" s="156">
        <f t="shared" si="37"/>
        <v>4.6776489729510092E-3</v>
      </c>
      <c r="E2336" s="156">
        <v>5.790387955992174E-4</v>
      </c>
      <c r="G2336" s="156"/>
    </row>
    <row r="2337" spans="2:7" x14ac:dyDescent="0.2">
      <c r="B2337" s="230">
        <v>42556</v>
      </c>
      <c r="C2337" s="124">
        <v>243.55</v>
      </c>
      <c r="D2337" s="156">
        <f t="shared" si="37"/>
        <v>-1.3967611336032342E-2</v>
      </c>
      <c r="E2337" s="156">
        <v>5.7537399309547934E-4</v>
      </c>
      <c r="G2337" s="156"/>
    </row>
    <row r="2338" spans="2:7" x14ac:dyDescent="0.2">
      <c r="B2338" s="230">
        <v>42555</v>
      </c>
      <c r="C2338" s="124">
        <v>244.9</v>
      </c>
      <c r="D2338" s="156">
        <f t="shared" si="37"/>
        <v>5.5430096489426988E-3</v>
      </c>
      <c r="E2338" s="156">
        <v>5.630630630631911E-4</v>
      </c>
      <c r="G2338" s="156"/>
    </row>
    <row r="2339" spans="2:7" x14ac:dyDescent="0.2">
      <c r="B2339" s="230">
        <v>42552</v>
      </c>
      <c r="C2339" s="124">
        <v>252.35</v>
      </c>
      <c r="D2339" s="156">
        <f t="shared" si="37"/>
        <v>3.0420579828501382E-2</v>
      </c>
      <c r="E2339" s="156">
        <v>5.6095736724021735E-4</v>
      </c>
      <c r="G2339" s="156"/>
    </row>
    <row r="2340" spans="2:7" x14ac:dyDescent="0.2">
      <c r="B2340" s="230">
        <v>42551</v>
      </c>
      <c r="C2340" s="124">
        <v>245.6</v>
      </c>
      <c r="D2340" s="156">
        <f t="shared" si="37"/>
        <v>-2.6748563503071133E-2</v>
      </c>
      <c r="E2340" s="156">
        <v>5.5845122859272413E-4</v>
      </c>
      <c r="G2340" s="156"/>
    </row>
    <row r="2341" spans="2:7" x14ac:dyDescent="0.2">
      <c r="B2341" s="230">
        <v>42550</v>
      </c>
      <c r="C2341" s="124">
        <v>244.2</v>
      </c>
      <c r="D2341" s="156">
        <f t="shared" si="37"/>
        <v>-5.7003257328990461E-3</v>
      </c>
      <c r="E2341" s="156">
        <v>5.5845122859272413E-4</v>
      </c>
      <c r="G2341" s="156"/>
    </row>
    <row r="2342" spans="2:7" x14ac:dyDescent="0.2">
      <c r="B2342" s="230">
        <v>42549</v>
      </c>
      <c r="C2342" s="124">
        <v>245.67</v>
      </c>
      <c r="D2342" s="156">
        <f t="shared" si="37"/>
        <v>6.0196560196560155E-3</v>
      </c>
      <c r="E2342" s="156">
        <v>5.5524708495282508E-4</v>
      </c>
      <c r="G2342" s="156"/>
    </row>
    <row r="2343" spans="2:7" x14ac:dyDescent="0.2">
      <c r="B2343" s="230">
        <v>42548</v>
      </c>
      <c r="C2343" s="124">
        <v>239.3</v>
      </c>
      <c r="D2343" s="156">
        <f t="shared" si="37"/>
        <v>-2.5929091871209248E-2</v>
      </c>
      <c r="E2343" s="156">
        <v>5.5346791342595974E-4</v>
      </c>
      <c r="G2343" s="156"/>
    </row>
    <row r="2344" spans="2:7" x14ac:dyDescent="0.2">
      <c r="B2344" s="230">
        <v>42545</v>
      </c>
      <c r="C2344" s="124">
        <v>236.07</v>
      </c>
      <c r="D2344" s="156">
        <f t="shared" si="37"/>
        <v>-1.3497701629753523E-2</v>
      </c>
      <c r="E2344" s="156">
        <v>5.4929964295520085E-4</v>
      </c>
      <c r="G2344" s="156"/>
    </row>
    <row r="2345" spans="2:7" x14ac:dyDescent="0.2">
      <c r="B2345" s="230">
        <v>42544</v>
      </c>
      <c r="C2345" s="124">
        <v>240.17</v>
      </c>
      <c r="D2345" s="156">
        <f t="shared" si="37"/>
        <v>1.7367729910619707E-2</v>
      </c>
      <c r="E2345" s="156">
        <v>5.3650282695718481E-4</v>
      </c>
      <c r="G2345" s="156"/>
    </row>
    <row r="2346" spans="2:7" x14ac:dyDescent="0.2">
      <c r="B2346" s="230">
        <v>42543</v>
      </c>
      <c r="C2346" s="124">
        <v>236.47</v>
      </c>
      <c r="D2346" s="156">
        <f t="shared" si="37"/>
        <v>-1.5405754257400961E-2</v>
      </c>
      <c r="E2346" s="156">
        <v>5.3210358283091214E-4</v>
      </c>
      <c r="G2346" s="156"/>
    </row>
    <row r="2347" spans="2:7" x14ac:dyDescent="0.2">
      <c r="B2347" s="230">
        <v>42542</v>
      </c>
      <c r="C2347" s="124">
        <v>239</v>
      </c>
      <c r="D2347" s="156">
        <f t="shared" si="37"/>
        <v>1.0699031589630825E-2</v>
      </c>
      <c r="E2347" s="156">
        <v>5.1809636592401137E-4</v>
      </c>
      <c r="G2347" s="156"/>
    </row>
    <row r="2348" spans="2:7" x14ac:dyDescent="0.2">
      <c r="B2348" s="230">
        <v>42541</v>
      </c>
      <c r="C2348" s="124">
        <v>238.7</v>
      </c>
      <c r="D2348" s="156">
        <f t="shared" si="37"/>
        <v>-1.25523012552306E-3</v>
      </c>
      <c r="E2348" s="156">
        <v>5.1768766177731585E-4</v>
      </c>
      <c r="G2348" s="156"/>
    </row>
    <row r="2349" spans="2:7" x14ac:dyDescent="0.2">
      <c r="B2349" s="230">
        <v>42538</v>
      </c>
      <c r="C2349" s="124">
        <v>239.9</v>
      </c>
      <c r="D2349" s="156">
        <f t="shared" si="37"/>
        <v>5.0272308336825186E-3</v>
      </c>
      <c r="E2349" s="156">
        <v>5.0838840874439621E-4</v>
      </c>
      <c r="G2349" s="156"/>
    </row>
    <row r="2350" spans="2:7" x14ac:dyDescent="0.2">
      <c r="B2350" s="230">
        <v>42537</v>
      </c>
      <c r="C2350" s="124">
        <v>236.6</v>
      </c>
      <c r="D2350" s="156">
        <f t="shared" si="37"/>
        <v>-1.3755731554814554E-2</v>
      </c>
      <c r="E2350" s="156">
        <v>5.0694514853504382E-4</v>
      </c>
      <c r="G2350" s="156"/>
    </row>
    <row r="2351" spans="2:7" x14ac:dyDescent="0.2">
      <c r="B2351" s="230">
        <v>42536</v>
      </c>
      <c r="C2351" s="124">
        <v>239.7</v>
      </c>
      <c r="D2351" s="156">
        <f t="shared" si="37"/>
        <v>1.3102282333051539E-2</v>
      </c>
      <c r="E2351" s="156">
        <v>5.0390526581014236E-4</v>
      </c>
      <c r="G2351" s="156"/>
    </row>
    <row r="2352" spans="2:7" x14ac:dyDescent="0.2">
      <c r="B2352" s="230">
        <v>42535</v>
      </c>
      <c r="C2352" s="124">
        <v>235.53</v>
      </c>
      <c r="D2352" s="156">
        <f t="shared" si="37"/>
        <v>-1.7396745932415469E-2</v>
      </c>
      <c r="E2352" s="156">
        <v>5.0180650341225571E-4</v>
      </c>
      <c r="G2352" s="156"/>
    </row>
    <row r="2353" spans="2:7" x14ac:dyDescent="0.2">
      <c r="B2353" s="230">
        <v>42534</v>
      </c>
      <c r="C2353" s="124">
        <v>233.27</v>
      </c>
      <c r="D2353" s="156">
        <f t="shared" si="37"/>
        <v>-9.5953806309174664E-3</v>
      </c>
      <c r="E2353" s="156">
        <v>5.004170141783825E-4</v>
      </c>
      <c r="G2353" s="156"/>
    </row>
    <row r="2354" spans="2:7" x14ac:dyDescent="0.2">
      <c r="B2354" s="230">
        <v>42531</v>
      </c>
      <c r="C2354" s="124">
        <v>233.8</v>
      </c>
      <c r="D2354" s="156">
        <f t="shared" si="37"/>
        <v>2.2720452694302787E-3</v>
      </c>
      <c r="E2354" s="156">
        <v>4.9842166472847352E-4</v>
      </c>
      <c r="G2354" s="156"/>
    </row>
    <row r="2355" spans="2:7" x14ac:dyDescent="0.2">
      <c r="B2355" s="230">
        <v>42530</v>
      </c>
      <c r="C2355" s="124">
        <v>236.07</v>
      </c>
      <c r="D2355" s="156">
        <f t="shared" si="37"/>
        <v>9.7091531223266973E-3</v>
      </c>
      <c r="E2355" s="156">
        <v>4.891171435559929E-4</v>
      </c>
      <c r="G2355" s="156"/>
    </row>
    <row r="2356" spans="2:7" x14ac:dyDescent="0.2">
      <c r="B2356" s="230">
        <v>42529</v>
      </c>
      <c r="C2356" s="124">
        <v>241.87</v>
      </c>
      <c r="D2356" s="156">
        <f t="shared" si="37"/>
        <v>2.4568983775998695E-2</v>
      </c>
      <c r="E2356" s="156">
        <v>4.8816206980714823E-4</v>
      </c>
      <c r="G2356" s="156"/>
    </row>
    <row r="2357" spans="2:7" x14ac:dyDescent="0.2">
      <c r="B2357" s="230">
        <v>42528</v>
      </c>
      <c r="C2357" s="124">
        <v>241.83</v>
      </c>
      <c r="D2357" s="156">
        <f t="shared" si="37"/>
        <v>-1.6537809567119543E-4</v>
      </c>
      <c r="E2357" s="156">
        <v>4.8443744701462665E-4</v>
      </c>
      <c r="G2357" s="156"/>
    </row>
    <row r="2358" spans="2:7" x14ac:dyDescent="0.2">
      <c r="B2358" s="230">
        <v>42527</v>
      </c>
      <c r="C2358" s="124">
        <v>237.07</v>
      </c>
      <c r="D2358" s="156">
        <f t="shared" si="37"/>
        <v>-1.9683248563040229E-2</v>
      </c>
      <c r="E2358" s="156">
        <v>4.7276853252644816E-4</v>
      </c>
      <c r="G2358" s="156"/>
    </row>
    <row r="2359" spans="2:7" x14ac:dyDescent="0.2">
      <c r="B2359" s="230">
        <v>42524</v>
      </c>
      <c r="C2359" s="124">
        <v>235.93</v>
      </c>
      <c r="D2359" s="156">
        <f t="shared" si="37"/>
        <v>-4.8087062892815894E-3</v>
      </c>
      <c r="E2359" s="156">
        <v>4.697040864255252E-4</v>
      </c>
      <c r="G2359" s="156"/>
    </row>
    <row r="2360" spans="2:7" x14ac:dyDescent="0.2">
      <c r="B2360" s="230">
        <v>42523</v>
      </c>
      <c r="C2360" s="124">
        <v>238.67</v>
      </c>
      <c r="D2360" s="156">
        <f t="shared" si="37"/>
        <v>1.1613614207603868E-2</v>
      </c>
      <c r="E2360" s="156">
        <v>4.6873535202022272E-4</v>
      </c>
      <c r="G2360" s="156"/>
    </row>
    <row r="2361" spans="2:7" x14ac:dyDescent="0.2">
      <c r="B2361" s="230">
        <v>42522</v>
      </c>
      <c r="C2361" s="124">
        <v>240.93</v>
      </c>
      <c r="D2361" s="156">
        <f t="shared" si="37"/>
        <v>9.4691414924373378E-3</v>
      </c>
      <c r="E2361" s="156">
        <v>4.6296296296293663E-4</v>
      </c>
      <c r="G2361" s="156"/>
    </row>
    <row r="2362" spans="2:7" x14ac:dyDescent="0.2">
      <c r="B2362" s="230">
        <v>42521</v>
      </c>
      <c r="C2362" s="124">
        <v>234.03</v>
      </c>
      <c r="D2362" s="156">
        <f t="shared" si="37"/>
        <v>-2.8639023782841513E-2</v>
      </c>
      <c r="E2362" s="156">
        <v>4.491354143273942E-4</v>
      </c>
      <c r="G2362" s="156"/>
    </row>
    <row r="2363" spans="2:7" x14ac:dyDescent="0.2">
      <c r="B2363" s="230">
        <v>42520</v>
      </c>
      <c r="C2363" s="124">
        <v>237.67</v>
      </c>
      <c r="D2363" s="156">
        <f t="shared" si="37"/>
        <v>1.5553561509208162E-2</v>
      </c>
      <c r="E2363" s="156">
        <v>4.4885318012475569E-4</v>
      </c>
      <c r="G2363" s="156"/>
    </row>
    <row r="2364" spans="2:7" x14ac:dyDescent="0.2">
      <c r="B2364" s="230">
        <v>42517</v>
      </c>
      <c r="C2364" s="124">
        <v>238.2</v>
      </c>
      <c r="D2364" s="156">
        <f t="shared" si="37"/>
        <v>2.2299827491900582E-3</v>
      </c>
      <c r="E2364" s="156">
        <v>4.4879946144066329E-4</v>
      </c>
      <c r="G2364" s="156"/>
    </row>
    <row r="2365" spans="2:7" x14ac:dyDescent="0.2">
      <c r="B2365" s="230">
        <v>42516</v>
      </c>
      <c r="C2365" s="124">
        <v>240.29</v>
      </c>
      <c r="D2365" s="156">
        <f t="shared" si="37"/>
        <v>8.7741393786733984E-3</v>
      </c>
      <c r="E2365" s="156">
        <v>4.4749403341269275E-4</v>
      </c>
      <c r="G2365" s="156"/>
    </row>
    <row r="2366" spans="2:7" x14ac:dyDescent="0.2">
      <c r="B2366" s="230">
        <v>42515</v>
      </c>
      <c r="C2366" s="124">
        <v>236.05</v>
      </c>
      <c r="D2366" s="156">
        <f t="shared" ref="D2366:D2429" si="38">(C2366-C2365)/C2365</f>
        <v>-1.7645345207873739E-2</v>
      </c>
      <c r="E2366" s="156">
        <v>4.3836577240046604E-4</v>
      </c>
      <c r="G2366" s="156"/>
    </row>
    <row r="2367" spans="2:7" x14ac:dyDescent="0.2">
      <c r="B2367" s="230">
        <v>42514</v>
      </c>
      <c r="C2367" s="124">
        <v>230.74</v>
      </c>
      <c r="D2367" s="156">
        <f t="shared" si="38"/>
        <v>-2.2495234060580394E-2</v>
      </c>
      <c r="E2367" s="156">
        <v>4.3169063685728699E-4</v>
      </c>
      <c r="G2367" s="156"/>
    </row>
    <row r="2368" spans="2:7" x14ac:dyDescent="0.2">
      <c r="B2368" s="230">
        <v>42513</v>
      </c>
      <c r="C2368" s="124">
        <v>229.95</v>
      </c>
      <c r="D2368" s="156">
        <f t="shared" si="38"/>
        <v>-3.4237670104880838E-3</v>
      </c>
      <c r="E2368" s="156">
        <v>4.2453831458286694E-4</v>
      </c>
      <c r="G2368" s="156"/>
    </row>
    <row r="2369" spans="2:7" x14ac:dyDescent="0.2">
      <c r="B2369" s="230">
        <v>42510</v>
      </c>
      <c r="C2369" s="124">
        <v>219.01</v>
      </c>
      <c r="D2369" s="156">
        <f t="shared" si="38"/>
        <v>-4.7575559904327019E-2</v>
      </c>
      <c r="E2369" s="156">
        <v>4.1779820346770133E-4</v>
      </c>
      <c r="G2369" s="156"/>
    </row>
    <row r="2370" spans="2:7" x14ac:dyDescent="0.2">
      <c r="B2370" s="230">
        <v>42509</v>
      </c>
      <c r="C2370" s="124">
        <v>215.36</v>
      </c>
      <c r="D2370" s="156">
        <f t="shared" si="38"/>
        <v>-1.6665905666407823E-2</v>
      </c>
      <c r="E2370" s="156">
        <v>4.0010669511871347E-4</v>
      </c>
      <c r="G2370" s="156"/>
    </row>
    <row r="2371" spans="2:7" x14ac:dyDescent="0.2">
      <c r="B2371" s="230">
        <v>42508</v>
      </c>
      <c r="C2371" s="124">
        <v>220.57</v>
      </c>
      <c r="D2371" s="156">
        <f t="shared" si="38"/>
        <v>2.4192050520059339E-2</v>
      </c>
      <c r="E2371" s="156">
        <v>3.9200313602506592E-4</v>
      </c>
      <c r="G2371" s="156"/>
    </row>
    <row r="2372" spans="2:7" x14ac:dyDescent="0.2">
      <c r="B2372" s="230">
        <v>42507</v>
      </c>
      <c r="C2372" s="124">
        <v>219.11</v>
      </c>
      <c r="D2372" s="156">
        <f t="shared" si="38"/>
        <v>-6.619213855011922E-3</v>
      </c>
      <c r="E2372" s="156">
        <v>3.7857278061715976E-4</v>
      </c>
      <c r="G2372" s="156"/>
    </row>
    <row r="2373" spans="2:7" x14ac:dyDescent="0.2">
      <c r="B2373" s="230">
        <v>42506</v>
      </c>
      <c r="C2373" s="124">
        <v>218.38</v>
      </c>
      <c r="D2373" s="156">
        <f t="shared" si="38"/>
        <v>-3.3316598968555437E-3</v>
      </c>
      <c r="E2373" s="156">
        <v>3.7243947858465586E-4</v>
      </c>
      <c r="G2373" s="156"/>
    </row>
    <row r="2374" spans="2:7" x14ac:dyDescent="0.2">
      <c r="B2374" s="230">
        <v>42503</v>
      </c>
      <c r="C2374" s="124">
        <v>211.72</v>
      </c>
      <c r="D2374" s="156">
        <f t="shared" si="38"/>
        <v>-3.0497298287388942E-2</v>
      </c>
      <c r="E2374" s="156">
        <v>3.7178670065855736E-4</v>
      </c>
      <c r="G2374" s="156"/>
    </row>
    <row r="2375" spans="2:7" x14ac:dyDescent="0.2">
      <c r="B2375" s="230">
        <v>42502</v>
      </c>
      <c r="C2375" s="124">
        <v>210.95</v>
      </c>
      <c r="D2375" s="156">
        <f t="shared" si="38"/>
        <v>-3.6368788966560091E-3</v>
      </c>
      <c r="E2375" s="156">
        <v>3.4281796366124388E-4</v>
      </c>
      <c r="G2375" s="156"/>
    </row>
    <row r="2376" spans="2:7" x14ac:dyDescent="0.2">
      <c r="B2376" s="230">
        <v>42501</v>
      </c>
      <c r="C2376" s="124">
        <v>210.82</v>
      </c>
      <c r="D2376" s="156">
        <f t="shared" si="38"/>
        <v>-6.1625977719836672E-4</v>
      </c>
      <c r="E2376" s="156">
        <v>3.4205575508813283E-4</v>
      </c>
      <c r="G2376" s="156"/>
    </row>
    <row r="2377" spans="2:7" x14ac:dyDescent="0.2">
      <c r="B2377" s="230">
        <v>42500</v>
      </c>
      <c r="C2377" s="124">
        <v>214.47</v>
      </c>
      <c r="D2377" s="156">
        <f t="shared" si="38"/>
        <v>1.7313347879707834E-2</v>
      </c>
      <c r="E2377" s="156">
        <v>3.4019391052907892E-4</v>
      </c>
      <c r="G2377" s="156"/>
    </row>
    <row r="2378" spans="2:7" x14ac:dyDescent="0.2">
      <c r="B2378" s="230">
        <v>42499</v>
      </c>
      <c r="C2378" s="124">
        <v>215.33</v>
      </c>
      <c r="D2378" s="156">
        <f t="shared" si="38"/>
        <v>4.0098848323775523E-3</v>
      </c>
      <c r="E2378" s="156">
        <v>3.3500837520931357E-4</v>
      </c>
      <c r="G2378" s="156"/>
    </row>
    <row r="2379" spans="2:7" x14ac:dyDescent="0.2">
      <c r="B2379" s="230">
        <v>42496</v>
      </c>
      <c r="C2379" s="124">
        <v>210.62</v>
      </c>
      <c r="D2379" s="156">
        <f t="shared" si="38"/>
        <v>-2.1873403613059061E-2</v>
      </c>
      <c r="E2379" s="156">
        <v>3.3448012232412642E-4</v>
      </c>
      <c r="G2379" s="156"/>
    </row>
    <row r="2380" spans="2:7" x14ac:dyDescent="0.2">
      <c r="B2380" s="230">
        <v>42495</v>
      </c>
      <c r="C2380" s="124">
        <v>210.59</v>
      </c>
      <c r="D2380" s="156">
        <f t="shared" si="38"/>
        <v>-1.4243661570601622E-4</v>
      </c>
      <c r="E2380" s="156">
        <v>3.1384856806584575E-4</v>
      </c>
      <c r="G2380" s="156"/>
    </row>
    <row r="2381" spans="2:7" x14ac:dyDescent="0.2">
      <c r="B2381" s="230">
        <v>42494</v>
      </c>
      <c r="C2381" s="124">
        <v>207.27</v>
      </c>
      <c r="D2381" s="156">
        <f t="shared" si="38"/>
        <v>-1.5765231017617138E-2</v>
      </c>
      <c r="E2381" s="156">
        <v>3.029385034837633E-4</v>
      </c>
      <c r="G2381" s="156"/>
    </row>
    <row r="2382" spans="2:7" x14ac:dyDescent="0.2">
      <c r="B2382" s="230">
        <v>42493</v>
      </c>
      <c r="C2382" s="124">
        <v>209.53</v>
      </c>
      <c r="D2382" s="156">
        <f t="shared" si="38"/>
        <v>1.0903652241038215E-2</v>
      </c>
      <c r="E2382" s="156">
        <v>3.0259474998102764E-4</v>
      </c>
      <c r="G2382" s="156"/>
    </row>
    <row r="2383" spans="2:7" x14ac:dyDescent="0.2">
      <c r="B2383" s="230">
        <v>42492</v>
      </c>
      <c r="C2383" s="124">
        <v>212.91</v>
      </c>
      <c r="D2383" s="156">
        <f t="shared" si="38"/>
        <v>1.6131341573998929E-2</v>
      </c>
      <c r="E2383" s="156">
        <v>2.9967036260110955E-4</v>
      </c>
      <c r="G2383" s="156"/>
    </row>
    <row r="2384" spans="2:7" x14ac:dyDescent="0.2">
      <c r="B2384" s="230">
        <v>42489</v>
      </c>
      <c r="C2384" s="124">
        <v>215.43</v>
      </c>
      <c r="D2384" s="156">
        <f t="shared" si="38"/>
        <v>1.1835987036776151E-2</v>
      </c>
      <c r="E2384" s="156">
        <v>2.885447725305486E-4</v>
      </c>
      <c r="G2384" s="156"/>
    </row>
    <row r="2385" spans="2:7" x14ac:dyDescent="0.2">
      <c r="B2385" s="230">
        <v>42488</v>
      </c>
      <c r="C2385" s="124">
        <v>214.07</v>
      </c>
      <c r="D2385" s="156">
        <f t="shared" si="38"/>
        <v>-6.3129554843801405E-3</v>
      </c>
      <c r="E2385" s="156">
        <v>2.8455168881417607E-4</v>
      </c>
      <c r="G2385" s="156"/>
    </row>
    <row r="2386" spans="2:7" x14ac:dyDescent="0.2">
      <c r="B2386" s="230">
        <v>42487</v>
      </c>
      <c r="C2386" s="124">
        <v>221.13</v>
      </c>
      <c r="D2386" s="156">
        <f t="shared" si="38"/>
        <v>3.2979866398841512E-2</v>
      </c>
      <c r="E2386" s="156">
        <v>2.8281876031111133E-4</v>
      </c>
      <c r="G2386" s="156"/>
    </row>
    <row r="2387" spans="2:7" x14ac:dyDescent="0.2">
      <c r="B2387" s="230">
        <v>42486</v>
      </c>
      <c r="C2387" s="124">
        <v>217.05</v>
      </c>
      <c r="D2387" s="156">
        <f t="shared" si="38"/>
        <v>-1.8450685117351713E-2</v>
      </c>
      <c r="E2387" s="156">
        <v>2.7438606118803706E-4</v>
      </c>
      <c r="G2387" s="156"/>
    </row>
    <row r="2388" spans="2:7" x14ac:dyDescent="0.2">
      <c r="B2388" s="230">
        <v>42485</v>
      </c>
      <c r="C2388" s="124">
        <v>212.78</v>
      </c>
      <c r="D2388" s="156">
        <f t="shared" si="38"/>
        <v>-1.967288643169781E-2</v>
      </c>
      <c r="E2388" s="156">
        <v>2.6951756356123559E-4</v>
      </c>
      <c r="G2388" s="156"/>
    </row>
    <row r="2389" spans="2:7" x14ac:dyDescent="0.2">
      <c r="B2389" s="230">
        <v>42482</v>
      </c>
      <c r="C2389" s="124">
        <v>215.99</v>
      </c>
      <c r="D2389" s="156">
        <f t="shared" si="38"/>
        <v>1.5086004323714671E-2</v>
      </c>
      <c r="E2389" s="156">
        <v>2.6073353033201059E-4</v>
      </c>
      <c r="G2389" s="156"/>
    </row>
    <row r="2390" spans="2:7" x14ac:dyDescent="0.2">
      <c r="B2390" s="230">
        <v>42481</v>
      </c>
      <c r="C2390" s="124">
        <v>218.74</v>
      </c>
      <c r="D2390" s="156">
        <f t="shared" si="38"/>
        <v>1.2732070929209685E-2</v>
      </c>
      <c r="E2390" s="156">
        <v>2.5988201356575243E-4</v>
      </c>
      <c r="G2390" s="156"/>
    </row>
    <row r="2391" spans="2:7" x14ac:dyDescent="0.2">
      <c r="B2391" s="230">
        <v>42480</v>
      </c>
      <c r="C2391" s="124">
        <v>222.42</v>
      </c>
      <c r="D2391" s="156">
        <f t="shared" si="38"/>
        <v>1.6823626222912946E-2</v>
      </c>
      <c r="E2391" s="156">
        <v>2.5850926324860952E-4</v>
      </c>
      <c r="G2391" s="156"/>
    </row>
    <row r="2392" spans="2:7" x14ac:dyDescent="0.2">
      <c r="B2392" s="230">
        <v>42478</v>
      </c>
      <c r="C2392" s="124">
        <v>222.36</v>
      </c>
      <c r="D2392" s="156">
        <f t="shared" si="38"/>
        <v>-2.6975991367671009E-4</v>
      </c>
      <c r="E2392" s="156">
        <v>2.5616212216096043E-4</v>
      </c>
      <c r="G2392" s="156"/>
    </row>
    <row r="2393" spans="2:7" x14ac:dyDescent="0.2">
      <c r="B2393" s="230">
        <v>42473</v>
      </c>
      <c r="C2393" s="124">
        <v>219.6</v>
      </c>
      <c r="D2393" s="156">
        <f t="shared" si="38"/>
        <v>-1.2412304371289887E-2</v>
      </c>
      <c r="E2393" s="156">
        <v>2.5336767872979297E-4</v>
      </c>
      <c r="G2393" s="156"/>
    </row>
    <row r="2394" spans="2:7" x14ac:dyDescent="0.2">
      <c r="B2394" s="230">
        <v>42472</v>
      </c>
      <c r="C2394" s="124">
        <v>213.74</v>
      </c>
      <c r="D2394" s="156">
        <f t="shared" si="38"/>
        <v>-2.6684881602914323E-2</v>
      </c>
      <c r="E2394" s="156">
        <v>2.4369440721347914E-4</v>
      </c>
      <c r="G2394" s="156"/>
    </row>
    <row r="2395" spans="2:7" x14ac:dyDescent="0.2">
      <c r="B2395" s="230">
        <v>42471</v>
      </c>
      <c r="C2395" s="124">
        <v>216.95</v>
      </c>
      <c r="D2395" s="156">
        <f t="shared" si="38"/>
        <v>1.5018246467670906E-2</v>
      </c>
      <c r="E2395" s="156">
        <v>2.4354603019962468E-4</v>
      </c>
      <c r="G2395" s="156"/>
    </row>
    <row r="2396" spans="2:7" x14ac:dyDescent="0.2">
      <c r="B2396" s="230">
        <v>42468</v>
      </c>
      <c r="C2396" s="124">
        <v>212.94</v>
      </c>
      <c r="D2396" s="156">
        <f t="shared" si="38"/>
        <v>-1.8483521548743911E-2</v>
      </c>
      <c r="E2396" s="156">
        <v>2.4224806201551306E-4</v>
      </c>
      <c r="G2396" s="156"/>
    </row>
    <row r="2397" spans="2:7" x14ac:dyDescent="0.2">
      <c r="B2397" s="230">
        <v>42467</v>
      </c>
      <c r="C2397" s="124">
        <v>211.78</v>
      </c>
      <c r="D2397" s="156">
        <f t="shared" si="38"/>
        <v>-5.4475439090823545E-3</v>
      </c>
      <c r="E2397" s="156">
        <v>2.4090580583004375E-4</v>
      </c>
      <c r="G2397" s="156"/>
    </row>
    <row r="2398" spans="2:7" x14ac:dyDescent="0.2">
      <c r="B2398" s="230">
        <v>42466</v>
      </c>
      <c r="C2398" s="124">
        <v>216.06</v>
      </c>
      <c r="D2398" s="156">
        <f t="shared" si="38"/>
        <v>2.0209651525167634E-2</v>
      </c>
      <c r="E2398" s="156">
        <v>2.3934897079934392E-4</v>
      </c>
      <c r="G2398" s="156"/>
    </row>
    <row r="2399" spans="2:7" x14ac:dyDescent="0.2">
      <c r="B2399" s="230">
        <v>42465</v>
      </c>
      <c r="C2399" s="124">
        <v>216.42</v>
      </c>
      <c r="D2399" s="156">
        <f t="shared" si="38"/>
        <v>1.6662038322687459E-3</v>
      </c>
      <c r="E2399" s="156">
        <v>2.3372677340201278E-4</v>
      </c>
      <c r="G2399" s="156"/>
    </row>
    <row r="2400" spans="2:7" x14ac:dyDescent="0.2">
      <c r="B2400" s="230">
        <v>42464</v>
      </c>
      <c r="C2400" s="124">
        <v>219.24</v>
      </c>
      <c r="D2400" s="156">
        <f t="shared" si="38"/>
        <v>1.3030219018575094E-2</v>
      </c>
      <c r="E2400" s="156">
        <v>1.9607843137251001E-4</v>
      </c>
      <c r="G2400" s="156"/>
    </row>
    <row r="2401" spans="2:7" x14ac:dyDescent="0.2">
      <c r="B2401" s="230">
        <v>42461</v>
      </c>
      <c r="C2401" s="124">
        <v>222.79</v>
      </c>
      <c r="D2401" s="156">
        <f t="shared" si="38"/>
        <v>1.6192300675059217E-2</v>
      </c>
      <c r="E2401" s="156">
        <v>1.8812709030106988E-4</v>
      </c>
      <c r="G2401" s="156"/>
    </row>
    <row r="2402" spans="2:7" x14ac:dyDescent="0.2">
      <c r="B2402" s="230">
        <v>42460</v>
      </c>
      <c r="C2402" s="124">
        <v>217.62</v>
      </c>
      <c r="D2402" s="156">
        <f t="shared" si="38"/>
        <v>-2.320570941245113E-2</v>
      </c>
      <c r="E2402" s="156">
        <v>1.8737118231225625E-4</v>
      </c>
      <c r="G2402" s="156"/>
    </row>
    <row r="2403" spans="2:7" x14ac:dyDescent="0.2">
      <c r="B2403" s="230">
        <v>42459</v>
      </c>
      <c r="C2403" s="124">
        <v>217.02</v>
      </c>
      <c r="D2403" s="156">
        <f t="shared" si="38"/>
        <v>-2.7570995312930537E-3</v>
      </c>
      <c r="E2403" s="156">
        <v>1.8726591760303884E-4</v>
      </c>
      <c r="G2403" s="156"/>
    </row>
    <row r="2404" spans="2:7" x14ac:dyDescent="0.2">
      <c r="B2404" s="230">
        <v>42458</v>
      </c>
      <c r="C2404" s="124">
        <v>212.15</v>
      </c>
      <c r="D2404" s="156">
        <f t="shared" si="38"/>
        <v>-2.2440328080361276E-2</v>
      </c>
      <c r="E2404" s="156">
        <v>1.8428933425474332E-4</v>
      </c>
      <c r="G2404" s="156"/>
    </row>
    <row r="2405" spans="2:7" x14ac:dyDescent="0.2">
      <c r="B2405" s="230">
        <v>42457</v>
      </c>
      <c r="C2405" s="124">
        <v>213.77</v>
      </c>
      <c r="D2405" s="156">
        <f t="shared" si="38"/>
        <v>7.6361065283997382E-3</v>
      </c>
      <c r="E2405" s="156">
        <v>1.8400956849752527E-4</v>
      </c>
      <c r="G2405" s="156"/>
    </row>
    <row r="2406" spans="2:7" x14ac:dyDescent="0.2">
      <c r="B2406" s="230">
        <v>42452</v>
      </c>
      <c r="C2406" s="124">
        <v>214.96</v>
      </c>
      <c r="D2406" s="156">
        <f t="shared" si="38"/>
        <v>5.5667305983065803E-3</v>
      </c>
      <c r="E2406" s="156">
        <v>1.8125793003427414E-4</v>
      </c>
      <c r="G2406" s="156"/>
    </row>
    <row r="2407" spans="2:7" x14ac:dyDescent="0.2">
      <c r="B2407" s="230">
        <v>42451</v>
      </c>
      <c r="C2407" s="124">
        <v>214.23</v>
      </c>
      <c r="D2407" s="156">
        <f t="shared" si="38"/>
        <v>-3.3959806475624215E-3</v>
      </c>
      <c r="E2407" s="156">
        <v>1.7917935853793717E-4</v>
      </c>
      <c r="G2407" s="156"/>
    </row>
    <row r="2408" spans="2:7" x14ac:dyDescent="0.2">
      <c r="B2408" s="230">
        <v>42450</v>
      </c>
      <c r="C2408" s="124">
        <v>219.74</v>
      </c>
      <c r="D2408" s="156">
        <f t="shared" si="38"/>
        <v>2.5720020538673481E-2</v>
      </c>
      <c r="E2408" s="156">
        <v>1.7914725904677364E-4</v>
      </c>
      <c r="G2408" s="156"/>
    </row>
    <row r="2409" spans="2:7" x14ac:dyDescent="0.2">
      <c r="B2409" s="230">
        <v>42447</v>
      </c>
      <c r="C2409" s="124">
        <v>215.3</v>
      </c>
      <c r="D2409" s="156">
        <f t="shared" si="38"/>
        <v>-2.0205697642668597E-2</v>
      </c>
      <c r="E2409" s="156">
        <v>1.76616036736226E-4</v>
      </c>
      <c r="G2409" s="156"/>
    </row>
    <row r="2410" spans="2:7" x14ac:dyDescent="0.2">
      <c r="B2410" s="230">
        <v>42446</v>
      </c>
      <c r="C2410" s="124">
        <v>214.57</v>
      </c>
      <c r="D2410" s="156">
        <f t="shared" si="38"/>
        <v>-3.3906177426847105E-3</v>
      </c>
      <c r="E2410" s="156">
        <v>1.7574692442878754E-4</v>
      </c>
      <c r="G2410" s="156"/>
    </row>
    <row r="2411" spans="2:7" x14ac:dyDescent="0.2">
      <c r="B2411" s="230">
        <v>42445</v>
      </c>
      <c r="C2411" s="124">
        <v>213.51</v>
      </c>
      <c r="D2411" s="156">
        <f t="shared" si="38"/>
        <v>-4.9401127837069595E-3</v>
      </c>
      <c r="E2411" s="156">
        <v>1.6909982526352031E-4</v>
      </c>
      <c r="G2411" s="156"/>
    </row>
    <row r="2412" spans="2:7" x14ac:dyDescent="0.2">
      <c r="B2412" s="230">
        <v>42444</v>
      </c>
      <c r="C2412" s="124">
        <v>209.83</v>
      </c>
      <c r="D2412" s="156">
        <f t="shared" si="38"/>
        <v>-1.7235726663856393E-2</v>
      </c>
      <c r="E2412" s="156">
        <v>1.6556291390725184E-4</v>
      </c>
      <c r="G2412" s="156"/>
    </row>
    <row r="2413" spans="2:7" x14ac:dyDescent="0.2">
      <c r="B2413" s="230">
        <v>42443</v>
      </c>
      <c r="C2413" s="124">
        <v>215.49</v>
      </c>
      <c r="D2413" s="156">
        <f t="shared" si="38"/>
        <v>2.6974217223466598E-2</v>
      </c>
      <c r="E2413" s="156">
        <v>1.5764582238571274E-4</v>
      </c>
      <c r="G2413" s="156"/>
    </row>
    <row r="2414" spans="2:7" x14ac:dyDescent="0.2">
      <c r="B2414" s="230">
        <v>42440</v>
      </c>
      <c r="C2414" s="124">
        <v>213.01</v>
      </c>
      <c r="D2414" s="156">
        <f t="shared" si="38"/>
        <v>-1.15086546939534E-2</v>
      </c>
      <c r="E2414" s="156">
        <v>1.4732603250995009E-4</v>
      </c>
      <c r="G2414" s="156"/>
    </row>
    <row r="2415" spans="2:7" x14ac:dyDescent="0.2">
      <c r="B2415" s="230">
        <v>42439</v>
      </c>
      <c r="C2415" s="124">
        <v>209.56</v>
      </c>
      <c r="D2415" s="156">
        <f t="shared" si="38"/>
        <v>-1.6196422703159425E-2</v>
      </c>
      <c r="E2415" s="156">
        <v>1.4035744362309878E-4</v>
      </c>
      <c r="G2415" s="156"/>
    </row>
    <row r="2416" spans="2:7" x14ac:dyDescent="0.2">
      <c r="B2416" s="230">
        <v>42438</v>
      </c>
      <c r="C2416" s="124">
        <v>212.08</v>
      </c>
      <c r="D2416" s="156">
        <f t="shared" si="38"/>
        <v>1.202519564802448E-2</v>
      </c>
      <c r="E2416" s="156">
        <v>1.3958032847904498E-4</v>
      </c>
      <c r="G2416" s="156"/>
    </row>
    <row r="2417" spans="2:7" x14ac:dyDescent="0.2">
      <c r="B2417" s="230">
        <v>42437</v>
      </c>
      <c r="C2417" s="124">
        <v>212.31</v>
      </c>
      <c r="D2417" s="156">
        <f t="shared" si="38"/>
        <v>1.0844964164465757E-3</v>
      </c>
      <c r="E2417" s="156">
        <v>1.3764624913971616E-4</v>
      </c>
      <c r="G2417" s="156"/>
    </row>
    <row r="2418" spans="2:7" x14ac:dyDescent="0.2">
      <c r="B2418" s="230">
        <v>42433</v>
      </c>
      <c r="C2418" s="124">
        <v>208.96</v>
      </c>
      <c r="D2418" s="156">
        <f t="shared" si="38"/>
        <v>-1.577881399839854E-2</v>
      </c>
      <c r="E2418" s="156">
        <v>1.250781738586901E-4</v>
      </c>
      <c r="G2418" s="156"/>
    </row>
    <row r="2419" spans="2:7" x14ac:dyDescent="0.2">
      <c r="B2419" s="230">
        <v>42432</v>
      </c>
      <c r="C2419" s="124">
        <v>210.92</v>
      </c>
      <c r="D2419" s="156">
        <f t="shared" si="38"/>
        <v>9.3797856049003606E-3</v>
      </c>
      <c r="E2419" s="156">
        <v>1.2368583797158037E-4</v>
      </c>
      <c r="G2419" s="156"/>
    </row>
    <row r="2420" spans="2:7" x14ac:dyDescent="0.2">
      <c r="B2420" s="230">
        <v>42431</v>
      </c>
      <c r="C2420" s="124">
        <v>211.85</v>
      </c>
      <c r="D2420" s="156">
        <f t="shared" si="38"/>
        <v>4.4092546937227707E-3</v>
      </c>
      <c r="E2420" s="156">
        <v>1.2120918280771707E-4</v>
      </c>
      <c r="G2420" s="156"/>
    </row>
    <row r="2421" spans="2:7" x14ac:dyDescent="0.2">
      <c r="B2421" s="230">
        <v>42430</v>
      </c>
      <c r="C2421" s="124">
        <v>215.69</v>
      </c>
      <c r="D2421" s="156">
        <f t="shared" si="38"/>
        <v>1.8126032570214792E-2</v>
      </c>
      <c r="E2421" s="156">
        <v>1.1996161228409637E-4</v>
      </c>
      <c r="G2421" s="156"/>
    </row>
    <row r="2422" spans="2:7" x14ac:dyDescent="0.2">
      <c r="B2422" s="230">
        <v>42429</v>
      </c>
      <c r="C2422" s="124">
        <v>196</v>
      </c>
      <c r="D2422" s="156">
        <f t="shared" si="38"/>
        <v>-9.1288423199962901E-2</v>
      </c>
      <c r="E2422" s="156">
        <v>1.1618720081798432E-4</v>
      </c>
      <c r="G2422" s="156"/>
    </row>
    <row r="2423" spans="2:7" x14ac:dyDescent="0.2">
      <c r="B2423" s="230">
        <v>42426</v>
      </c>
      <c r="C2423" s="124">
        <v>192.89</v>
      </c>
      <c r="D2423" s="156">
        <f t="shared" si="38"/>
        <v>-1.5867346938775579E-2</v>
      </c>
      <c r="E2423" s="156">
        <v>1.1081560283690464E-4</v>
      </c>
      <c r="G2423" s="156"/>
    </row>
    <row r="2424" spans="2:7" x14ac:dyDescent="0.2">
      <c r="B2424" s="230">
        <v>42425</v>
      </c>
      <c r="C2424" s="124">
        <v>189.74</v>
      </c>
      <c r="D2424" s="156">
        <f t="shared" si="38"/>
        <v>-1.6330551091295439E-2</v>
      </c>
      <c r="E2424" s="156">
        <v>1.0111632421929E-4</v>
      </c>
      <c r="G2424" s="156"/>
    </row>
    <row r="2425" spans="2:7" x14ac:dyDescent="0.2">
      <c r="B2425" s="230">
        <v>42424</v>
      </c>
      <c r="C2425" s="124">
        <v>190.67</v>
      </c>
      <c r="D2425" s="156">
        <f t="shared" si="38"/>
        <v>4.9014440813743981E-3</v>
      </c>
      <c r="E2425" s="156">
        <v>0</v>
      </c>
      <c r="G2425" s="156"/>
    </row>
    <row r="2426" spans="2:7" x14ac:dyDescent="0.2">
      <c r="B2426" s="230">
        <v>42423</v>
      </c>
      <c r="C2426" s="124">
        <v>194.78</v>
      </c>
      <c r="D2426" s="156">
        <f t="shared" si="38"/>
        <v>2.155556721036353E-2</v>
      </c>
      <c r="E2426" s="156">
        <v>0</v>
      </c>
      <c r="G2426" s="156"/>
    </row>
    <row r="2427" spans="2:7" x14ac:dyDescent="0.2">
      <c r="B2427" s="230">
        <v>42422</v>
      </c>
      <c r="C2427" s="124">
        <v>198.79</v>
      </c>
      <c r="D2427" s="156">
        <f t="shared" si="38"/>
        <v>2.0587329294588719E-2</v>
      </c>
      <c r="E2427" s="156">
        <v>0</v>
      </c>
      <c r="G2427" s="156"/>
    </row>
    <row r="2428" spans="2:7" x14ac:dyDescent="0.2">
      <c r="B2428" s="230">
        <v>42419</v>
      </c>
      <c r="C2428" s="124">
        <v>201.9</v>
      </c>
      <c r="D2428" s="156">
        <f t="shared" si="38"/>
        <v>1.5644650133306574E-2</v>
      </c>
      <c r="E2428" s="156">
        <v>0</v>
      </c>
      <c r="G2428" s="156"/>
    </row>
    <row r="2429" spans="2:7" x14ac:dyDescent="0.2">
      <c r="B2429" s="230">
        <v>42418</v>
      </c>
      <c r="C2429" s="124">
        <v>202.5</v>
      </c>
      <c r="D2429" s="156">
        <f t="shared" si="38"/>
        <v>2.9717682020802094E-3</v>
      </c>
      <c r="E2429" s="156">
        <v>0</v>
      </c>
      <c r="G2429" s="156"/>
    </row>
    <row r="2430" spans="2:7" x14ac:dyDescent="0.2">
      <c r="B2430" s="230">
        <v>42417</v>
      </c>
      <c r="C2430" s="124">
        <v>198.79</v>
      </c>
      <c r="D2430" s="156">
        <f t="shared" ref="D2430:D2493" si="39">(C2430-C2429)/C2429</f>
        <v>-1.8320987654321028E-2</v>
      </c>
      <c r="E2430" s="156">
        <v>0</v>
      </c>
      <c r="G2430" s="156"/>
    </row>
    <row r="2431" spans="2:7" x14ac:dyDescent="0.2">
      <c r="B2431" s="230">
        <v>42416</v>
      </c>
      <c r="C2431" s="124">
        <v>195.9</v>
      </c>
      <c r="D2431" s="156">
        <f t="shared" si="39"/>
        <v>-1.4537954625484111E-2</v>
      </c>
      <c r="E2431" s="156">
        <v>0</v>
      </c>
      <c r="G2431" s="156"/>
    </row>
    <row r="2432" spans="2:7" x14ac:dyDescent="0.2">
      <c r="B2432" s="230">
        <v>42415</v>
      </c>
      <c r="C2432" s="124">
        <v>201.34</v>
      </c>
      <c r="D2432" s="156">
        <f t="shared" si="39"/>
        <v>2.7769270035732506E-2</v>
      </c>
      <c r="E2432" s="156">
        <v>0</v>
      </c>
      <c r="G2432" s="156"/>
    </row>
    <row r="2433" spans="2:7" x14ac:dyDescent="0.2">
      <c r="B2433" s="230">
        <v>42412</v>
      </c>
      <c r="C2433" s="124">
        <v>198.95</v>
      </c>
      <c r="D2433" s="156">
        <f t="shared" si="39"/>
        <v>-1.1870467865302547E-2</v>
      </c>
      <c r="E2433" s="156">
        <v>0</v>
      </c>
      <c r="G2433" s="156"/>
    </row>
    <row r="2434" spans="2:7" x14ac:dyDescent="0.2">
      <c r="B2434" s="230">
        <v>42411</v>
      </c>
      <c r="C2434" s="124">
        <v>197.93</v>
      </c>
      <c r="D2434" s="156">
        <f t="shared" si="39"/>
        <v>-5.1269163106307204E-3</v>
      </c>
      <c r="E2434" s="156">
        <v>0</v>
      </c>
      <c r="G2434" s="156"/>
    </row>
    <row r="2435" spans="2:7" x14ac:dyDescent="0.2">
      <c r="B2435" s="230">
        <v>42410</v>
      </c>
      <c r="C2435" s="124">
        <v>204.85</v>
      </c>
      <c r="D2435" s="156">
        <f t="shared" si="39"/>
        <v>3.4961855201333741E-2</v>
      </c>
      <c r="E2435" s="156">
        <v>0</v>
      </c>
      <c r="G2435" s="156"/>
    </row>
    <row r="2436" spans="2:7" x14ac:dyDescent="0.2">
      <c r="B2436" s="230">
        <v>42409</v>
      </c>
      <c r="C2436" s="124">
        <v>207.11</v>
      </c>
      <c r="D2436" s="156">
        <f t="shared" si="39"/>
        <v>1.1032462777642272E-2</v>
      </c>
      <c r="E2436" s="156">
        <v>0</v>
      </c>
      <c r="G2436" s="156"/>
    </row>
    <row r="2437" spans="2:7" x14ac:dyDescent="0.2">
      <c r="B2437" s="230">
        <v>42408</v>
      </c>
      <c r="C2437" s="124">
        <v>209</v>
      </c>
      <c r="D2437" s="156">
        <f t="shared" si="39"/>
        <v>9.1255854376900494E-3</v>
      </c>
      <c r="E2437" s="156">
        <v>0</v>
      </c>
      <c r="G2437" s="156"/>
    </row>
    <row r="2438" spans="2:7" x14ac:dyDescent="0.2">
      <c r="B2438" s="230">
        <v>42405</v>
      </c>
      <c r="C2438" s="124">
        <v>214.76</v>
      </c>
      <c r="D2438" s="156">
        <f t="shared" si="39"/>
        <v>2.7559808612440149E-2</v>
      </c>
      <c r="E2438" s="156">
        <v>0</v>
      </c>
      <c r="G2438" s="156"/>
    </row>
    <row r="2439" spans="2:7" x14ac:dyDescent="0.2">
      <c r="B2439" s="230">
        <v>42404</v>
      </c>
      <c r="C2439" s="124">
        <v>213.34</v>
      </c>
      <c r="D2439" s="156">
        <f t="shared" si="39"/>
        <v>-6.6120320357607914E-3</v>
      </c>
      <c r="E2439" s="156">
        <v>0</v>
      </c>
      <c r="G2439" s="156"/>
    </row>
    <row r="2440" spans="2:7" x14ac:dyDescent="0.2">
      <c r="B2440" s="230">
        <v>42403</v>
      </c>
      <c r="C2440" s="124">
        <v>213.44</v>
      </c>
      <c r="D2440" s="156">
        <f t="shared" si="39"/>
        <v>4.6873535202022272E-4</v>
      </c>
      <c r="E2440" s="156">
        <v>0</v>
      </c>
      <c r="G2440" s="156"/>
    </row>
    <row r="2441" spans="2:7" x14ac:dyDescent="0.2">
      <c r="B2441" s="230">
        <v>42402</v>
      </c>
      <c r="C2441" s="124">
        <v>214.96</v>
      </c>
      <c r="D2441" s="156">
        <f t="shared" si="39"/>
        <v>7.1214392803598684E-3</v>
      </c>
      <c r="E2441" s="156">
        <v>0</v>
      </c>
      <c r="G2441" s="156"/>
    </row>
    <row r="2442" spans="2:7" x14ac:dyDescent="0.2">
      <c r="B2442" s="230">
        <v>42401</v>
      </c>
      <c r="C2442" s="124">
        <v>215.3</v>
      </c>
      <c r="D2442" s="156">
        <f t="shared" si="39"/>
        <v>1.5816896166728851E-3</v>
      </c>
      <c r="E2442" s="156">
        <v>0</v>
      </c>
      <c r="G2442" s="156"/>
    </row>
    <row r="2443" spans="2:7" x14ac:dyDescent="0.2">
      <c r="B2443" s="230">
        <v>42398</v>
      </c>
      <c r="C2443" s="124">
        <v>212.28</v>
      </c>
      <c r="D2443" s="156">
        <f t="shared" si="39"/>
        <v>-1.4026939154667952E-2</v>
      </c>
      <c r="E2443" s="156">
        <v>0</v>
      </c>
      <c r="G2443" s="156"/>
    </row>
    <row r="2444" spans="2:7" x14ac:dyDescent="0.2">
      <c r="B2444" s="230">
        <v>42397</v>
      </c>
      <c r="C2444" s="124">
        <v>211.18</v>
      </c>
      <c r="D2444" s="156">
        <f t="shared" si="39"/>
        <v>-5.1818353118522438E-3</v>
      </c>
      <c r="E2444" s="156">
        <v>0</v>
      </c>
      <c r="G2444" s="156"/>
    </row>
    <row r="2445" spans="2:7" x14ac:dyDescent="0.2">
      <c r="B2445" s="230">
        <v>42396</v>
      </c>
      <c r="C2445" s="124">
        <v>207.47</v>
      </c>
      <c r="D2445" s="156">
        <f t="shared" si="39"/>
        <v>-1.7567951510559749E-2</v>
      </c>
      <c r="E2445" s="156">
        <v>0</v>
      </c>
      <c r="G2445" s="156"/>
    </row>
    <row r="2446" spans="2:7" x14ac:dyDescent="0.2">
      <c r="B2446" s="230">
        <v>42394</v>
      </c>
      <c r="C2446" s="124">
        <v>205.12</v>
      </c>
      <c r="D2446" s="156">
        <f t="shared" si="39"/>
        <v>-1.1326938834530266E-2</v>
      </c>
      <c r="E2446" s="156">
        <v>0</v>
      </c>
      <c r="G2446" s="156"/>
    </row>
    <row r="2447" spans="2:7" x14ac:dyDescent="0.2">
      <c r="B2447" s="230">
        <v>42391</v>
      </c>
      <c r="C2447" s="124">
        <v>204.69</v>
      </c>
      <c r="D2447" s="156">
        <f t="shared" si="39"/>
        <v>-2.0963338533541674E-3</v>
      </c>
      <c r="E2447" s="156">
        <v>0</v>
      </c>
      <c r="G2447" s="156"/>
    </row>
    <row r="2448" spans="2:7" x14ac:dyDescent="0.2">
      <c r="B2448" s="230">
        <v>42390</v>
      </c>
      <c r="C2448" s="124">
        <v>203.13</v>
      </c>
      <c r="D2448" s="156">
        <f t="shared" si="39"/>
        <v>-7.6212809614539167E-3</v>
      </c>
      <c r="E2448" s="156">
        <v>0</v>
      </c>
      <c r="G2448" s="156"/>
    </row>
    <row r="2449" spans="2:7" x14ac:dyDescent="0.2">
      <c r="B2449" s="230">
        <v>42389</v>
      </c>
      <c r="C2449" s="124">
        <v>204.82</v>
      </c>
      <c r="D2449" s="156">
        <f t="shared" si="39"/>
        <v>8.3197952050410948E-3</v>
      </c>
      <c r="E2449" s="156">
        <v>0</v>
      </c>
      <c r="G2449" s="156"/>
    </row>
    <row r="2450" spans="2:7" x14ac:dyDescent="0.2">
      <c r="B2450" s="230">
        <v>42388</v>
      </c>
      <c r="C2450" s="124">
        <v>208.2</v>
      </c>
      <c r="D2450" s="156">
        <f t="shared" si="39"/>
        <v>1.6502294697783398E-2</v>
      </c>
      <c r="E2450" s="156">
        <v>0</v>
      </c>
      <c r="G2450" s="156"/>
    </row>
    <row r="2451" spans="2:7" x14ac:dyDescent="0.2">
      <c r="B2451" s="230">
        <v>42387</v>
      </c>
      <c r="C2451" s="124">
        <v>209.1</v>
      </c>
      <c r="D2451" s="156">
        <f t="shared" si="39"/>
        <v>4.3227665706052146E-3</v>
      </c>
      <c r="E2451" s="156">
        <v>-1.1990407673863637E-4</v>
      </c>
      <c r="G2451" s="156"/>
    </row>
    <row r="2452" spans="2:7" x14ac:dyDescent="0.2">
      <c r="B2452" s="230">
        <v>42384</v>
      </c>
      <c r="C2452" s="124">
        <v>208.1</v>
      </c>
      <c r="D2452" s="156">
        <f t="shared" si="39"/>
        <v>-4.7824007651841227E-3</v>
      </c>
      <c r="E2452" s="156">
        <v>-1.2041422493366267E-4</v>
      </c>
      <c r="G2452" s="156"/>
    </row>
    <row r="2453" spans="2:7" x14ac:dyDescent="0.2">
      <c r="B2453" s="230">
        <v>42383</v>
      </c>
      <c r="C2453" s="124">
        <v>210.32</v>
      </c>
      <c r="D2453" s="156">
        <f t="shared" si="39"/>
        <v>1.0667948101874094E-2</v>
      </c>
      <c r="E2453" s="156">
        <v>-1.2204051745179862E-4</v>
      </c>
      <c r="G2453" s="156"/>
    </row>
    <row r="2454" spans="2:7" x14ac:dyDescent="0.2">
      <c r="B2454" s="230">
        <v>42382</v>
      </c>
      <c r="C2454" s="124">
        <v>209.33</v>
      </c>
      <c r="D2454" s="156">
        <f t="shared" si="39"/>
        <v>-4.7071129707112053E-3</v>
      </c>
      <c r="E2454" s="156">
        <v>-1.2221950623319945E-4</v>
      </c>
      <c r="G2454" s="156"/>
    </row>
    <row r="2455" spans="2:7" x14ac:dyDescent="0.2">
      <c r="B2455" s="230">
        <v>42381</v>
      </c>
      <c r="C2455" s="124">
        <v>208.93</v>
      </c>
      <c r="D2455" s="156">
        <f t="shared" si="39"/>
        <v>-1.9108584531601091E-3</v>
      </c>
      <c r="E2455" s="156">
        <v>-1.264798138217428E-4</v>
      </c>
      <c r="G2455" s="156"/>
    </row>
    <row r="2456" spans="2:7" x14ac:dyDescent="0.2">
      <c r="B2456" s="230">
        <v>42380</v>
      </c>
      <c r="C2456" s="124">
        <v>209.53</v>
      </c>
      <c r="D2456" s="156">
        <f t="shared" si="39"/>
        <v>2.8717752357248568E-3</v>
      </c>
      <c r="E2456" s="156">
        <v>-1.3145210761546374E-4</v>
      </c>
      <c r="G2456" s="156"/>
    </row>
    <row r="2457" spans="2:7" x14ac:dyDescent="0.2">
      <c r="B2457" s="230">
        <v>42377</v>
      </c>
      <c r="C2457" s="124">
        <v>207.94</v>
      </c>
      <c r="D2457" s="156">
        <f t="shared" si="39"/>
        <v>-7.5884121605498183E-3</v>
      </c>
      <c r="E2457" s="156">
        <v>-1.3150973172015227E-4</v>
      </c>
      <c r="G2457" s="156"/>
    </row>
    <row r="2458" spans="2:7" x14ac:dyDescent="0.2">
      <c r="B2458" s="230">
        <v>42376</v>
      </c>
      <c r="C2458" s="124">
        <v>205.25</v>
      </c>
      <c r="D2458" s="156">
        <f t="shared" si="39"/>
        <v>-1.2936423968452427E-2</v>
      </c>
      <c r="E2458" s="156">
        <v>-1.34740624298231E-4</v>
      </c>
      <c r="G2458" s="156"/>
    </row>
    <row r="2459" spans="2:7" x14ac:dyDescent="0.2">
      <c r="B2459" s="230">
        <v>42375</v>
      </c>
      <c r="C2459" s="124">
        <v>208.9</v>
      </c>
      <c r="D2459" s="156">
        <f t="shared" si="39"/>
        <v>1.7783191230207093E-2</v>
      </c>
      <c r="E2459" s="156">
        <v>-1.4243661570601622E-4</v>
      </c>
      <c r="G2459" s="156"/>
    </row>
    <row r="2460" spans="2:7" x14ac:dyDescent="0.2">
      <c r="B2460" s="230">
        <v>42374</v>
      </c>
      <c r="C2460" s="124">
        <v>215.36</v>
      </c>
      <c r="D2460" s="156">
        <f t="shared" si="39"/>
        <v>3.092388702728582E-2</v>
      </c>
      <c r="E2460" s="156">
        <v>-1.4501160092794237E-4</v>
      </c>
      <c r="G2460" s="156"/>
    </row>
    <row r="2461" spans="2:7" x14ac:dyDescent="0.2">
      <c r="B2461" s="230">
        <v>42373</v>
      </c>
      <c r="C2461" s="124">
        <v>215.53</v>
      </c>
      <c r="D2461" s="156">
        <f t="shared" si="39"/>
        <v>7.8937592867750505E-4</v>
      </c>
      <c r="E2461" s="156">
        <v>-1.4868414531397697E-4</v>
      </c>
      <c r="G2461" s="156"/>
    </row>
    <row r="2462" spans="2:7" x14ac:dyDescent="0.2">
      <c r="B2462" s="230">
        <v>42370</v>
      </c>
      <c r="C2462" s="124">
        <v>217.12</v>
      </c>
      <c r="D2462" s="156">
        <f t="shared" si="39"/>
        <v>7.377163271934317E-3</v>
      </c>
      <c r="E2462" s="156">
        <v>-1.5439246564768225E-4</v>
      </c>
      <c r="G2462" s="156"/>
    </row>
    <row r="2463" spans="2:7" x14ac:dyDescent="0.2">
      <c r="B2463" s="230">
        <v>42369</v>
      </c>
      <c r="C2463" s="124">
        <v>217.32</v>
      </c>
      <c r="D2463" s="156">
        <f t="shared" si="39"/>
        <v>9.2114959469412599E-4</v>
      </c>
      <c r="E2463" s="156">
        <v>-1.6537809567119543E-4</v>
      </c>
      <c r="G2463" s="156"/>
    </row>
    <row r="2464" spans="2:7" x14ac:dyDescent="0.2">
      <c r="B2464" s="230">
        <v>42368</v>
      </c>
      <c r="C2464" s="124">
        <v>216.49</v>
      </c>
      <c r="D2464" s="156">
        <f t="shared" si="39"/>
        <v>-3.8192527148904112E-3</v>
      </c>
      <c r="E2464" s="156">
        <v>-1.7394329448608656E-4</v>
      </c>
      <c r="G2464" s="156"/>
    </row>
    <row r="2465" spans="2:7" x14ac:dyDescent="0.2">
      <c r="B2465" s="230">
        <v>42367</v>
      </c>
      <c r="C2465" s="124">
        <v>215.36</v>
      </c>
      <c r="D2465" s="156">
        <f t="shared" si="39"/>
        <v>-5.2196406300521756E-3</v>
      </c>
      <c r="E2465" s="156">
        <v>-1.764446404940099E-4</v>
      </c>
      <c r="G2465" s="156"/>
    </row>
    <row r="2466" spans="2:7" x14ac:dyDescent="0.2">
      <c r="B2466" s="230">
        <v>42366</v>
      </c>
      <c r="C2466" s="124">
        <v>216.26</v>
      </c>
      <c r="D2466" s="156">
        <f t="shared" si="39"/>
        <v>4.1790490341752284E-3</v>
      </c>
      <c r="E2466" s="156">
        <v>-1.7662383538655029E-4</v>
      </c>
      <c r="G2466" s="156"/>
    </row>
    <row r="2467" spans="2:7" x14ac:dyDescent="0.2">
      <c r="B2467" s="230">
        <v>42362</v>
      </c>
      <c r="C2467" s="124">
        <v>214.6</v>
      </c>
      <c r="D2467" s="156">
        <f t="shared" si="39"/>
        <v>-7.6759456210117299E-3</v>
      </c>
      <c r="E2467" s="156">
        <v>-1.7708517797064411E-4</v>
      </c>
      <c r="G2467" s="156"/>
    </row>
    <row r="2468" spans="2:7" x14ac:dyDescent="0.2">
      <c r="B2468" s="230">
        <v>42361</v>
      </c>
      <c r="C2468" s="124">
        <v>213.14</v>
      </c>
      <c r="D2468" s="156">
        <f t="shared" si="39"/>
        <v>-6.8033550792171854E-3</v>
      </c>
      <c r="E2468" s="156">
        <v>-1.8158707100058603E-4</v>
      </c>
      <c r="G2468" s="156"/>
    </row>
    <row r="2469" spans="2:7" x14ac:dyDescent="0.2">
      <c r="B2469" s="230">
        <v>42360</v>
      </c>
      <c r="C2469" s="124">
        <v>212.31</v>
      </c>
      <c r="D2469" s="156">
        <f t="shared" si="39"/>
        <v>-3.8941540771323269E-3</v>
      </c>
      <c r="E2469" s="156">
        <v>-1.8304960644317968E-4</v>
      </c>
      <c r="G2469" s="156"/>
    </row>
    <row r="2470" spans="2:7" x14ac:dyDescent="0.2">
      <c r="B2470" s="230">
        <v>42359</v>
      </c>
      <c r="C2470" s="124">
        <v>216.49</v>
      </c>
      <c r="D2470" s="156">
        <f t="shared" si="39"/>
        <v>1.9688191795016751E-2</v>
      </c>
      <c r="E2470" s="156">
        <v>-1.8684603886401856E-4</v>
      </c>
      <c r="G2470" s="156"/>
    </row>
    <row r="2471" spans="2:7" x14ac:dyDescent="0.2">
      <c r="B2471" s="230">
        <v>42356</v>
      </c>
      <c r="C2471" s="124">
        <v>210.22</v>
      </c>
      <c r="D2471" s="156">
        <f t="shared" si="39"/>
        <v>-2.8962076770289665E-2</v>
      </c>
      <c r="E2471" s="156">
        <v>-1.8900018900023195E-4</v>
      </c>
      <c r="G2471" s="156"/>
    </row>
    <row r="2472" spans="2:7" x14ac:dyDescent="0.2">
      <c r="B2472" s="230">
        <v>42355</v>
      </c>
      <c r="C2472" s="124">
        <v>212.48</v>
      </c>
      <c r="D2472" s="156">
        <f t="shared" si="39"/>
        <v>1.0750642184378227E-2</v>
      </c>
      <c r="E2472" s="156">
        <v>-1.9004180919806677E-4</v>
      </c>
      <c r="G2472" s="156"/>
    </row>
    <row r="2473" spans="2:7" x14ac:dyDescent="0.2">
      <c r="B2473" s="230">
        <v>42354</v>
      </c>
      <c r="C2473" s="124">
        <v>211.65</v>
      </c>
      <c r="D2473" s="156">
        <f t="shared" si="39"/>
        <v>-3.9062499999999254E-3</v>
      </c>
      <c r="E2473" s="156">
        <v>-1.9290123456794511E-4</v>
      </c>
      <c r="G2473" s="156"/>
    </row>
    <row r="2474" spans="2:7" x14ac:dyDescent="0.2">
      <c r="B2474" s="230">
        <v>42353</v>
      </c>
      <c r="C2474" s="124">
        <v>214.1</v>
      </c>
      <c r="D2474" s="156">
        <f t="shared" si="39"/>
        <v>1.1575714623198624E-2</v>
      </c>
      <c r="E2474" s="156">
        <v>-1.9692792437972181E-4</v>
      </c>
      <c r="G2474" s="156"/>
    </row>
    <row r="2475" spans="2:7" x14ac:dyDescent="0.2">
      <c r="B2475" s="230">
        <v>42352</v>
      </c>
      <c r="C2475" s="124">
        <v>212.21</v>
      </c>
      <c r="D2475" s="156">
        <f t="shared" si="39"/>
        <v>-8.8276506305464096E-3</v>
      </c>
      <c r="E2475" s="156">
        <v>-1.9712201852943053E-4</v>
      </c>
      <c r="G2475" s="156"/>
    </row>
    <row r="2476" spans="2:7" x14ac:dyDescent="0.2">
      <c r="B2476" s="230">
        <v>42349</v>
      </c>
      <c r="C2476" s="124">
        <v>212.81</v>
      </c>
      <c r="D2476" s="156">
        <f t="shared" si="39"/>
        <v>2.8273879647518698E-3</v>
      </c>
      <c r="E2476" s="156">
        <v>-2.0088388911213887E-4</v>
      </c>
      <c r="G2476" s="156"/>
    </row>
    <row r="2477" spans="2:7" x14ac:dyDescent="0.2">
      <c r="B2477" s="230">
        <v>42348</v>
      </c>
      <c r="C2477" s="124">
        <v>212.97</v>
      </c>
      <c r="D2477" s="156">
        <f t="shared" si="39"/>
        <v>7.5184436821576332E-4</v>
      </c>
      <c r="E2477" s="156">
        <v>-2.0237452779284004E-4</v>
      </c>
      <c r="G2477" s="156"/>
    </row>
    <row r="2478" spans="2:7" x14ac:dyDescent="0.2">
      <c r="B2478" s="230">
        <v>42347</v>
      </c>
      <c r="C2478" s="124">
        <v>210.42</v>
      </c>
      <c r="D2478" s="156">
        <f t="shared" si="39"/>
        <v>-1.1973517396816506E-2</v>
      </c>
      <c r="E2478" s="156">
        <v>-2.0742584526027815E-4</v>
      </c>
      <c r="G2478" s="156"/>
    </row>
    <row r="2479" spans="2:7" x14ac:dyDescent="0.2">
      <c r="B2479" s="230">
        <v>42346</v>
      </c>
      <c r="C2479" s="124">
        <v>208.67</v>
      </c>
      <c r="D2479" s="156">
        <f t="shared" si="39"/>
        <v>-8.3166999334664017E-3</v>
      </c>
      <c r="E2479" s="156">
        <v>-2.1693542555500136E-4</v>
      </c>
      <c r="G2479" s="156"/>
    </row>
    <row r="2480" spans="2:7" x14ac:dyDescent="0.2">
      <c r="B2480" s="230">
        <v>42345</v>
      </c>
      <c r="C2480" s="124">
        <v>207.87</v>
      </c>
      <c r="D2480" s="156">
        <f t="shared" si="39"/>
        <v>-3.8338045718118705E-3</v>
      </c>
      <c r="E2480" s="156">
        <v>-2.3089355806984796E-4</v>
      </c>
      <c r="G2480" s="156"/>
    </row>
    <row r="2481" spans="2:7" x14ac:dyDescent="0.2">
      <c r="B2481" s="230">
        <v>42342</v>
      </c>
      <c r="C2481" s="124">
        <v>222.72</v>
      </c>
      <c r="D2481" s="156">
        <f t="shared" si="39"/>
        <v>7.1438880069274041E-2</v>
      </c>
      <c r="E2481" s="156">
        <v>-2.3815194093823743E-4</v>
      </c>
      <c r="G2481" s="156"/>
    </row>
    <row r="2482" spans="2:7" x14ac:dyDescent="0.2">
      <c r="B2482" s="230">
        <v>42341</v>
      </c>
      <c r="C2482" s="124">
        <v>227.63</v>
      </c>
      <c r="D2482" s="156">
        <f t="shared" si="39"/>
        <v>2.2045617816091941E-2</v>
      </c>
      <c r="E2482" s="156">
        <v>-2.3917723032772716E-4</v>
      </c>
      <c r="G2482" s="156"/>
    </row>
    <row r="2483" spans="2:7" x14ac:dyDescent="0.2">
      <c r="B2483" s="230">
        <v>42340</v>
      </c>
      <c r="C2483" s="124">
        <v>231.64</v>
      </c>
      <c r="D2483" s="156">
        <f t="shared" si="39"/>
        <v>1.7616307165136368E-2</v>
      </c>
      <c r="E2483" s="156">
        <v>-2.4038461538467004E-4</v>
      </c>
      <c r="G2483" s="156"/>
    </row>
    <row r="2484" spans="2:7" x14ac:dyDescent="0.2">
      <c r="B2484" s="230">
        <v>42339</v>
      </c>
      <c r="C2484" s="124">
        <v>229.55</v>
      </c>
      <c r="D2484" s="156">
        <f t="shared" si="39"/>
        <v>-9.0226213089275396E-3</v>
      </c>
      <c r="E2484" s="156">
        <v>-2.6585138907364391E-4</v>
      </c>
      <c r="G2484" s="156"/>
    </row>
    <row r="2485" spans="2:7" x14ac:dyDescent="0.2">
      <c r="B2485" s="230">
        <v>42338</v>
      </c>
      <c r="C2485" s="124">
        <v>227.1</v>
      </c>
      <c r="D2485" s="156">
        <f t="shared" si="39"/>
        <v>-1.0673055979089597E-2</v>
      </c>
      <c r="E2485" s="156">
        <v>-2.6975991367671009E-4</v>
      </c>
      <c r="G2485" s="156"/>
    </row>
    <row r="2486" spans="2:7" x14ac:dyDescent="0.2">
      <c r="B2486" s="230">
        <v>42335</v>
      </c>
      <c r="C2486" s="124">
        <v>228.29</v>
      </c>
      <c r="D2486" s="156">
        <f t="shared" si="39"/>
        <v>5.2399823866138163E-3</v>
      </c>
      <c r="E2486" s="156">
        <v>-2.7272727272728304E-4</v>
      </c>
      <c r="G2486" s="156"/>
    </row>
    <row r="2487" spans="2:7" x14ac:dyDescent="0.2">
      <c r="B2487" s="230">
        <v>42334</v>
      </c>
      <c r="C2487" s="124">
        <v>227.26</v>
      </c>
      <c r="D2487" s="156">
        <f t="shared" si="39"/>
        <v>-4.5118051601033826E-3</v>
      </c>
      <c r="E2487" s="156">
        <v>-2.9750836742277459E-4</v>
      </c>
      <c r="G2487" s="156"/>
    </row>
    <row r="2488" spans="2:7" x14ac:dyDescent="0.2">
      <c r="B2488" s="230">
        <v>42332</v>
      </c>
      <c r="C2488" s="124">
        <v>222.69</v>
      </c>
      <c r="D2488" s="156">
        <f t="shared" si="39"/>
        <v>-2.0109126111062189E-2</v>
      </c>
      <c r="E2488" s="156">
        <v>-3.0940594059399783E-4</v>
      </c>
      <c r="G2488" s="156"/>
    </row>
    <row r="2489" spans="2:7" x14ac:dyDescent="0.2">
      <c r="B2489" s="230">
        <v>42331</v>
      </c>
      <c r="C2489" s="124">
        <v>223.58</v>
      </c>
      <c r="D2489" s="156">
        <f t="shared" si="39"/>
        <v>3.9965871839777933E-3</v>
      </c>
      <c r="E2489" s="156">
        <v>-3.0957013974877576E-4</v>
      </c>
      <c r="G2489" s="156"/>
    </row>
    <row r="2490" spans="2:7" x14ac:dyDescent="0.2">
      <c r="B2490" s="230">
        <v>42328</v>
      </c>
      <c r="C2490" s="124">
        <v>228.36</v>
      </c>
      <c r="D2490" s="156">
        <f t="shared" si="39"/>
        <v>2.1379372036854822E-2</v>
      </c>
      <c r="E2490" s="156">
        <v>-3.1052686057345136E-4</v>
      </c>
      <c r="G2490" s="156"/>
    </row>
    <row r="2491" spans="2:7" x14ac:dyDescent="0.2">
      <c r="B2491" s="230">
        <v>42327</v>
      </c>
      <c r="C2491" s="124">
        <v>233.39</v>
      </c>
      <c r="D2491" s="156">
        <f t="shared" si="39"/>
        <v>2.2026624627780576E-2</v>
      </c>
      <c r="E2491" s="156">
        <v>-3.1259768677705565E-4</v>
      </c>
      <c r="G2491" s="156"/>
    </row>
    <row r="2492" spans="2:7" x14ac:dyDescent="0.2">
      <c r="B2492" s="230">
        <v>42326</v>
      </c>
      <c r="C2492" s="124">
        <v>230.61</v>
      </c>
      <c r="D2492" s="156">
        <f t="shared" si="39"/>
        <v>-1.1911392947426937E-2</v>
      </c>
      <c r="E2492" s="156">
        <v>-3.1320611199352639E-4</v>
      </c>
      <c r="G2492" s="156"/>
    </row>
    <row r="2493" spans="2:7" x14ac:dyDescent="0.2">
      <c r="B2493" s="230">
        <v>42325</v>
      </c>
      <c r="C2493" s="124">
        <v>231.44</v>
      </c>
      <c r="D2493" s="156">
        <f t="shared" si="39"/>
        <v>3.5991500802219508E-3</v>
      </c>
      <c r="E2493" s="156">
        <v>-3.1879283778758977E-4</v>
      </c>
      <c r="G2493" s="156"/>
    </row>
    <row r="2494" spans="2:7" x14ac:dyDescent="0.2">
      <c r="B2494" s="230">
        <v>42324</v>
      </c>
      <c r="C2494" s="124">
        <v>224.28</v>
      </c>
      <c r="D2494" s="156">
        <f t="shared" ref="D2494:D2557" si="40">(C2494-C2493)/C2493</f>
        <v>-3.0936743864500505E-2</v>
      </c>
      <c r="E2494" s="156">
        <v>-3.2478077297820802E-4</v>
      </c>
      <c r="G2494" s="156"/>
    </row>
    <row r="2495" spans="2:7" x14ac:dyDescent="0.2">
      <c r="B2495" s="230">
        <v>42321</v>
      </c>
      <c r="C2495" s="124">
        <v>218.64</v>
      </c>
      <c r="D2495" s="156">
        <f t="shared" si="40"/>
        <v>-2.5147137506688136E-2</v>
      </c>
      <c r="E2495" s="156">
        <v>-3.2770768474525849E-4</v>
      </c>
      <c r="G2495" s="156"/>
    </row>
    <row r="2496" spans="2:7" x14ac:dyDescent="0.2">
      <c r="B2496" s="230">
        <v>42319</v>
      </c>
      <c r="C2496" s="124">
        <v>221.59</v>
      </c>
      <c r="D2496" s="156">
        <f t="shared" si="40"/>
        <v>1.3492499085254378E-2</v>
      </c>
      <c r="E2496" s="156">
        <v>-3.4924330616997826E-4</v>
      </c>
      <c r="G2496" s="156"/>
    </row>
    <row r="2497" spans="2:7" x14ac:dyDescent="0.2">
      <c r="B2497" s="230">
        <v>42318</v>
      </c>
      <c r="C2497" s="124">
        <v>223.25</v>
      </c>
      <c r="D2497" s="156">
        <f t="shared" si="40"/>
        <v>7.4913127848729479E-3</v>
      </c>
      <c r="E2497" s="156">
        <v>-3.5211267605626801E-4</v>
      </c>
      <c r="G2497" s="156"/>
    </row>
    <row r="2498" spans="2:7" x14ac:dyDescent="0.2">
      <c r="B2498" s="230">
        <v>42317</v>
      </c>
      <c r="C2498" s="124">
        <v>227.43</v>
      </c>
      <c r="D2498" s="156">
        <f t="shared" si="40"/>
        <v>1.8723404255319178E-2</v>
      </c>
      <c r="E2498" s="156">
        <v>-3.5465484483847081E-4</v>
      </c>
      <c r="G2498" s="156"/>
    </row>
    <row r="2499" spans="2:7" x14ac:dyDescent="0.2">
      <c r="B2499" s="230">
        <v>42314</v>
      </c>
      <c r="C2499" s="124">
        <v>223.88</v>
      </c>
      <c r="D2499" s="156">
        <f t="shared" si="40"/>
        <v>-1.5609198434683249E-2</v>
      </c>
      <c r="E2499" s="156">
        <v>-3.5720664404345739E-4</v>
      </c>
      <c r="G2499" s="156"/>
    </row>
    <row r="2500" spans="2:7" x14ac:dyDescent="0.2">
      <c r="B2500" s="230">
        <v>42313</v>
      </c>
      <c r="C2500" s="124">
        <v>223.52</v>
      </c>
      <c r="D2500" s="156">
        <f t="shared" si="40"/>
        <v>-1.6080042880113688E-3</v>
      </c>
      <c r="E2500" s="156">
        <v>-3.6086194453032881E-4</v>
      </c>
      <c r="G2500" s="156"/>
    </row>
    <row r="2501" spans="2:7" x14ac:dyDescent="0.2">
      <c r="B2501" s="230">
        <v>42312</v>
      </c>
      <c r="C2501" s="124">
        <v>222.55</v>
      </c>
      <c r="D2501" s="156">
        <f t="shared" si="40"/>
        <v>-4.3396564065855351E-3</v>
      </c>
      <c r="E2501" s="156">
        <v>-3.6088054853844747E-4</v>
      </c>
      <c r="G2501" s="156"/>
    </row>
    <row r="2502" spans="2:7" x14ac:dyDescent="0.2">
      <c r="B2502" s="230">
        <v>42311</v>
      </c>
      <c r="C2502" s="124">
        <v>221.99</v>
      </c>
      <c r="D2502" s="156">
        <f t="shared" si="40"/>
        <v>-2.5162884745001226E-3</v>
      </c>
      <c r="E2502" s="156">
        <v>-3.6350418029815602E-4</v>
      </c>
      <c r="G2502" s="156"/>
    </row>
    <row r="2503" spans="2:7" x14ac:dyDescent="0.2">
      <c r="B2503" s="230">
        <v>42310</v>
      </c>
      <c r="C2503" s="124">
        <v>223.55</v>
      </c>
      <c r="D2503" s="156">
        <f t="shared" si="40"/>
        <v>7.0273435740348762E-3</v>
      </c>
      <c r="E2503" s="156">
        <v>-3.6630036630044957E-4</v>
      </c>
      <c r="G2503" s="156"/>
    </row>
    <row r="2504" spans="2:7" x14ac:dyDescent="0.2">
      <c r="B2504" s="230">
        <v>42307</v>
      </c>
      <c r="C2504" s="124">
        <v>221.86</v>
      </c>
      <c r="D2504" s="156">
        <f t="shared" si="40"/>
        <v>-7.5598300156564423E-3</v>
      </c>
      <c r="E2504" s="156">
        <v>-3.685503685503127E-4</v>
      </c>
      <c r="G2504" s="156"/>
    </row>
    <row r="2505" spans="2:7" x14ac:dyDescent="0.2">
      <c r="B2505" s="230">
        <v>42306</v>
      </c>
      <c r="C2505" s="124">
        <v>232.03</v>
      </c>
      <c r="D2505" s="156">
        <f t="shared" si="40"/>
        <v>4.5839718741548664E-2</v>
      </c>
      <c r="E2505" s="156">
        <v>-3.7509377344330399E-4</v>
      </c>
      <c r="G2505" s="156"/>
    </row>
    <row r="2506" spans="2:7" x14ac:dyDescent="0.2">
      <c r="B2506" s="230">
        <v>42305</v>
      </c>
      <c r="C2506" s="124">
        <v>235.48</v>
      </c>
      <c r="D2506" s="156">
        <f t="shared" si="40"/>
        <v>1.486876696978834E-2</v>
      </c>
      <c r="E2506" s="156">
        <v>-3.7678975131863566E-4</v>
      </c>
      <c r="G2506" s="156"/>
    </row>
    <row r="2507" spans="2:7" x14ac:dyDescent="0.2">
      <c r="B2507" s="230">
        <v>42304</v>
      </c>
      <c r="C2507" s="124">
        <v>236.01</v>
      </c>
      <c r="D2507" s="156">
        <f t="shared" si="40"/>
        <v>2.2507219296755612E-3</v>
      </c>
      <c r="E2507" s="156">
        <v>-3.8669760247495255E-4</v>
      </c>
      <c r="G2507" s="156"/>
    </row>
    <row r="2508" spans="2:7" x14ac:dyDescent="0.2">
      <c r="B2508" s="230">
        <v>42303</v>
      </c>
      <c r="C2508" s="124">
        <v>236.34</v>
      </c>
      <c r="D2508" s="156">
        <f t="shared" si="40"/>
        <v>1.3982458370408563E-3</v>
      </c>
      <c r="E2508" s="156">
        <v>-3.9880358923228041E-4</v>
      </c>
      <c r="G2508" s="156"/>
    </row>
    <row r="2509" spans="2:7" x14ac:dyDescent="0.2">
      <c r="B2509" s="230">
        <v>42300</v>
      </c>
      <c r="C2509" s="124">
        <v>237.57</v>
      </c>
      <c r="D2509" s="156">
        <f t="shared" si="40"/>
        <v>5.2043665905051606E-3</v>
      </c>
      <c r="E2509" s="156">
        <v>-4.0363269424821118E-4</v>
      </c>
      <c r="G2509" s="156"/>
    </row>
    <row r="2510" spans="2:7" x14ac:dyDescent="0.2">
      <c r="B2510" s="230">
        <v>42298</v>
      </c>
      <c r="C2510" s="124">
        <v>231.07</v>
      </c>
      <c r="D2510" s="156">
        <f t="shared" si="40"/>
        <v>-2.7360356947426022E-2</v>
      </c>
      <c r="E2510" s="156">
        <v>-4.2105263157894235E-4</v>
      </c>
      <c r="G2510" s="156"/>
    </row>
    <row r="2511" spans="2:7" x14ac:dyDescent="0.2">
      <c r="B2511" s="230">
        <v>42297</v>
      </c>
      <c r="C2511" s="124">
        <v>231.14</v>
      </c>
      <c r="D2511" s="156">
        <f t="shared" si="40"/>
        <v>3.029385034837633E-4</v>
      </c>
      <c r="E2511" s="156">
        <v>-4.2211903756857031E-4</v>
      </c>
      <c r="G2511" s="156"/>
    </row>
    <row r="2512" spans="2:7" x14ac:dyDescent="0.2">
      <c r="B2512" s="230">
        <v>42296</v>
      </c>
      <c r="C2512" s="124">
        <v>232.7</v>
      </c>
      <c r="D2512" s="156">
        <f t="shared" si="40"/>
        <v>6.7491563554555782E-3</v>
      </c>
      <c r="E2512" s="156">
        <v>-4.2682146058301387E-4</v>
      </c>
      <c r="G2512" s="156"/>
    </row>
    <row r="2513" spans="2:7" x14ac:dyDescent="0.2">
      <c r="B2513" s="230">
        <v>42293</v>
      </c>
      <c r="C2513" s="124">
        <v>231.24</v>
      </c>
      <c r="D2513" s="156">
        <f t="shared" si="40"/>
        <v>-6.274172754619594E-3</v>
      </c>
      <c r="E2513" s="156">
        <v>-4.294979169352005E-4</v>
      </c>
      <c r="G2513" s="156"/>
    </row>
    <row r="2514" spans="2:7" x14ac:dyDescent="0.2">
      <c r="B2514" s="230">
        <v>42292</v>
      </c>
      <c r="C2514" s="124">
        <v>231.64</v>
      </c>
      <c r="D2514" s="156">
        <f t="shared" si="40"/>
        <v>1.7298045320877757E-3</v>
      </c>
      <c r="E2514" s="156">
        <v>-4.3923865300148079E-4</v>
      </c>
      <c r="G2514" s="156"/>
    </row>
    <row r="2515" spans="2:7" x14ac:dyDescent="0.2">
      <c r="B2515" s="230">
        <v>42291</v>
      </c>
      <c r="C2515" s="124">
        <v>228.12</v>
      </c>
      <c r="D2515" s="156">
        <f t="shared" si="40"/>
        <v>-1.5195993783457011E-2</v>
      </c>
      <c r="E2515" s="156">
        <v>-4.5424262612813907E-4</v>
      </c>
      <c r="G2515" s="156"/>
    </row>
    <row r="2516" spans="2:7" x14ac:dyDescent="0.2">
      <c r="B2516" s="230">
        <v>42290</v>
      </c>
      <c r="C2516" s="124">
        <v>228.09</v>
      </c>
      <c r="D2516" s="156">
        <f t="shared" si="40"/>
        <v>-1.3150973172015227E-4</v>
      </c>
      <c r="E2516" s="156">
        <v>-4.6384340646595071E-4</v>
      </c>
      <c r="G2516" s="156"/>
    </row>
    <row r="2517" spans="2:7" x14ac:dyDescent="0.2">
      <c r="B2517" s="230">
        <v>42289</v>
      </c>
      <c r="C2517" s="124">
        <v>225.9</v>
      </c>
      <c r="D2517" s="156">
        <f t="shared" si="40"/>
        <v>-9.6014731027225988E-3</v>
      </c>
      <c r="E2517" s="156">
        <v>-4.7025628967784769E-4</v>
      </c>
      <c r="G2517" s="156"/>
    </row>
    <row r="2518" spans="2:7" x14ac:dyDescent="0.2">
      <c r="B2518" s="230">
        <v>42286</v>
      </c>
      <c r="C2518" s="124">
        <v>227.69</v>
      </c>
      <c r="D2518" s="156">
        <f t="shared" si="40"/>
        <v>7.9238601150951396E-3</v>
      </c>
      <c r="E2518" s="156">
        <v>-4.7025628967794792E-4</v>
      </c>
      <c r="G2518" s="156"/>
    </row>
    <row r="2519" spans="2:7" x14ac:dyDescent="0.2">
      <c r="B2519" s="230">
        <v>42285</v>
      </c>
      <c r="C2519" s="124">
        <v>224.81</v>
      </c>
      <c r="D2519" s="156">
        <f t="shared" si="40"/>
        <v>-1.2648776845711255E-2</v>
      </c>
      <c r="E2519" s="156">
        <v>-4.7058823529409088E-4</v>
      </c>
      <c r="G2519" s="156"/>
    </row>
    <row r="2520" spans="2:7" x14ac:dyDescent="0.2">
      <c r="B2520" s="230">
        <v>42284</v>
      </c>
      <c r="C2520" s="124">
        <v>230.21</v>
      </c>
      <c r="D2520" s="156">
        <f t="shared" si="40"/>
        <v>2.4020283795204864E-2</v>
      </c>
      <c r="E2520" s="156">
        <v>-4.7605446063026901E-4</v>
      </c>
      <c r="G2520" s="156"/>
    </row>
    <row r="2521" spans="2:7" x14ac:dyDescent="0.2">
      <c r="B2521" s="230">
        <v>42283</v>
      </c>
      <c r="C2521" s="124">
        <v>227.29</v>
      </c>
      <c r="D2521" s="156">
        <f t="shared" si="40"/>
        <v>-1.2684071065548915E-2</v>
      </c>
      <c r="E2521" s="156">
        <v>-4.7873613659939581E-4</v>
      </c>
      <c r="G2521" s="156"/>
    </row>
    <row r="2522" spans="2:7" x14ac:dyDescent="0.2">
      <c r="B2522" s="230">
        <v>42282</v>
      </c>
      <c r="C2522" s="124">
        <v>218.44</v>
      </c>
      <c r="D2522" s="156">
        <f t="shared" si="40"/>
        <v>-3.8937040784900324E-2</v>
      </c>
      <c r="E2522" s="156">
        <v>-4.8661800486615237E-4</v>
      </c>
      <c r="G2522" s="156"/>
    </row>
    <row r="2523" spans="2:7" x14ac:dyDescent="0.2">
      <c r="B2523" s="230">
        <v>42278</v>
      </c>
      <c r="C2523" s="124">
        <v>217.95</v>
      </c>
      <c r="D2523" s="156">
        <f t="shared" si="40"/>
        <v>-2.2431789049625027E-3</v>
      </c>
      <c r="E2523" s="156">
        <v>-4.8685491723463639E-4</v>
      </c>
      <c r="G2523" s="156"/>
    </row>
    <row r="2524" spans="2:7" x14ac:dyDescent="0.2">
      <c r="B2524" s="230">
        <v>42277</v>
      </c>
      <c r="C2524" s="124">
        <v>217.98</v>
      </c>
      <c r="D2524" s="156">
        <f t="shared" si="40"/>
        <v>1.3764624913971616E-4</v>
      </c>
      <c r="E2524" s="156">
        <v>-4.9073733284256806E-4</v>
      </c>
      <c r="G2524" s="156"/>
    </row>
    <row r="2525" spans="2:7" x14ac:dyDescent="0.2">
      <c r="B2525" s="230">
        <v>42276</v>
      </c>
      <c r="C2525" s="124">
        <v>212.41</v>
      </c>
      <c r="D2525" s="156">
        <f t="shared" si="40"/>
        <v>-2.5552803009450377E-2</v>
      </c>
      <c r="E2525" s="156">
        <v>-4.9991668055335476E-4</v>
      </c>
      <c r="G2525" s="156"/>
    </row>
    <row r="2526" spans="2:7" x14ac:dyDescent="0.2">
      <c r="B2526" s="230">
        <v>42275</v>
      </c>
      <c r="C2526" s="124">
        <v>211.65</v>
      </c>
      <c r="D2526" s="156">
        <f t="shared" si="40"/>
        <v>-3.5779859705286519E-3</v>
      </c>
      <c r="E2526" s="156">
        <v>-5.0030018010803641E-4</v>
      </c>
      <c r="G2526" s="156"/>
    </row>
    <row r="2527" spans="2:7" x14ac:dyDescent="0.2">
      <c r="B2527" s="230">
        <v>42271</v>
      </c>
      <c r="C2527" s="124">
        <v>213.84</v>
      </c>
      <c r="D2527" s="156">
        <f t="shared" si="40"/>
        <v>1.0347271438695949E-2</v>
      </c>
      <c r="E2527" s="156">
        <v>-5.1142175247198812E-4</v>
      </c>
      <c r="G2527" s="156"/>
    </row>
    <row r="2528" spans="2:7" x14ac:dyDescent="0.2">
      <c r="B2528" s="230">
        <v>42270</v>
      </c>
      <c r="C2528" s="124">
        <v>209.56</v>
      </c>
      <c r="D2528" s="156">
        <f t="shared" si="40"/>
        <v>-2.001496445940891E-2</v>
      </c>
      <c r="E2528" s="156">
        <v>-5.1493305870231848E-4</v>
      </c>
      <c r="G2528" s="156"/>
    </row>
    <row r="2529" spans="2:7" x14ac:dyDescent="0.2">
      <c r="B2529" s="230">
        <v>42269</v>
      </c>
      <c r="C2529" s="124">
        <v>206.94</v>
      </c>
      <c r="D2529" s="156">
        <f t="shared" si="40"/>
        <v>-1.2502385951517486E-2</v>
      </c>
      <c r="E2529" s="156">
        <v>-5.3069166814072983E-4</v>
      </c>
      <c r="G2529" s="156"/>
    </row>
    <row r="2530" spans="2:7" x14ac:dyDescent="0.2">
      <c r="B2530" s="230">
        <v>42268</v>
      </c>
      <c r="C2530" s="124">
        <v>208.33</v>
      </c>
      <c r="D2530" s="156">
        <f t="shared" si="40"/>
        <v>6.7169227795496993E-3</v>
      </c>
      <c r="E2530" s="156">
        <v>-5.5015587749854126E-4</v>
      </c>
      <c r="G2530" s="156"/>
    </row>
    <row r="2531" spans="2:7" x14ac:dyDescent="0.2">
      <c r="B2531" s="230">
        <v>42265</v>
      </c>
      <c r="C2531" s="124">
        <v>210.82</v>
      </c>
      <c r="D2531" s="156">
        <f t="shared" si="40"/>
        <v>1.1952191235059667E-2</v>
      </c>
      <c r="E2531" s="156">
        <v>-5.5498295409492728E-4</v>
      </c>
      <c r="G2531" s="156"/>
    </row>
    <row r="2532" spans="2:7" x14ac:dyDescent="0.2">
      <c r="B2532" s="230">
        <v>42263</v>
      </c>
      <c r="C2532" s="124">
        <v>213.57</v>
      </c>
      <c r="D2532" s="156">
        <f t="shared" si="40"/>
        <v>1.3044303197040129E-2</v>
      </c>
      <c r="E2532" s="156">
        <v>-5.5517002081876534E-4</v>
      </c>
      <c r="G2532" s="156"/>
    </row>
    <row r="2533" spans="2:7" x14ac:dyDescent="0.2">
      <c r="B2533" s="230">
        <v>42262</v>
      </c>
      <c r="C2533" s="124">
        <v>210.42</v>
      </c>
      <c r="D2533" s="156">
        <f t="shared" si="40"/>
        <v>-1.4749262536873184E-2</v>
      </c>
      <c r="E2533" s="156">
        <v>-5.663254192987317E-4</v>
      </c>
      <c r="G2533" s="156"/>
    </row>
    <row r="2534" spans="2:7" x14ac:dyDescent="0.2">
      <c r="B2534" s="230">
        <v>42261</v>
      </c>
      <c r="C2534" s="124">
        <v>207.94</v>
      </c>
      <c r="D2534" s="156">
        <f t="shared" si="40"/>
        <v>-1.1785951905712336E-2</v>
      </c>
      <c r="E2534" s="156">
        <v>-5.6764427625346169E-4</v>
      </c>
      <c r="G2534" s="156"/>
    </row>
    <row r="2535" spans="2:7" x14ac:dyDescent="0.2">
      <c r="B2535" s="230">
        <v>42258</v>
      </c>
      <c r="C2535" s="124">
        <v>208</v>
      </c>
      <c r="D2535" s="156">
        <f t="shared" si="40"/>
        <v>2.885447725305486E-4</v>
      </c>
      <c r="E2535" s="156">
        <v>-5.7665010645846103E-4</v>
      </c>
      <c r="G2535" s="156"/>
    </row>
    <row r="2536" spans="2:7" x14ac:dyDescent="0.2">
      <c r="B2536" s="230">
        <v>42257</v>
      </c>
      <c r="C2536" s="124">
        <v>207.74</v>
      </c>
      <c r="D2536" s="156">
        <f t="shared" si="40"/>
        <v>-1.2499999999999562E-3</v>
      </c>
      <c r="E2536" s="156">
        <v>-5.7781201849011594E-4</v>
      </c>
      <c r="G2536" s="156"/>
    </row>
    <row r="2537" spans="2:7" x14ac:dyDescent="0.2">
      <c r="B2537" s="230">
        <v>42256</v>
      </c>
      <c r="C2537" s="124">
        <v>208.43</v>
      </c>
      <c r="D2537" s="156">
        <f t="shared" si="40"/>
        <v>3.3214595167035607E-3</v>
      </c>
      <c r="E2537" s="156">
        <v>-5.7921939048295962E-4</v>
      </c>
      <c r="G2537" s="156"/>
    </row>
    <row r="2538" spans="2:7" x14ac:dyDescent="0.2">
      <c r="B2538" s="230">
        <v>42255</v>
      </c>
      <c r="C2538" s="124">
        <v>207.44</v>
      </c>
      <c r="D2538" s="156">
        <f t="shared" si="40"/>
        <v>-4.7497960946121433E-3</v>
      </c>
      <c r="E2538" s="156">
        <v>-6.0012925860952564E-4</v>
      </c>
      <c r="G2538" s="156"/>
    </row>
    <row r="2539" spans="2:7" x14ac:dyDescent="0.2">
      <c r="B2539" s="230">
        <v>42254</v>
      </c>
      <c r="C2539" s="124">
        <v>207.8</v>
      </c>
      <c r="D2539" s="156">
        <f t="shared" si="40"/>
        <v>1.7354415734670925E-3</v>
      </c>
      <c r="E2539" s="156">
        <v>-6.0228869704880819E-4</v>
      </c>
      <c r="G2539" s="156"/>
    </row>
    <row r="2540" spans="2:7" x14ac:dyDescent="0.2">
      <c r="B2540" s="230">
        <v>42251</v>
      </c>
      <c r="C2540" s="124">
        <v>210.22</v>
      </c>
      <c r="D2540" s="156">
        <f t="shared" si="40"/>
        <v>1.1645813282001864E-2</v>
      </c>
      <c r="E2540" s="156">
        <v>-6.0277275467151171E-4</v>
      </c>
      <c r="G2540" s="156"/>
    </row>
    <row r="2541" spans="2:7" x14ac:dyDescent="0.2">
      <c r="B2541" s="230">
        <v>42250</v>
      </c>
      <c r="C2541" s="124">
        <v>212.15</v>
      </c>
      <c r="D2541" s="156">
        <f t="shared" si="40"/>
        <v>9.1808581486062541E-3</v>
      </c>
      <c r="E2541" s="156">
        <v>-6.0454270662412457E-4</v>
      </c>
      <c r="G2541" s="156"/>
    </row>
    <row r="2542" spans="2:7" x14ac:dyDescent="0.2">
      <c r="B2542" s="230">
        <v>42249</v>
      </c>
      <c r="C2542" s="124">
        <v>212.21</v>
      </c>
      <c r="D2542" s="156">
        <f t="shared" si="40"/>
        <v>2.8281876031111133E-4</v>
      </c>
      <c r="E2542" s="156">
        <v>-6.0698027314108843E-4</v>
      </c>
      <c r="G2542" s="156"/>
    </row>
    <row r="2543" spans="2:7" x14ac:dyDescent="0.2">
      <c r="B2543" s="230">
        <v>42248</v>
      </c>
      <c r="C2543" s="124">
        <v>209.13</v>
      </c>
      <c r="D2543" s="156">
        <f t="shared" si="40"/>
        <v>-1.4513924885726462E-2</v>
      </c>
      <c r="E2543" s="156">
        <v>-6.1159407627445878E-4</v>
      </c>
      <c r="G2543" s="156"/>
    </row>
    <row r="2544" spans="2:7" x14ac:dyDescent="0.2">
      <c r="B2544" s="230">
        <v>42247</v>
      </c>
      <c r="C2544" s="124">
        <v>215.56</v>
      </c>
      <c r="D2544" s="156">
        <f t="shared" si="40"/>
        <v>3.0746425668244665E-2</v>
      </c>
      <c r="E2544" s="156">
        <v>-6.1348056866986252E-4</v>
      </c>
      <c r="G2544" s="156"/>
    </row>
    <row r="2545" spans="2:7" x14ac:dyDescent="0.2">
      <c r="B2545" s="230">
        <v>42244</v>
      </c>
      <c r="C2545" s="124">
        <v>216.79</v>
      </c>
      <c r="D2545" s="156">
        <f t="shared" si="40"/>
        <v>5.706067916125393E-3</v>
      </c>
      <c r="E2545" s="156">
        <v>-6.1450225317495166E-4</v>
      </c>
      <c r="G2545" s="156"/>
    </row>
    <row r="2546" spans="2:7" x14ac:dyDescent="0.2">
      <c r="B2546" s="230">
        <v>42243</v>
      </c>
      <c r="C2546" s="124">
        <v>215.92</v>
      </c>
      <c r="D2546" s="156">
        <f t="shared" si="40"/>
        <v>-4.0131002352507246E-3</v>
      </c>
      <c r="E2546" s="156">
        <v>-6.1625977719836672E-4</v>
      </c>
      <c r="G2546" s="156"/>
    </row>
    <row r="2547" spans="2:7" x14ac:dyDescent="0.2">
      <c r="B2547" s="230">
        <v>42242</v>
      </c>
      <c r="C2547" s="124">
        <v>210.59</v>
      </c>
      <c r="D2547" s="156">
        <f t="shared" si="40"/>
        <v>-2.4685068543905078E-2</v>
      </c>
      <c r="E2547" s="156">
        <v>-6.2005151197174217E-4</v>
      </c>
      <c r="G2547" s="156"/>
    </row>
    <row r="2548" spans="2:7" x14ac:dyDescent="0.2">
      <c r="B2548" s="230">
        <v>42241</v>
      </c>
      <c r="C2548" s="124">
        <v>212.08</v>
      </c>
      <c r="D2548" s="156">
        <f t="shared" si="40"/>
        <v>7.0753597036896767E-3</v>
      </c>
      <c r="E2548" s="156">
        <v>-6.210904573886978E-4</v>
      </c>
      <c r="G2548" s="156"/>
    </row>
    <row r="2549" spans="2:7" x14ac:dyDescent="0.2">
      <c r="B2549" s="230">
        <v>42240</v>
      </c>
      <c r="C2549" s="124">
        <v>212.28</v>
      </c>
      <c r="D2549" s="156">
        <f t="shared" si="40"/>
        <v>9.4304036212744535E-4</v>
      </c>
      <c r="E2549" s="156">
        <v>-6.3036626453650787E-4</v>
      </c>
      <c r="G2549" s="156"/>
    </row>
    <row r="2550" spans="2:7" x14ac:dyDescent="0.2">
      <c r="B2550" s="230">
        <v>42237</v>
      </c>
      <c r="C2550" s="124">
        <v>219.27</v>
      </c>
      <c r="D2550" s="156">
        <f t="shared" si="40"/>
        <v>3.2928208027134018E-2</v>
      </c>
      <c r="E2550" s="156">
        <v>-6.6418703506903774E-4</v>
      </c>
      <c r="G2550" s="156"/>
    </row>
    <row r="2551" spans="2:7" x14ac:dyDescent="0.2">
      <c r="B2551" s="230">
        <v>42236</v>
      </c>
      <c r="C2551" s="124">
        <v>218.34</v>
      </c>
      <c r="D2551" s="156">
        <f t="shared" si="40"/>
        <v>-4.2413462854015904E-3</v>
      </c>
      <c r="E2551" s="156">
        <v>-6.6979236436703199E-4</v>
      </c>
      <c r="G2551" s="156"/>
    </row>
    <row r="2552" spans="2:7" x14ac:dyDescent="0.2">
      <c r="B2552" s="230">
        <v>42235</v>
      </c>
      <c r="C2552" s="124">
        <v>210.09</v>
      </c>
      <c r="D2552" s="156">
        <f t="shared" si="40"/>
        <v>-3.7785105798296234E-2</v>
      </c>
      <c r="E2552" s="156">
        <v>-6.9808027923213807E-4</v>
      </c>
      <c r="G2552" s="156"/>
    </row>
    <row r="2553" spans="2:7" x14ac:dyDescent="0.2">
      <c r="B2553" s="230">
        <v>42234</v>
      </c>
      <c r="C2553" s="124">
        <v>208.73</v>
      </c>
      <c r="D2553" s="156">
        <f t="shared" si="40"/>
        <v>-6.4734161549812631E-3</v>
      </c>
      <c r="E2553" s="156">
        <v>-7.1710290426672157E-4</v>
      </c>
      <c r="G2553" s="156"/>
    </row>
    <row r="2554" spans="2:7" x14ac:dyDescent="0.2">
      <c r="B2554" s="230">
        <v>42233</v>
      </c>
      <c r="C2554" s="124">
        <v>210.09</v>
      </c>
      <c r="D2554" s="156">
        <f t="shared" si="40"/>
        <v>6.5155943084368026E-3</v>
      </c>
      <c r="E2554" s="156">
        <v>-7.2005154053131359E-4</v>
      </c>
      <c r="G2554" s="156"/>
    </row>
    <row r="2555" spans="2:7" x14ac:dyDescent="0.2">
      <c r="B2555" s="230">
        <v>42230</v>
      </c>
      <c r="C2555" s="124">
        <v>210.92</v>
      </c>
      <c r="D2555" s="156">
        <f t="shared" si="40"/>
        <v>3.9506878004663907E-3</v>
      </c>
      <c r="E2555" s="156">
        <v>-7.2140886908557574E-4</v>
      </c>
      <c r="G2555" s="156"/>
    </row>
    <row r="2556" spans="2:7" x14ac:dyDescent="0.2">
      <c r="B2556" s="230">
        <v>42229</v>
      </c>
      <c r="C2556" s="124">
        <v>209.73</v>
      </c>
      <c r="D2556" s="156">
        <f t="shared" si="40"/>
        <v>-5.6419495543333859E-3</v>
      </c>
      <c r="E2556" s="156">
        <v>-7.3041311306372176E-4</v>
      </c>
      <c r="G2556" s="156"/>
    </row>
    <row r="2557" spans="2:7" x14ac:dyDescent="0.2">
      <c r="B2557" s="230">
        <v>42228</v>
      </c>
      <c r="C2557" s="124">
        <v>209.99</v>
      </c>
      <c r="D2557" s="156">
        <f t="shared" si="40"/>
        <v>1.2396891241120457E-3</v>
      </c>
      <c r="E2557" s="156">
        <v>-7.3215375228800818E-4</v>
      </c>
      <c r="G2557" s="156"/>
    </row>
    <row r="2558" spans="2:7" x14ac:dyDescent="0.2">
      <c r="B2558" s="230">
        <v>42227</v>
      </c>
      <c r="C2558" s="124">
        <v>212.21</v>
      </c>
      <c r="D2558" s="156">
        <f t="shared" ref="D2558:D2621" si="41">(C2558-C2557)/C2557</f>
        <v>1.0571931996761744E-2</v>
      </c>
      <c r="E2558" s="156">
        <v>-7.3224310471079173E-4</v>
      </c>
      <c r="G2558" s="156"/>
    </row>
    <row r="2559" spans="2:7" x14ac:dyDescent="0.2">
      <c r="B2559" s="230">
        <v>42226</v>
      </c>
      <c r="C2559" s="124">
        <v>212.78</v>
      </c>
      <c r="D2559" s="156">
        <f t="shared" si="41"/>
        <v>2.6860185665142696E-3</v>
      </c>
      <c r="E2559" s="156">
        <v>-7.3841609747109271E-4</v>
      </c>
      <c r="G2559" s="156"/>
    </row>
    <row r="2560" spans="2:7" x14ac:dyDescent="0.2">
      <c r="B2560" s="230">
        <v>42223</v>
      </c>
      <c r="C2560" s="124">
        <v>215.1</v>
      </c>
      <c r="D2560" s="156">
        <f t="shared" si="41"/>
        <v>1.0903280383494657E-2</v>
      </c>
      <c r="E2560" s="156">
        <v>-7.3855243722300082E-4</v>
      </c>
      <c r="G2560" s="156"/>
    </row>
    <row r="2561" spans="2:7" x14ac:dyDescent="0.2">
      <c r="B2561" s="230">
        <v>42222</v>
      </c>
      <c r="C2561" s="124">
        <v>216.29</v>
      </c>
      <c r="D2561" s="156">
        <f t="shared" si="41"/>
        <v>5.5323105532310447E-3</v>
      </c>
      <c r="E2561" s="156">
        <v>-7.6103500761030677E-4</v>
      </c>
      <c r="G2561" s="156"/>
    </row>
    <row r="2562" spans="2:7" x14ac:dyDescent="0.2">
      <c r="B2562" s="230">
        <v>42221</v>
      </c>
      <c r="C2562" s="124">
        <v>219.97</v>
      </c>
      <c r="D2562" s="156">
        <f t="shared" si="41"/>
        <v>1.7014193906329498E-2</v>
      </c>
      <c r="E2562" s="156">
        <v>-7.6204991426934133E-4</v>
      </c>
      <c r="G2562" s="156"/>
    </row>
    <row r="2563" spans="2:7" x14ac:dyDescent="0.2">
      <c r="B2563" s="230">
        <v>42220</v>
      </c>
      <c r="C2563" s="124">
        <v>218.71</v>
      </c>
      <c r="D2563" s="156">
        <f t="shared" si="41"/>
        <v>-5.728053825521621E-3</v>
      </c>
      <c r="E2563" s="156">
        <v>-7.6967481239193945E-4</v>
      </c>
      <c r="G2563" s="156"/>
    </row>
    <row r="2564" spans="2:7" x14ac:dyDescent="0.2">
      <c r="B2564" s="230">
        <v>42219</v>
      </c>
      <c r="C2564" s="124">
        <v>219.8</v>
      </c>
      <c r="D2564" s="156">
        <f t="shared" si="41"/>
        <v>4.98376846051851E-3</v>
      </c>
      <c r="E2564" s="156">
        <v>-7.7666551605099421E-4</v>
      </c>
      <c r="G2564" s="156"/>
    </row>
    <row r="2565" spans="2:7" x14ac:dyDescent="0.2">
      <c r="B2565" s="230">
        <v>42216</v>
      </c>
      <c r="C2565" s="124">
        <v>216.12</v>
      </c>
      <c r="D2565" s="156">
        <f t="shared" si="41"/>
        <v>-1.6742493175614225E-2</v>
      </c>
      <c r="E2565" s="156">
        <v>-7.9581628012725307E-4</v>
      </c>
      <c r="G2565" s="156"/>
    </row>
    <row r="2566" spans="2:7" x14ac:dyDescent="0.2">
      <c r="B2566" s="230">
        <v>42215</v>
      </c>
      <c r="C2566" s="124">
        <v>209.46</v>
      </c>
      <c r="D2566" s="156">
        <f t="shared" si="41"/>
        <v>-3.0816213214880605E-2</v>
      </c>
      <c r="E2566" s="156">
        <v>-8.0295487393615319E-4</v>
      </c>
      <c r="G2566" s="156"/>
    </row>
    <row r="2567" spans="2:7" x14ac:dyDescent="0.2">
      <c r="B2567" s="230">
        <v>42214</v>
      </c>
      <c r="C2567" s="124">
        <v>201.54</v>
      </c>
      <c r="D2567" s="156">
        <f t="shared" si="41"/>
        <v>-3.7811515325121815E-2</v>
      </c>
      <c r="E2567" s="156">
        <v>-8.0919242595889308E-4</v>
      </c>
      <c r="G2567" s="156"/>
    </row>
    <row r="2568" spans="2:7" x14ac:dyDescent="0.2">
      <c r="B2568" s="230">
        <v>42213</v>
      </c>
      <c r="C2568" s="124">
        <v>206.31</v>
      </c>
      <c r="D2568" s="156">
        <f t="shared" si="41"/>
        <v>2.3667758261387371E-2</v>
      </c>
      <c r="E2568" s="156">
        <v>-8.1261950286800905E-4</v>
      </c>
      <c r="G2568" s="156"/>
    </row>
    <row r="2569" spans="2:7" x14ac:dyDescent="0.2">
      <c r="B2569" s="230">
        <v>42212</v>
      </c>
      <c r="C2569" s="124">
        <v>206.61</v>
      </c>
      <c r="D2569" s="156">
        <f t="shared" si="41"/>
        <v>1.4541224371092598E-3</v>
      </c>
      <c r="E2569" s="156">
        <v>-8.1287595512920111E-4</v>
      </c>
      <c r="G2569" s="156"/>
    </row>
    <row r="2570" spans="2:7" x14ac:dyDescent="0.2">
      <c r="B2570" s="230">
        <v>42209</v>
      </c>
      <c r="C2570" s="124">
        <v>208.53</v>
      </c>
      <c r="D2570" s="156">
        <f t="shared" si="41"/>
        <v>9.2928706258166953E-3</v>
      </c>
      <c r="E2570" s="156">
        <v>-8.1503618266685787E-4</v>
      </c>
      <c r="G2570" s="156"/>
    </row>
    <row r="2571" spans="2:7" x14ac:dyDescent="0.2">
      <c r="B2571" s="230">
        <v>42208</v>
      </c>
      <c r="C2571" s="124">
        <v>208.9</v>
      </c>
      <c r="D2571" s="156">
        <f t="shared" si="41"/>
        <v>1.7743250371649382E-3</v>
      </c>
      <c r="E2571" s="156">
        <v>-8.1833060556471787E-4</v>
      </c>
      <c r="G2571" s="156"/>
    </row>
    <row r="2572" spans="2:7" x14ac:dyDescent="0.2">
      <c r="B2572" s="230">
        <v>42207</v>
      </c>
      <c r="C2572" s="124">
        <v>208.5</v>
      </c>
      <c r="D2572" s="156">
        <f t="shared" si="41"/>
        <v>-1.9147917663954316E-3</v>
      </c>
      <c r="E2572" s="156">
        <v>-8.3902968684458656E-4</v>
      </c>
      <c r="G2572" s="156"/>
    </row>
    <row r="2573" spans="2:7" x14ac:dyDescent="0.2">
      <c r="B2573" s="230">
        <v>42206</v>
      </c>
      <c r="C2573" s="124">
        <v>207.77</v>
      </c>
      <c r="D2573" s="156">
        <f t="shared" si="41"/>
        <v>-3.501199040767337E-3</v>
      </c>
      <c r="E2573" s="156">
        <v>-8.4932903006619943E-4</v>
      </c>
      <c r="G2573" s="156"/>
    </row>
    <row r="2574" spans="2:7" x14ac:dyDescent="0.2">
      <c r="B2574" s="230">
        <v>42205</v>
      </c>
      <c r="C2574" s="124">
        <v>212.48</v>
      </c>
      <c r="D2574" s="156">
        <f t="shared" si="41"/>
        <v>2.2669297781200266E-2</v>
      </c>
      <c r="E2574" s="156">
        <v>-8.4936297776675449E-4</v>
      </c>
      <c r="G2574" s="156"/>
    </row>
    <row r="2575" spans="2:7" x14ac:dyDescent="0.2">
      <c r="B2575" s="230">
        <v>42202</v>
      </c>
      <c r="C2575" s="124">
        <v>213.67</v>
      </c>
      <c r="D2575" s="156">
        <f t="shared" si="41"/>
        <v>5.6005271084337248E-3</v>
      </c>
      <c r="E2575" s="156">
        <v>-8.5149863760213148E-4</v>
      </c>
      <c r="G2575" s="156"/>
    </row>
    <row r="2576" spans="2:7" x14ac:dyDescent="0.2">
      <c r="B2576" s="230">
        <v>42201</v>
      </c>
      <c r="C2576" s="124">
        <v>210.79</v>
      </c>
      <c r="D2576" s="156">
        <f t="shared" si="41"/>
        <v>-1.3478728880984675E-2</v>
      </c>
      <c r="E2576" s="156">
        <v>-8.5490962383968222E-4</v>
      </c>
      <c r="G2576" s="156"/>
    </row>
    <row r="2577" spans="2:7" x14ac:dyDescent="0.2">
      <c r="B2577" s="230">
        <v>42200</v>
      </c>
      <c r="C2577" s="124">
        <v>208.17</v>
      </c>
      <c r="D2577" s="156">
        <f t="shared" si="41"/>
        <v>-1.242943213624937E-2</v>
      </c>
      <c r="E2577" s="156">
        <v>-8.5922308144529343E-4</v>
      </c>
      <c r="G2577" s="156"/>
    </row>
    <row r="2578" spans="2:7" x14ac:dyDescent="0.2">
      <c r="B2578" s="230">
        <v>42199</v>
      </c>
      <c r="C2578" s="124">
        <v>207.04</v>
      </c>
      <c r="D2578" s="156">
        <f t="shared" si="41"/>
        <v>-5.4282557525099466E-3</v>
      </c>
      <c r="E2578" s="156">
        <v>-8.6040008603995976E-4</v>
      </c>
      <c r="G2578" s="156"/>
    </row>
    <row r="2579" spans="2:7" x14ac:dyDescent="0.2">
      <c r="B2579" s="230">
        <v>42198</v>
      </c>
      <c r="C2579" s="124">
        <v>208.57</v>
      </c>
      <c r="D2579" s="156">
        <f t="shared" si="41"/>
        <v>7.3898763523956778E-3</v>
      </c>
      <c r="E2579" s="156">
        <v>-8.6490226604401079E-4</v>
      </c>
      <c r="G2579" s="156"/>
    </row>
    <row r="2580" spans="2:7" x14ac:dyDescent="0.2">
      <c r="B2580" s="230">
        <v>42195</v>
      </c>
      <c r="C2580" s="124">
        <v>205.45</v>
      </c>
      <c r="D2580" s="156">
        <f t="shared" si="41"/>
        <v>-1.4959006568538163E-2</v>
      </c>
      <c r="E2580" s="156">
        <v>-8.7503166232987646E-4</v>
      </c>
      <c r="G2580" s="156"/>
    </row>
    <row r="2581" spans="2:7" x14ac:dyDescent="0.2">
      <c r="B2581" s="230">
        <v>42194</v>
      </c>
      <c r="C2581" s="124">
        <v>205.91</v>
      </c>
      <c r="D2581" s="156">
        <f t="shared" si="41"/>
        <v>2.238987588221017E-3</v>
      </c>
      <c r="E2581" s="156">
        <v>-8.7782550083089178E-4</v>
      </c>
      <c r="G2581" s="156"/>
    </row>
    <row r="2582" spans="2:7" x14ac:dyDescent="0.2">
      <c r="B2582" s="230">
        <v>42193</v>
      </c>
      <c r="C2582" s="124">
        <v>207.47</v>
      </c>
      <c r="D2582" s="156">
        <f t="shared" si="41"/>
        <v>7.5761254917196949E-3</v>
      </c>
      <c r="E2582" s="156">
        <v>-8.8573959255978745E-4</v>
      </c>
      <c r="G2582" s="156"/>
    </row>
    <row r="2583" spans="2:7" x14ac:dyDescent="0.2">
      <c r="B2583" s="230">
        <v>42192</v>
      </c>
      <c r="C2583" s="124">
        <v>210.39</v>
      </c>
      <c r="D2583" s="156">
        <f t="shared" si="41"/>
        <v>1.4074323998650348E-2</v>
      </c>
      <c r="E2583" s="156">
        <v>-8.8857295183942175E-4</v>
      </c>
      <c r="G2583" s="156"/>
    </row>
    <row r="2584" spans="2:7" x14ac:dyDescent="0.2">
      <c r="B2584" s="230">
        <v>42191</v>
      </c>
      <c r="C2584" s="124">
        <v>211.09</v>
      </c>
      <c r="D2584" s="156">
        <f t="shared" si="41"/>
        <v>3.3271543324303299E-3</v>
      </c>
      <c r="E2584" s="156">
        <v>-9.1541559868180144E-4</v>
      </c>
      <c r="G2584" s="156"/>
    </row>
    <row r="2585" spans="2:7" x14ac:dyDescent="0.2">
      <c r="B2585" s="230">
        <v>42188</v>
      </c>
      <c r="C2585" s="124">
        <v>209.23</v>
      </c>
      <c r="D2585" s="156">
        <f t="shared" si="41"/>
        <v>-8.8114074565351919E-3</v>
      </c>
      <c r="E2585" s="156">
        <v>-9.1748220640564969E-4</v>
      </c>
      <c r="G2585" s="156"/>
    </row>
    <row r="2586" spans="2:7" x14ac:dyDescent="0.2">
      <c r="B2586" s="230">
        <v>42187</v>
      </c>
      <c r="C2586" s="124">
        <v>208.86</v>
      </c>
      <c r="D2586" s="156">
        <f t="shared" si="41"/>
        <v>-1.7683888543706741E-3</v>
      </c>
      <c r="E2586" s="156">
        <v>-9.3025533060783728E-4</v>
      </c>
      <c r="G2586" s="156"/>
    </row>
    <row r="2587" spans="2:7" x14ac:dyDescent="0.2">
      <c r="B2587" s="230">
        <v>42186</v>
      </c>
      <c r="C2587" s="124">
        <v>207.9</v>
      </c>
      <c r="D2587" s="156">
        <f t="shared" si="41"/>
        <v>-4.5963803504740393E-3</v>
      </c>
      <c r="E2587" s="156">
        <v>-9.312721177127957E-4</v>
      </c>
      <c r="G2587" s="156"/>
    </row>
    <row r="2588" spans="2:7" x14ac:dyDescent="0.2">
      <c r="B2588" s="230">
        <v>42185</v>
      </c>
      <c r="C2588" s="124">
        <v>208.93</v>
      </c>
      <c r="D2588" s="156">
        <f t="shared" si="41"/>
        <v>4.9543049543049594E-3</v>
      </c>
      <c r="E2588" s="156">
        <v>-9.3691442848234505E-4</v>
      </c>
      <c r="G2588" s="156"/>
    </row>
    <row r="2589" spans="2:7" x14ac:dyDescent="0.2">
      <c r="B2589" s="230">
        <v>42184</v>
      </c>
      <c r="C2589" s="124">
        <v>205.48</v>
      </c>
      <c r="D2589" s="156">
        <f t="shared" si="41"/>
        <v>-1.6512707605418165E-2</v>
      </c>
      <c r="E2589" s="156">
        <v>-9.4246265491737926E-4</v>
      </c>
      <c r="G2589" s="156"/>
    </row>
    <row r="2590" spans="2:7" x14ac:dyDescent="0.2">
      <c r="B2590" s="230">
        <v>42181</v>
      </c>
      <c r="C2590" s="124">
        <v>204.16</v>
      </c>
      <c r="D2590" s="156">
        <f t="shared" si="41"/>
        <v>-6.423982869378982E-3</v>
      </c>
      <c r="E2590" s="156">
        <v>-9.5250753145491502E-4</v>
      </c>
      <c r="G2590" s="156"/>
    </row>
    <row r="2591" spans="2:7" x14ac:dyDescent="0.2">
      <c r="B2591" s="230">
        <v>42180</v>
      </c>
      <c r="C2591" s="124">
        <v>207.07</v>
      </c>
      <c r="D2591" s="156">
        <f t="shared" si="41"/>
        <v>1.4253526645768009E-2</v>
      </c>
      <c r="E2591" s="156">
        <v>-9.5937065285167471E-4</v>
      </c>
      <c r="G2591" s="156"/>
    </row>
    <row r="2592" spans="2:7" x14ac:dyDescent="0.2">
      <c r="B2592" s="230">
        <v>42179</v>
      </c>
      <c r="C2592" s="124">
        <v>207.94</v>
      </c>
      <c r="D2592" s="156">
        <f t="shared" si="41"/>
        <v>4.2014777611435964E-3</v>
      </c>
      <c r="E2592" s="156">
        <v>-9.5957778577434108E-4</v>
      </c>
      <c r="G2592" s="156"/>
    </row>
    <row r="2593" spans="2:7" x14ac:dyDescent="0.2">
      <c r="B2593" s="230">
        <v>42178</v>
      </c>
      <c r="C2593" s="124">
        <v>208.53</v>
      </c>
      <c r="D2593" s="156">
        <f t="shared" si="41"/>
        <v>2.8373569298836368E-3</v>
      </c>
      <c r="E2593" s="156">
        <v>-9.6413420748162667E-4</v>
      </c>
      <c r="G2593" s="156"/>
    </row>
    <row r="2594" spans="2:7" x14ac:dyDescent="0.2">
      <c r="B2594" s="230">
        <v>42177</v>
      </c>
      <c r="C2594" s="124">
        <v>205.78</v>
      </c>
      <c r="D2594" s="156">
        <f t="shared" si="41"/>
        <v>-1.3187550951901404E-2</v>
      </c>
      <c r="E2594" s="156">
        <v>-9.6618357487917217E-4</v>
      </c>
      <c r="G2594" s="156"/>
    </row>
    <row r="2595" spans="2:7" x14ac:dyDescent="0.2">
      <c r="B2595" s="230">
        <v>42174</v>
      </c>
      <c r="C2595" s="124">
        <v>202.2</v>
      </c>
      <c r="D2595" s="156">
        <f t="shared" si="41"/>
        <v>-1.7397220332393878E-2</v>
      </c>
      <c r="E2595" s="156">
        <v>-9.6711798839458415E-4</v>
      </c>
      <c r="G2595" s="156"/>
    </row>
    <row r="2596" spans="2:7" x14ac:dyDescent="0.2">
      <c r="B2596" s="230">
        <v>42173</v>
      </c>
      <c r="C2596" s="124">
        <v>200.15</v>
      </c>
      <c r="D2596" s="156">
        <f t="shared" si="41"/>
        <v>-1.0138476755687355E-2</v>
      </c>
      <c r="E2596" s="156">
        <v>-9.6770291520511446E-4</v>
      </c>
      <c r="G2596" s="156"/>
    </row>
    <row r="2597" spans="2:7" x14ac:dyDescent="0.2">
      <c r="B2597" s="230">
        <v>42172</v>
      </c>
      <c r="C2597" s="124">
        <v>199.62</v>
      </c>
      <c r="D2597" s="156">
        <f t="shared" si="41"/>
        <v>-2.6480139895078748E-3</v>
      </c>
      <c r="E2597" s="156">
        <v>-9.6918007365776819E-4</v>
      </c>
      <c r="G2597" s="156"/>
    </row>
    <row r="2598" spans="2:7" x14ac:dyDescent="0.2">
      <c r="B2598" s="230">
        <v>42171</v>
      </c>
      <c r="C2598" s="124">
        <v>198.19</v>
      </c>
      <c r="D2598" s="156">
        <f t="shared" si="41"/>
        <v>-7.163610860635241E-3</v>
      </c>
      <c r="E2598" s="156">
        <v>-9.7122738861233813E-4</v>
      </c>
      <c r="G2598" s="156"/>
    </row>
    <row r="2599" spans="2:7" x14ac:dyDescent="0.2">
      <c r="B2599" s="230">
        <v>42170</v>
      </c>
      <c r="C2599" s="124">
        <v>197.89</v>
      </c>
      <c r="D2599" s="156">
        <f t="shared" si="41"/>
        <v>-1.5136989757304172E-3</v>
      </c>
      <c r="E2599" s="156">
        <v>-9.7299927025063025E-4</v>
      </c>
      <c r="G2599" s="156"/>
    </row>
    <row r="2600" spans="2:7" x14ac:dyDescent="0.2">
      <c r="B2600" s="230">
        <v>42167</v>
      </c>
      <c r="C2600" s="124">
        <v>197.26</v>
      </c>
      <c r="D2600" s="156">
        <f t="shared" si="41"/>
        <v>-3.1835868411743671E-3</v>
      </c>
      <c r="E2600" s="156">
        <v>-9.7847358121339067E-4</v>
      </c>
      <c r="G2600" s="156"/>
    </row>
    <row r="2601" spans="2:7" x14ac:dyDescent="0.2">
      <c r="B2601" s="230">
        <v>42166</v>
      </c>
      <c r="C2601" s="124">
        <v>196.93</v>
      </c>
      <c r="D2601" s="156">
        <f t="shared" si="41"/>
        <v>-1.6729189901651836E-3</v>
      </c>
      <c r="E2601" s="156">
        <v>-9.8039215686283681E-4</v>
      </c>
      <c r="G2601" s="156"/>
    </row>
    <row r="2602" spans="2:7" x14ac:dyDescent="0.2">
      <c r="B2602" s="230">
        <v>42165</v>
      </c>
      <c r="C2602" s="124">
        <v>199.62</v>
      </c>
      <c r="D2602" s="156">
        <f t="shared" si="41"/>
        <v>1.3659676027014664E-2</v>
      </c>
      <c r="E2602" s="156">
        <v>-9.8822599316718729E-4</v>
      </c>
      <c r="G2602" s="156"/>
    </row>
    <row r="2603" spans="2:7" x14ac:dyDescent="0.2">
      <c r="B2603" s="230">
        <v>42164</v>
      </c>
      <c r="C2603" s="124">
        <v>199.28</v>
      </c>
      <c r="D2603" s="156">
        <f t="shared" si="41"/>
        <v>-1.7032361486825137E-3</v>
      </c>
      <c r="E2603" s="156">
        <v>-1.0044194455605517E-3</v>
      </c>
      <c r="G2603" s="156"/>
    </row>
    <row r="2604" spans="2:7" x14ac:dyDescent="0.2">
      <c r="B2604" s="230">
        <v>42163</v>
      </c>
      <c r="C2604" s="124">
        <v>201.77</v>
      </c>
      <c r="D2604" s="156">
        <f t="shared" si="41"/>
        <v>1.2494981934965923E-2</v>
      </c>
      <c r="E2604" s="156">
        <v>-1.0068371265336865E-3</v>
      </c>
      <c r="G2604" s="156"/>
    </row>
    <row r="2605" spans="2:7" x14ac:dyDescent="0.2">
      <c r="B2605" s="230">
        <v>42160</v>
      </c>
      <c r="C2605" s="124">
        <v>201.74</v>
      </c>
      <c r="D2605" s="156">
        <f t="shared" si="41"/>
        <v>-1.4868414531397697E-4</v>
      </c>
      <c r="E2605" s="156">
        <v>-1.0080645161290483E-3</v>
      </c>
      <c r="G2605" s="156"/>
    </row>
    <row r="2606" spans="2:7" x14ac:dyDescent="0.2">
      <c r="B2606" s="230">
        <v>42159</v>
      </c>
      <c r="C2606" s="124">
        <v>199.95</v>
      </c>
      <c r="D2606" s="156">
        <f t="shared" si="41"/>
        <v>-8.8728065827303471E-3</v>
      </c>
      <c r="E2606" s="156">
        <v>-1.0116849613029928E-3</v>
      </c>
      <c r="G2606" s="156"/>
    </row>
    <row r="2607" spans="2:7" x14ac:dyDescent="0.2">
      <c r="B2607" s="230">
        <v>42158</v>
      </c>
      <c r="C2607" s="124">
        <v>201.8</v>
      </c>
      <c r="D2607" s="156">
        <f t="shared" si="41"/>
        <v>9.2523130782696823E-3</v>
      </c>
      <c r="E2607" s="156">
        <v>-1.011883751029549E-3</v>
      </c>
      <c r="G2607" s="156"/>
    </row>
    <row r="2608" spans="2:7" x14ac:dyDescent="0.2">
      <c r="B2608" s="230">
        <v>42157</v>
      </c>
      <c r="C2608" s="124">
        <v>211.25</v>
      </c>
      <c r="D2608" s="156">
        <f t="shared" si="41"/>
        <v>4.6828543111992013E-2</v>
      </c>
      <c r="E2608" s="156">
        <v>-1.0292036536729485E-3</v>
      </c>
      <c r="G2608" s="156"/>
    </row>
    <row r="2609" spans="2:7" x14ac:dyDescent="0.2">
      <c r="B2609" s="230">
        <v>42156</v>
      </c>
      <c r="C2609" s="124">
        <v>220.13</v>
      </c>
      <c r="D2609" s="156">
        <f t="shared" si="41"/>
        <v>4.2035502958579857E-2</v>
      </c>
      <c r="E2609" s="156">
        <v>-1.0306622004638858E-3</v>
      </c>
      <c r="G2609" s="156"/>
    </row>
    <row r="2610" spans="2:7" x14ac:dyDescent="0.2">
      <c r="B2610" s="230">
        <v>42153</v>
      </c>
      <c r="C2610" s="124">
        <v>216.85</v>
      </c>
      <c r="D2610" s="156">
        <f t="shared" si="41"/>
        <v>-1.4900286194521425E-2</v>
      </c>
      <c r="E2610" s="156">
        <v>-1.0379425671778249E-3</v>
      </c>
      <c r="G2610" s="156"/>
    </row>
    <row r="2611" spans="2:7" x14ac:dyDescent="0.2">
      <c r="B2611" s="230">
        <v>42152</v>
      </c>
      <c r="C2611" s="124">
        <v>213.11</v>
      </c>
      <c r="D2611" s="156">
        <f t="shared" si="41"/>
        <v>-1.7246944892782941E-2</v>
      </c>
      <c r="E2611" s="156">
        <v>-1.0473397570171764E-3</v>
      </c>
      <c r="G2611" s="156"/>
    </row>
    <row r="2612" spans="2:7" x14ac:dyDescent="0.2">
      <c r="B2612" s="230">
        <v>42151</v>
      </c>
      <c r="C2612" s="124">
        <v>210.62</v>
      </c>
      <c r="D2612" s="156">
        <f t="shared" si="41"/>
        <v>-1.1684106799305564E-2</v>
      </c>
      <c r="E2612" s="156">
        <v>-1.0497585555322277E-3</v>
      </c>
      <c r="G2612" s="156"/>
    </row>
    <row r="2613" spans="2:7" x14ac:dyDescent="0.2">
      <c r="B2613" s="230">
        <v>42150</v>
      </c>
      <c r="C2613" s="124">
        <v>208.17</v>
      </c>
      <c r="D2613" s="156">
        <f t="shared" si="41"/>
        <v>-1.1632323615990965E-2</v>
      </c>
      <c r="E2613" s="156">
        <v>-1.0622477161674102E-3</v>
      </c>
      <c r="G2613" s="156"/>
    </row>
    <row r="2614" spans="2:7" x14ac:dyDescent="0.2">
      <c r="B2614" s="230">
        <v>42149</v>
      </c>
      <c r="C2614" s="124">
        <v>210.02</v>
      </c>
      <c r="D2614" s="156">
        <f t="shared" si="41"/>
        <v>8.8869673824279339E-3</v>
      </c>
      <c r="E2614" s="156">
        <v>-1.0626992561104836E-3</v>
      </c>
      <c r="G2614" s="156"/>
    </row>
    <row r="2615" spans="2:7" x14ac:dyDescent="0.2">
      <c r="B2615" s="230">
        <v>42146</v>
      </c>
      <c r="C2615" s="124">
        <v>218.21</v>
      </c>
      <c r="D2615" s="156">
        <f t="shared" si="41"/>
        <v>3.8996286067993512E-2</v>
      </c>
      <c r="E2615" s="156">
        <v>-1.0636992185902685E-3</v>
      </c>
      <c r="G2615" s="156"/>
    </row>
    <row r="2616" spans="2:7" x14ac:dyDescent="0.2">
      <c r="B2616" s="230">
        <v>42145</v>
      </c>
      <c r="C2616" s="124">
        <v>217.05</v>
      </c>
      <c r="D2616" s="156">
        <f t="shared" si="41"/>
        <v>-5.3159800192474982E-3</v>
      </c>
      <c r="E2616" s="156">
        <v>-1.0674055232557469E-3</v>
      </c>
      <c r="G2616" s="156"/>
    </row>
    <row r="2617" spans="2:7" x14ac:dyDescent="0.2">
      <c r="B2617" s="230">
        <v>42144</v>
      </c>
      <c r="C2617" s="124">
        <v>220.07</v>
      </c>
      <c r="D2617" s="156">
        <f t="shared" si="41"/>
        <v>1.3913844736235807E-2</v>
      </c>
      <c r="E2617" s="156">
        <v>-1.0744985673352843E-3</v>
      </c>
      <c r="G2617" s="156"/>
    </row>
    <row r="2618" spans="2:7" x14ac:dyDescent="0.2">
      <c r="B2618" s="230">
        <v>42143</v>
      </c>
      <c r="C2618" s="124">
        <v>220.47</v>
      </c>
      <c r="D2618" s="156">
        <f t="shared" si="41"/>
        <v>1.8176034897987262E-3</v>
      </c>
      <c r="E2618" s="156">
        <v>-1.0781671159029419E-3</v>
      </c>
      <c r="G2618" s="156"/>
    </row>
    <row r="2619" spans="2:7" x14ac:dyDescent="0.2">
      <c r="B2619" s="230">
        <v>42142</v>
      </c>
      <c r="C2619" s="124">
        <v>220.76</v>
      </c>
      <c r="D2619" s="156">
        <f t="shared" si="41"/>
        <v>1.3153717059009935E-3</v>
      </c>
      <c r="E2619" s="156">
        <v>-1.0826416456153423E-3</v>
      </c>
      <c r="G2619" s="156"/>
    </row>
    <row r="2620" spans="2:7" x14ac:dyDescent="0.2">
      <c r="B2620" s="230">
        <v>42139</v>
      </c>
      <c r="C2620" s="124">
        <v>216.39</v>
      </c>
      <c r="D2620" s="156">
        <f t="shared" si="41"/>
        <v>-1.9795252763181757E-2</v>
      </c>
      <c r="E2620" s="156">
        <v>-1.0860383733559682E-3</v>
      </c>
      <c r="G2620" s="156"/>
    </row>
    <row r="2621" spans="2:7" x14ac:dyDescent="0.2">
      <c r="B2621" s="230">
        <v>42138</v>
      </c>
      <c r="C2621" s="124">
        <v>215.26</v>
      </c>
      <c r="D2621" s="156">
        <f t="shared" si="41"/>
        <v>-5.2220527750820069E-3</v>
      </c>
      <c r="E2621" s="156">
        <v>-1.0893246187364935E-3</v>
      </c>
      <c r="G2621" s="156"/>
    </row>
    <row r="2622" spans="2:7" x14ac:dyDescent="0.2">
      <c r="B2622" s="230">
        <v>42137</v>
      </c>
      <c r="C2622" s="124">
        <v>217.35</v>
      </c>
      <c r="D2622" s="156">
        <f t="shared" ref="D2622:D2685" si="42">(C2622-C2621)/C2621</f>
        <v>9.7091888878565614E-3</v>
      </c>
      <c r="E2622" s="156">
        <v>-1.092981497384545E-3</v>
      </c>
      <c r="G2622" s="156"/>
    </row>
    <row r="2623" spans="2:7" x14ac:dyDescent="0.2">
      <c r="B2623" s="230">
        <v>42136</v>
      </c>
      <c r="C2623" s="124">
        <v>214.96</v>
      </c>
      <c r="D2623" s="156">
        <f t="shared" si="42"/>
        <v>-1.099608925695876E-2</v>
      </c>
      <c r="E2623" s="156">
        <v>-1.0952902519168215E-3</v>
      </c>
      <c r="G2623" s="156"/>
    </row>
    <row r="2624" spans="2:7" x14ac:dyDescent="0.2">
      <c r="B2624" s="230">
        <v>42135</v>
      </c>
      <c r="C2624" s="124">
        <v>216.42</v>
      </c>
      <c r="D2624" s="156">
        <f t="shared" si="42"/>
        <v>6.7919612951245793E-3</v>
      </c>
      <c r="E2624" s="156">
        <v>-1.097092704333428E-3</v>
      </c>
      <c r="G2624" s="156"/>
    </row>
    <row r="2625" spans="2:7" x14ac:dyDescent="0.2">
      <c r="B2625" s="230">
        <v>42132</v>
      </c>
      <c r="C2625" s="124">
        <v>217.45</v>
      </c>
      <c r="D2625" s="156">
        <f t="shared" si="42"/>
        <v>4.7592643933093114E-3</v>
      </c>
      <c r="E2625" s="156">
        <v>-1.1225144323284886E-3</v>
      </c>
      <c r="G2625" s="156"/>
    </row>
    <row r="2626" spans="2:7" x14ac:dyDescent="0.2">
      <c r="B2626" s="230">
        <v>42131</v>
      </c>
      <c r="C2626" s="124">
        <v>213.84</v>
      </c>
      <c r="D2626" s="156">
        <f t="shared" si="42"/>
        <v>-1.6601517590250567E-2</v>
      </c>
      <c r="E2626" s="156">
        <v>-1.1387360030366725E-3</v>
      </c>
      <c r="G2626" s="156"/>
    </row>
    <row r="2627" spans="2:7" x14ac:dyDescent="0.2">
      <c r="B2627" s="230">
        <v>42130</v>
      </c>
      <c r="C2627" s="124">
        <v>211.05</v>
      </c>
      <c r="D2627" s="156">
        <f t="shared" si="42"/>
        <v>-1.304713804713801E-2</v>
      </c>
      <c r="E2627" s="156">
        <v>-1.1395083835258535E-3</v>
      </c>
      <c r="G2627" s="156"/>
    </row>
    <row r="2628" spans="2:7" x14ac:dyDescent="0.2">
      <c r="B2628" s="230">
        <v>42129</v>
      </c>
      <c r="C2628" s="124">
        <v>216.29</v>
      </c>
      <c r="D2628" s="156">
        <f t="shared" si="42"/>
        <v>2.4828239753612796E-2</v>
      </c>
      <c r="E2628" s="156">
        <v>-1.1430437622469022E-3</v>
      </c>
      <c r="G2628" s="156"/>
    </row>
    <row r="2629" spans="2:7" x14ac:dyDescent="0.2">
      <c r="B2629" s="230">
        <v>42128</v>
      </c>
      <c r="C2629" s="124">
        <v>218.91</v>
      </c>
      <c r="D2629" s="156">
        <f t="shared" si="42"/>
        <v>1.2113366313745455E-2</v>
      </c>
      <c r="E2629" s="156">
        <v>-1.1446558878236985E-3</v>
      </c>
      <c r="G2629" s="156"/>
    </row>
    <row r="2630" spans="2:7" x14ac:dyDescent="0.2">
      <c r="B2630" s="230">
        <v>42124</v>
      </c>
      <c r="C2630" s="124">
        <v>213.7</v>
      </c>
      <c r="D2630" s="156">
        <f t="shared" si="42"/>
        <v>-2.3799735050934211E-2</v>
      </c>
      <c r="E2630" s="156">
        <v>-1.1514494716878048E-3</v>
      </c>
      <c r="G2630" s="156"/>
    </row>
    <row r="2631" spans="2:7" x14ac:dyDescent="0.2">
      <c r="B2631" s="230">
        <v>42123</v>
      </c>
      <c r="C2631" s="124">
        <v>217.55</v>
      </c>
      <c r="D2631" s="156">
        <f t="shared" si="42"/>
        <v>1.8015910154422193E-2</v>
      </c>
      <c r="E2631" s="156">
        <v>-1.1609407920195288E-3</v>
      </c>
      <c r="G2631" s="156"/>
    </row>
    <row r="2632" spans="2:7" x14ac:dyDescent="0.2">
      <c r="B2632" s="230">
        <v>42122</v>
      </c>
      <c r="C2632" s="124">
        <v>223.78</v>
      </c>
      <c r="D2632" s="156">
        <f t="shared" si="42"/>
        <v>2.8637094920707835E-2</v>
      </c>
      <c r="E2632" s="156">
        <v>-1.1660836248542444E-3</v>
      </c>
      <c r="G2632" s="156"/>
    </row>
    <row r="2633" spans="2:7" x14ac:dyDescent="0.2">
      <c r="B2633" s="230">
        <v>42121</v>
      </c>
      <c r="C2633" s="124">
        <v>228.62</v>
      </c>
      <c r="D2633" s="156">
        <f t="shared" si="42"/>
        <v>2.1628385021002786E-2</v>
      </c>
      <c r="E2633" s="156">
        <v>-1.1678744684673484E-3</v>
      </c>
      <c r="G2633" s="156"/>
    </row>
    <row r="2634" spans="2:7" x14ac:dyDescent="0.2">
      <c r="B2634" s="230">
        <v>42118</v>
      </c>
      <c r="C2634" s="124">
        <v>230.68</v>
      </c>
      <c r="D2634" s="156">
        <f t="shared" si="42"/>
        <v>9.0105852506342492E-3</v>
      </c>
      <c r="E2634" s="156">
        <v>-1.1731793159461732E-3</v>
      </c>
      <c r="G2634" s="156"/>
    </row>
    <row r="2635" spans="2:7" x14ac:dyDescent="0.2">
      <c r="B2635" s="230">
        <v>42117</v>
      </c>
      <c r="C2635" s="124">
        <v>226.8</v>
      </c>
      <c r="D2635" s="156">
        <f t="shared" si="42"/>
        <v>-1.6819837003641386E-2</v>
      </c>
      <c r="E2635" s="156">
        <v>-1.1830819284235181E-3</v>
      </c>
      <c r="G2635" s="156"/>
    </row>
    <row r="2636" spans="2:7" x14ac:dyDescent="0.2">
      <c r="B2636" s="230">
        <v>42116</v>
      </c>
      <c r="C2636" s="124">
        <v>227.66</v>
      </c>
      <c r="D2636" s="156">
        <f t="shared" si="42"/>
        <v>3.7918871252203934E-3</v>
      </c>
      <c r="E2636" s="156">
        <v>-1.1858789187216418E-3</v>
      </c>
      <c r="G2636" s="156"/>
    </row>
    <row r="2637" spans="2:7" x14ac:dyDescent="0.2">
      <c r="B2637" s="230">
        <v>42115</v>
      </c>
      <c r="C2637" s="124">
        <v>226.7</v>
      </c>
      <c r="D2637" s="156">
        <f t="shared" si="42"/>
        <v>-4.2168145480102259E-3</v>
      </c>
      <c r="E2637" s="156">
        <v>-1.1918951132300357E-3</v>
      </c>
      <c r="G2637" s="156"/>
    </row>
    <row r="2638" spans="2:7" x14ac:dyDescent="0.2">
      <c r="B2638" s="230">
        <v>42114</v>
      </c>
      <c r="C2638" s="124">
        <v>226.66</v>
      </c>
      <c r="D2638" s="156">
        <f t="shared" si="42"/>
        <v>-1.764446404940099E-4</v>
      </c>
      <c r="E2638" s="156">
        <v>-1.1929615269908563E-3</v>
      </c>
      <c r="G2638" s="156"/>
    </row>
    <row r="2639" spans="2:7" x14ac:dyDescent="0.2">
      <c r="B2639" s="230">
        <v>42111</v>
      </c>
      <c r="C2639" s="124">
        <v>233.26</v>
      </c>
      <c r="D2639" s="156">
        <f t="shared" si="42"/>
        <v>2.9118503485396605E-2</v>
      </c>
      <c r="E2639" s="156">
        <v>-1.1967448539971278E-3</v>
      </c>
      <c r="G2639" s="156"/>
    </row>
    <row r="2640" spans="2:7" x14ac:dyDescent="0.2">
      <c r="B2640" s="230">
        <v>42110</v>
      </c>
      <c r="C2640" s="124">
        <v>232.1</v>
      </c>
      <c r="D2640" s="156">
        <f t="shared" si="42"/>
        <v>-4.9729915116179229E-3</v>
      </c>
      <c r="E2640" s="156">
        <v>-1.2168410805548796E-3</v>
      </c>
      <c r="G2640" s="156"/>
    </row>
    <row r="2641" spans="2:7" x14ac:dyDescent="0.2">
      <c r="B2641" s="230">
        <v>42109</v>
      </c>
      <c r="C2641" s="124">
        <v>235.32</v>
      </c>
      <c r="D2641" s="156">
        <f t="shared" si="42"/>
        <v>1.3873330461008181E-2</v>
      </c>
      <c r="E2641" s="156">
        <v>-1.2198097096852891E-3</v>
      </c>
      <c r="G2641" s="156"/>
    </row>
    <row r="2642" spans="2:7" x14ac:dyDescent="0.2">
      <c r="B2642" s="230">
        <v>42107</v>
      </c>
      <c r="C2642" s="124">
        <v>233.03</v>
      </c>
      <c r="D2642" s="156">
        <f t="shared" si="42"/>
        <v>-9.7314295427502646E-3</v>
      </c>
      <c r="E2642" s="156">
        <v>-1.2219506776272192E-3</v>
      </c>
      <c r="G2642" s="156"/>
    </row>
    <row r="2643" spans="2:7" x14ac:dyDescent="0.2">
      <c r="B2643" s="230">
        <v>42104</v>
      </c>
      <c r="C2643" s="124">
        <v>229.81</v>
      </c>
      <c r="D2643" s="156">
        <f t="shared" si="42"/>
        <v>-1.381796335235806E-2</v>
      </c>
      <c r="E2643" s="156">
        <v>-1.2310722639419984E-3</v>
      </c>
      <c r="G2643" s="156"/>
    </row>
    <row r="2644" spans="2:7" x14ac:dyDescent="0.2">
      <c r="B2644" s="230">
        <v>42103</v>
      </c>
      <c r="C2644" s="124">
        <v>230.15</v>
      </c>
      <c r="D2644" s="156">
        <f t="shared" si="42"/>
        <v>1.479483051216237E-3</v>
      </c>
      <c r="E2644" s="156">
        <v>-1.2450392965527709E-3</v>
      </c>
      <c r="G2644" s="156"/>
    </row>
    <row r="2645" spans="2:7" x14ac:dyDescent="0.2">
      <c r="B2645" s="230">
        <v>42102</v>
      </c>
      <c r="C2645" s="124">
        <v>229.55</v>
      </c>
      <c r="D2645" s="156">
        <f t="shared" si="42"/>
        <v>-2.6069954377579592E-3</v>
      </c>
      <c r="E2645" s="156">
        <v>-1.248773526001254E-3</v>
      </c>
      <c r="G2645" s="156"/>
    </row>
    <row r="2646" spans="2:7" x14ac:dyDescent="0.2">
      <c r="B2646" s="230">
        <v>42101</v>
      </c>
      <c r="C2646" s="124">
        <v>225.8</v>
      </c>
      <c r="D2646" s="156">
        <f t="shared" si="42"/>
        <v>-1.6336310172075801E-2</v>
      </c>
      <c r="E2646" s="156">
        <v>-1.2499999999999562E-3</v>
      </c>
      <c r="G2646" s="156"/>
    </row>
    <row r="2647" spans="2:7" x14ac:dyDescent="0.2">
      <c r="B2647" s="230">
        <v>42100</v>
      </c>
      <c r="C2647" s="124">
        <v>226.07</v>
      </c>
      <c r="D2647" s="156">
        <f t="shared" si="42"/>
        <v>1.1957484499556324E-3</v>
      </c>
      <c r="E2647" s="156">
        <v>-1.2540308133285611E-3</v>
      </c>
      <c r="G2647" s="156"/>
    </row>
    <row r="2648" spans="2:7" x14ac:dyDescent="0.2">
      <c r="B2648" s="230">
        <v>42095</v>
      </c>
      <c r="C2648" s="124">
        <v>220.4</v>
      </c>
      <c r="D2648" s="156">
        <f t="shared" si="42"/>
        <v>-2.5080727208386729E-2</v>
      </c>
      <c r="E2648" s="156">
        <v>-1.25523012552306E-3</v>
      </c>
      <c r="G2648" s="156"/>
    </row>
    <row r="2649" spans="2:7" x14ac:dyDescent="0.2">
      <c r="B2649" s="230">
        <v>42094</v>
      </c>
      <c r="C2649" s="124">
        <v>216.02</v>
      </c>
      <c r="D2649" s="156">
        <f t="shared" si="42"/>
        <v>-1.9872958257713229E-2</v>
      </c>
      <c r="E2649" s="156">
        <v>-1.2586188026705602E-3</v>
      </c>
      <c r="G2649" s="156"/>
    </row>
    <row r="2650" spans="2:7" x14ac:dyDescent="0.2">
      <c r="B2650" s="230">
        <v>42093</v>
      </c>
      <c r="C2650" s="124">
        <v>217.15</v>
      </c>
      <c r="D2650" s="156">
        <f t="shared" si="42"/>
        <v>5.2309971298953586E-3</v>
      </c>
      <c r="E2650" s="156">
        <v>-1.2622278321236266E-3</v>
      </c>
      <c r="G2650" s="156"/>
    </row>
    <row r="2651" spans="2:7" x14ac:dyDescent="0.2">
      <c r="B2651" s="230">
        <v>42090</v>
      </c>
      <c r="C2651" s="124">
        <v>210.49</v>
      </c>
      <c r="D2651" s="156">
        <f t="shared" si="42"/>
        <v>-3.0670043748560884E-2</v>
      </c>
      <c r="E2651" s="156">
        <v>-1.2636234402149012E-3</v>
      </c>
      <c r="G2651" s="156"/>
    </row>
    <row r="2652" spans="2:7" x14ac:dyDescent="0.2">
      <c r="B2652" s="230">
        <v>42089</v>
      </c>
      <c r="C2652" s="124">
        <v>213.74</v>
      </c>
      <c r="D2652" s="156">
        <f t="shared" si="42"/>
        <v>1.5440163428191362E-2</v>
      </c>
      <c r="E2652" s="156">
        <v>-1.2688055102410781E-3</v>
      </c>
      <c r="G2652" s="156"/>
    </row>
    <row r="2653" spans="2:7" x14ac:dyDescent="0.2">
      <c r="B2653" s="230">
        <v>42088</v>
      </c>
      <c r="C2653" s="124">
        <v>216.62</v>
      </c>
      <c r="D2653" s="156">
        <f t="shared" si="42"/>
        <v>1.3474314587816952E-2</v>
      </c>
      <c r="E2653" s="156">
        <v>-1.2742099898063201E-3</v>
      </c>
      <c r="G2653" s="156"/>
    </row>
    <row r="2654" spans="2:7" x14ac:dyDescent="0.2">
      <c r="B2654" s="230">
        <v>42087</v>
      </c>
      <c r="C2654" s="124">
        <v>216.49</v>
      </c>
      <c r="D2654" s="156">
        <f t="shared" si="42"/>
        <v>-6.0012925860952564E-4</v>
      </c>
      <c r="E2654" s="156">
        <v>-1.2750765045903237E-3</v>
      </c>
      <c r="G2654" s="156"/>
    </row>
    <row r="2655" spans="2:7" x14ac:dyDescent="0.2">
      <c r="B2655" s="230">
        <v>42086</v>
      </c>
      <c r="C2655" s="124">
        <v>217.05</v>
      </c>
      <c r="D2655" s="156">
        <f t="shared" si="42"/>
        <v>2.5867245600258775E-3</v>
      </c>
      <c r="E2655" s="156">
        <v>-1.2780719371919763E-3</v>
      </c>
      <c r="G2655" s="156"/>
    </row>
    <row r="2656" spans="2:7" x14ac:dyDescent="0.2">
      <c r="B2656" s="230">
        <v>42083</v>
      </c>
      <c r="C2656" s="124">
        <v>217.09</v>
      </c>
      <c r="D2656" s="156">
        <f t="shared" si="42"/>
        <v>1.8428933425474332E-4</v>
      </c>
      <c r="E2656" s="156">
        <v>-1.2827988338192354E-3</v>
      </c>
      <c r="G2656" s="156"/>
    </row>
    <row r="2657" spans="2:7" x14ac:dyDescent="0.2">
      <c r="B2657" s="230">
        <v>42082</v>
      </c>
      <c r="C2657" s="124">
        <v>221</v>
      </c>
      <c r="D2657" s="156">
        <f t="shared" si="42"/>
        <v>1.8010963194988239E-2</v>
      </c>
      <c r="E2657" s="156">
        <v>-1.2834063113393924E-3</v>
      </c>
      <c r="G2657" s="156"/>
    </row>
    <row r="2658" spans="2:7" x14ac:dyDescent="0.2">
      <c r="B2658" s="230">
        <v>42081</v>
      </c>
      <c r="C2658" s="124">
        <v>223.18</v>
      </c>
      <c r="D2658" s="156">
        <f t="shared" si="42"/>
        <v>9.8642533936651889E-3</v>
      </c>
      <c r="E2658" s="156">
        <v>-1.2924392305015207E-3</v>
      </c>
      <c r="G2658" s="156"/>
    </row>
    <row r="2659" spans="2:7" x14ac:dyDescent="0.2">
      <c r="B2659" s="230">
        <v>42080</v>
      </c>
      <c r="C2659" s="124">
        <v>225.41</v>
      </c>
      <c r="D2659" s="156">
        <f t="shared" si="42"/>
        <v>9.9919347611792716E-3</v>
      </c>
      <c r="E2659" s="156">
        <v>-1.2953367875647602E-3</v>
      </c>
      <c r="G2659" s="156"/>
    </row>
    <row r="2660" spans="2:7" x14ac:dyDescent="0.2">
      <c r="B2660" s="230">
        <v>42079</v>
      </c>
      <c r="C2660" s="124">
        <v>222.36</v>
      </c>
      <c r="D2660" s="156">
        <f t="shared" si="42"/>
        <v>-1.3530899250255015E-2</v>
      </c>
      <c r="E2660" s="156">
        <v>-1.3040425318486856E-3</v>
      </c>
      <c r="G2660" s="156"/>
    </row>
    <row r="2661" spans="2:7" x14ac:dyDescent="0.2">
      <c r="B2661" s="230">
        <v>42076</v>
      </c>
      <c r="C2661" s="124">
        <v>225.01</v>
      </c>
      <c r="D2661" s="156">
        <f t="shared" si="42"/>
        <v>1.1917611081129596E-2</v>
      </c>
      <c r="E2661" s="156">
        <v>-1.3048016701461378E-3</v>
      </c>
      <c r="G2661" s="156"/>
    </row>
    <row r="2662" spans="2:7" x14ac:dyDescent="0.2">
      <c r="B2662" s="230">
        <v>42075</v>
      </c>
      <c r="C2662" s="124">
        <v>229.81</v>
      </c>
      <c r="D2662" s="156">
        <f t="shared" si="42"/>
        <v>2.1332385227323281E-2</v>
      </c>
      <c r="E2662" s="156">
        <v>-1.3134132326384307E-3</v>
      </c>
      <c r="G2662" s="156"/>
    </row>
    <row r="2663" spans="2:7" x14ac:dyDescent="0.2">
      <c r="B2663" s="230">
        <v>42074</v>
      </c>
      <c r="C2663" s="124">
        <v>224.21</v>
      </c>
      <c r="D2663" s="156">
        <f t="shared" si="42"/>
        <v>-2.4367956137678927E-2</v>
      </c>
      <c r="E2663" s="156">
        <v>-1.3157534058825641E-3</v>
      </c>
      <c r="G2663" s="156"/>
    </row>
    <row r="2664" spans="2:7" x14ac:dyDescent="0.2">
      <c r="B2664" s="230">
        <v>42073</v>
      </c>
      <c r="C2664" s="124">
        <v>224.44</v>
      </c>
      <c r="D2664" s="156">
        <f t="shared" si="42"/>
        <v>1.0258240042816545E-3</v>
      </c>
      <c r="E2664" s="156">
        <v>-1.3181743285549234E-3</v>
      </c>
      <c r="G2664" s="156"/>
    </row>
    <row r="2665" spans="2:7" x14ac:dyDescent="0.2">
      <c r="B2665" s="230">
        <v>42072</v>
      </c>
      <c r="C2665" s="124">
        <v>224.31</v>
      </c>
      <c r="D2665" s="156">
        <f t="shared" si="42"/>
        <v>-5.7921939048295962E-4</v>
      </c>
      <c r="E2665" s="156">
        <v>-1.3223764994805003E-3</v>
      </c>
      <c r="G2665" s="156"/>
    </row>
    <row r="2666" spans="2:7" x14ac:dyDescent="0.2">
      <c r="B2666" s="230">
        <v>42068</v>
      </c>
      <c r="C2666" s="124">
        <v>229.55</v>
      </c>
      <c r="D2666" s="156">
        <f t="shared" si="42"/>
        <v>2.336052784093446E-2</v>
      </c>
      <c r="E2666" s="156">
        <v>-1.3227513227514085E-3</v>
      </c>
      <c r="G2666" s="156"/>
    </row>
    <row r="2667" spans="2:7" x14ac:dyDescent="0.2">
      <c r="B2667" s="230">
        <v>42067</v>
      </c>
      <c r="C2667" s="124">
        <v>228.22</v>
      </c>
      <c r="D2667" s="156">
        <f t="shared" si="42"/>
        <v>-5.7939446743629384E-3</v>
      </c>
      <c r="E2667" s="156">
        <v>-1.3246536976762649E-3</v>
      </c>
      <c r="G2667" s="156"/>
    </row>
    <row r="2668" spans="2:7" x14ac:dyDescent="0.2">
      <c r="B2668" s="230">
        <v>42066</v>
      </c>
      <c r="C2668" s="124">
        <v>226.43</v>
      </c>
      <c r="D2668" s="156">
        <f t="shared" si="42"/>
        <v>-7.8433090877223378E-3</v>
      </c>
      <c r="E2668" s="156">
        <v>-1.3266118333774785E-3</v>
      </c>
      <c r="G2668" s="156"/>
    </row>
    <row r="2669" spans="2:7" x14ac:dyDescent="0.2">
      <c r="B2669" s="230">
        <v>42065</v>
      </c>
      <c r="C2669" s="124">
        <v>227.56</v>
      </c>
      <c r="D2669" s="156">
        <f t="shared" si="42"/>
        <v>4.990504791767855E-3</v>
      </c>
      <c r="E2669" s="156">
        <v>-1.3280212483400237E-3</v>
      </c>
      <c r="G2669" s="156"/>
    </row>
    <row r="2670" spans="2:7" x14ac:dyDescent="0.2">
      <c r="B2670" s="230">
        <v>42063</v>
      </c>
      <c r="C2670" s="124">
        <v>239.56</v>
      </c>
      <c r="D2670" s="156">
        <f t="shared" si="42"/>
        <v>5.2733345051854452E-2</v>
      </c>
      <c r="E2670" s="156">
        <v>-1.3285253368760729E-3</v>
      </c>
      <c r="G2670" s="156"/>
    </row>
    <row r="2671" spans="2:7" x14ac:dyDescent="0.2">
      <c r="B2671" s="230">
        <v>42062</v>
      </c>
      <c r="C2671" s="124">
        <v>261.01</v>
      </c>
      <c r="D2671" s="156">
        <f t="shared" si="42"/>
        <v>8.9539155117715763E-2</v>
      </c>
      <c r="E2671" s="156">
        <v>-1.3333333333333838E-3</v>
      </c>
      <c r="G2671" s="156"/>
    </row>
    <row r="2672" spans="2:7" x14ac:dyDescent="0.2">
      <c r="B2672" s="230">
        <v>42061</v>
      </c>
      <c r="C2672" s="124">
        <v>262.3</v>
      </c>
      <c r="D2672" s="156">
        <f t="shared" si="42"/>
        <v>4.9423393739704245E-3</v>
      </c>
      <c r="E2672" s="156">
        <v>-1.3406459475929589E-3</v>
      </c>
      <c r="G2672" s="156"/>
    </row>
    <row r="2673" spans="2:7" x14ac:dyDescent="0.2">
      <c r="B2673" s="230">
        <v>42060</v>
      </c>
      <c r="C2673" s="124">
        <v>264.98</v>
      </c>
      <c r="D2673" s="156">
        <f t="shared" si="42"/>
        <v>1.0217308425467048E-2</v>
      </c>
      <c r="E2673" s="156">
        <v>-1.3420922511831442E-3</v>
      </c>
      <c r="G2673" s="156"/>
    </row>
    <row r="2674" spans="2:7" x14ac:dyDescent="0.2">
      <c r="B2674" s="230">
        <v>42059</v>
      </c>
      <c r="C2674" s="124">
        <v>262.33</v>
      </c>
      <c r="D2674" s="156">
        <f t="shared" si="42"/>
        <v>-1.0000754773945332E-2</v>
      </c>
      <c r="E2674" s="156">
        <v>-1.3425071320691899E-3</v>
      </c>
      <c r="G2674" s="156"/>
    </row>
    <row r="2675" spans="2:7" x14ac:dyDescent="0.2">
      <c r="B2675" s="230">
        <v>42058</v>
      </c>
      <c r="C2675" s="124">
        <v>258.72000000000003</v>
      </c>
      <c r="D2675" s="156">
        <f t="shared" si="42"/>
        <v>-1.3761293027865502E-2</v>
      </c>
      <c r="E2675" s="156">
        <v>-1.3563919972871389E-3</v>
      </c>
      <c r="G2675" s="156"/>
    </row>
    <row r="2676" spans="2:7" x14ac:dyDescent="0.2">
      <c r="B2676" s="230">
        <v>42055</v>
      </c>
      <c r="C2676" s="124">
        <v>262.56</v>
      </c>
      <c r="D2676" s="156">
        <f t="shared" si="42"/>
        <v>1.4842300556586172E-2</v>
      </c>
      <c r="E2676" s="156">
        <v>-1.360235774200913E-3</v>
      </c>
      <c r="G2676" s="156"/>
    </row>
    <row r="2677" spans="2:7" x14ac:dyDescent="0.2">
      <c r="B2677" s="230">
        <v>42054</v>
      </c>
      <c r="C2677" s="124">
        <v>258.06</v>
      </c>
      <c r="D2677" s="156">
        <f t="shared" si="42"/>
        <v>-1.7138939670932357E-2</v>
      </c>
      <c r="E2677" s="156">
        <v>-1.3717091014101967E-3</v>
      </c>
      <c r="G2677" s="156"/>
    </row>
    <row r="2678" spans="2:7" x14ac:dyDescent="0.2">
      <c r="B2678" s="230">
        <v>42053</v>
      </c>
      <c r="C2678" s="124">
        <v>260.70999999999998</v>
      </c>
      <c r="D2678" s="156">
        <f t="shared" si="42"/>
        <v>1.0268929706269771E-2</v>
      </c>
      <c r="E2678" s="156">
        <v>-1.3752793536188209E-3</v>
      </c>
      <c r="G2678" s="156"/>
    </row>
    <row r="2679" spans="2:7" x14ac:dyDescent="0.2">
      <c r="B2679" s="230">
        <v>42051</v>
      </c>
      <c r="C2679" s="124">
        <v>258.29000000000002</v>
      </c>
      <c r="D2679" s="156">
        <f t="shared" si="42"/>
        <v>-9.2823443673045111E-3</v>
      </c>
      <c r="E2679" s="156">
        <v>-1.3790386130812559E-3</v>
      </c>
      <c r="G2679" s="156"/>
    </row>
    <row r="2680" spans="2:7" x14ac:dyDescent="0.2">
      <c r="B2680" s="230">
        <v>42048</v>
      </c>
      <c r="C2680" s="124">
        <v>250.63</v>
      </c>
      <c r="D2680" s="156">
        <f t="shared" si="42"/>
        <v>-2.9656587556622496E-2</v>
      </c>
      <c r="E2680" s="156">
        <v>-1.3802622498274378E-3</v>
      </c>
      <c r="G2680" s="156"/>
    </row>
    <row r="2681" spans="2:7" x14ac:dyDescent="0.2">
      <c r="B2681" s="230">
        <v>42047</v>
      </c>
      <c r="C2681" s="124">
        <v>245.56</v>
      </c>
      <c r="D2681" s="156">
        <f t="shared" si="42"/>
        <v>-2.0229022862386759E-2</v>
      </c>
      <c r="E2681" s="156">
        <v>-1.3966480446927147E-3</v>
      </c>
      <c r="G2681" s="156"/>
    </row>
    <row r="2682" spans="2:7" x14ac:dyDescent="0.2">
      <c r="B2682" s="230">
        <v>42046</v>
      </c>
      <c r="C2682" s="124">
        <v>246.06</v>
      </c>
      <c r="D2682" s="156">
        <f t="shared" si="42"/>
        <v>2.0361622414073952E-3</v>
      </c>
      <c r="E2682" s="156">
        <v>-1.3979496738116633E-3</v>
      </c>
      <c r="G2682" s="156"/>
    </row>
    <row r="2683" spans="2:7" x14ac:dyDescent="0.2">
      <c r="B2683" s="230">
        <v>42045</v>
      </c>
      <c r="C2683" s="124">
        <v>245.23</v>
      </c>
      <c r="D2683" s="156">
        <f t="shared" si="42"/>
        <v>-3.3731610176380251E-3</v>
      </c>
      <c r="E2683" s="156">
        <v>-1.4106655566347847E-3</v>
      </c>
      <c r="G2683" s="156"/>
    </row>
    <row r="2684" spans="2:7" x14ac:dyDescent="0.2">
      <c r="B2684" s="230">
        <v>42044</v>
      </c>
      <c r="C2684" s="124">
        <v>243.9</v>
      </c>
      <c r="D2684" s="156">
        <f t="shared" si="42"/>
        <v>-5.4234799983688131E-3</v>
      </c>
      <c r="E2684" s="156">
        <v>-1.4343772412144936E-3</v>
      </c>
      <c r="G2684" s="156"/>
    </row>
    <row r="2685" spans="2:7" x14ac:dyDescent="0.2">
      <c r="B2685" s="230">
        <v>42041</v>
      </c>
      <c r="C2685" s="124">
        <v>247.61</v>
      </c>
      <c r="D2685" s="156">
        <f t="shared" si="42"/>
        <v>1.5211152111521147E-2</v>
      </c>
      <c r="E2685" s="156">
        <v>-1.4464352370287528E-3</v>
      </c>
      <c r="G2685" s="156"/>
    </row>
    <row r="2686" spans="2:7" x14ac:dyDescent="0.2">
      <c r="B2686" s="230">
        <v>42040</v>
      </c>
      <c r="C2686" s="124">
        <v>244.56</v>
      </c>
      <c r="D2686" s="156">
        <f t="shared" ref="D2686:D2749" si="43">(C2686-C2685)/C2685</f>
        <v>-1.2317757764226046E-2</v>
      </c>
      <c r="E2686" s="156">
        <v>-1.4528386231561204E-3</v>
      </c>
      <c r="G2686" s="156"/>
    </row>
    <row r="2687" spans="2:7" x14ac:dyDescent="0.2">
      <c r="B2687" s="230">
        <v>42039</v>
      </c>
      <c r="C2687" s="124">
        <v>243.7</v>
      </c>
      <c r="D2687" s="156">
        <f t="shared" si="43"/>
        <v>-3.5165194635263888E-3</v>
      </c>
      <c r="E2687" s="156">
        <v>-1.4545454545453718E-3</v>
      </c>
      <c r="G2687" s="156"/>
    </row>
    <row r="2688" spans="2:7" x14ac:dyDescent="0.2">
      <c r="B2688" s="230">
        <v>42038</v>
      </c>
      <c r="C2688" s="124">
        <v>242.68</v>
      </c>
      <c r="D2688" s="156">
        <f t="shared" si="43"/>
        <v>-4.1854739433729252E-3</v>
      </c>
      <c r="E2688" s="156">
        <v>-1.4591639607052891E-3</v>
      </c>
      <c r="G2688" s="156"/>
    </row>
    <row r="2689" spans="2:7" x14ac:dyDescent="0.2">
      <c r="B2689" s="230">
        <v>42037</v>
      </c>
      <c r="C2689" s="124">
        <v>239.1</v>
      </c>
      <c r="D2689" s="156">
        <f t="shared" si="43"/>
        <v>-1.4751936706774405E-2</v>
      </c>
      <c r="E2689" s="156">
        <v>-1.4621635226156275E-3</v>
      </c>
      <c r="G2689" s="156"/>
    </row>
    <row r="2690" spans="2:7" x14ac:dyDescent="0.2">
      <c r="B2690" s="230">
        <v>42034</v>
      </c>
      <c r="C2690" s="124">
        <v>244.33</v>
      </c>
      <c r="D2690" s="156">
        <f t="shared" si="43"/>
        <v>2.1873693015474774E-2</v>
      </c>
      <c r="E2690" s="156">
        <v>-1.4699706005879645E-3</v>
      </c>
      <c r="G2690" s="156"/>
    </row>
    <row r="2691" spans="2:7" x14ac:dyDescent="0.2">
      <c r="B2691" s="230">
        <v>42033</v>
      </c>
      <c r="C2691" s="124">
        <v>245.43</v>
      </c>
      <c r="D2691" s="156">
        <f t="shared" si="43"/>
        <v>4.5021078050177807E-3</v>
      </c>
      <c r="E2691" s="156">
        <v>-1.4710930221154875E-3</v>
      </c>
      <c r="G2691" s="156"/>
    </row>
    <row r="2692" spans="2:7" x14ac:dyDescent="0.2">
      <c r="B2692" s="230">
        <v>42032</v>
      </c>
      <c r="C2692" s="124">
        <v>240.19</v>
      </c>
      <c r="D2692" s="156">
        <f t="shared" si="43"/>
        <v>-2.1350283176465833E-2</v>
      </c>
      <c r="E2692" s="156">
        <v>-1.477832512315327E-3</v>
      </c>
      <c r="G2692" s="156"/>
    </row>
    <row r="2693" spans="2:7" x14ac:dyDescent="0.2">
      <c r="B2693" s="230">
        <v>42031</v>
      </c>
      <c r="C2693" s="124">
        <v>238.76</v>
      </c>
      <c r="D2693" s="156">
        <f t="shared" si="43"/>
        <v>-5.9536200507931507E-3</v>
      </c>
      <c r="E2693" s="156">
        <v>-1.4825796886583917E-3</v>
      </c>
      <c r="G2693" s="156"/>
    </row>
    <row r="2694" spans="2:7" x14ac:dyDescent="0.2">
      <c r="B2694" s="230">
        <v>42027</v>
      </c>
      <c r="C2694" s="124">
        <v>231.67</v>
      </c>
      <c r="D2694" s="156">
        <f t="shared" si="43"/>
        <v>-2.9695091305076242E-2</v>
      </c>
      <c r="E2694" s="156">
        <v>-1.483928101290071E-3</v>
      </c>
      <c r="G2694" s="156"/>
    </row>
    <row r="2695" spans="2:7" x14ac:dyDescent="0.2">
      <c r="B2695" s="230">
        <v>42026</v>
      </c>
      <c r="C2695" s="124">
        <v>232.47</v>
      </c>
      <c r="D2695" s="156">
        <f t="shared" si="43"/>
        <v>3.4531877239176909E-3</v>
      </c>
      <c r="E2695" s="156">
        <v>-1.4852350165995762E-3</v>
      </c>
      <c r="G2695" s="156"/>
    </row>
    <row r="2696" spans="2:7" x14ac:dyDescent="0.2">
      <c r="B2696" s="230">
        <v>42025</v>
      </c>
      <c r="C2696" s="124">
        <v>233.82</v>
      </c>
      <c r="D2696" s="156">
        <f t="shared" si="43"/>
        <v>5.8072009291521244E-3</v>
      </c>
      <c r="E2696" s="156">
        <v>-1.4883095683902361E-3</v>
      </c>
      <c r="G2696" s="156"/>
    </row>
    <row r="2697" spans="2:7" x14ac:dyDescent="0.2">
      <c r="B2697" s="230">
        <v>42024</v>
      </c>
      <c r="C2697" s="124">
        <v>246.02</v>
      </c>
      <c r="D2697" s="156">
        <f t="shared" si="43"/>
        <v>5.2176888204601903E-2</v>
      </c>
      <c r="E2697" s="156">
        <v>-1.4896529511232973E-3</v>
      </c>
      <c r="G2697" s="156"/>
    </row>
    <row r="2698" spans="2:7" x14ac:dyDescent="0.2">
      <c r="B2698" s="230">
        <v>42023</v>
      </c>
      <c r="C2698" s="124">
        <v>237.87</v>
      </c>
      <c r="D2698" s="156">
        <f t="shared" si="43"/>
        <v>-3.3127388017234395E-2</v>
      </c>
      <c r="E2698" s="156">
        <v>-1.4986512139075401E-3</v>
      </c>
      <c r="G2698" s="156"/>
    </row>
    <row r="2699" spans="2:7" x14ac:dyDescent="0.2">
      <c r="B2699" s="230">
        <v>42020</v>
      </c>
      <c r="C2699" s="124">
        <v>238.73</v>
      </c>
      <c r="D2699" s="156">
        <f t="shared" si="43"/>
        <v>3.6154201874973105E-3</v>
      </c>
      <c r="E2699" s="156">
        <v>-1.507727101394776E-3</v>
      </c>
      <c r="G2699" s="156"/>
    </row>
    <row r="2700" spans="2:7" x14ac:dyDescent="0.2">
      <c r="B2700" s="230">
        <v>42019</v>
      </c>
      <c r="C2700" s="124">
        <v>237.27</v>
      </c>
      <c r="D2700" s="156">
        <f t="shared" si="43"/>
        <v>-6.1156955556485549E-3</v>
      </c>
      <c r="E2700" s="156">
        <v>-1.5136989757304172E-3</v>
      </c>
      <c r="G2700" s="156"/>
    </row>
    <row r="2701" spans="2:7" x14ac:dyDescent="0.2">
      <c r="B2701" s="230">
        <v>42018</v>
      </c>
      <c r="C2701" s="124">
        <v>230.58</v>
      </c>
      <c r="D2701" s="156">
        <f t="shared" si="43"/>
        <v>-2.8195726387659617E-2</v>
      </c>
      <c r="E2701" s="156">
        <v>-1.5209694310078634E-3</v>
      </c>
      <c r="G2701" s="156"/>
    </row>
    <row r="2702" spans="2:7" x14ac:dyDescent="0.2">
      <c r="B2702" s="230">
        <v>42017</v>
      </c>
      <c r="C2702" s="124">
        <v>238.73</v>
      </c>
      <c r="D2702" s="156">
        <f t="shared" si="43"/>
        <v>3.5345650099748362E-2</v>
      </c>
      <c r="E2702" s="156">
        <v>-1.5228692958043398E-3</v>
      </c>
      <c r="G2702" s="156"/>
    </row>
    <row r="2703" spans="2:7" x14ac:dyDescent="0.2">
      <c r="B2703" s="230">
        <v>42016</v>
      </c>
      <c r="C2703" s="124">
        <v>237.24</v>
      </c>
      <c r="D2703" s="156">
        <f t="shared" si="43"/>
        <v>-6.2413605328194227E-3</v>
      </c>
      <c r="E2703" s="156">
        <v>-1.5293442936342347E-3</v>
      </c>
      <c r="G2703" s="156"/>
    </row>
    <row r="2704" spans="2:7" x14ac:dyDescent="0.2">
      <c r="B2704" s="230">
        <v>42013</v>
      </c>
      <c r="C2704" s="124">
        <v>236.61</v>
      </c>
      <c r="D2704" s="156">
        <f t="shared" si="43"/>
        <v>-2.6555386949923933E-3</v>
      </c>
      <c r="E2704" s="156">
        <v>-1.5311093583260452E-3</v>
      </c>
      <c r="G2704" s="156"/>
    </row>
    <row r="2705" spans="2:7" x14ac:dyDescent="0.2">
      <c r="B2705" s="230">
        <v>42012</v>
      </c>
      <c r="C2705" s="124">
        <v>240.26</v>
      </c>
      <c r="D2705" s="156">
        <f t="shared" si="43"/>
        <v>1.5426228815350057E-2</v>
      </c>
      <c r="E2705" s="156">
        <v>-1.5316867700554367E-3</v>
      </c>
      <c r="G2705" s="156"/>
    </row>
    <row r="2706" spans="2:7" x14ac:dyDescent="0.2">
      <c r="B2706" s="230">
        <v>42011</v>
      </c>
      <c r="C2706" s="124">
        <v>234.39</v>
      </c>
      <c r="D2706" s="156">
        <f t="shared" si="43"/>
        <v>-2.4431865479064365E-2</v>
      </c>
      <c r="E2706" s="156">
        <v>-1.531807532888824E-3</v>
      </c>
      <c r="G2706" s="156"/>
    </row>
    <row r="2707" spans="2:7" x14ac:dyDescent="0.2">
      <c r="B2707" s="230">
        <v>42010</v>
      </c>
      <c r="C2707" s="124">
        <v>238.83</v>
      </c>
      <c r="D2707" s="156">
        <f t="shared" si="43"/>
        <v>1.8942787661589772E-2</v>
      </c>
      <c r="E2707" s="156">
        <v>-1.5429122468658717E-3</v>
      </c>
      <c r="G2707" s="156"/>
    </row>
    <row r="2708" spans="2:7" x14ac:dyDescent="0.2">
      <c r="B2708" s="230">
        <v>42009</v>
      </c>
      <c r="C2708" s="124">
        <v>245.13</v>
      </c>
      <c r="D2708" s="156">
        <f t="shared" si="43"/>
        <v>2.6378595653812262E-2</v>
      </c>
      <c r="E2708" s="156">
        <v>-1.5538808173414422E-3</v>
      </c>
      <c r="G2708" s="156"/>
    </row>
    <row r="2709" spans="2:7" x14ac:dyDescent="0.2">
      <c r="B2709" s="230">
        <v>42006</v>
      </c>
      <c r="C2709" s="124">
        <v>244.17</v>
      </c>
      <c r="D2709" s="156">
        <f t="shared" si="43"/>
        <v>-3.9162893158732424E-3</v>
      </c>
      <c r="E2709" s="156">
        <v>-1.5734265734266329E-3</v>
      </c>
      <c r="G2709" s="156"/>
    </row>
    <row r="2710" spans="2:7" x14ac:dyDescent="0.2">
      <c r="B2710" s="230">
        <v>42005</v>
      </c>
      <c r="C2710" s="124">
        <v>243.4</v>
      </c>
      <c r="D2710" s="156">
        <f t="shared" si="43"/>
        <v>-3.1535405659990248E-3</v>
      </c>
      <c r="E2710" s="156">
        <v>-1.5861266786506448E-3</v>
      </c>
      <c r="G2710" s="156"/>
    </row>
    <row r="2711" spans="2:7" x14ac:dyDescent="0.2">
      <c r="B2711" s="230">
        <v>42004</v>
      </c>
      <c r="C2711" s="124">
        <v>244.43</v>
      </c>
      <c r="D2711" s="156">
        <f t="shared" si="43"/>
        <v>4.2317173377156986E-3</v>
      </c>
      <c r="E2711" s="156">
        <v>-1.5917934205871547E-3</v>
      </c>
      <c r="G2711" s="156"/>
    </row>
    <row r="2712" spans="2:7" x14ac:dyDescent="0.2">
      <c r="B2712" s="230">
        <v>42003</v>
      </c>
      <c r="C2712" s="124">
        <v>244.17</v>
      </c>
      <c r="D2712" s="156">
        <f t="shared" si="43"/>
        <v>-1.0636992185902685E-3</v>
      </c>
      <c r="E2712" s="156">
        <v>-1.6021690904608756E-3</v>
      </c>
      <c r="G2712" s="156"/>
    </row>
    <row r="2713" spans="2:7" x14ac:dyDescent="0.2">
      <c r="B2713" s="230">
        <v>42002</v>
      </c>
      <c r="C2713" s="124">
        <v>245.19</v>
      </c>
      <c r="D2713" s="156">
        <f t="shared" si="43"/>
        <v>4.177417373141706E-3</v>
      </c>
      <c r="E2713" s="156">
        <v>-1.6080042880113688E-3</v>
      </c>
      <c r="G2713" s="156"/>
    </row>
    <row r="2714" spans="2:7" x14ac:dyDescent="0.2">
      <c r="B2714" s="230">
        <v>41999</v>
      </c>
      <c r="C2714" s="124">
        <v>243.93</v>
      </c>
      <c r="D2714" s="156">
        <f t="shared" si="43"/>
        <v>-5.1388718952648594E-3</v>
      </c>
      <c r="E2714" s="156">
        <v>-1.6080042880115971E-3</v>
      </c>
      <c r="G2714" s="156"/>
    </row>
    <row r="2715" spans="2:7" x14ac:dyDescent="0.2">
      <c r="B2715" s="230">
        <v>41997</v>
      </c>
      <c r="C2715" s="124">
        <v>246.22</v>
      </c>
      <c r="D2715" s="156">
        <f t="shared" si="43"/>
        <v>9.3879391628745625E-3</v>
      </c>
      <c r="E2715" s="156">
        <v>-1.6108343525341421E-3</v>
      </c>
      <c r="G2715" s="156"/>
    </row>
    <row r="2716" spans="2:7" x14ac:dyDescent="0.2">
      <c r="B2716" s="230">
        <v>41996</v>
      </c>
      <c r="C2716" s="124">
        <v>248.38</v>
      </c>
      <c r="D2716" s="156">
        <f t="shared" si="43"/>
        <v>8.7726423523677866E-3</v>
      </c>
      <c r="E2716" s="156">
        <v>-1.6123831022251114E-3</v>
      </c>
      <c r="G2716" s="156"/>
    </row>
    <row r="2717" spans="2:7" x14ac:dyDescent="0.2">
      <c r="B2717" s="230">
        <v>41995</v>
      </c>
      <c r="C2717" s="124">
        <v>248.01</v>
      </c>
      <c r="D2717" s="156">
        <f t="shared" si="43"/>
        <v>-1.4896529511232973E-3</v>
      </c>
      <c r="E2717" s="156">
        <v>-1.6319129646418446E-3</v>
      </c>
      <c r="G2717" s="156"/>
    </row>
    <row r="2718" spans="2:7" x14ac:dyDescent="0.2">
      <c r="B2718" s="230">
        <v>41992</v>
      </c>
      <c r="C2718" s="124">
        <v>244.5</v>
      </c>
      <c r="D2718" s="156">
        <f t="shared" si="43"/>
        <v>-1.4152655134873557E-2</v>
      </c>
      <c r="E2718" s="156">
        <v>-1.6420361247947715E-3</v>
      </c>
      <c r="G2718" s="156"/>
    </row>
    <row r="2719" spans="2:7" x14ac:dyDescent="0.2">
      <c r="B2719" s="230">
        <v>41991</v>
      </c>
      <c r="C2719" s="124">
        <v>248.51</v>
      </c>
      <c r="D2719" s="156">
        <f t="shared" si="43"/>
        <v>1.6400817995909985E-2</v>
      </c>
      <c r="E2719" s="156">
        <v>-1.6462841015992208E-3</v>
      </c>
      <c r="G2719" s="156"/>
    </row>
    <row r="2720" spans="2:7" x14ac:dyDescent="0.2">
      <c r="B2720" s="230">
        <v>41990</v>
      </c>
      <c r="C2720" s="124">
        <v>246.49</v>
      </c>
      <c r="D2720" s="156">
        <f t="shared" si="43"/>
        <v>-8.1284455353908564E-3</v>
      </c>
      <c r="E2720" s="156">
        <v>-1.6675931072817429E-3</v>
      </c>
      <c r="G2720" s="156"/>
    </row>
    <row r="2721" spans="2:7" x14ac:dyDescent="0.2">
      <c r="B2721" s="230">
        <v>41989</v>
      </c>
      <c r="C2721" s="124">
        <v>252.32</v>
      </c>
      <c r="D2721" s="156">
        <f t="shared" si="43"/>
        <v>2.3652075134893844E-2</v>
      </c>
      <c r="E2721" s="156">
        <v>-1.6729189901651836E-3</v>
      </c>
      <c r="G2721" s="156"/>
    </row>
    <row r="2722" spans="2:7" x14ac:dyDescent="0.2">
      <c r="B2722" s="230">
        <v>41988</v>
      </c>
      <c r="C2722" s="124">
        <v>260.24</v>
      </c>
      <c r="D2722" s="156">
        <f t="shared" si="43"/>
        <v>3.1388712745719784E-2</v>
      </c>
      <c r="E2722" s="156">
        <v>-1.6758439071103391E-3</v>
      </c>
      <c r="G2722" s="156"/>
    </row>
    <row r="2723" spans="2:7" x14ac:dyDescent="0.2">
      <c r="B2723" s="230">
        <v>41985</v>
      </c>
      <c r="C2723" s="124">
        <v>262.33</v>
      </c>
      <c r="D2723" s="156">
        <f t="shared" si="43"/>
        <v>8.0310482631416186E-3</v>
      </c>
      <c r="E2723" s="156">
        <v>-1.6799664006720105E-3</v>
      </c>
      <c r="G2723" s="156"/>
    </row>
    <row r="2724" spans="2:7" x14ac:dyDescent="0.2">
      <c r="B2724" s="230">
        <v>41984</v>
      </c>
      <c r="C2724" s="124">
        <v>262.93</v>
      </c>
      <c r="D2724" s="156">
        <f t="shared" si="43"/>
        <v>2.2871955170968732E-3</v>
      </c>
      <c r="E2724" s="156">
        <v>-1.6800930513073983E-3</v>
      </c>
      <c r="G2724" s="156"/>
    </row>
    <row r="2725" spans="2:7" x14ac:dyDescent="0.2">
      <c r="B2725" s="230">
        <v>41983</v>
      </c>
      <c r="C2725" s="124">
        <v>261.87</v>
      </c>
      <c r="D2725" s="156">
        <f t="shared" si="43"/>
        <v>-4.0314912714410761E-3</v>
      </c>
      <c r="E2725" s="156">
        <v>-1.6893295300339441E-3</v>
      </c>
      <c r="G2725" s="156"/>
    </row>
    <row r="2726" spans="2:7" x14ac:dyDescent="0.2">
      <c r="B2726" s="230">
        <v>41982</v>
      </c>
      <c r="C2726" s="124">
        <v>261.44</v>
      </c>
      <c r="D2726" s="156">
        <f t="shared" si="43"/>
        <v>-1.6420361247947715E-3</v>
      </c>
      <c r="E2726" s="156">
        <v>-1.6922382671480786E-3</v>
      </c>
      <c r="G2726" s="156"/>
    </row>
    <row r="2727" spans="2:7" x14ac:dyDescent="0.2">
      <c r="B2727" s="230">
        <v>41981</v>
      </c>
      <c r="C2727" s="124">
        <v>263.72000000000003</v>
      </c>
      <c r="D2727" s="156">
        <f t="shared" si="43"/>
        <v>8.7209302325582522E-3</v>
      </c>
      <c r="E2727" s="156">
        <v>-1.7027424473053455E-3</v>
      </c>
      <c r="G2727" s="156"/>
    </row>
    <row r="2728" spans="2:7" x14ac:dyDescent="0.2">
      <c r="B2728" s="230">
        <v>41978</v>
      </c>
      <c r="C2728" s="124">
        <v>259.45</v>
      </c>
      <c r="D2728" s="156">
        <f t="shared" si="43"/>
        <v>-1.6191415137266942E-2</v>
      </c>
      <c r="E2728" s="156">
        <v>-1.7032361486825137E-3</v>
      </c>
      <c r="G2728" s="156"/>
    </row>
    <row r="2729" spans="2:7" x14ac:dyDescent="0.2">
      <c r="B2729" s="230">
        <v>41977</v>
      </c>
      <c r="C2729" s="124">
        <v>254.01</v>
      </c>
      <c r="D2729" s="156">
        <f t="shared" si="43"/>
        <v>-2.0967431104259002E-2</v>
      </c>
      <c r="E2729" s="156">
        <v>-1.7070448427548481E-3</v>
      </c>
      <c r="G2729" s="156"/>
    </row>
    <row r="2730" spans="2:7" x14ac:dyDescent="0.2">
      <c r="B2730" s="230">
        <v>41976</v>
      </c>
      <c r="C2730" s="124">
        <v>240.82</v>
      </c>
      <c r="D2730" s="156">
        <f t="shared" si="43"/>
        <v>-5.1927089484665949E-2</v>
      </c>
      <c r="E2730" s="156">
        <v>-1.7148736709729048E-3</v>
      </c>
      <c r="G2730" s="156"/>
    </row>
    <row r="2731" spans="2:7" x14ac:dyDescent="0.2">
      <c r="B2731" s="230">
        <v>41975</v>
      </c>
      <c r="C2731" s="124">
        <v>242.51</v>
      </c>
      <c r="D2731" s="156">
        <f t="shared" si="43"/>
        <v>7.017689560667709E-3</v>
      </c>
      <c r="E2731" s="156">
        <v>-1.7174432497012379E-3</v>
      </c>
      <c r="G2731" s="156"/>
    </row>
    <row r="2732" spans="2:7" x14ac:dyDescent="0.2">
      <c r="B2732" s="230">
        <v>41974</v>
      </c>
      <c r="C2732" s="124">
        <v>241.71</v>
      </c>
      <c r="D2732" s="156">
        <f t="shared" si="43"/>
        <v>-3.2988330378128034E-3</v>
      </c>
      <c r="E2732" s="156">
        <v>-1.7189903193702862E-3</v>
      </c>
      <c r="G2732" s="156"/>
    </row>
    <row r="2733" spans="2:7" x14ac:dyDescent="0.2">
      <c r="B2733" s="230">
        <v>41971</v>
      </c>
      <c r="C2733" s="124">
        <v>240.75</v>
      </c>
      <c r="D2733" s="156">
        <f t="shared" si="43"/>
        <v>-3.9717016259153857E-3</v>
      </c>
      <c r="E2733" s="156">
        <v>-1.7215295529239088E-3</v>
      </c>
      <c r="G2733" s="156"/>
    </row>
    <row r="2734" spans="2:7" x14ac:dyDescent="0.2">
      <c r="B2734" s="230">
        <v>41970</v>
      </c>
      <c r="C2734" s="124">
        <v>239.06</v>
      </c>
      <c r="D2734" s="156">
        <f t="shared" si="43"/>
        <v>-7.0197300103842066E-3</v>
      </c>
      <c r="E2734" s="156">
        <v>-1.7243181105652842E-3</v>
      </c>
      <c r="G2734" s="156"/>
    </row>
    <row r="2735" spans="2:7" x14ac:dyDescent="0.2">
      <c r="B2735" s="230">
        <v>41969</v>
      </c>
      <c r="C2735" s="124">
        <v>240.92</v>
      </c>
      <c r="D2735" s="156">
        <f t="shared" si="43"/>
        <v>7.7804735212916639E-3</v>
      </c>
      <c r="E2735" s="156">
        <v>-1.7304780445598343E-3</v>
      </c>
      <c r="G2735" s="156"/>
    </row>
    <row r="2736" spans="2:7" x14ac:dyDescent="0.2">
      <c r="B2736" s="230">
        <v>41968</v>
      </c>
      <c r="C2736" s="124">
        <v>235.61</v>
      </c>
      <c r="D2736" s="156">
        <f t="shared" si="43"/>
        <v>-2.2040511373069793E-2</v>
      </c>
      <c r="E2736" s="156">
        <v>-1.731075138018174E-3</v>
      </c>
      <c r="G2736" s="156"/>
    </row>
    <row r="2737" spans="2:7" x14ac:dyDescent="0.2">
      <c r="B2737" s="230">
        <v>41967</v>
      </c>
      <c r="C2737" s="124">
        <v>248.58</v>
      </c>
      <c r="D2737" s="156">
        <f t="shared" si="43"/>
        <v>5.5048597258180884E-2</v>
      </c>
      <c r="E2737" s="156">
        <v>-1.7313019390581964E-3</v>
      </c>
      <c r="G2737" s="156"/>
    </row>
    <row r="2738" spans="2:7" x14ac:dyDescent="0.2">
      <c r="B2738" s="230">
        <v>41964</v>
      </c>
      <c r="C2738" s="124">
        <v>249.37</v>
      </c>
      <c r="D2738" s="156">
        <f t="shared" si="43"/>
        <v>3.1780513315632472E-3</v>
      </c>
      <c r="E2738" s="156">
        <v>-1.7338307150738847E-3</v>
      </c>
      <c r="G2738" s="156"/>
    </row>
    <row r="2739" spans="2:7" x14ac:dyDescent="0.2">
      <c r="B2739" s="230">
        <v>41963</v>
      </c>
      <c r="C2739" s="124">
        <v>245.33</v>
      </c>
      <c r="D2739" s="156">
        <f t="shared" si="43"/>
        <v>-1.6200826081725916E-2</v>
      </c>
      <c r="E2739" s="156">
        <v>-1.7364460737025547E-3</v>
      </c>
      <c r="G2739" s="156"/>
    </row>
    <row r="2740" spans="2:7" x14ac:dyDescent="0.2">
      <c r="B2740" s="230">
        <v>41962</v>
      </c>
      <c r="C2740" s="124">
        <v>243.87</v>
      </c>
      <c r="D2740" s="156">
        <f t="shared" si="43"/>
        <v>-5.9511678147801238E-3</v>
      </c>
      <c r="E2740" s="156">
        <v>-1.741755689735319E-3</v>
      </c>
      <c r="G2740" s="156"/>
    </row>
    <row r="2741" spans="2:7" x14ac:dyDescent="0.2">
      <c r="B2741" s="230">
        <v>41961</v>
      </c>
      <c r="C2741" s="124">
        <v>245.46</v>
      </c>
      <c r="D2741" s="156">
        <f t="shared" si="43"/>
        <v>6.5198671423299433E-3</v>
      </c>
      <c r="E2741" s="156">
        <v>-1.747335313646689E-3</v>
      </c>
      <c r="G2741" s="156"/>
    </row>
    <row r="2742" spans="2:7" x14ac:dyDescent="0.2">
      <c r="B2742" s="230">
        <v>41960</v>
      </c>
      <c r="C2742" s="124">
        <v>245.43</v>
      </c>
      <c r="D2742" s="156">
        <f t="shared" si="43"/>
        <v>-1.2221950623319945E-4</v>
      </c>
      <c r="E2742" s="156">
        <v>-1.7492424055778155E-3</v>
      </c>
      <c r="G2742" s="156"/>
    </row>
    <row r="2743" spans="2:7" x14ac:dyDescent="0.2">
      <c r="B2743" s="230">
        <v>41957</v>
      </c>
      <c r="C2743" s="124">
        <v>244.76</v>
      </c>
      <c r="D2743" s="156">
        <f t="shared" si="43"/>
        <v>-2.7299026198916838E-3</v>
      </c>
      <c r="E2743" s="156">
        <v>-1.7509727626458425E-3</v>
      </c>
      <c r="G2743" s="156"/>
    </row>
    <row r="2744" spans="2:7" x14ac:dyDescent="0.2">
      <c r="B2744" s="230">
        <v>41956</v>
      </c>
      <c r="C2744" s="124">
        <v>244.2</v>
      </c>
      <c r="D2744" s="156">
        <f t="shared" si="43"/>
        <v>-2.2879555482922141E-3</v>
      </c>
      <c r="E2744" s="156">
        <v>-1.7576623091287587E-3</v>
      </c>
      <c r="G2744" s="156"/>
    </row>
    <row r="2745" spans="2:7" x14ac:dyDescent="0.2">
      <c r="B2745" s="230">
        <v>41955</v>
      </c>
      <c r="C2745" s="124">
        <v>244.96</v>
      </c>
      <c r="D2745" s="156">
        <f t="shared" si="43"/>
        <v>3.1122031122031916E-3</v>
      </c>
      <c r="E2745" s="156">
        <v>-1.7602190494817799E-3</v>
      </c>
      <c r="G2745" s="156"/>
    </row>
    <row r="2746" spans="2:7" x14ac:dyDescent="0.2">
      <c r="B2746" s="230">
        <v>41954</v>
      </c>
      <c r="C2746" s="124">
        <v>241.38</v>
      </c>
      <c r="D2746" s="156">
        <f t="shared" si="43"/>
        <v>-1.4614630960156812E-2</v>
      </c>
      <c r="E2746" s="156">
        <v>-1.7678500863127279E-3</v>
      </c>
      <c r="G2746" s="156"/>
    </row>
    <row r="2747" spans="2:7" x14ac:dyDescent="0.2">
      <c r="B2747" s="230">
        <v>41953</v>
      </c>
      <c r="C2747" s="124">
        <v>246.42</v>
      </c>
      <c r="D2747" s="156">
        <f t="shared" si="43"/>
        <v>2.0879940343027557E-2</v>
      </c>
      <c r="E2747" s="156">
        <v>-1.7683888543706741E-3</v>
      </c>
      <c r="G2747" s="156"/>
    </row>
    <row r="2748" spans="2:7" x14ac:dyDescent="0.2">
      <c r="B2748" s="230">
        <v>41950</v>
      </c>
      <c r="C2748" s="124">
        <v>235.78</v>
      </c>
      <c r="D2748" s="156">
        <f t="shared" si="43"/>
        <v>-4.3178313448583666E-2</v>
      </c>
      <c r="E2748" s="156">
        <v>-1.7696267696268061E-3</v>
      </c>
      <c r="G2748" s="156"/>
    </row>
    <row r="2749" spans="2:7" x14ac:dyDescent="0.2">
      <c r="B2749" s="230">
        <v>41948</v>
      </c>
      <c r="C2749" s="124">
        <v>238.1</v>
      </c>
      <c r="D2749" s="156">
        <f t="shared" si="43"/>
        <v>9.8396810586139326E-3</v>
      </c>
      <c r="E2749" s="156">
        <v>-1.7818253811127183E-3</v>
      </c>
      <c r="G2749" s="156"/>
    </row>
    <row r="2750" spans="2:7" x14ac:dyDescent="0.2">
      <c r="B2750" s="230">
        <v>41946</v>
      </c>
      <c r="C2750" s="124">
        <v>235.65</v>
      </c>
      <c r="D2750" s="156">
        <f t="shared" ref="D2750:D2813" si="44">(C2750-C2749)/C2749</f>
        <v>-1.028979420411587E-2</v>
      </c>
      <c r="E2750" s="156">
        <v>-1.8115942028985507E-3</v>
      </c>
      <c r="G2750" s="156"/>
    </row>
    <row r="2751" spans="2:7" x14ac:dyDescent="0.2">
      <c r="B2751" s="230">
        <v>41943</v>
      </c>
      <c r="C2751" s="124">
        <v>235.48</v>
      </c>
      <c r="D2751" s="156">
        <f t="shared" si="44"/>
        <v>-7.2140886908557574E-4</v>
      </c>
      <c r="E2751" s="156">
        <v>-1.8265952264978772E-3</v>
      </c>
      <c r="G2751" s="156"/>
    </row>
    <row r="2752" spans="2:7" x14ac:dyDescent="0.2">
      <c r="B2752" s="230">
        <v>41942</v>
      </c>
      <c r="C2752" s="124">
        <v>235.28</v>
      </c>
      <c r="D2752" s="156">
        <f t="shared" si="44"/>
        <v>-8.4932903006619943E-4</v>
      </c>
      <c r="E2752" s="156">
        <v>-1.8296401707663698E-3</v>
      </c>
      <c r="G2752" s="156"/>
    </row>
    <row r="2753" spans="2:7" x14ac:dyDescent="0.2">
      <c r="B2753" s="230">
        <v>41941</v>
      </c>
      <c r="C2753" s="124">
        <v>234.98</v>
      </c>
      <c r="D2753" s="156">
        <f t="shared" si="44"/>
        <v>-1.2750765045903237E-3</v>
      </c>
      <c r="E2753" s="156">
        <v>-1.837866737953657E-3</v>
      </c>
      <c r="G2753" s="156"/>
    </row>
    <row r="2754" spans="2:7" x14ac:dyDescent="0.2">
      <c r="B2754" s="230">
        <v>41940</v>
      </c>
      <c r="C2754" s="124">
        <v>232.13</v>
      </c>
      <c r="D2754" s="156">
        <f t="shared" si="44"/>
        <v>-1.2128691803557726E-2</v>
      </c>
      <c r="E2754" s="156">
        <v>-1.838235294117647E-3</v>
      </c>
      <c r="G2754" s="156"/>
    </row>
    <row r="2755" spans="2:7" x14ac:dyDescent="0.2">
      <c r="B2755" s="230">
        <v>41939</v>
      </c>
      <c r="C2755" s="124">
        <v>231.74</v>
      </c>
      <c r="D2755" s="156">
        <f t="shared" si="44"/>
        <v>-1.6800930513073983E-3</v>
      </c>
      <c r="E2755" s="156">
        <v>-1.8522916171931358E-3</v>
      </c>
      <c r="G2755" s="156"/>
    </row>
    <row r="2756" spans="2:7" x14ac:dyDescent="0.2">
      <c r="B2756" s="230">
        <v>41935</v>
      </c>
      <c r="C2756" s="124">
        <v>232.3</v>
      </c>
      <c r="D2756" s="156">
        <f t="shared" si="44"/>
        <v>2.4165012514024433E-3</v>
      </c>
      <c r="E2756" s="156">
        <v>-1.8732692620948362E-3</v>
      </c>
      <c r="G2756" s="156"/>
    </row>
    <row r="2757" spans="2:7" x14ac:dyDescent="0.2">
      <c r="B2757" s="230">
        <v>41934</v>
      </c>
      <c r="C2757" s="124">
        <v>231.37</v>
      </c>
      <c r="D2757" s="156">
        <f t="shared" si="44"/>
        <v>-4.0034438226431634E-3</v>
      </c>
      <c r="E2757" s="156">
        <v>-1.8895700129633593E-3</v>
      </c>
      <c r="G2757" s="156"/>
    </row>
    <row r="2758" spans="2:7" x14ac:dyDescent="0.2">
      <c r="B2758" s="230">
        <v>41933</v>
      </c>
      <c r="C2758" s="124">
        <v>232.93</v>
      </c>
      <c r="D2758" s="156">
        <f t="shared" si="44"/>
        <v>6.7424471625534953E-3</v>
      </c>
      <c r="E2758" s="156">
        <v>-1.8956928095931174E-3</v>
      </c>
      <c r="G2758" s="156"/>
    </row>
    <row r="2759" spans="2:7" x14ac:dyDescent="0.2">
      <c r="B2759" s="230">
        <v>41932</v>
      </c>
      <c r="C2759" s="124">
        <v>233.36</v>
      </c>
      <c r="D2759" s="156">
        <f t="shared" si="44"/>
        <v>1.8460481689778338E-3</v>
      </c>
      <c r="E2759" s="156">
        <v>-1.8999932941413656E-3</v>
      </c>
      <c r="G2759" s="156"/>
    </row>
    <row r="2760" spans="2:7" x14ac:dyDescent="0.2">
      <c r="B2760" s="230">
        <v>41929</v>
      </c>
      <c r="C2760" s="124">
        <v>234.65</v>
      </c>
      <c r="D2760" s="156">
        <f t="shared" si="44"/>
        <v>5.5279396640383616E-3</v>
      </c>
      <c r="E2760" s="156">
        <v>-1.9054217910963263E-3</v>
      </c>
      <c r="G2760" s="156"/>
    </row>
    <row r="2761" spans="2:7" x14ac:dyDescent="0.2">
      <c r="B2761" s="230">
        <v>41928</v>
      </c>
      <c r="C2761" s="124">
        <v>233.66</v>
      </c>
      <c r="D2761" s="156">
        <f t="shared" si="44"/>
        <v>-4.2190496484125683E-3</v>
      </c>
      <c r="E2761" s="156">
        <v>-1.9108584531601091E-3</v>
      </c>
      <c r="G2761" s="156"/>
    </row>
    <row r="2762" spans="2:7" x14ac:dyDescent="0.2">
      <c r="B2762" s="230">
        <v>41926</v>
      </c>
      <c r="C2762" s="124">
        <v>230.05</v>
      </c>
      <c r="D2762" s="156">
        <f t="shared" si="44"/>
        <v>-1.544979885303426E-2</v>
      </c>
      <c r="E2762" s="156">
        <v>-1.9147917663954316E-3</v>
      </c>
      <c r="G2762" s="156"/>
    </row>
    <row r="2763" spans="2:7" x14ac:dyDescent="0.2">
      <c r="B2763" s="230">
        <v>41925</v>
      </c>
      <c r="C2763" s="124">
        <v>232.4</v>
      </c>
      <c r="D2763" s="156">
        <f t="shared" si="44"/>
        <v>1.0215170615083652E-2</v>
      </c>
      <c r="E2763" s="156">
        <v>-1.9370241902788719E-3</v>
      </c>
      <c r="G2763" s="156"/>
    </row>
    <row r="2764" spans="2:7" x14ac:dyDescent="0.2">
      <c r="B2764" s="230">
        <v>41922</v>
      </c>
      <c r="C2764" s="124">
        <v>234.09</v>
      </c>
      <c r="D2764" s="156">
        <f t="shared" si="44"/>
        <v>7.2719449225473222E-3</v>
      </c>
      <c r="E2764" s="156">
        <v>-1.9419115163796352E-3</v>
      </c>
      <c r="G2764" s="156"/>
    </row>
    <row r="2765" spans="2:7" x14ac:dyDescent="0.2">
      <c r="B2765" s="230">
        <v>41921</v>
      </c>
      <c r="C2765" s="124">
        <v>242.31</v>
      </c>
      <c r="D2765" s="156">
        <f t="shared" si="44"/>
        <v>3.5114699474561063E-2</v>
      </c>
      <c r="E2765" s="156">
        <v>-1.9441179130120572E-3</v>
      </c>
      <c r="G2765" s="156"/>
    </row>
    <row r="2766" spans="2:7" x14ac:dyDescent="0.2">
      <c r="B2766" s="230">
        <v>41920</v>
      </c>
      <c r="C2766" s="124">
        <v>242.44</v>
      </c>
      <c r="D2766" s="156">
        <f t="shared" si="44"/>
        <v>5.3650282695718481E-4</v>
      </c>
      <c r="E2766" s="156">
        <v>-1.9556714471968295E-3</v>
      </c>
      <c r="G2766" s="156"/>
    </row>
    <row r="2767" spans="2:7" x14ac:dyDescent="0.2">
      <c r="B2767" s="230">
        <v>41919</v>
      </c>
      <c r="C2767" s="124">
        <v>240.49</v>
      </c>
      <c r="D2767" s="156">
        <f t="shared" si="44"/>
        <v>-8.0432271902325884E-3</v>
      </c>
      <c r="E2767" s="156">
        <v>-1.9614092725623641E-3</v>
      </c>
      <c r="G2767" s="156"/>
    </row>
    <row r="2768" spans="2:7" x14ac:dyDescent="0.2">
      <c r="B2768" s="230">
        <v>41913</v>
      </c>
      <c r="C2768" s="124">
        <v>241.38</v>
      </c>
      <c r="D2768" s="156">
        <f t="shared" si="44"/>
        <v>3.7007775791092616E-3</v>
      </c>
      <c r="E2768" s="156">
        <v>-1.9690498641077698E-3</v>
      </c>
      <c r="G2768" s="156"/>
    </row>
    <row r="2769" spans="2:7" x14ac:dyDescent="0.2">
      <c r="B2769" s="230">
        <v>41912</v>
      </c>
      <c r="C2769" s="124">
        <v>245.43</v>
      </c>
      <c r="D2769" s="156">
        <f t="shared" si="44"/>
        <v>1.6778523489932935E-2</v>
      </c>
      <c r="E2769" s="156">
        <v>-1.9725521467242996E-3</v>
      </c>
      <c r="G2769" s="156"/>
    </row>
    <row r="2770" spans="2:7" x14ac:dyDescent="0.2">
      <c r="B2770" s="230">
        <v>41911</v>
      </c>
      <c r="C2770" s="124">
        <v>242.71</v>
      </c>
      <c r="D2770" s="156">
        <f t="shared" si="44"/>
        <v>-1.1082589740455522E-2</v>
      </c>
      <c r="E2770" s="156">
        <v>-1.9743336623889718E-3</v>
      </c>
      <c r="G2770" s="156"/>
    </row>
    <row r="2771" spans="2:7" x14ac:dyDescent="0.2">
      <c r="B2771" s="230">
        <v>41908</v>
      </c>
      <c r="C2771" s="124">
        <v>246.42</v>
      </c>
      <c r="D2771" s="156">
        <f t="shared" si="44"/>
        <v>1.5285731943471548E-2</v>
      </c>
      <c r="E2771" s="156">
        <v>-1.9875561700657103E-3</v>
      </c>
      <c r="G2771" s="156"/>
    </row>
    <row r="2772" spans="2:7" x14ac:dyDescent="0.2">
      <c r="B2772" s="230">
        <v>41907</v>
      </c>
      <c r="C2772" s="124">
        <v>249.7</v>
      </c>
      <c r="D2772" s="156">
        <f t="shared" si="44"/>
        <v>1.3310607905202505E-2</v>
      </c>
      <c r="E2772" s="156">
        <v>-2.0070011668611755E-3</v>
      </c>
      <c r="G2772" s="156"/>
    </row>
    <row r="2773" spans="2:7" x14ac:dyDescent="0.2">
      <c r="B2773" s="230">
        <v>41906</v>
      </c>
      <c r="C2773" s="124">
        <v>250.07</v>
      </c>
      <c r="D2773" s="156">
        <f t="shared" si="44"/>
        <v>1.4817781337605309E-3</v>
      </c>
      <c r="E2773" s="156">
        <v>-2.0126723816623945E-3</v>
      </c>
      <c r="G2773" s="156"/>
    </row>
    <row r="2774" spans="2:7" x14ac:dyDescent="0.2">
      <c r="B2774" s="230">
        <v>41905</v>
      </c>
      <c r="C2774" s="124">
        <v>245.82</v>
      </c>
      <c r="D2774" s="156">
        <f t="shared" si="44"/>
        <v>-1.6995241332426921E-2</v>
      </c>
      <c r="E2774" s="156">
        <v>-2.0220175241519524E-3</v>
      </c>
      <c r="G2774" s="156"/>
    </row>
    <row r="2775" spans="2:7" x14ac:dyDescent="0.2">
      <c r="B2775" s="230">
        <v>41904</v>
      </c>
      <c r="C2775" s="124">
        <v>245.79</v>
      </c>
      <c r="D2775" s="156">
        <f t="shared" si="44"/>
        <v>-1.2204051745179862E-4</v>
      </c>
      <c r="E2775" s="156">
        <v>-2.030456852791955E-3</v>
      </c>
      <c r="G2775" s="156"/>
    </row>
    <row r="2776" spans="2:7" x14ac:dyDescent="0.2">
      <c r="B2776" s="230">
        <v>41901</v>
      </c>
      <c r="C2776" s="124">
        <v>238.27</v>
      </c>
      <c r="D2776" s="156">
        <f t="shared" si="44"/>
        <v>-3.0595223564831693E-2</v>
      </c>
      <c r="E2776" s="156">
        <v>-2.0309326667708569E-3</v>
      </c>
      <c r="G2776" s="156"/>
    </row>
    <row r="2777" spans="2:7" x14ac:dyDescent="0.2">
      <c r="B2777" s="230">
        <v>41900</v>
      </c>
      <c r="C2777" s="124">
        <v>237.8</v>
      </c>
      <c r="D2777" s="156">
        <f t="shared" si="44"/>
        <v>-1.9725521467242996E-3</v>
      </c>
      <c r="E2777" s="156">
        <v>-2.0393474088292291E-3</v>
      </c>
      <c r="G2777" s="156"/>
    </row>
    <row r="2778" spans="2:7" x14ac:dyDescent="0.2">
      <c r="B2778" s="230">
        <v>41899</v>
      </c>
      <c r="C2778" s="124">
        <v>235.18</v>
      </c>
      <c r="D2778" s="156">
        <f t="shared" si="44"/>
        <v>-1.1017661900756957E-2</v>
      </c>
      <c r="E2778" s="156">
        <v>-2.0459553037457125E-3</v>
      </c>
      <c r="G2778" s="156"/>
    </row>
    <row r="2779" spans="2:7" x14ac:dyDescent="0.2">
      <c r="B2779" s="230">
        <v>41898</v>
      </c>
      <c r="C2779" s="124">
        <v>234.12</v>
      </c>
      <c r="D2779" s="156">
        <f t="shared" si="44"/>
        <v>-4.5071859852028329E-3</v>
      </c>
      <c r="E2779" s="156">
        <v>-2.0475665459127822E-3</v>
      </c>
      <c r="G2779" s="156"/>
    </row>
    <row r="2780" spans="2:7" x14ac:dyDescent="0.2">
      <c r="B2780" s="230">
        <v>41897</v>
      </c>
      <c r="C2780" s="124">
        <v>233.16</v>
      </c>
      <c r="D2780" s="156">
        <f t="shared" si="44"/>
        <v>-4.1004613018964971E-3</v>
      </c>
      <c r="E2780" s="156">
        <v>-2.0522225133176092E-3</v>
      </c>
      <c r="G2780" s="156"/>
    </row>
    <row r="2781" spans="2:7" x14ac:dyDescent="0.2">
      <c r="B2781" s="230">
        <v>41894</v>
      </c>
      <c r="C2781" s="124">
        <v>235.78</v>
      </c>
      <c r="D2781" s="156">
        <f t="shared" si="44"/>
        <v>1.1236918854005852E-2</v>
      </c>
      <c r="E2781" s="156">
        <v>-2.0700037636432497E-3</v>
      </c>
      <c r="G2781" s="156"/>
    </row>
    <row r="2782" spans="2:7" x14ac:dyDescent="0.2">
      <c r="B2782" s="230">
        <v>41893</v>
      </c>
      <c r="C2782" s="124">
        <v>232.83</v>
      </c>
      <c r="D2782" s="156">
        <f t="shared" si="44"/>
        <v>-1.2511663415047877E-2</v>
      </c>
      <c r="E2782" s="156">
        <v>-2.0858068863715859E-3</v>
      </c>
      <c r="G2782" s="156"/>
    </row>
    <row r="2783" spans="2:7" x14ac:dyDescent="0.2">
      <c r="B2783" s="230">
        <v>41892</v>
      </c>
      <c r="C2783" s="124">
        <v>232.73</v>
      </c>
      <c r="D2783" s="156">
        <f t="shared" si="44"/>
        <v>-4.294979169352005E-4</v>
      </c>
      <c r="E2783" s="156">
        <v>-2.0899978673490326E-3</v>
      </c>
      <c r="G2783" s="156"/>
    </row>
    <row r="2784" spans="2:7" x14ac:dyDescent="0.2">
      <c r="B2784" s="230">
        <v>41891</v>
      </c>
      <c r="C2784" s="124">
        <v>237.47</v>
      </c>
      <c r="D2784" s="156">
        <f t="shared" si="44"/>
        <v>2.0366948824818498E-2</v>
      </c>
      <c r="E2784" s="156">
        <v>-2.0950846091860671E-3</v>
      </c>
      <c r="G2784" s="156"/>
    </row>
    <row r="2785" spans="2:7" x14ac:dyDescent="0.2">
      <c r="B2785" s="230">
        <v>41890</v>
      </c>
      <c r="C2785" s="124">
        <v>234.65</v>
      </c>
      <c r="D2785" s="156">
        <f t="shared" si="44"/>
        <v>-1.1875184233797924E-2</v>
      </c>
      <c r="E2785" s="156">
        <v>-2.0963338533541674E-3</v>
      </c>
      <c r="G2785" s="156"/>
    </row>
    <row r="2786" spans="2:7" x14ac:dyDescent="0.2">
      <c r="B2786" s="230">
        <v>41887</v>
      </c>
      <c r="C2786" s="124">
        <v>232.57</v>
      </c>
      <c r="D2786" s="156">
        <f t="shared" si="44"/>
        <v>-8.8642659279778921E-3</v>
      </c>
      <c r="E2786" s="156">
        <v>-2.1028037383177037E-3</v>
      </c>
      <c r="G2786" s="156"/>
    </row>
    <row r="2787" spans="2:7" x14ac:dyDescent="0.2">
      <c r="B2787" s="230">
        <v>41886</v>
      </c>
      <c r="C2787" s="124">
        <v>232.3</v>
      </c>
      <c r="D2787" s="156">
        <f t="shared" si="44"/>
        <v>-1.1609407920195288E-3</v>
      </c>
      <c r="E2787" s="156">
        <v>-2.1116648365571413E-3</v>
      </c>
      <c r="G2787" s="156"/>
    </row>
    <row r="2788" spans="2:7" x14ac:dyDescent="0.2">
      <c r="B2788" s="230">
        <v>41885</v>
      </c>
      <c r="C2788" s="124">
        <v>231.31</v>
      </c>
      <c r="D2788" s="156">
        <f t="shared" si="44"/>
        <v>-4.2617305208782139E-3</v>
      </c>
      <c r="E2788" s="156">
        <v>-2.1121802393805071E-3</v>
      </c>
      <c r="G2788" s="156"/>
    </row>
    <row r="2789" spans="2:7" x14ac:dyDescent="0.2">
      <c r="B2789" s="230">
        <v>41884</v>
      </c>
      <c r="C2789" s="124">
        <v>235.15</v>
      </c>
      <c r="D2789" s="156">
        <f t="shared" si="44"/>
        <v>1.6601098093467655E-2</v>
      </c>
      <c r="E2789" s="156">
        <v>-2.114164904862621E-3</v>
      </c>
      <c r="G2789" s="156"/>
    </row>
    <row r="2790" spans="2:7" x14ac:dyDescent="0.2">
      <c r="B2790" s="230">
        <v>41883</v>
      </c>
      <c r="C2790" s="124">
        <v>232.4</v>
      </c>
      <c r="D2790" s="156">
        <f t="shared" si="44"/>
        <v>-1.169466298107591E-2</v>
      </c>
      <c r="E2790" s="156">
        <v>-2.1160822249092761E-3</v>
      </c>
      <c r="G2790" s="156"/>
    </row>
    <row r="2791" spans="2:7" x14ac:dyDescent="0.2">
      <c r="B2791" s="230">
        <v>41879</v>
      </c>
      <c r="C2791" s="124">
        <v>235.55</v>
      </c>
      <c r="D2791" s="156">
        <f t="shared" si="44"/>
        <v>1.3554216867469904E-2</v>
      </c>
      <c r="E2791" s="156">
        <v>-2.1171489061396452E-3</v>
      </c>
      <c r="G2791" s="156"/>
    </row>
    <row r="2792" spans="2:7" x14ac:dyDescent="0.2">
      <c r="B2792" s="230">
        <v>41878</v>
      </c>
      <c r="C2792" s="124">
        <v>233.59</v>
      </c>
      <c r="D2792" s="156">
        <f t="shared" si="44"/>
        <v>-8.3209509658246986E-3</v>
      </c>
      <c r="E2792" s="156">
        <v>-2.1201413427562642E-3</v>
      </c>
      <c r="G2792" s="156"/>
    </row>
    <row r="2793" spans="2:7" x14ac:dyDescent="0.2">
      <c r="B2793" s="230">
        <v>41877</v>
      </c>
      <c r="C2793" s="124">
        <v>233.66</v>
      </c>
      <c r="D2793" s="156">
        <f t="shared" si="44"/>
        <v>2.9967036260110955E-4</v>
      </c>
      <c r="E2793" s="156">
        <v>-2.1272900929061784E-3</v>
      </c>
      <c r="G2793" s="156"/>
    </row>
    <row r="2794" spans="2:7" x14ac:dyDescent="0.2">
      <c r="B2794" s="230">
        <v>41876</v>
      </c>
      <c r="C2794" s="124">
        <v>231.57</v>
      </c>
      <c r="D2794" s="156">
        <f t="shared" si="44"/>
        <v>-8.944620388598834E-3</v>
      </c>
      <c r="E2794" s="156">
        <v>-2.1306818181818987E-3</v>
      </c>
      <c r="G2794" s="156"/>
    </row>
    <row r="2795" spans="2:7" x14ac:dyDescent="0.2">
      <c r="B2795" s="230">
        <v>41873</v>
      </c>
      <c r="C2795" s="124">
        <v>227.82</v>
      </c>
      <c r="D2795" s="156">
        <f t="shared" si="44"/>
        <v>-1.6193807488016583E-2</v>
      </c>
      <c r="E2795" s="156">
        <v>-2.1345223413337853E-3</v>
      </c>
      <c r="G2795" s="156"/>
    </row>
    <row r="2796" spans="2:7" x14ac:dyDescent="0.2">
      <c r="B2796" s="230">
        <v>41872</v>
      </c>
      <c r="C2796" s="124">
        <v>229.48</v>
      </c>
      <c r="D2796" s="156">
        <f t="shared" si="44"/>
        <v>7.2864542182424575E-3</v>
      </c>
      <c r="E2796" s="156">
        <v>-2.1466905187836234E-3</v>
      </c>
      <c r="G2796" s="156"/>
    </row>
    <row r="2797" spans="2:7" x14ac:dyDescent="0.2">
      <c r="B2797" s="230">
        <v>41871</v>
      </c>
      <c r="C2797" s="124">
        <v>228.69</v>
      </c>
      <c r="D2797" s="156">
        <f t="shared" si="44"/>
        <v>-3.4425658009412238E-3</v>
      </c>
      <c r="E2797" s="156">
        <v>-2.1520803443328008E-3</v>
      </c>
      <c r="G2797" s="156"/>
    </row>
    <row r="2798" spans="2:7" x14ac:dyDescent="0.2">
      <c r="B2798" s="230">
        <v>41870</v>
      </c>
      <c r="C2798" s="124">
        <v>231.11</v>
      </c>
      <c r="D2798" s="156">
        <f t="shared" si="44"/>
        <v>1.0582010582010653E-2</v>
      </c>
      <c r="E2798" s="156">
        <v>-2.1528525296018036E-3</v>
      </c>
      <c r="G2798" s="156"/>
    </row>
    <row r="2799" spans="2:7" x14ac:dyDescent="0.2">
      <c r="B2799" s="230">
        <v>41869</v>
      </c>
      <c r="C2799" s="124">
        <v>232.47</v>
      </c>
      <c r="D2799" s="156">
        <f t="shared" si="44"/>
        <v>5.8846436761714558E-3</v>
      </c>
      <c r="E2799" s="156">
        <v>-2.1655065738592507E-3</v>
      </c>
      <c r="G2799" s="156"/>
    </row>
    <row r="2800" spans="2:7" x14ac:dyDescent="0.2">
      <c r="B2800" s="230">
        <v>41865</v>
      </c>
      <c r="C2800" s="124">
        <v>236.58</v>
      </c>
      <c r="D2800" s="156">
        <f t="shared" si="44"/>
        <v>1.7679700606529933E-2</v>
      </c>
      <c r="E2800" s="156">
        <v>-2.170425592148759E-3</v>
      </c>
      <c r="G2800" s="156"/>
    </row>
    <row r="2801" spans="2:7" x14ac:dyDescent="0.2">
      <c r="B2801" s="230">
        <v>41864</v>
      </c>
      <c r="C2801" s="124">
        <v>236.87</v>
      </c>
      <c r="D2801" s="156">
        <f t="shared" si="44"/>
        <v>1.2258009975483642E-3</v>
      </c>
      <c r="E2801" s="156">
        <v>-2.1704814522493969E-3</v>
      </c>
      <c r="G2801" s="156"/>
    </row>
    <row r="2802" spans="2:7" x14ac:dyDescent="0.2">
      <c r="B2802" s="230">
        <v>41863</v>
      </c>
      <c r="C2802" s="124">
        <v>230.08</v>
      </c>
      <c r="D2802" s="156">
        <f t="shared" si="44"/>
        <v>-2.866551272850083E-2</v>
      </c>
      <c r="E2802" s="156">
        <v>-2.1712907117007896E-3</v>
      </c>
      <c r="G2802" s="156"/>
    </row>
    <row r="2803" spans="2:7" x14ac:dyDescent="0.2">
      <c r="B2803" s="230">
        <v>41862</v>
      </c>
      <c r="C2803" s="124">
        <v>230.51</v>
      </c>
      <c r="D2803" s="156">
        <f t="shared" si="44"/>
        <v>1.8689151599442732E-3</v>
      </c>
      <c r="E2803" s="156">
        <v>-2.1717340461076271E-3</v>
      </c>
      <c r="G2803" s="156"/>
    </row>
    <row r="2804" spans="2:7" x14ac:dyDescent="0.2">
      <c r="B2804" s="230">
        <v>41859</v>
      </c>
      <c r="C2804" s="124">
        <v>231.07</v>
      </c>
      <c r="D2804" s="156">
        <f t="shared" si="44"/>
        <v>2.4293956878226643E-3</v>
      </c>
      <c r="E2804" s="156">
        <v>-2.1789129645322213E-3</v>
      </c>
      <c r="G2804" s="156"/>
    </row>
    <row r="2805" spans="2:7" x14ac:dyDescent="0.2">
      <c r="B2805" s="230">
        <v>41858</v>
      </c>
      <c r="C2805" s="124">
        <v>229.55</v>
      </c>
      <c r="D2805" s="156">
        <f t="shared" si="44"/>
        <v>-6.578093218505136E-3</v>
      </c>
      <c r="E2805" s="156">
        <v>-2.1819402484054289E-3</v>
      </c>
      <c r="G2805" s="156"/>
    </row>
    <row r="2806" spans="2:7" x14ac:dyDescent="0.2">
      <c r="B2806" s="230">
        <v>41857</v>
      </c>
      <c r="C2806" s="124">
        <v>229.42</v>
      </c>
      <c r="D2806" s="156">
        <f t="shared" si="44"/>
        <v>-5.663254192987317E-4</v>
      </c>
      <c r="E2806" s="156">
        <v>-2.1837728876197304E-3</v>
      </c>
      <c r="G2806" s="156"/>
    </row>
    <row r="2807" spans="2:7" x14ac:dyDescent="0.2">
      <c r="B2807" s="230">
        <v>41856</v>
      </c>
      <c r="C2807" s="124">
        <v>236.01</v>
      </c>
      <c r="D2807" s="156">
        <f t="shared" si="44"/>
        <v>2.8724609885798988E-2</v>
      </c>
      <c r="E2807" s="156">
        <v>-2.2123893805310571E-3</v>
      </c>
      <c r="G2807" s="156"/>
    </row>
    <row r="2808" spans="2:7" x14ac:dyDescent="0.2">
      <c r="B2808" s="230">
        <v>41855</v>
      </c>
      <c r="C2808" s="124">
        <v>235.02</v>
      </c>
      <c r="D2808" s="156">
        <f t="shared" si="44"/>
        <v>-4.1947375111223281E-3</v>
      </c>
      <c r="E2808" s="156">
        <v>-2.212661339889311E-3</v>
      </c>
      <c r="G2808" s="156"/>
    </row>
    <row r="2809" spans="2:7" x14ac:dyDescent="0.2">
      <c r="B2809" s="230">
        <v>41852</v>
      </c>
      <c r="C2809" s="124">
        <v>231.74</v>
      </c>
      <c r="D2809" s="156">
        <f t="shared" si="44"/>
        <v>-1.3956259041783683E-2</v>
      </c>
      <c r="E2809" s="156">
        <v>-2.2163805989380879E-3</v>
      </c>
      <c r="G2809" s="156"/>
    </row>
    <row r="2810" spans="2:7" x14ac:dyDescent="0.2">
      <c r="B2810" s="230">
        <v>41851</v>
      </c>
      <c r="C2810" s="124">
        <v>236.05</v>
      </c>
      <c r="D2810" s="156">
        <f t="shared" si="44"/>
        <v>1.8598429274186597E-2</v>
      </c>
      <c r="E2810" s="156">
        <v>-2.2192632046160988E-3</v>
      </c>
      <c r="G2810" s="156"/>
    </row>
    <row r="2811" spans="2:7" x14ac:dyDescent="0.2">
      <c r="B2811" s="230">
        <v>41850</v>
      </c>
      <c r="C2811" s="124">
        <v>238.17</v>
      </c>
      <c r="D2811" s="156">
        <f t="shared" si="44"/>
        <v>8.9811480618512008E-3</v>
      </c>
      <c r="E2811" s="156">
        <v>-2.2279985146676008E-3</v>
      </c>
      <c r="G2811" s="156"/>
    </row>
    <row r="2812" spans="2:7" x14ac:dyDescent="0.2">
      <c r="B2812" s="230">
        <v>41848</v>
      </c>
      <c r="C2812" s="124">
        <v>236.81</v>
      </c>
      <c r="D2812" s="156">
        <f t="shared" si="44"/>
        <v>-5.7102069950035073E-3</v>
      </c>
      <c r="E2812" s="156">
        <v>-2.2280737289852022E-3</v>
      </c>
      <c r="G2812" s="156"/>
    </row>
    <row r="2813" spans="2:7" x14ac:dyDescent="0.2">
      <c r="B2813" s="230">
        <v>41845</v>
      </c>
      <c r="C2813" s="124">
        <v>236.87</v>
      </c>
      <c r="D2813" s="156">
        <f t="shared" si="44"/>
        <v>2.5336767872979297E-4</v>
      </c>
      <c r="E2813" s="156">
        <v>-2.2315893875526575E-3</v>
      </c>
      <c r="G2813" s="156"/>
    </row>
    <row r="2814" spans="2:7" x14ac:dyDescent="0.2">
      <c r="B2814" s="230">
        <v>41844</v>
      </c>
      <c r="C2814" s="124">
        <v>236.31</v>
      </c>
      <c r="D2814" s="156">
        <f t="shared" ref="D2814:D2877" si="45">(C2814-C2813)/C2813</f>
        <v>-2.3641659982268849E-3</v>
      </c>
      <c r="E2814" s="156">
        <v>-2.2431789049625027E-3</v>
      </c>
      <c r="G2814" s="156"/>
    </row>
    <row r="2815" spans="2:7" x14ac:dyDescent="0.2">
      <c r="B2815" s="230">
        <v>41843</v>
      </c>
      <c r="C2815" s="124">
        <v>234.45</v>
      </c>
      <c r="D2815" s="156">
        <f t="shared" si="45"/>
        <v>-7.8710168846007934E-3</v>
      </c>
      <c r="E2815" s="156">
        <v>-2.257902659307484E-3</v>
      </c>
      <c r="G2815" s="156"/>
    </row>
    <row r="2816" spans="2:7" x14ac:dyDescent="0.2">
      <c r="B2816" s="230">
        <v>41842</v>
      </c>
      <c r="C2816" s="124">
        <v>233.96</v>
      </c>
      <c r="D2816" s="156">
        <f t="shared" si="45"/>
        <v>-2.0899978673490326E-3</v>
      </c>
      <c r="E2816" s="156">
        <v>-2.2631261315631517E-3</v>
      </c>
      <c r="G2816" s="156"/>
    </row>
    <row r="2817" spans="2:7" x14ac:dyDescent="0.2">
      <c r="B2817" s="230">
        <v>41841</v>
      </c>
      <c r="C2817" s="124">
        <v>231.94</v>
      </c>
      <c r="D2817" s="156">
        <f t="shared" si="45"/>
        <v>-8.63395452214058E-3</v>
      </c>
      <c r="E2817" s="156">
        <v>-2.2650056625140632E-3</v>
      </c>
      <c r="G2817" s="156"/>
    </row>
    <row r="2818" spans="2:7" x14ac:dyDescent="0.2">
      <c r="B2818" s="230">
        <v>41838</v>
      </c>
      <c r="C2818" s="124">
        <v>228.12</v>
      </c>
      <c r="D2818" s="156">
        <f t="shared" si="45"/>
        <v>-1.6469776666379207E-2</v>
      </c>
      <c r="E2818" s="156">
        <v>-2.2742975587287553E-3</v>
      </c>
      <c r="G2818" s="156"/>
    </row>
    <row r="2819" spans="2:7" x14ac:dyDescent="0.2">
      <c r="B2819" s="230">
        <v>41837</v>
      </c>
      <c r="C2819" s="124">
        <v>228.22</v>
      </c>
      <c r="D2819" s="156">
        <f t="shared" si="45"/>
        <v>4.3836577240046604E-4</v>
      </c>
      <c r="E2819" s="156">
        <v>-2.2879555482922141E-3</v>
      </c>
      <c r="G2819" s="156"/>
    </row>
    <row r="2820" spans="2:7" x14ac:dyDescent="0.2">
      <c r="B2820" s="230">
        <v>41836</v>
      </c>
      <c r="C2820" s="124">
        <v>228.19</v>
      </c>
      <c r="D2820" s="156">
        <f t="shared" si="45"/>
        <v>-1.3145210761546374E-4</v>
      </c>
      <c r="E2820" s="156">
        <v>-2.2895385699190306E-3</v>
      </c>
      <c r="G2820" s="156"/>
    </row>
    <row r="2821" spans="2:7" x14ac:dyDescent="0.2">
      <c r="B2821" s="230">
        <v>41835</v>
      </c>
      <c r="C2821" s="124">
        <v>226.96</v>
      </c>
      <c r="D2821" s="156">
        <f t="shared" si="45"/>
        <v>-5.3902449712958048E-3</v>
      </c>
      <c r="E2821" s="156">
        <v>-2.2896685068816681E-3</v>
      </c>
      <c r="G2821" s="156"/>
    </row>
    <row r="2822" spans="2:7" x14ac:dyDescent="0.2">
      <c r="B2822" s="230">
        <v>41834</v>
      </c>
      <c r="C2822" s="124">
        <v>228.69</v>
      </c>
      <c r="D2822" s="156">
        <f t="shared" si="45"/>
        <v>7.6224885442368242E-3</v>
      </c>
      <c r="E2822" s="156">
        <v>-2.2910819634572753E-3</v>
      </c>
      <c r="G2822" s="156"/>
    </row>
    <row r="2823" spans="2:7" x14ac:dyDescent="0.2">
      <c r="B2823" s="230">
        <v>41831</v>
      </c>
      <c r="C2823" s="124">
        <v>229.32</v>
      </c>
      <c r="D2823" s="156">
        <f t="shared" si="45"/>
        <v>2.7548209366390986E-3</v>
      </c>
      <c r="E2823" s="156">
        <v>-2.3051433511020974E-3</v>
      </c>
      <c r="G2823" s="156"/>
    </row>
    <row r="2824" spans="2:7" x14ac:dyDescent="0.2">
      <c r="B2824" s="230">
        <v>41830</v>
      </c>
      <c r="C2824" s="124">
        <v>226.83</v>
      </c>
      <c r="D2824" s="156">
        <f t="shared" si="45"/>
        <v>-1.0858189429617917E-2</v>
      </c>
      <c r="E2824" s="156">
        <v>-2.3057821922666806E-3</v>
      </c>
      <c r="G2824" s="156"/>
    </row>
    <row r="2825" spans="2:7" x14ac:dyDescent="0.2">
      <c r="B2825" s="230">
        <v>41829</v>
      </c>
      <c r="C2825" s="124">
        <v>226.4</v>
      </c>
      <c r="D2825" s="156">
        <f t="shared" si="45"/>
        <v>-1.8956928095931174E-3</v>
      </c>
      <c r="E2825" s="156">
        <v>-2.3164647184605635E-3</v>
      </c>
      <c r="G2825" s="156"/>
    </row>
    <row r="2826" spans="2:7" x14ac:dyDescent="0.2">
      <c r="B2826" s="230">
        <v>41828</v>
      </c>
      <c r="C2826" s="124">
        <v>222.62</v>
      </c>
      <c r="D2826" s="156">
        <f t="shared" si="45"/>
        <v>-1.6696113074204953E-2</v>
      </c>
      <c r="E2826" s="156">
        <v>-2.3234497900368233E-3</v>
      </c>
      <c r="G2826" s="156"/>
    </row>
    <row r="2827" spans="2:7" x14ac:dyDescent="0.2">
      <c r="B2827" s="230">
        <v>41827</v>
      </c>
      <c r="C2827" s="124">
        <v>221.96</v>
      </c>
      <c r="D2827" s="156">
        <f t="shared" si="45"/>
        <v>-2.9646931991734642E-3</v>
      </c>
      <c r="E2827" s="156">
        <v>-2.324271024087921E-3</v>
      </c>
      <c r="G2827" s="156"/>
    </row>
    <row r="2828" spans="2:7" x14ac:dyDescent="0.2">
      <c r="B2828" s="230">
        <v>41824</v>
      </c>
      <c r="C2828" s="124">
        <v>221.03</v>
      </c>
      <c r="D2828" s="156">
        <f t="shared" si="45"/>
        <v>-4.1899441340782426E-3</v>
      </c>
      <c r="E2828" s="156">
        <v>-2.3294509151414403E-3</v>
      </c>
      <c r="G2828" s="156"/>
    </row>
    <row r="2829" spans="2:7" x14ac:dyDescent="0.2">
      <c r="B2829" s="230">
        <v>41823</v>
      </c>
      <c r="C2829" s="124">
        <v>219.67</v>
      </c>
      <c r="D2829" s="156">
        <f t="shared" si="45"/>
        <v>-6.1530109034973243E-3</v>
      </c>
      <c r="E2829" s="156">
        <v>-2.3305084745763194E-3</v>
      </c>
      <c r="G2829" s="156"/>
    </row>
    <row r="2830" spans="2:7" x14ac:dyDescent="0.2">
      <c r="B2830" s="230">
        <v>41822</v>
      </c>
      <c r="C2830" s="124">
        <v>218.34</v>
      </c>
      <c r="D2830" s="156">
        <f t="shared" si="45"/>
        <v>-6.0545363499794422E-3</v>
      </c>
      <c r="E2830" s="156">
        <v>-2.3320895522388058E-3</v>
      </c>
      <c r="G2830" s="156"/>
    </row>
    <row r="2831" spans="2:7" x14ac:dyDescent="0.2">
      <c r="B2831" s="230">
        <v>41821</v>
      </c>
      <c r="C2831" s="124">
        <v>215.59</v>
      </c>
      <c r="D2831" s="156">
        <f t="shared" si="45"/>
        <v>-1.2595035266098745E-2</v>
      </c>
      <c r="E2831" s="156">
        <v>-2.3399558498896299E-3</v>
      </c>
      <c r="G2831" s="156"/>
    </row>
    <row r="2832" spans="2:7" x14ac:dyDescent="0.2">
      <c r="B2832" s="230">
        <v>41820</v>
      </c>
      <c r="C2832" s="124">
        <v>215.49</v>
      </c>
      <c r="D2832" s="156">
        <f t="shared" si="45"/>
        <v>-4.6384340646595071E-4</v>
      </c>
      <c r="E2832" s="156">
        <v>-2.3419203747073484E-3</v>
      </c>
      <c r="G2832" s="156"/>
    </row>
    <row r="2833" spans="2:7" x14ac:dyDescent="0.2">
      <c r="B2833" s="230">
        <v>41817</v>
      </c>
      <c r="C2833" s="124">
        <v>211.98</v>
      </c>
      <c r="D2833" s="156">
        <f t="shared" si="45"/>
        <v>-1.6288458861200145E-2</v>
      </c>
      <c r="E2833" s="156">
        <v>-2.3445463812435249E-3</v>
      </c>
      <c r="G2833" s="156"/>
    </row>
    <row r="2834" spans="2:7" x14ac:dyDescent="0.2">
      <c r="B2834" s="230">
        <v>41816</v>
      </c>
      <c r="C2834" s="124">
        <v>209.66</v>
      </c>
      <c r="D2834" s="156">
        <f t="shared" si="45"/>
        <v>-1.0944428719690506E-2</v>
      </c>
      <c r="E2834" s="156">
        <v>-2.3481527864747287E-3</v>
      </c>
      <c r="G2834" s="156"/>
    </row>
    <row r="2835" spans="2:7" x14ac:dyDescent="0.2">
      <c r="B2835" s="230">
        <v>41815</v>
      </c>
      <c r="C2835" s="124">
        <v>209.53</v>
      </c>
      <c r="D2835" s="156">
        <f t="shared" si="45"/>
        <v>-6.2005151197174217E-4</v>
      </c>
      <c r="E2835" s="156">
        <v>-2.3495391288631024E-3</v>
      </c>
      <c r="G2835" s="156"/>
    </row>
    <row r="2836" spans="2:7" x14ac:dyDescent="0.2">
      <c r="B2836" s="230">
        <v>41814</v>
      </c>
      <c r="C2836" s="124">
        <v>212.48</v>
      </c>
      <c r="D2836" s="156">
        <f t="shared" si="45"/>
        <v>1.4079129480265301E-2</v>
      </c>
      <c r="E2836" s="156">
        <v>-2.3499001292445407E-3</v>
      </c>
      <c r="G2836" s="156"/>
    </row>
    <row r="2837" spans="2:7" x14ac:dyDescent="0.2">
      <c r="B2837" s="230">
        <v>41813</v>
      </c>
      <c r="C2837" s="124">
        <v>208.8</v>
      </c>
      <c r="D2837" s="156">
        <f t="shared" si="45"/>
        <v>-1.7319277108433635E-2</v>
      </c>
      <c r="E2837" s="156">
        <v>-2.3597749137775014E-3</v>
      </c>
      <c r="G2837" s="156"/>
    </row>
    <row r="2838" spans="2:7" x14ac:dyDescent="0.2">
      <c r="B2838" s="230">
        <v>41810</v>
      </c>
      <c r="C2838" s="124">
        <v>222.55</v>
      </c>
      <c r="D2838" s="156">
        <f t="shared" si="45"/>
        <v>6.5852490421455939E-2</v>
      </c>
      <c r="E2838" s="156">
        <v>-2.3641659982268849E-3</v>
      </c>
      <c r="G2838" s="156"/>
    </row>
    <row r="2839" spans="2:7" x14ac:dyDescent="0.2">
      <c r="B2839" s="230">
        <v>41809</v>
      </c>
      <c r="C2839" s="124">
        <v>222.92</v>
      </c>
      <c r="D2839" s="156">
        <f t="shared" si="45"/>
        <v>1.662547742080324E-3</v>
      </c>
      <c r="E2839" s="156">
        <v>-2.3889354568314885E-3</v>
      </c>
      <c r="G2839" s="156"/>
    </row>
    <row r="2840" spans="2:7" x14ac:dyDescent="0.2">
      <c r="B2840" s="230">
        <v>41808</v>
      </c>
      <c r="C2840" s="124">
        <v>220.73</v>
      </c>
      <c r="D2840" s="156">
        <f t="shared" si="45"/>
        <v>-9.8241521622106486E-3</v>
      </c>
      <c r="E2840" s="156">
        <v>-2.3904382470120427E-3</v>
      </c>
      <c r="G2840" s="156"/>
    </row>
    <row r="2841" spans="2:7" x14ac:dyDescent="0.2">
      <c r="B2841" s="230">
        <v>41807</v>
      </c>
      <c r="C2841" s="124">
        <v>222.79</v>
      </c>
      <c r="D2841" s="156">
        <f t="shared" si="45"/>
        <v>9.3326688714719455E-3</v>
      </c>
      <c r="E2841" s="156">
        <v>-2.3928845546074364E-3</v>
      </c>
      <c r="G2841" s="156"/>
    </row>
    <row r="2842" spans="2:7" x14ac:dyDescent="0.2">
      <c r="B2842" s="230">
        <v>41806</v>
      </c>
      <c r="C2842" s="124">
        <v>222.89</v>
      </c>
      <c r="D2842" s="156">
        <f t="shared" si="45"/>
        <v>4.4885318012475569E-4</v>
      </c>
      <c r="E2842" s="156">
        <v>-2.3980815347723079E-3</v>
      </c>
      <c r="G2842" s="156"/>
    </row>
    <row r="2843" spans="2:7" x14ac:dyDescent="0.2">
      <c r="B2843" s="230">
        <v>41803</v>
      </c>
      <c r="C2843" s="124">
        <v>220.5</v>
      </c>
      <c r="D2843" s="156">
        <f t="shared" si="45"/>
        <v>-1.0722778051953819E-2</v>
      </c>
      <c r="E2843" s="156">
        <v>-2.44377934594576E-3</v>
      </c>
      <c r="G2843" s="156"/>
    </row>
    <row r="2844" spans="2:7" x14ac:dyDescent="0.2">
      <c r="B2844" s="230">
        <v>41802</v>
      </c>
      <c r="C2844" s="124">
        <v>221.49</v>
      </c>
      <c r="D2844" s="156">
        <f t="shared" si="45"/>
        <v>4.4897959183673878E-3</v>
      </c>
      <c r="E2844" s="156">
        <v>-2.4660912453760933E-3</v>
      </c>
      <c r="G2844" s="156"/>
    </row>
    <row r="2845" spans="2:7" x14ac:dyDescent="0.2">
      <c r="B2845" s="230">
        <v>41801</v>
      </c>
      <c r="C2845" s="124">
        <v>220.96</v>
      </c>
      <c r="D2845" s="156">
        <f t="shared" si="45"/>
        <v>-2.3928845546074364E-3</v>
      </c>
      <c r="E2845" s="156">
        <v>-2.4726245143059091E-3</v>
      </c>
      <c r="G2845" s="156"/>
    </row>
    <row r="2846" spans="2:7" x14ac:dyDescent="0.2">
      <c r="B2846" s="230">
        <v>41800</v>
      </c>
      <c r="C2846" s="124">
        <v>223.65</v>
      </c>
      <c r="D2846" s="156">
        <f t="shared" si="45"/>
        <v>1.2174149167270084E-2</v>
      </c>
      <c r="E2846" s="156">
        <v>-2.4853541629681827E-3</v>
      </c>
      <c r="G2846" s="156"/>
    </row>
    <row r="2847" spans="2:7" x14ac:dyDescent="0.2">
      <c r="B2847" s="230">
        <v>41799</v>
      </c>
      <c r="C2847" s="124">
        <v>224.05</v>
      </c>
      <c r="D2847" s="156">
        <f t="shared" si="45"/>
        <v>1.7885088307623774E-3</v>
      </c>
      <c r="E2847" s="156">
        <v>-2.4881811395869621E-3</v>
      </c>
      <c r="G2847" s="156"/>
    </row>
    <row r="2848" spans="2:7" x14ac:dyDescent="0.2">
      <c r="B2848" s="230">
        <v>41796</v>
      </c>
      <c r="C2848" s="124">
        <v>223.22</v>
      </c>
      <c r="D2848" s="156">
        <f t="shared" si="45"/>
        <v>-3.704530238786041E-3</v>
      </c>
      <c r="E2848" s="156">
        <v>-2.5067144136078374E-3</v>
      </c>
      <c r="G2848" s="156"/>
    </row>
    <row r="2849" spans="2:7" x14ac:dyDescent="0.2">
      <c r="B2849" s="230">
        <v>41795</v>
      </c>
      <c r="C2849" s="124">
        <v>221.26</v>
      </c>
      <c r="D2849" s="156">
        <f t="shared" si="45"/>
        <v>-8.7805752172744733E-3</v>
      </c>
      <c r="E2849" s="156">
        <v>-2.5162884745001226E-3</v>
      </c>
      <c r="G2849" s="156"/>
    </row>
    <row r="2850" spans="2:7" x14ac:dyDescent="0.2">
      <c r="B2850" s="230">
        <v>41794</v>
      </c>
      <c r="C2850" s="124">
        <v>219.41</v>
      </c>
      <c r="D2850" s="156">
        <f t="shared" si="45"/>
        <v>-8.3612040133779018E-3</v>
      </c>
      <c r="E2850" s="156">
        <v>-2.51677852348996E-3</v>
      </c>
      <c r="G2850" s="156"/>
    </row>
    <row r="2851" spans="2:7" x14ac:dyDescent="0.2">
      <c r="B2851" s="230">
        <v>41793</v>
      </c>
      <c r="C2851" s="124">
        <v>221.03</v>
      </c>
      <c r="D2851" s="156">
        <f t="shared" si="45"/>
        <v>7.3834374003008277E-3</v>
      </c>
      <c r="E2851" s="156">
        <v>-2.5293855081087264E-3</v>
      </c>
      <c r="G2851" s="156"/>
    </row>
    <row r="2852" spans="2:7" x14ac:dyDescent="0.2">
      <c r="B2852" s="230">
        <v>41792</v>
      </c>
      <c r="C2852" s="124">
        <v>223.18</v>
      </c>
      <c r="D2852" s="156">
        <f t="shared" si="45"/>
        <v>9.727186354793492E-3</v>
      </c>
      <c r="E2852" s="156">
        <v>-2.547987090198719E-3</v>
      </c>
      <c r="G2852" s="156"/>
    </row>
    <row r="2853" spans="2:7" x14ac:dyDescent="0.2">
      <c r="B2853" s="230">
        <v>41789</v>
      </c>
      <c r="C2853" s="124">
        <v>226.57</v>
      </c>
      <c r="D2853" s="156">
        <f t="shared" si="45"/>
        <v>1.5189533112285986E-2</v>
      </c>
      <c r="E2853" s="156">
        <v>-2.5533388150776968E-3</v>
      </c>
      <c r="G2853" s="156"/>
    </row>
    <row r="2854" spans="2:7" x14ac:dyDescent="0.2">
      <c r="B2854" s="230">
        <v>41788</v>
      </c>
      <c r="C2854" s="124">
        <v>227.06</v>
      </c>
      <c r="D2854" s="156">
        <f t="shared" si="45"/>
        <v>2.1626870282915175E-3</v>
      </c>
      <c r="E2854" s="156">
        <v>-2.5547445255474036E-3</v>
      </c>
      <c r="G2854" s="156"/>
    </row>
    <row r="2855" spans="2:7" x14ac:dyDescent="0.2">
      <c r="B2855" s="230">
        <v>41787</v>
      </c>
      <c r="C2855" s="124">
        <v>227.29</v>
      </c>
      <c r="D2855" s="156">
        <f t="shared" si="45"/>
        <v>1.0129481194397507E-3</v>
      </c>
      <c r="E2855" s="156">
        <v>-2.5678935491400211E-3</v>
      </c>
      <c r="G2855" s="156"/>
    </row>
    <row r="2856" spans="2:7" x14ac:dyDescent="0.2">
      <c r="B2856" s="230">
        <v>41786</v>
      </c>
      <c r="C2856" s="124">
        <v>227.92</v>
      </c>
      <c r="D2856" s="156">
        <f t="shared" si="45"/>
        <v>2.7717893440098351E-3</v>
      </c>
      <c r="E2856" s="156">
        <v>-2.587829360100363E-3</v>
      </c>
      <c r="G2856" s="156"/>
    </row>
    <row r="2857" spans="2:7" x14ac:dyDescent="0.2">
      <c r="B2857" s="230">
        <v>41785</v>
      </c>
      <c r="C2857" s="124">
        <v>228.49</v>
      </c>
      <c r="D2857" s="156">
        <f t="shared" si="45"/>
        <v>2.5008775008775958E-3</v>
      </c>
      <c r="E2857" s="156">
        <v>-2.5917926565874484E-3</v>
      </c>
      <c r="G2857" s="156"/>
    </row>
    <row r="2858" spans="2:7" x14ac:dyDescent="0.2">
      <c r="B2858" s="230">
        <v>41782</v>
      </c>
      <c r="C2858" s="124">
        <v>227.46</v>
      </c>
      <c r="D2858" s="156">
        <f t="shared" si="45"/>
        <v>-4.5078559236728134E-3</v>
      </c>
      <c r="E2858" s="156">
        <v>-2.5953616838897847E-3</v>
      </c>
      <c r="G2858" s="156"/>
    </row>
    <row r="2859" spans="2:7" x14ac:dyDescent="0.2">
      <c r="B2859" s="230">
        <v>41781</v>
      </c>
      <c r="C2859" s="124">
        <v>229.25</v>
      </c>
      <c r="D2859" s="156">
        <f t="shared" si="45"/>
        <v>7.8695155192121339E-3</v>
      </c>
      <c r="E2859" s="156">
        <v>-2.5994656653911012E-3</v>
      </c>
      <c r="G2859" s="156"/>
    </row>
    <row r="2860" spans="2:7" x14ac:dyDescent="0.2">
      <c r="B2860" s="230">
        <v>41780</v>
      </c>
      <c r="C2860" s="124">
        <v>226.5</v>
      </c>
      <c r="D2860" s="156">
        <f t="shared" si="45"/>
        <v>-1.1995637949836423E-2</v>
      </c>
      <c r="E2860" s="156">
        <v>-2.6047833293867456E-3</v>
      </c>
      <c r="G2860" s="156"/>
    </row>
    <row r="2861" spans="2:7" x14ac:dyDescent="0.2">
      <c r="B2861" s="230">
        <v>41779</v>
      </c>
      <c r="C2861" s="124">
        <v>225.97</v>
      </c>
      <c r="D2861" s="156">
        <f t="shared" si="45"/>
        <v>-2.3399558498896299E-3</v>
      </c>
      <c r="E2861" s="156">
        <v>-2.6069954377579592E-3</v>
      </c>
      <c r="G2861" s="156"/>
    </row>
    <row r="2862" spans="2:7" x14ac:dyDescent="0.2">
      <c r="B2862" s="230">
        <v>41778</v>
      </c>
      <c r="C2862" s="124">
        <v>224.15</v>
      </c>
      <c r="D2862" s="156">
        <f t="shared" si="45"/>
        <v>-8.0541664822763783E-3</v>
      </c>
      <c r="E2862" s="156">
        <v>-2.6292725679229029E-3</v>
      </c>
      <c r="G2862" s="156"/>
    </row>
    <row r="2863" spans="2:7" x14ac:dyDescent="0.2">
      <c r="B2863" s="230">
        <v>41775</v>
      </c>
      <c r="C2863" s="124">
        <v>236.64</v>
      </c>
      <c r="D2863" s="156">
        <f t="shared" si="45"/>
        <v>5.572161498996199E-2</v>
      </c>
      <c r="E2863" s="156">
        <v>-2.6358475263584982E-3</v>
      </c>
      <c r="G2863" s="156"/>
    </row>
    <row r="2864" spans="2:7" x14ac:dyDescent="0.2">
      <c r="B2864" s="230">
        <v>41774</v>
      </c>
      <c r="C2864" s="124">
        <v>244.07</v>
      </c>
      <c r="D2864" s="156">
        <f t="shared" si="45"/>
        <v>3.1397903989181908E-2</v>
      </c>
      <c r="E2864" s="156">
        <v>-2.6369168356998201E-3</v>
      </c>
      <c r="G2864" s="156"/>
    </row>
    <row r="2865" spans="2:7" x14ac:dyDescent="0.2">
      <c r="B2865" s="230">
        <v>41773</v>
      </c>
      <c r="C2865" s="124">
        <v>242.41</v>
      </c>
      <c r="D2865" s="156">
        <f t="shared" si="45"/>
        <v>-6.8013274880157192E-3</v>
      </c>
      <c r="E2865" s="156">
        <v>-2.6392961876833842E-3</v>
      </c>
      <c r="G2865" s="156"/>
    </row>
    <row r="2866" spans="2:7" x14ac:dyDescent="0.2">
      <c r="B2866" s="230">
        <v>41772</v>
      </c>
      <c r="C2866" s="124">
        <v>239.23</v>
      </c>
      <c r="D2866" s="156">
        <f t="shared" si="45"/>
        <v>-1.311827069840356E-2</v>
      </c>
      <c r="E2866" s="156">
        <v>-2.6480139895078748E-3</v>
      </c>
      <c r="G2866" s="156"/>
    </row>
    <row r="2867" spans="2:7" x14ac:dyDescent="0.2">
      <c r="B2867" s="230">
        <v>41771</v>
      </c>
      <c r="C2867" s="124">
        <v>238.1</v>
      </c>
      <c r="D2867" s="156">
        <f t="shared" si="45"/>
        <v>-4.7234878568741187E-3</v>
      </c>
      <c r="E2867" s="156">
        <v>-2.6555386949923933E-3</v>
      </c>
      <c r="G2867" s="156"/>
    </row>
    <row r="2868" spans="2:7" x14ac:dyDescent="0.2">
      <c r="B2868" s="230">
        <v>41768</v>
      </c>
      <c r="C2868" s="124">
        <v>229.08</v>
      </c>
      <c r="D2868" s="156">
        <f t="shared" si="45"/>
        <v>-3.7883242335153222E-2</v>
      </c>
      <c r="E2868" s="156">
        <v>-2.6562776695590326E-3</v>
      </c>
      <c r="G2868" s="156"/>
    </row>
    <row r="2869" spans="2:7" x14ac:dyDescent="0.2">
      <c r="B2869" s="230">
        <v>41767</v>
      </c>
      <c r="C2869" s="124">
        <v>226.83</v>
      </c>
      <c r="D2869" s="156">
        <f t="shared" si="45"/>
        <v>-9.8218962807752747E-3</v>
      </c>
      <c r="E2869" s="156">
        <v>-2.6574182506080685E-3</v>
      </c>
      <c r="G2869" s="156"/>
    </row>
    <row r="2870" spans="2:7" x14ac:dyDescent="0.2">
      <c r="B2870" s="230">
        <v>41766</v>
      </c>
      <c r="C2870" s="124">
        <v>229.81</v>
      </c>
      <c r="D2870" s="156">
        <f t="shared" si="45"/>
        <v>1.3137592029272978E-2</v>
      </c>
      <c r="E2870" s="156">
        <v>-2.6809651474532571E-3</v>
      </c>
      <c r="G2870" s="156"/>
    </row>
    <row r="2871" spans="2:7" x14ac:dyDescent="0.2">
      <c r="B2871" s="230">
        <v>41765</v>
      </c>
      <c r="C2871" s="124">
        <v>230.68</v>
      </c>
      <c r="D2871" s="156">
        <f t="shared" si="45"/>
        <v>3.7857360428179996E-3</v>
      </c>
      <c r="E2871" s="156">
        <v>-2.7031897639214018E-3</v>
      </c>
      <c r="G2871" s="156"/>
    </row>
    <row r="2872" spans="2:7" x14ac:dyDescent="0.2">
      <c r="B2872" s="230">
        <v>41764</v>
      </c>
      <c r="C2872" s="124">
        <v>228.52</v>
      </c>
      <c r="D2872" s="156">
        <f t="shared" si="45"/>
        <v>-9.3636205999653045E-3</v>
      </c>
      <c r="E2872" s="156">
        <v>-2.7121987301978534E-3</v>
      </c>
      <c r="G2872" s="156"/>
    </row>
    <row r="2873" spans="2:7" x14ac:dyDescent="0.2">
      <c r="B2873" s="230">
        <v>41761</v>
      </c>
      <c r="C2873" s="124">
        <v>225.57</v>
      </c>
      <c r="D2873" s="156">
        <f t="shared" si="45"/>
        <v>-1.2909154559776023E-2</v>
      </c>
      <c r="E2873" s="156">
        <v>-2.7160493827161057E-3</v>
      </c>
      <c r="G2873" s="156"/>
    </row>
    <row r="2874" spans="2:7" x14ac:dyDescent="0.2">
      <c r="B2874" s="230">
        <v>41759</v>
      </c>
      <c r="C2874" s="124">
        <v>225.9</v>
      </c>
      <c r="D2874" s="156">
        <f t="shared" si="45"/>
        <v>1.4629605000665536E-3</v>
      </c>
      <c r="E2874" s="156">
        <v>-2.7296463327795392E-3</v>
      </c>
      <c r="G2874" s="156"/>
    </row>
    <row r="2875" spans="2:7" x14ac:dyDescent="0.2">
      <c r="B2875" s="230">
        <v>41758</v>
      </c>
      <c r="C2875" s="124">
        <v>225.6</v>
      </c>
      <c r="D2875" s="156">
        <f t="shared" si="45"/>
        <v>-1.3280212483400237E-3</v>
      </c>
      <c r="E2875" s="156">
        <v>-2.7299026198916838E-3</v>
      </c>
      <c r="G2875" s="156"/>
    </row>
    <row r="2876" spans="2:7" x14ac:dyDescent="0.2">
      <c r="B2876" s="230">
        <v>41757</v>
      </c>
      <c r="C2876" s="124">
        <v>226.73</v>
      </c>
      <c r="D2876" s="156">
        <f t="shared" si="45"/>
        <v>5.0088652482269307E-3</v>
      </c>
      <c r="E2876" s="156">
        <v>-2.7326833561057105E-3</v>
      </c>
      <c r="G2876" s="156"/>
    </row>
    <row r="2877" spans="2:7" x14ac:dyDescent="0.2">
      <c r="B2877" s="230">
        <v>41754</v>
      </c>
      <c r="C2877" s="124">
        <v>227.69</v>
      </c>
      <c r="D2877" s="156">
        <f t="shared" si="45"/>
        <v>4.2341110572046399E-3</v>
      </c>
      <c r="E2877" s="156">
        <v>-2.7376425855514344E-3</v>
      </c>
      <c r="G2877" s="156"/>
    </row>
    <row r="2878" spans="2:7" x14ac:dyDescent="0.2">
      <c r="B2878" s="230">
        <v>41752</v>
      </c>
      <c r="C2878" s="124">
        <v>234.16</v>
      </c>
      <c r="D2878" s="156">
        <f t="shared" ref="D2878:D2941" si="46">(C2878-C2877)/C2877</f>
        <v>2.8415828538802753E-2</v>
      </c>
      <c r="E2878" s="156">
        <v>-2.7570995312930537E-3</v>
      </c>
      <c r="G2878" s="156"/>
    </row>
    <row r="2879" spans="2:7" x14ac:dyDescent="0.2">
      <c r="B2879" s="230">
        <v>41751</v>
      </c>
      <c r="C2879" s="124">
        <v>232.53</v>
      </c>
      <c r="D2879" s="156">
        <f t="shared" si="46"/>
        <v>-6.9610522719507836E-3</v>
      </c>
      <c r="E2879" s="156">
        <v>-2.7572573093330617E-3</v>
      </c>
      <c r="G2879" s="156"/>
    </row>
    <row r="2880" spans="2:7" x14ac:dyDescent="0.2">
      <c r="B2880" s="230">
        <v>41750</v>
      </c>
      <c r="C2880" s="124">
        <v>234.29</v>
      </c>
      <c r="D2880" s="156">
        <f t="shared" si="46"/>
        <v>7.568915838816458E-3</v>
      </c>
      <c r="E2880" s="156">
        <v>-2.7631248430043274E-3</v>
      </c>
      <c r="G2880" s="156"/>
    </row>
    <row r="2881" spans="2:7" x14ac:dyDescent="0.2">
      <c r="B2881" s="230">
        <v>41746</v>
      </c>
      <c r="C2881" s="124">
        <v>234.19</v>
      </c>
      <c r="D2881" s="156">
        <f t="shared" si="46"/>
        <v>-4.2682146058301387E-4</v>
      </c>
      <c r="E2881" s="156">
        <v>-2.7756451898659352E-3</v>
      </c>
      <c r="G2881" s="156"/>
    </row>
    <row r="2882" spans="2:7" x14ac:dyDescent="0.2">
      <c r="B2882" s="230">
        <v>41745</v>
      </c>
      <c r="C2882" s="124">
        <v>229.42</v>
      </c>
      <c r="D2882" s="156">
        <f t="shared" si="46"/>
        <v>-2.0368077202271705E-2</v>
      </c>
      <c r="E2882" s="156">
        <v>-2.784602784602859E-3</v>
      </c>
      <c r="G2882" s="156"/>
    </row>
    <row r="2883" spans="2:7" x14ac:dyDescent="0.2">
      <c r="B2883" s="230">
        <v>41744</v>
      </c>
      <c r="C2883" s="124">
        <v>226.03</v>
      </c>
      <c r="D2883" s="156">
        <f t="shared" si="46"/>
        <v>-1.4776392642315346E-2</v>
      </c>
      <c r="E2883" s="156">
        <v>-2.7917364600781687E-3</v>
      </c>
      <c r="G2883" s="156"/>
    </row>
    <row r="2884" spans="2:7" x14ac:dyDescent="0.2">
      <c r="B2884" s="230">
        <v>41740</v>
      </c>
      <c r="C2884" s="124">
        <v>227.73</v>
      </c>
      <c r="D2884" s="156">
        <f t="shared" si="46"/>
        <v>7.5211255143122092E-3</v>
      </c>
      <c r="E2884" s="156">
        <v>-2.7965509205314506E-3</v>
      </c>
      <c r="G2884" s="156"/>
    </row>
    <row r="2885" spans="2:7" x14ac:dyDescent="0.2">
      <c r="B2885" s="230">
        <v>41739</v>
      </c>
      <c r="C2885" s="124">
        <v>227.96</v>
      </c>
      <c r="D2885" s="156">
        <f t="shared" si="46"/>
        <v>1.0099679444957547E-3</v>
      </c>
      <c r="E2885" s="156">
        <v>-2.8110486433635638E-3</v>
      </c>
      <c r="G2885" s="156"/>
    </row>
    <row r="2886" spans="2:7" x14ac:dyDescent="0.2">
      <c r="B2886" s="230">
        <v>41738</v>
      </c>
      <c r="C2886" s="124">
        <v>230.68</v>
      </c>
      <c r="D2886" s="156">
        <f t="shared" si="46"/>
        <v>1.1931917880329877E-2</v>
      </c>
      <c r="E2886" s="156">
        <v>-2.8194590461626851E-3</v>
      </c>
      <c r="G2886" s="156"/>
    </row>
    <row r="2887" spans="2:7" x14ac:dyDescent="0.2">
      <c r="B2887" s="230">
        <v>41736</v>
      </c>
      <c r="C2887" s="124">
        <v>229.02</v>
      </c>
      <c r="D2887" s="156">
        <f t="shared" si="46"/>
        <v>-7.1961158314548142E-3</v>
      </c>
      <c r="E2887" s="156">
        <v>-2.8227085315572038E-3</v>
      </c>
      <c r="G2887" s="156"/>
    </row>
    <row r="2888" spans="2:7" x14ac:dyDescent="0.2">
      <c r="B2888" s="230">
        <v>41733</v>
      </c>
      <c r="C2888" s="124">
        <v>228.55</v>
      </c>
      <c r="D2888" s="156">
        <f t="shared" si="46"/>
        <v>-2.0522225133176092E-3</v>
      </c>
      <c r="E2888" s="156">
        <v>-2.8297244094487631E-3</v>
      </c>
      <c r="G2888" s="156"/>
    </row>
    <row r="2889" spans="2:7" x14ac:dyDescent="0.2">
      <c r="B2889" s="230">
        <v>41732</v>
      </c>
      <c r="C2889" s="124">
        <v>229.32</v>
      </c>
      <c r="D2889" s="156">
        <f t="shared" si="46"/>
        <v>3.3690658499233505E-3</v>
      </c>
      <c r="E2889" s="156">
        <v>-2.8379528899819995E-3</v>
      </c>
      <c r="G2889" s="156"/>
    </row>
    <row r="2890" spans="2:7" x14ac:dyDescent="0.2">
      <c r="B2890" s="230">
        <v>41731</v>
      </c>
      <c r="C2890" s="124">
        <v>228.29</v>
      </c>
      <c r="D2890" s="156">
        <f t="shared" si="46"/>
        <v>-4.4915402058259253E-3</v>
      </c>
      <c r="E2890" s="156">
        <v>-2.8386689796562011E-3</v>
      </c>
      <c r="G2890" s="156"/>
    </row>
    <row r="2891" spans="2:7" x14ac:dyDescent="0.2">
      <c r="B2891" s="230">
        <v>41730</v>
      </c>
      <c r="C2891" s="124">
        <v>233.33</v>
      </c>
      <c r="D2891" s="156">
        <f t="shared" si="46"/>
        <v>2.2077182530991373E-2</v>
      </c>
      <c r="E2891" s="156">
        <v>-2.8499050031665567E-3</v>
      </c>
      <c r="G2891" s="156"/>
    </row>
    <row r="2892" spans="2:7" x14ac:dyDescent="0.2">
      <c r="B2892" s="230">
        <v>41729</v>
      </c>
      <c r="C2892" s="124">
        <v>233.92</v>
      </c>
      <c r="D2892" s="156">
        <f t="shared" si="46"/>
        <v>2.5286075515363431E-3</v>
      </c>
      <c r="E2892" s="156">
        <v>-2.8502850285028161E-3</v>
      </c>
      <c r="G2892" s="156"/>
    </row>
    <row r="2893" spans="2:7" x14ac:dyDescent="0.2">
      <c r="B2893" s="230">
        <v>41726</v>
      </c>
      <c r="C2893" s="124">
        <v>237.64</v>
      </c>
      <c r="D2893" s="156">
        <f t="shared" si="46"/>
        <v>1.5902872777017778E-2</v>
      </c>
      <c r="E2893" s="156">
        <v>-2.853613867711519E-3</v>
      </c>
      <c r="G2893" s="156"/>
    </row>
    <row r="2894" spans="2:7" x14ac:dyDescent="0.2">
      <c r="B2894" s="230">
        <v>41725</v>
      </c>
      <c r="C2894" s="124">
        <v>238.6</v>
      </c>
      <c r="D2894" s="156">
        <f t="shared" si="46"/>
        <v>4.0397239521966334E-3</v>
      </c>
      <c r="E2894" s="156">
        <v>-2.8571428571428979E-3</v>
      </c>
      <c r="G2894" s="156"/>
    </row>
    <row r="2895" spans="2:7" x14ac:dyDescent="0.2">
      <c r="B2895" s="230">
        <v>41724</v>
      </c>
      <c r="C2895" s="124">
        <v>238.03</v>
      </c>
      <c r="D2895" s="156">
        <f t="shared" si="46"/>
        <v>-2.3889354568314885E-3</v>
      </c>
      <c r="E2895" s="156">
        <v>-2.8622540250447634E-3</v>
      </c>
      <c r="G2895" s="156"/>
    </row>
    <row r="2896" spans="2:7" x14ac:dyDescent="0.2">
      <c r="B2896" s="230">
        <v>41723</v>
      </c>
      <c r="C2896" s="124">
        <v>240.52</v>
      </c>
      <c r="D2896" s="156">
        <f t="shared" si="46"/>
        <v>1.0460866277360035E-2</v>
      </c>
      <c r="E2896" s="156">
        <v>-2.8634361233480427E-3</v>
      </c>
      <c r="G2896" s="156"/>
    </row>
    <row r="2897" spans="2:7" x14ac:dyDescent="0.2">
      <c r="B2897" s="230">
        <v>41722</v>
      </c>
      <c r="C2897" s="124">
        <v>239.1</v>
      </c>
      <c r="D2897" s="156">
        <f t="shared" si="46"/>
        <v>-5.9038749376351899E-3</v>
      </c>
      <c r="E2897" s="156">
        <v>-2.8739564800875019E-3</v>
      </c>
      <c r="G2897" s="156"/>
    </row>
    <row r="2898" spans="2:7" x14ac:dyDescent="0.2">
      <c r="B2898" s="230">
        <v>41720</v>
      </c>
      <c r="C2898" s="124">
        <v>236.41</v>
      </c>
      <c r="D2898" s="156">
        <f t="shared" si="46"/>
        <v>-1.1250522793810112E-2</v>
      </c>
      <c r="E2898" s="156">
        <v>-2.8780743066457205E-3</v>
      </c>
      <c r="G2898" s="156"/>
    </row>
    <row r="2899" spans="2:7" x14ac:dyDescent="0.2">
      <c r="B2899" s="230">
        <v>41719</v>
      </c>
      <c r="C2899" s="124">
        <v>237.14</v>
      </c>
      <c r="D2899" s="156">
        <f t="shared" si="46"/>
        <v>3.0878558436613925E-3</v>
      </c>
      <c r="E2899" s="156">
        <v>-2.9093931837073511E-3</v>
      </c>
      <c r="G2899" s="156"/>
    </row>
    <row r="2900" spans="2:7" x14ac:dyDescent="0.2">
      <c r="B2900" s="230">
        <v>41718</v>
      </c>
      <c r="C2900" s="124">
        <v>235.88</v>
      </c>
      <c r="D2900" s="156">
        <f t="shared" si="46"/>
        <v>-5.3133170279159609E-3</v>
      </c>
      <c r="E2900" s="156">
        <v>-2.918761148046047E-3</v>
      </c>
      <c r="G2900" s="156"/>
    </row>
    <row r="2901" spans="2:7" x14ac:dyDescent="0.2">
      <c r="B2901" s="230">
        <v>41717</v>
      </c>
      <c r="C2901" s="124">
        <v>238.47</v>
      </c>
      <c r="D2901" s="156">
        <f t="shared" si="46"/>
        <v>1.098015940308633E-2</v>
      </c>
      <c r="E2901" s="156">
        <v>-2.9224428624952145E-3</v>
      </c>
      <c r="G2901" s="156"/>
    </row>
    <row r="2902" spans="2:7" x14ac:dyDescent="0.2">
      <c r="B2902" s="230">
        <v>41716</v>
      </c>
      <c r="C2902" s="124">
        <v>235.95</v>
      </c>
      <c r="D2902" s="156">
        <f t="shared" si="46"/>
        <v>-1.056736696439808E-2</v>
      </c>
      <c r="E2902" s="156">
        <v>-2.924754054772727E-3</v>
      </c>
      <c r="G2902" s="156"/>
    </row>
    <row r="2903" spans="2:7" x14ac:dyDescent="0.2">
      <c r="B2903" s="230">
        <v>41712</v>
      </c>
      <c r="C2903" s="124">
        <v>230.18</v>
      </c>
      <c r="D2903" s="156">
        <f t="shared" si="46"/>
        <v>-2.4454333545242561E-2</v>
      </c>
      <c r="E2903" s="156">
        <v>-2.9308323563891868E-3</v>
      </c>
      <c r="G2903" s="156"/>
    </row>
    <row r="2904" spans="2:7" x14ac:dyDescent="0.2">
      <c r="B2904" s="230">
        <v>41711</v>
      </c>
      <c r="C2904" s="124">
        <v>227.66</v>
      </c>
      <c r="D2904" s="156">
        <f t="shared" si="46"/>
        <v>-1.0947953775306326E-2</v>
      </c>
      <c r="E2904" s="156">
        <v>-2.9460866149464515E-3</v>
      </c>
      <c r="G2904" s="156"/>
    </row>
    <row r="2905" spans="2:7" x14ac:dyDescent="0.2">
      <c r="B2905" s="230">
        <v>41710</v>
      </c>
      <c r="C2905" s="124">
        <v>226.07</v>
      </c>
      <c r="D2905" s="156">
        <f t="shared" si="46"/>
        <v>-6.9840990951418932E-3</v>
      </c>
      <c r="E2905" s="156">
        <v>-2.9542097488921434E-3</v>
      </c>
      <c r="G2905" s="156"/>
    </row>
    <row r="2906" spans="2:7" x14ac:dyDescent="0.2">
      <c r="B2906" s="230">
        <v>41709</v>
      </c>
      <c r="C2906" s="124">
        <v>221.43</v>
      </c>
      <c r="D2906" s="156">
        <f t="shared" si="46"/>
        <v>-2.0524616269297059E-2</v>
      </c>
      <c r="E2906" s="156">
        <v>-2.9646931991734642E-3</v>
      </c>
      <c r="G2906" s="156"/>
    </row>
    <row r="2907" spans="2:7" x14ac:dyDescent="0.2">
      <c r="B2907" s="230">
        <v>41708</v>
      </c>
      <c r="C2907" s="124">
        <v>222.49</v>
      </c>
      <c r="D2907" s="156">
        <f t="shared" si="46"/>
        <v>4.7870658898974943E-3</v>
      </c>
      <c r="E2907" s="156">
        <v>-2.9648454044895749E-3</v>
      </c>
      <c r="G2907" s="156"/>
    </row>
    <row r="2908" spans="2:7" x14ac:dyDescent="0.2">
      <c r="B2908" s="230">
        <v>41705</v>
      </c>
      <c r="C2908" s="124">
        <v>224.18</v>
      </c>
      <c r="D2908" s="156">
        <f t="shared" si="46"/>
        <v>7.5958470043597359E-3</v>
      </c>
      <c r="E2908" s="156">
        <v>-2.9700029700030122E-3</v>
      </c>
      <c r="G2908" s="156"/>
    </row>
    <row r="2909" spans="2:7" x14ac:dyDescent="0.2">
      <c r="B2909" s="230">
        <v>41704</v>
      </c>
      <c r="C2909" s="124">
        <v>221.79</v>
      </c>
      <c r="D2909" s="156">
        <f t="shared" si="46"/>
        <v>-1.0661075921134869E-2</v>
      </c>
      <c r="E2909" s="156">
        <v>-2.9730303673816214E-3</v>
      </c>
      <c r="G2909" s="156"/>
    </row>
    <row r="2910" spans="2:7" x14ac:dyDescent="0.2">
      <c r="B2910" s="230">
        <v>41703</v>
      </c>
      <c r="C2910" s="124">
        <v>220.96</v>
      </c>
      <c r="D2910" s="156">
        <f t="shared" si="46"/>
        <v>-3.7422787321339289E-3</v>
      </c>
      <c r="E2910" s="156">
        <v>-2.976899261728983E-3</v>
      </c>
      <c r="G2910" s="156"/>
    </row>
    <row r="2911" spans="2:7" x14ac:dyDescent="0.2">
      <c r="B2911" s="230">
        <v>41702</v>
      </c>
      <c r="C2911" s="124">
        <v>219.87</v>
      </c>
      <c r="D2911" s="156">
        <f t="shared" si="46"/>
        <v>-4.9330195510499794E-3</v>
      </c>
      <c r="E2911" s="156">
        <v>-2.9811590746482231E-3</v>
      </c>
      <c r="G2911" s="156"/>
    </row>
    <row r="2912" spans="2:7" x14ac:dyDescent="0.2">
      <c r="B2912" s="230">
        <v>41701</v>
      </c>
      <c r="C2912" s="124">
        <v>218.25</v>
      </c>
      <c r="D2912" s="156">
        <f t="shared" si="46"/>
        <v>-7.3679901760131195E-3</v>
      </c>
      <c r="E2912" s="156">
        <v>-2.999400119976005E-3</v>
      </c>
      <c r="G2912" s="156"/>
    </row>
    <row r="2913" spans="2:7" x14ac:dyDescent="0.2">
      <c r="B2913" s="230">
        <v>41698</v>
      </c>
      <c r="C2913" s="124">
        <v>217.22</v>
      </c>
      <c r="D2913" s="156">
        <f t="shared" si="46"/>
        <v>-4.7193585337915291E-3</v>
      </c>
      <c r="E2913" s="156">
        <v>-3.0097531240476242E-3</v>
      </c>
      <c r="G2913" s="156"/>
    </row>
    <row r="2914" spans="2:7" x14ac:dyDescent="0.2">
      <c r="B2914" s="230">
        <v>41696</v>
      </c>
      <c r="C2914" s="124">
        <v>217.95</v>
      </c>
      <c r="D2914" s="156">
        <f t="shared" si="46"/>
        <v>3.360648190774283E-3</v>
      </c>
      <c r="E2914" s="156">
        <v>-3.0131372785344099E-3</v>
      </c>
      <c r="G2914" s="156"/>
    </row>
    <row r="2915" spans="2:7" x14ac:dyDescent="0.2">
      <c r="B2915" s="230">
        <v>41695</v>
      </c>
      <c r="C2915" s="124">
        <v>213.44</v>
      </c>
      <c r="D2915" s="156">
        <f t="shared" si="46"/>
        <v>-2.069281945400317E-2</v>
      </c>
      <c r="E2915" s="156">
        <v>-3.0162879549567381E-3</v>
      </c>
      <c r="G2915" s="156"/>
    </row>
    <row r="2916" spans="2:7" x14ac:dyDescent="0.2">
      <c r="B2916" s="230">
        <v>41694</v>
      </c>
      <c r="C2916" s="124">
        <v>212.18</v>
      </c>
      <c r="D2916" s="156">
        <f t="shared" si="46"/>
        <v>-5.9032983508245452E-3</v>
      </c>
      <c r="E2916" s="156">
        <v>-3.0194376297415036E-3</v>
      </c>
      <c r="G2916" s="156"/>
    </row>
    <row r="2917" spans="2:7" x14ac:dyDescent="0.2">
      <c r="B2917" s="230">
        <v>41691</v>
      </c>
      <c r="C2917" s="124">
        <v>210.55</v>
      </c>
      <c r="D2917" s="156">
        <f t="shared" si="46"/>
        <v>-7.6821566594400762E-3</v>
      </c>
      <c r="E2917" s="156">
        <v>-3.0224525043177405E-3</v>
      </c>
      <c r="G2917" s="156"/>
    </row>
    <row r="2918" spans="2:7" x14ac:dyDescent="0.2">
      <c r="B2918" s="230">
        <v>41690</v>
      </c>
      <c r="C2918" s="124">
        <v>206.74</v>
      </c>
      <c r="D2918" s="156">
        <f t="shared" si="46"/>
        <v>-1.8095464260270731E-2</v>
      </c>
      <c r="E2918" s="156">
        <v>-3.0295379954556885E-3</v>
      </c>
      <c r="G2918" s="156"/>
    </row>
    <row r="2919" spans="2:7" x14ac:dyDescent="0.2">
      <c r="B2919" s="230">
        <v>41689</v>
      </c>
      <c r="C2919" s="124">
        <v>209.93</v>
      </c>
      <c r="D2919" s="156">
        <f t="shared" si="46"/>
        <v>1.5430008706587972E-2</v>
      </c>
      <c r="E2919" s="156">
        <v>-3.0322556191487377E-3</v>
      </c>
      <c r="G2919" s="156"/>
    </row>
    <row r="2920" spans="2:7" x14ac:dyDescent="0.2">
      <c r="B2920" s="230">
        <v>41688</v>
      </c>
      <c r="C2920" s="124">
        <v>210.09</v>
      </c>
      <c r="D2920" s="156">
        <f t="shared" si="46"/>
        <v>7.6215881484302669E-4</v>
      </c>
      <c r="E2920" s="156">
        <v>-3.0435841246652059E-3</v>
      </c>
      <c r="G2920" s="156"/>
    </row>
    <row r="2921" spans="2:7" x14ac:dyDescent="0.2">
      <c r="B2921" s="230">
        <v>41687</v>
      </c>
      <c r="C2921" s="124">
        <v>212.21</v>
      </c>
      <c r="D2921" s="156">
        <f t="shared" si="46"/>
        <v>1.0090913418058949E-2</v>
      </c>
      <c r="E2921" s="156">
        <v>-3.0500780252516557E-3</v>
      </c>
      <c r="G2921" s="156"/>
    </row>
    <row r="2922" spans="2:7" x14ac:dyDescent="0.2">
      <c r="B2922" s="230">
        <v>41684</v>
      </c>
      <c r="C2922" s="124">
        <v>212.01</v>
      </c>
      <c r="D2922" s="156">
        <f t="shared" si="46"/>
        <v>-9.4246265491737926E-4</v>
      </c>
      <c r="E2922" s="156">
        <v>-3.0509270124384549E-3</v>
      </c>
      <c r="G2922" s="156"/>
    </row>
    <row r="2923" spans="2:7" x14ac:dyDescent="0.2">
      <c r="B2923" s="230">
        <v>41683</v>
      </c>
      <c r="C2923" s="124">
        <v>210.09</v>
      </c>
      <c r="D2923" s="156">
        <f t="shared" si="46"/>
        <v>-9.056176595443553E-3</v>
      </c>
      <c r="E2923" s="156">
        <v>-3.0549655123034668E-3</v>
      </c>
      <c r="G2923" s="156"/>
    </row>
    <row r="2924" spans="2:7" x14ac:dyDescent="0.2">
      <c r="B2924" s="230">
        <v>41682</v>
      </c>
      <c r="C2924" s="124">
        <v>212.51</v>
      </c>
      <c r="D2924" s="156">
        <f t="shared" si="46"/>
        <v>1.1518872864010602E-2</v>
      </c>
      <c r="E2924" s="156">
        <v>-3.061466485565744E-3</v>
      </c>
      <c r="G2924" s="156"/>
    </row>
    <row r="2925" spans="2:7" x14ac:dyDescent="0.2">
      <c r="B2925" s="230">
        <v>41681</v>
      </c>
      <c r="C2925" s="124">
        <v>215.53</v>
      </c>
      <c r="D2925" s="156">
        <f t="shared" si="46"/>
        <v>1.4211095948426004E-2</v>
      </c>
      <c r="E2925" s="156">
        <v>-3.0677787364587037E-3</v>
      </c>
      <c r="G2925" s="156"/>
    </row>
    <row r="2926" spans="2:7" x14ac:dyDescent="0.2">
      <c r="B2926" s="230">
        <v>41680</v>
      </c>
      <c r="C2926" s="124">
        <v>215.46</v>
      </c>
      <c r="D2926" s="156">
        <f t="shared" si="46"/>
        <v>-3.2478077297820802E-4</v>
      </c>
      <c r="E2926" s="156">
        <v>-3.0744004919040788E-3</v>
      </c>
      <c r="G2926" s="156"/>
    </row>
    <row r="2927" spans="2:7" x14ac:dyDescent="0.2">
      <c r="B2927" s="230">
        <v>41677</v>
      </c>
      <c r="C2927" s="124">
        <v>214.43</v>
      </c>
      <c r="D2927" s="156">
        <f t="shared" si="46"/>
        <v>-4.7804696927503994E-3</v>
      </c>
      <c r="E2927" s="156">
        <v>-3.075871496924083E-3</v>
      </c>
      <c r="G2927" s="156"/>
    </row>
    <row r="2928" spans="2:7" x14ac:dyDescent="0.2">
      <c r="B2928" s="230">
        <v>41676</v>
      </c>
      <c r="C2928" s="124">
        <v>215.16</v>
      </c>
      <c r="D2928" s="156">
        <f t="shared" si="46"/>
        <v>3.4043743879120913E-3</v>
      </c>
      <c r="E2928" s="156">
        <v>-3.0899961375046529E-3</v>
      </c>
      <c r="G2928" s="156"/>
    </row>
    <row r="2929" spans="2:7" x14ac:dyDescent="0.2">
      <c r="B2929" s="230">
        <v>41675</v>
      </c>
      <c r="C2929" s="124">
        <v>211.45</v>
      </c>
      <c r="D2929" s="156">
        <f t="shared" si="46"/>
        <v>-1.7242981966908384E-2</v>
      </c>
      <c r="E2929" s="156">
        <v>-3.0913607507590517E-3</v>
      </c>
      <c r="G2929" s="156"/>
    </row>
    <row r="2930" spans="2:7" x14ac:dyDescent="0.2">
      <c r="B2930" s="230">
        <v>41674</v>
      </c>
      <c r="C2930" s="124">
        <v>215.39</v>
      </c>
      <c r="D2930" s="156">
        <f t="shared" si="46"/>
        <v>1.8633246630409071E-2</v>
      </c>
      <c r="E2930" s="156">
        <v>-3.0931785831599568E-3</v>
      </c>
      <c r="G2930" s="156"/>
    </row>
    <row r="2931" spans="2:7" x14ac:dyDescent="0.2">
      <c r="B2931" s="230">
        <v>41673</v>
      </c>
      <c r="C2931" s="124">
        <v>212.34</v>
      </c>
      <c r="D2931" s="156">
        <f t="shared" si="46"/>
        <v>-1.4160360276707289E-2</v>
      </c>
      <c r="E2931" s="156">
        <v>-3.0956557630791165E-3</v>
      </c>
      <c r="G2931" s="156"/>
    </row>
    <row r="2932" spans="2:7" x14ac:dyDescent="0.2">
      <c r="B2932" s="230">
        <v>41670</v>
      </c>
      <c r="C2932" s="124">
        <v>215.53</v>
      </c>
      <c r="D2932" s="156">
        <f t="shared" si="46"/>
        <v>1.5023076198549486E-2</v>
      </c>
      <c r="E2932" s="156">
        <v>-3.1039834454216196E-3</v>
      </c>
      <c r="G2932" s="156"/>
    </row>
    <row r="2933" spans="2:7" x14ac:dyDescent="0.2">
      <c r="B2933" s="230">
        <v>41669</v>
      </c>
      <c r="C2933" s="124">
        <v>215.2</v>
      </c>
      <c r="D2933" s="156">
        <f t="shared" si="46"/>
        <v>-1.5311093583260452E-3</v>
      </c>
      <c r="E2933" s="156">
        <v>-3.1382394476697903E-3</v>
      </c>
      <c r="G2933" s="156"/>
    </row>
    <row r="2934" spans="2:7" x14ac:dyDescent="0.2">
      <c r="B2934" s="230">
        <v>41668</v>
      </c>
      <c r="C2934" s="124">
        <v>215.46</v>
      </c>
      <c r="D2934" s="156">
        <f t="shared" si="46"/>
        <v>1.2081784386617999E-3</v>
      </c>
      <c r="E2934" s="156">
        <v>-3.1492248062015777E-3</v>
      </c>
      <c r="G2934" s="156"/>
    </row>
    <row r="2935" spans="2:7" x14ac:dyDescent="0.2">
      <c r="B2935" s="230">
        <v>41667</v>
      </c>
      <c r="C2935" s="124">
        <v>216.55</v>
      </c>
      <c r="D2935" s="156">
        <f t="shared" si="46"/>
        <v>5.0589436554348988E-3</v>
      </c>
      <c r="E2935" s="156">
        <v>-3.1535405659990248E-3</v>
      </c>
      <c r="G2935" s="156"/>
    </row>
    <row r="2936" spans="2:7" x14ac:dyDescent="0.2">
      <c r="B2936" s="230">
        <v>41666</v>
      </c>
      <c r="C2936" s="124">
        <v>214.93</v>
      </c>
      <c r="D2936" s="156">
        <f t="shared" si="46"/>
        <v>-7.4809512814592678E-3</v>
      </c>
      <c r="E2936" s="156">
        <v>-3.1691857630424462E-3</v>
      </c>
      <c r="G2936" s="156"/>
    </row>
    <row r="2937" spans="2:7" x14ac:dyDescent="0.2">
      <c r="B2937" s="230">
        <v>41663</v>
      </c>
      <c r="C2937" s="124">
        <v>214.96</v>
      </c>
      <c r="D2937" s="156">
        <f t="shared" si="46"/>
        <v>1.3958032847904498E-4</v>
      </c>
      <c r="E2937" s="156">
        <v>-3.1702898550725407E-3</v>
      </c>
      <c r="G2937" s="156"/>
    </row>
    <row r="2938" spans="2:7" x14ac:dyDescent="0.2">
      <c r="B2938" s="230">
        <v>41662</v>
      </c>
      <c r="C2938" s="124">
        <v>218.08</v>
      </c>
      <c r="D2938" s="156">
        <f t="shared" si="46"/>
        <v>1.4514328247115764E-2</v>
      </c>
      <c r="E2938" s="156">
        <v>-3.1718061674008763E-3</v>
      </c>
      <c r="G2938" s="156"/>
    </row>
    <row r="2939" spans="2:7" x14ac:dyDescent="0.2">
      <c r="B2939" s="230">
        <v>41661</v>
      </c>
      <c r="C2939" s="124">
        <v>217.02</v>
      </c>
      <c r="D2939" s="156">
        <f t="shared" si="46"/>
        <v>-4.8606016140865837E-3</v>
      </c>
      <c r="E2939" s="156">
        <v>-3.1730921783278253E-3</v>
      </c>
      <c r="G2939" s="156"/>
    </row>
    <row r="2940" spans="2:7" x14ac:dyDescent="0.2">
      <c r="B2940" s="230">
        <v>41660</v>
      </c>
      <c r="C2940" s="124">
        <v>218.15</v>
      </c>
      <c r="D2940" s="156">
        <f t="shared" si="46"/>
        <v>5.2068933738825705E-3</v>
      </c>
      <c r="E2940" s="156">
        <v>-3.173417957812293E-3</v>
      </c>
      <c r="G2940" s="156"/>
    </row>
    <row r="2941" spans="2:7" x14ac:dyDescent="0.2">
      <c r="B2941" s="230">
        <v>41659</v>
      </c>
      <c r="C2941" s="124">
        <v>218.91</v>
      </c>
      <c r="D2941" s="156">
        <f t="shared" si="46"/>
        <v>3.4838413935365155E-3</v>
      </c>
      <c r="E2941" s="156">
        <v>-3.1828362607567609E-3</v>
      </c>
      <c r="G2941" s="156"/>
    </row>
    <row r="2942" spans="2:7" x14ac:dyDescent="0.2">
      <c r="B2942" s="230">
        <v>41656</v>
      </c>
      <c r="C2942" s="124">
        <v>215.36</v>
      </c>
      <c r="D2942" s="156">
        <f t="shared" ref="D2942:D3005" si="47">(C2942-C2941)/C2941</f>
        <v>-1.6216710063496335E-2</v>
      </c>
      <c r="E2942" s="156">
        <v>-3.1835868411743671E-3</v>
      </c>
      <c r="G2942" s="156"/>
    </row>
    <row r="2943" spans="2:7" x14ac:dyDescent="0.2">
      <c r="B2943" s="230">
        <v>41655</v>
      </c>
      <c r="C2943" s="124">
        <v>215.79</v>
      </c>
      <c r="D2943" s="156">
        <f t="shared" si="47"/>
        <v>1.9966567607725594E-3</v>
      </c>
      <c r="E2943" s="156">
        <v>-3.1948881789138589E-3</v>
      </c>
      <c r="G2943" s="156"/>
    </row>
    <row r="2944" spans="2:7" x14ac:dyDescent="0.2">
      <c r="B2944" s="230">
        <v>41654</v>
      </c>
      <c r="C2944" s="124">
        <v>218.01</v>
      </c>
      <c r="D2944" s="156">
        <f t="shared" si="47"/>
        <v>1.0287779785902956E-2</v>
      </c>
      <c r="E2944" s="156">
        <v>-3.19528081602559E-3</v>
      </c>
      <c r="G2944" s="156"/>
    </row>
    <row r="2945" spans="2:7" x14ac:dyDescent="0.2">
      <c r="B2945" s="230">
        <v>41653</v>
      </c>
      <c r="C2945" s="124">
        <v>215.1</v>
      </c>
      <c r="D2945" s="156">
        <f t="shared" si="47"/>
        <v>-1.3348011559102778E-2</v>
      </c>
      <c r="E2945" s="156">
        <v>-3.1960227272727223E-3</v>
      </c>
      <c r="G2945" s="156"/>
    </row>
    <row r="2946" spans="2:7" x14ac:dyDescent="0.2">
      <c r="B2946" s="230">
        <v>41652</v>
      </c>
      <c r="C2946" s="124">
        <v>215.76</v>
      </c>
      <c r="D2946" s="156">
        <f t="shared" si="47"/>
        <v>3.0683403068340149E-3</v>
      </c>
      <c r="E2946" s="156">
        <v>-3.2110091743118743E-3</v>
      </c>
      <c r="G2946" s="156"/>
    </row>
    <row r="2947" spans="2:7" x14ac:dyDescent="0.2">
      <c r="B2947" s="230">
        <v>41649</v>
      </c>
      <c r="C2947" s="124">
        <v>213.87</v>
      </c>
      <c r="D2947" s="156">
        <f t="shared" si="47"/>
        <v>-8.7597330367073893E-3</v>
      </c>
      <c r="E2947" s="156">
        <v>-3.2227970485963486E-3</v>
      </c>
      <c r="G2947" s="156"/>
    </row>
    <row r="2948" spans="2:7" x14ac:dyDescent="0.2">
      <c r="B2948" s="230">
        <v>41648</v>
      </c>
      <c r="C2948" s="124">
        <v>209.23</v>
      </c>
      <c r="D2948" s="156">
        <f t="shared" si="47"/>
        <v>-2.1695422452892011E-2</v>
      </c>
      <c r="E2948" s="156">
        <v>-3.2362459546925963E-3</v>
      </c>
      <c r="G2948" s="156"/>
    </row>
    <row r="2949" spans="2:7" x14ac:dyDescent="0.2">
      <c r="B2949" s="230">
        <v>41647</v>
      </c>
      <c r="C2949" s="124">
        <v>210.06</v>
      </c>
      <c r="D2949" s="156">
        <f t="shared" si="47"/>
        <v>3.9669263489939899E-3</v>
      </c>
      <c r="E2949" s="156">
        <v>-3.2399804713505384E-3</v>
      </c>
      <c r="G2949" s="156"/>
    </row>
    <row r="2950" spans="2:7" x14ac:dyDescent="0.2">
      <c r="B2950" s="230">
        <v>41646</v>
      </c>
      <c r="C2950" s="124">
        <v>209.96</v>
      </c>
      <c r="D2950" s="156">
        <f t="shared" si="47"/>
        <v>-4.7605446063026901E-4</v>
      </c>
      <c r="E2950" s="156">
        <v>-3.2428742106161072E-3</v>
      </c>
      <c r="G2950" s="156"/>
    </row>
    <row r="2951" spans="2:7" x14ac:dyDescent="0.2">
      <c r="B2951" s="230">
        <v>41645</v>
      </c>
      <c r="C2951" s="124">
        <v>209.26</v>
      </c>
      <c r="D2951" s="156">
        <f t="shared" si="47"/>
        <v>-3.333968374928639E-3</v>
      </c>
      <c r="E2951" s="156">
        <v>-3.2458750338111931E-3</v>
      </c>
      <c r="G2951" s="156"/>
    </row>
    <row r="2952" spans="2:7" x14ac:dyDescent="0.2">
      <c r="B2952" s="230">
        <v>41642</v>
      </c>
      <c r="C2952" s="124">
        <v>208.67</v>
      </c>
      <c r="D2952" s="156">
        <f t="shared" si="47"/>
        <v>-2.8194590461626851E-3</v>
      </c>
      <c r="E2952" s="156">
        <v>-3.2561505065122529E-3</v>
      </c>
      <c r="G2952" s="156"/>
    </row>
    <row r="2953" spans="2:7" x14ac:dyDescent="0.2">
      <c r="B2953" s="230">
        <v>41641</v>
      </c>
      <c r="C2953" s="124">
        <v>208.8</v>
      </c>
      <c r="D2953" s="156">
        <f t="shared" si="47"/>
        <v>6.2299324291955661E-4</v>
      </c>
      <c r="E2953" s="156">
        <v>-3.264208909370069E-3</v>
      </c>
      <c r="G2953" s="156"/>
    </row>
    <row r="2954" spans="2:7" x14ac:dyDescent="0.2">
      <c r="B2954" s="230">
        <v>41640</v>
      </c>
      <c r="C2954" s="124">
        <v>213.74</v>
      </c>
      <c r="D2954" s="156">
        <f t="shared" si="47"/>
        <v>2.3659003831417613E-2</v>
      </c>
      <c r="E2954" s="156">
        <v>-3.26843825493824E-3</v>
      </c>
      <c r="G2954" s="156"/>
    </row>
    <row r="2955" spans="2:7" x14ac:dyDescent="0.2">
      <c r="B2955" s="230">
        <v>41639</v>
      </c>
      <c r="C2955" s="124">
        <v>213.37</v>
      </c>
      <c r="D2955" s="156">
        <f t="shared" si="47"/>
        <v>-1.731075138018174E-3</v>
      </c>
      <c r="E2955" s="156">
        <v>-3.281279938685583E-3</v>
      </c>
      <c r="G2955" s="156"/>
    </row>
    <row r="2956" spans="2:7" x14ac:dyDescent="0.2">
      <c r="B2956" s="230">
        <v>41638</v>
      </c>
      <c r="C2956" s="124">
        <v>213.74</v>
      </c>
      <c r="D2956" s="156">
        <f t="shared" si="47"/>
        <v>1.7340769555232907E-3</v>
      </c>
      <c r="E2956" s="156">
        <v>-3.2900749405959935E-3</v>
      </c>
      <c r="G2956" s="156"/>
    </row>
    <row r="2957" spans="2:7" x14ac:dyDescent="0.2">
      <c r="B2957" s="230">
        <v>41635</v>
      </c>
      <c r="C2957" s="124">
        <v>213.77</v>
      </c>
      <c r="D2957" s="156">
        <f t="shared" si="47"/>
        <v>1.4035744362309878E-4</v>
      </c>
      <c r="E2957" s="156">
        <v>-3.2943501894251827E-3</v>
      </c>
      <c r="G2957" s="156"/>
    </row>
    <row r="2958" spans="2:7" x14ac:dyDescent="0.2">
      <c r="B2958" s="230">
        <v>41634</v>
      </c>
      <c r="C2958" s="124">
        <v>212.31</v>
      </c>
      <c r="D2958" s="156">
        <f t="shared" si="47"/>
        <v>-6.8297703138887958E-3</v>
      </c>
      <c r="E2958" s="156">
        <v>-3.2988330378128034E-3</v>
      </c>
      <c r="G2958" s="156"/>
    </row>
    <row r="2959" spans="2:7" x14ac:dyDescent="0.2">
      <c r="B2959" s="230">
        <v>41632</v>
      </c>
      <c r="C2959" s="124">
        <v>211.52</v>
      </c>
      <c r="D2959" s="156">
        <f t="shared" si="47"/>
        <v>-3.7209740473835053E-3</v>
      </c>
      <c r="E2959" s="156">
        <v>-3.3102618116159924E-3</v>
      </c>
      <c r="G2959" s="156"/>
    </row>
    <row r="2960" spans="2:7" x14ac:dyDescent="0.2">
      <c r="B2960" s="230">
        <v>41631</v>
      </c>
      <c r="C2960" s="124">
        <v>211.62</v>
      </c>
      <c r="D2960" s="156">
        <f t="shared" si="47"/>
        <v>4.7276853252644816E-4</v>
      </c>
      <c r="E2960" s="156">
        <v>-3.3142512805060171E-3</v>
      </c>
      <c r="G2960" s="156"/>
    </row>
    <row r="2961" spans="2:7" x14ac:dyDescent="0.2">
      <c r="B2961" s="230">
        <v>41628</v>
      </c>
      <c r="C2961" s="124">
        <v>208.96</v>
      </c>
      <c r="D2961" s="156">
        <f t="shared" si="47"/>
        <v>-1.2569700406388794E-2</v>
      </c>
      <c r="E2961" s="156">
        <v>-3.3204205866076315E-3</v>
      </c>
      <c r="G2961" s="156"/>
    </row>
    <row r="2962" spans="2:7" x14ac:dyDescent="0.2">
      <c r="B2962" s="230">
        <v>41627</v>
      </c>
      <c r="C2962" s="124">
        <v>207.94</v>
      </c>
      <c r="D2962" s="156">
        <f t="shared" si="47"/>
        <v>-4.8813169984686551E-3</v>
      </c>
      <c r="E2962" s="156">
        <v>-3.3253524873636604E-3</v>
      </c>
      <c r="G2962" s="156"/>
    </row>
    <row r="2963" spans="2:7" x14ac:dyDescent="0.2">
      <c r="B2963" s="230">
        <v>41626</v>
      </c>
      <c r="C2963" s="124">
        <v>209.2</v>
      </c>
      <c r="D2963" s="156">
        <f t="shared" si="47"/>
        <v>6.0594402231412469E-3</v>
      </c>
      <c r="E2963" s="156">
        <v>-3.3312513012700869E-3</v>
      </c>
      <c r="G2963" s="156"/>
    </row>
    <row r="2964" spans="2:7" x14ac:dyDescent="0.2">
      <c r="B2964" s="230">
        <v>41625</v>
      </c>
      <c r="C2964" s="124">
        <v>209.03</v>
      </c>
      <c r="D2964" s="156">
        <f t="shared" si="47"/>
        <v>-8.1261950286800905E-4</v>
      </c>
      <c r="E2964" s="156">
        <v>-3.3316598968555437E-3</v>
      </c>
      <c r="G2964" s="156"/>
    </row>
    <row r="2965" spans="2:7" x14ac:dyDescent="0.2">
      <c r="B2965" s="230">
        <v>41624</v>
      </c>
      <c r="C2965" s="124">
        <v>207.37</v>
      </c>
      <c r="D2965" s="156">
        <f t="shared" si="47"/>
        <v>-7.941443811893014E-3</v>
      </c>
      <c r="E2965" s="156">
        <v>-3.333968374928639E-3</v>
      </c>
      <c r="G2965" s="156"/>
    </row>
    <row r="2966" spans="2:7" x14ac:dyDescent="0.2">
      <c r="B2966" s="230">
        <v>41621</v>
      </c>
      <c r="C2966" s="124">
        <v>209.03</v>
      </c>
      <c r="D2966" s="156">
        <f t="shared" si="47"/>
        <v>8.0050151902396512E-3</v>
      </c>
      <c r="E2966" s="156">
        <v>-3.3446287902125201E-3</v>
      </c>
      <c r="G2966" s="156"/>
    </row>
    <row r="2967" spans="2:7" x14ac:dyDescent="0.2">
      <c r="B2967" s="230">
        <v>41620</v>
      </c>
      <c r="C2967" s="124">
        <v>210.02</v>
      </c>
      <c r="D2967" s="156">
        <f t="shared" si="47"/>
        <v>4.7361622733579347E-3</v>
      </c>
      <c r="E2967" s="156">
        <v>-3.3564683126635761E-3</v>
      </c>
      <c r="G2967" s="156"/>
    </row>
    <row r="2968" spans="2:7" x14ac:dyDescent="0.2">
      <c r="B2968" s="230">
        <v>41619</v>
      </c>
      <c r="C2968" s="124">
        <v>212.71</v>
      </c>
      <c r="D2968" s="156">
        <f t="shared" si="47"/>
        <v>1.2808303971050365E-2</v>
      </c>
      <c r="E2968" s="156">
        <v>-3.3731610176380251E-3</v>
      </c>
      <c r="G2968" s="156"/>
    </row>
    <row r="2969" spans="2:7" x14ac:dyDescent="0.2">
      <c r="B2969" s="230">
        <v>41618</v>
      </c>
      <c r="C2969" s="124">
        <v>210.75</v>
      </c>
      <c r="D2969" s="156">
        <f t="shared" si="47"/>
        <v>-9.2144233933524888E-3</v>
      </c>
      <c r="E2969" s="156">
        <v>-3.3745781777276989E-3</v>
      </c>
      <c r="G2969" s="156"/>
    </row>
    <row r="2970" spans="2:7" x14ac:dyDescent="0.2">
      <c r="B2970" s="230">
        <v>41617</v>
      </c>
      <c r="C2970" s="124">
        <v>207.54</v>
      </c>
      <c r="D2970" s="156">
        <f t="shared" si="47"/>
        <v>-1.5231316725978685E-2</v>
      </c>
      <c r="E2970" s="156">
        <v>-3.3759590792838698E-3</v>
      </c>
      <c r="G2970" s="156"/>
    </row>
    <row r="2971" spans="2:7" x14ac:dyDescent="0.2">
      <c r="B2971" s="230">
        <v>41614</v>
      </c>
      <c r="C2971" s="124">
        <v>206.21</v>
      </c>
      <c r="D2971" s="156">
        <f t="shared" si="47"/>
        <v>-6.4084031993831749E-3</v>
      </c>
      <c r="E2971" s="156">
        <v>-3.3795201081446118E-3</v>
      </c>
      <c r="G2971" s="156"/>
    </row>
    <row r="2972" spans="2:7" x14ac:dyDescent="0.2">
      <c r="B2972" s="230">
        <v>41613</v>
      </c>
      <c r="C2972" s="124">
        <v>204.69</v>
      </c>
      <c r="D2972" s="156">
        <f t="shared" si="47"/>
        <v>-7.371126521507251E-3</v>
      </c>
      <c r="E2972" s="156">
        <v>-3.3799008562415502E-3</v>
      </c>
      <c r="G2972" s="156"/>
    </row>
    <row r="2973" spans="2:7" x14ac:dyDescent="0.2">
      <c r="B2973" s="230">
        <v>41612</v>
      </c>
      <c r="C2973" s="124">
        <v>207.41</v>
      </c>
      <c r="D2973" s="156">
        <f t="shared" si="47"/>
        <v>1.3288387317406804E-2</v>
      </c>
      <c r="E2973" s="156">
        <v>-3.3815517565281882E-3</v>
      </c>
      <c r="G2973" s="156"/>
    </row>
    <row r="2974" spans="2:7" x14ac:dyDescent="0.2">
      <c r="B2974" s="230">
        <v>41611</v>
      </c>
      <c r="C2974" s="124">
        <v>211.62</v>
      </c>
      <c r="D2974" s="156">
        <f t="shared" si="47"/>
        <v>2.029796056120731E-2</v>
      </c>
      <c r="E2974" s="156">
        <v>-3.3818240377905175E-3</v>
      </c>
      <c r="G2974" s="156"/>
    </row>
    <row r="2975" spans="2:7" x14ac:dyDescent="0.2">
      <c r="B2975" s="230">
        <v>41610</v>
      </c>
      <c r="C2975" s="124">
        <v>213.14</v>
      </c>
      <c r="D2975" s="156">
        <f t="shared" si="47"/>
        <v>7.1826859465078056E-3</v>
      </c>
      <c r="E2975" s="156">
        <v>-3.3906177426847105E-3</v>
      </c>
      <c r="G2975" s="156"/>
    </row>
    <row r="2976" spans="2:7" x14ac:dyDescent="0.2">
      <c r="B2976" s="230">
        <v>41607</v>
      </c>
      <c r="C2976" s="124">
        <v>212.41</v>
      </c>
      <c r="D2976" s="156">
        <f t="shared" si="47"/>
        <v>-3.4249788871164016E-3</v>
      </c>
      <c r="E2976" s="156">
        <v>-3.3959806475624215E-3</v>
      </c>
      <c r="G2976" s="156"/>
    </row>
    <row r="2977" spans="2:7" x14ac:dyDescent="0.2">
      <c r="B2977" s="230">
        <v>41606</v>
      </c>
      <c r="C2977" s="124">
        <v>207.84</v>
      </c>
      <c r="D2977" s="156">
        <f t="shared" si="47"/>
        <v>-2.1514994585942249E-2</v>
      </c>
      <c r="E2977" s="156">
        <v>-3.4013605442177065E-3</v>
      </c>
      <c r="G2977" s="156"/>
    </row>
    <row r="2978" spans="2:7" x14ac:dyDescent="0.2">
      <c r="B2978" s="230">
        <v>41605</v>
      </c>
      <c r="C2978" s="124">
        <v>208.27</v>
      </c>
      <c r="D2978" s="156">
        <f t="shared" si="47"/>
        <v>2.0688991531947979E-3</v>
      </c>
      <c r="E2978" s="156">
        <v>-3.4215739240050017E-3</v>
      </c>
      <c r="G2978" s="156"/>
    </row>
    <row r="2979" spans="2:7" x14ac:dyDescent="0.2">
      <c r="B2979" s="230">
        <v>41604</v>
      </c>
      <c r="C2979" s="124">
        <v>206.01</v>
      </c>
      <c r="D2979" s="156">
        <f t="shared" si="47"/>
        <v>-1.0851298794833722E-2</v>
      </c>
      <c r="E2979" s="156">
        <v>-3.4237670104880838E-3</v>
      </c>
      <c r="G2979" s="156"/>
    </row>
    <row r="2980" spans="2:7" x14ac:dyDescent="0.2">
      <c r="B2980" s="230">
        <v>41603</v>
      </c>
      <c r="C2980" s="124">
        <v>209.63</v>
      </c>
      <c r="D2980" s="156">
        <f t="shared" si="47"/>
        <v>1.757196252609099E-2</v>
      </c>
      <c r="E2980" s="156">
        <v>-3.4249788871164016E-3</v>
      </c>
      <c r="G2980" s="156"/>
    </row>
    <row r="2981" spans="2:7" x14ac:dyDescent="0.2">
      <c r="B2981" s="230">
        <v>41600</v>
      </c>
      <c r="C2981" s="124">
        <v>204.65</v>
      </c>
      <c r="D2981" s="156">
        <f t="shared" si="47"/>
        <v>-2.375614177360106E-2</v>
      </c>
      <c r="E2981" s="156">
        <v>-3.4400083394142862E-3</v>
      </c>
      <c r="G2981" s="156"/>
    </row>
    <row r="2982" spans="2:7" x14ac:dyDescent="0.2">
      <c r="B2982" s="230">
        <v>41599</v>
      </c>
      <c r="C2982" s="124">
        <v>207.47</v>
      </c>
      <c r="D2982" s="156">
        <f t="shared" si="47"/>
        <v>1.3779623747862169E-2</v>
      </c>
      <c r="E2982" s="156">
        <v>-3.4414055424741483E-3</v>
      </c>
      <c r="G2982" s="156"/>
    </row>
    <row r="2983" spans="2:7" x14ac:dyDescent="0.2">
      <c r="B2983" s="230">
        <v>41598</v>
      </c>
      <c r="C2983" s="124">
        <v>212.64</v>
      </c>
      <c r="D2983" s="156">
        <f t="shared" si="47"/>
        <v>2.4919265435966585E-2</v>
      </c>
      <c r="E2983" s="156">
        <v>-3.4425658009412238E-3</v>
      </c>
      <c r="G2983" s="156"/>
    </row>
    <row r="2984" spans="2:7" x14ac:dyDescent="0.2">
      <c r="B2984" s="230">
        <v>41597</v>
      </c>
      <c r="C2984" s="124">
        <v>214.47</v>
      </c>
      <c r="D2984" s="156">
        <f t="shared" si="47"/>
        <v>8.6060948081264702E-3</v>
      </c>
      <c r="E2984" s="156">
        <v>-3.445534057778961E-3</v>
      </c>
      <c r="G2984" s="156"/>
    </row>
    <row r="2985" spans="2:7" x14ac:dyDescent="0.2">
      <c r="B2985" s="230">
        <v>41596</v>
      </c>
      <c r="C2985" s="124">
        <v>216.19</v>
      </c>
      <c r="D2985" s="156">
        <f t="shared" si="47"/>
        <v>8.0197696647549728E-3</v>
      </c>
      <c r="E2985" s="156">
        <v>-3.4811286185415491E-3</v>
      </c>
      <c r="G2985" s="156"/>
    </row>
    <row r="2986" spans="2:7" x14ac:dyDescent="0.2">
      <c r="B2986" s="230">
        <v>41592</v>
      </c>
      <c r="C2986" s="124">
        <v>208.47</v>
      </c>
      <c r="D2986" s="156">
        <f t="shared" si="47"/>
        <v>-3.5709329756232935E-2</v>
      </c>
      <c r="E2986" s="156">
        <v>-3.4864030281900023E-3</v>
      </c>
      <c r="G2986" s="156"/>
    </row>
    <row r="2987" spans="2:7" x14ac:dyDescent="0.2">
      <c r="B2987" s="230">
        <v>41591</v>
      </c>
      <c r="C2987" s="124">
        <v>208.27</v>
      </c>
      <c r="D2987" s="156">
        <f t="shared" si="47"/>
        <v>-9.5937065285167471E-4</v>
      </c>
      <c r="E2987" s="156">
        <v>-3.4881403229022178E-3</v>
      </c>
      <c r="G2987" s="156"/>
    </row>
    <row r="2988" spans="2:7" x14ac:dyDescent="0.2">
      <c r="B2988" s="230">
        <v>41590</v>
      </c>
      <c r="C2988" s="124">
        <v>212.08</v>
      </c>
      <c r="D2988" s="156">
        <f t="shared" si="47"/>
        <v>1.8293561242617766E-2</v>
      </c>
      <c r="E2988" s="156">
        <v>-3.4895893916482164E-3</v>
      </c>
      <c r="G2988" s="156"/>
    </row>
    <row r="2989" spans="2:7" x14ac:dyDescent="0.2">
      <c r="B2989" s="230">
        <v>41589</v>
      </c>
      <c r="C2989" s="124">
        <v>209.93</v>
      </c>
      <c r="D2989" s="156">
        <f t="shared" si="47"/>
        <v>-1.0137683892870642E-2</v>
      </c>
      <c r="E2989" s="156">
        <v>-3.4936531966928072E-3</v>
      </c>
      <c r="G2989" s="156"/>
    </row>
    <row r="2990" spans="2:7" x14ac:dyDescent="0.2">
      <c r="B2990" s="230">
        <v>41586</v>
      </c>
      <c r="C2990" s="124">
        <v>211.85</v>
      </c>
      <c r="D2990" s="156">
        <f t="shared" si="47"/>
        <v>9.145905778116456E-3</v>
      </c>
      <c r="E2990" s="156">
        <v>-3.501199040767337E-3</v>
      </c>
      <c r="G2990" s="156"/>
    </row>
    <row r="2991" spans="2:7" x14ac:dyDescent="0.2">
      <c r="B2991" s="230">
        <v>41585</v>
      </c>
      <c r="C2991" s="124">
        <v>212.44</v>
      </c>
      <c r="D2991" s="156">
        <f t="shared" si="47"/>
        <v>2.7849893792778069E-3</v>
      </c>
      <c r="E2991" s="156">
        <v>-3.5165194635263888E-3</v>
      </c>
      <c r="G2991" s="156"/>
    </row>
    <row r="2992" spans="2:7" x14ac:dyDescent="0.2">
      <c r="B2992" s="230">
        <v>41584</v>
      </c>
      <c r="C2992" s="124">
        <v>211.28</v>
      </c>
      <c r="D2992" s="156">
        <f t="shared" si="47"/>
        <v>-5.4603652796083443E-3</v>
      </c>
      <c r="E2992" s="156">
        <v>-3.5229874933944481E-3</v>
      </c>
      <c r="G2992" s="156"/>
    </row>
    <row r="2993" spans="2:7" x14ac:dyDescent="0.2">
      <c r="B2993" s="230">
        <v>41583</v>
      </c>
      <c r="C2993" s="124">
        <v>211.48</v>
      </c>
      <c r="D2993" s="156">
        <f t="shared" si="47"/>
        <v>9.4661113214686027E-4</v>
      </c>
      <c r="E2993" s="156">
        <v>-3.5270094672361068E-3</v>
      </c>
      <c r="G2993" s="156"/>
    </row>
    <row r="2994" spans="2:7" x14ac:dyDescent="0.2">
      <c r="B2994" s="230">
        <v>41581</v>
      </c>
      <c r="C2994" s="124">
        <v>219.17</v>
      </c>
      <c r="D2994" s="156">
        <f t="shared" si="47"/>
        <v>3.6362776621902772E-2</v>
      </c>
      <c r="E2994" s="156">
        <v>-3.5404496371039124E-3</v>
      </c>
      <c r="G2994" s="156"/>
    </row>
    <row r="2995" spans="2:7" x14ac:dyDescent="0.2">
      <c r="B2995" s="230">
        <v>41579</v>
      </c>
      <c r="C2995" s="124">
        <v>217.48</v>
      </c>
      <c r="D2995" s="156">
        <f t="shared" si="47"/>
        <v>-7.7109093397818946E-3</v>
      </c>
      <c r="E2995" s="156">
        <v>-3.5424522911667498E-3</v>
      </c>
      <c r="G2995" s="156"/>
    </row>
    <row r="2996" spans="2:7" x14ac:dyDescent="0.2">
      <c r="B2996" s="230">
        <v>41578</v>
      </c>
      <c r="C2996" s="124">
        <v>222.09</v>
      </c>
      <c r="D2996" s="156">
        <f t="shared" si="47"/>
        <v>2.1197351480595979E-2</v>
      </c>
      <c r="E2996" s="156">
        <v>-3.5457654774231871E-3</v>
      </c>
      <c r="G2996" s="156"/>
    </row>
    <row r="2997" spans="2:7" x14ac:dyDescent="0.2">
      <c r="B2997" s="230">
        <v>41577</v>
      </c>
      <c r="C2997" s="124">
        <v>220.83</v>
      </c>
      <c r="D2997" s="156">
        <f t="shared" si="47"/>
        <v>-5.6733756585167763E-3</v>
      </c>
      <c r="E2997" s="156">
        <v>-3.5705177250702218E-3</v>
      </c>
      <c r="G2997" s="156"/>
    </row>
    <row r="2998" spans="2:7" x14ac:dyDescent="0.2">
      <c r="B2998" s="230">
        <v>41576</v>
      </c>
      <c r="C2998" s="124">
        <v>217.38</v>
      </c>
      <c r="D2998" s="156">
        <f t="shared" si="47"/>
        <v>-1.5622877326450287E-2</v>
      </c>
      <c r="E2998" s="156">
        <v>-3.5779859705286519E-3</v>
      </c>
      <c r="G2998" s="156"/>
    </row>
    <row r="2999" spans="2:7" x14ac:dyDescent="0.2">
      <c r="B2999" s="230">
        <v>41575</v>
      </c>
      <c r="C2999" s="124">
        <v>217.42</v>
      </c>
      <c r="D2999" s="156">
        <f t="shared" si="47"/>
        <v>1.8400956849752527E-4</v>
      </c>
      <c r="E2999" s="156">
        <v>-3.591470258136976E-3</v>
      </c>
      <c r="G2999" s="156"/>
    </row>
    <row r="3000" spans="2:7" x14ac:dyDescent="0.2">
      <c r="B3000" s="230">
        <v>41572</v>
      </c>
      <c r="C3000" s="124">
        <v>225.44</v>
      </c>
      <c r="D3000" s="156">
        <f t="shared" si="47"/>
        <v>3.6887130898721421E-2</v>
      </c>
      <c r="E3000" s="156">
        <v>-3.5966792304091334E-3</v>
      </c>
      <c r="G3000" s="156"/>
    </row>
    <row r="3001" spans="2:7" x14ac:dyDescent="0.2">
      <c r="B3001" s="230">
        <v>41571</v>
      </c>
      <c r="C3001" s="124">
        <v>227.23</v>
      </c>
      <c r="D3001" s="156">
        <f t="shared" si="47"/>
        <v>7.940028388928282E-3</v>
      </c>
      <c r="E3001" s="156">
        <v>-3.601786486097104E-3</v>
      </c>
      <c r="G3001" s="156"/>
    </row>
    <row r="3002" spans="2:7" x14ac:dyDescent="0.2">
      <c r="B3002" s="230">
        <v>41570</v>
      </c>
      <c r="C3002" s="124">
        <v>226.47</v>
      </c>
      <c r="D3002" s="156">
        <f t="shared" si="47"/>
        <v>-3.3446287902125201E-3</v>
      </c>
      <c r="E3002" s="156">
        <v>-3.6057692307692453E-3</v>
      </c>
      <c r="G3002" s="156"/>
    </row>
    <row r="3003" spans="2:7" x14ac:dyDescent="0.2">
      <c r="B3003" s="230">
        <v>41569</v>
      </c>
      <c r="C3003" s="124">
        <v>226.43</v>
      </c>
      <c r="D3003" s="156">
        <f t="shared" si="47"/>
        <v>-1.7662383538655029E-4</v>
      </c>
      <c r="E3003" s="156">
        <v>-3.6153289949385397E-3</v>
      </c>
      <c r="G3003" s="156"/>
    </row>
    <row r="3004" spans="2:7" x14ac:dyDescent="0.2">
      <c r="B3004" s="230">
        <v>41568</v>
      </c>
      <c r="C3004" s="124">
        <v>228.52</v>
      </c>
      <c r="D3004" s="156">
        <f t="shared" si="47"/>
        <v>9.2302256768096256E-3</v>
      </c>
      <c r="E3004" s="156">
        <v>-3.6185219257896559E-3</v>
      </c>
      <c r="G3004" s="156"/>
    </row>
    <row r="3005" spans="2:7" x14ac:dyDescent="0.2">
      <c r="B3005" s="230">
        <v>41565</v>
      </c>
      <c r="C3005" s="124">
        <v>235.05</v>
      </c>
      <c r="D3005" s="156">
        <f t="shared" si="47"/>
        <v>2.8575179415368461E-2</v>
      </c>
      <c r="E3005" s="156">
        <v>-3.6368788966560091E-3</v>
      </c>
      <c r="G3005" s="156"/>
    </row>
    <row r="3006" spans="2:7" x14ac:dyDescent="0.2">
      <c r="B3006" s="230">
        <v>41564</v>
      </c>
      <c r="C3006" s="124">
        <v>229.05</v>
      </c>
      <c r="D3006" s="156">
        <f t="shared" ref="D3006:D3069" si="48">(C3006-C3005)/C3005</f>
        <v>-2.5526483726866622E-2</v>
      </c>
      <c r="E3006" s="156">
        <v>-3.6398467432949754E-3</v>
      </c>
      <c r="G3006" s="156"/>
    </row>
    <row r="3007" spans="2:7" x14ac:dyDescent="0.2">
      <c r="B3007" s="230">
        <v>41562</v>
      </c>
      <c r="C3007" s="124">
        <v>225.41</v>
      </c>
      <c r="D3007" s="156">
        <f t="shared" si="48"/>
        <v>-1.5891726697227743E-2</v>
      </c>
      <c r="E3007" s="156">
        <v>-3.6489691662105455E-3</v>
      </c>
      <c r="G3007" s="156"/>
    </row>
    <row r="3008" spans="2:7" x14ac:dyDescent="0.2">
      <c r="B3008" s="230">
        <v>41561</v>
      </c>
      <c r="C3008" s="124">
        <v>225.27</v>
      </c>
      <c r="D3008" s="156">
        <f t="shared" si="48"/>
        <v>-6.210904573886978E-4</v>
      </c>
      <c r="E3008" s="156">
        <v>-3.6507301460292968E-3</v>
      </c>
      <c r="G3008" s="156"/>
    </row>
    <row r="3009" spans="2:7" x14ac:dyDescent="0.2">
      <c r="B3009" s="230">
        <v>41558</v>
      </c>
      <c r="C3009" s="124">
        <v>226.86</v>
      </c>
      <c r="D3009" s="156">
        <f t="shared" si="48"/>
        <v>7.0581968304701172E-3</v>
      </c>
      <c r="E3009" s="156">
        <v>-3.6559888579387584E-3</v>
      </c>
      <c r="G3009" s="156"/>
    </row>
    <row r="3010" spans="2:7" x14ac:dyDescent="0.2">
      <c r="B3010" s="230">
        <v>41557</v>
      </c>
      <c r="C3010" s="124">
        <v>230.15</v>
      </c>
      <c r="D3010" s="156">
        <f t="shared" si="48"/>
        <v>1.4502336242616556E-2</v>
      </c>
      <c r="E3010" s="156">
        <v>-3.6764705882354029E-3</v>
      </c>
      <c r="G3010" s="156"/>
    </row>
    <row r="3011" spans="2:7" x14ac:dyDescent="0.2">
      <c r="B3011" s="230">
        <v>41556</v>
      </c>
      <c r="C3011" s="124">
        <v>231.07</v>
      </c>
      <c r="D3011" s="156">
        <f t="shared" si="48"/>
        <v>3.9973930045621876E-3</v>
      </c>
      <c r="E3011" s="156">
        <v>-3.6771465342893914E-3</v>
      </c>
      <c r="G3011" s="156"/>
    </row>
    <row r="3012" spans="2:7" x14ac:dyDescent="0.2">
      <c r="B3012" s="230">
        <v>41555</v>
      </c>
      <c r="C3012" s="124">
        <v>230.48</v>
      </c>
      <c r="D3012" s="156">
        <f t="shared" si="48"/>
        <v>-2.5533388150776968E-3</v>
      </c>
      <c r="E3012" s="156">
        <v>-3.6947791164658132E-3</v>
      </c>
      <c r="G3012" s="156"/>
    </row>
    <row r="3013" spans="2:7" x14ac:dyDescent="0.2">
      <c r="B3013" s="230">
        <v>41554</v>
      </c>
      <c r="C3013" s="124">
        <v>225.44</v>
      </c>
      <c r="D3013" s="156">
        <f t="shared" si="48"/>
        <v>-2.1867407150295004E-2</v>
      </c>
      <c r="E3013" s="156">
        <v>-3.6960036960036174E-3</v>
      </c>
      <c r="G3013" s="156"/>
    </row>
    <row r="3014" spans="2:7" x14ac:dyDescent="0.2">
      <c r="B3014" s="230">
        <v>41551</v>
      </c>
      <c r="C3014" s="124">
        <v>225.31</v>
      </c>
      <c r="D3014" s="156">
        <f t="shared" si="48"/>
        <v>-5.7665010645846103E-4</v>
      </c>
      <c r="E3014" s="156">
        <v>-3.6986808038466279E-3</v>
      </c>
      <c r="G3014" s="156"/>
    </row>
    <row r="3015" spans="2:7" x14ac:dyDescent="0.2">
      <c r="B3015" s="230">
        <v>41550</v>
      </c>
      <c r="C3015" s="124">
        <v>224.58</v>
      </c>
      <c r="D3015" s="156">
        <f t="shared" si="48"/>
        <v>-3.2399804713505384E-3</v>
      </c>
      <c r="E3015" s="156">
        <v>-3.6990398237053269E-3</v>
      </c>
      <c r="G3015" s="156"/>
    </row>
    <row r="3016" spans="2:7" x14ac:dyDescent="0.2">
      <c r="B3016" s="230">
        <v>41548</v>
      </c>
      <c r="C3016" s="124">
        <v>227.39</v>
      </c>
      <c r="D3016" s="156">
        <f t="shared" si="48"/>
        <v>1.2512245079704221E-2</v>
      </c>
      <c r="E3016" s="156">
        <v>-3.7002775208140612E-3</v>
      </c>
      <c r="G3016" s="156"/>
    </row>
    <row r="3017" spans="2:7" x14ac:dyDescent="0.2">
      <c r="B3017" s="230">
        <v>41547</v>
      </c>
      <c r="C3017" s="124">
        <v>225.67</v>
      </c>
      <c r="D3017" s="156">
        <f t="shared" si="48"/>
        <v>-7.5640969259861864E-3</v>
      </c>
      <c r="E3017" s="156">
        <v>-3.704530238786041E-3</v>
      </c>
      <c r="G3017" s="156"/>
    </row>
    <row r="3018" spans="2:7" x14ac:dyDescent="0.2">
      <c r="B3018" s="230">
        <v>41544</v>
      </c>
      <c r="C3018" s="124">
        <v>230.64</v>
      </c>
      <c r="D3018" s="156">
        <f t="shared" si="48"/>
        <v>2.2023308370629678E-2</v>
      </c>
      <c r="E3018" s="156">
        <v>-3.7116536982381384E-3</v>
      </c>
      <c r="G3018" s="156"/>
    </row>
    <row r="3019" spans="2:7" x14ac:dyDescent="0.2">
      <c r="B3019" s="230">
        <v>41543</v>
      </c>
      <c r="C3019" s="124">
        <v>231.57</v>
      </c>
      <c r="D3019" s="156">
        <f t="shared" si="48"/>
        <v>4.0322580645161593E-3</v>
      </c>
      <c r="E3019" s="156">
        <v>-3.7141846480368283E-3</v>
      </c>
      <c r="G3019" s="156"/>
    </row>
    <row r="3020" spans="2:7" x14ac:dyDescent="0.2">
      <c r="B3020" s="230">
        <v>41542</v>
      </c>
      <c r="C3020" s="124">
        <v>228.55</v>
      </c>
      <c r="D3020" s="156">
        <f t="shared" si="48"/>
        <v>-1.304141296368261E-2</v>
      </c>
      <c r="E3020" s="156">
        <v>-3.7156304186276939E-3</v>
      </c>
      <c r="G3020" s="156"/>
    </row>
    <row r="3021" spans="2:7" x14ac:dyDescent="0.2">
      <c r="B3021" s="230">
        <v>41541</v>
      </c>
      <c r="C3021" s="124">
        <v>231.34</v>
      </c>
      <c r="D3021" s="156">
        <f t="shared" si="48"/>
        <v>1.2207394443229018E-2</v>
      </c>
      <c r="E3021" s="156">
        <v>-3.7209740473835053E-3</v>
      </c>
      <c r="G3021" s="156"/>
    </row>
    <row r="3022" spans="2:7" x14ac:dyDescent="0.2">
      <c r="B3022" s="230">
        <v>41540</v>
      </c>
      <c r="C3022" s="124">
        <v>231.94</v>
      </c>
      <c r="D3022" s="156">
        <f t="shared" si="48"/>
        <v>2.5935851992737713E-3</v>
      </c>
      <c r="E3022" s="156">
        <v>-3.7285607755406414E-3</v>
      </c>
      <c r="G3022" s="156"/>
    </row>
    <row r="3023" spans="2:7" x14ac:dyDescent="0.2">
      <c r="B3023" s="230">
        <v>41537</v>
      </c>
      <c r="C3023" s="124">
        <v>235.55</v>
      </c>
      <c r="D3023" s="156">
        <f t="shared" si="48"/>
        <v>1.5564370095714469E-2</v>
      </c>
      <c r="E3023" s="156">
        <v>-3.740939911152763E-3</v>
      </c>
      <c r="G3023" s="156"/>
    </row>
    <row r="3024" spans="2:7" x14ac:dyDescent="0.2">
      <c r="B3024" s="230">
        <v>41536</v>
      </c>
      <c r="C3024" s="124">
        <v>235.65</v>
      </c>
      <c r="D3024" s="156">
        <f t="shared" si="48"/>
        <v>4.2453831458286694E-4</v>
      </c>
      <c r="E3024" s="156">
        <v>-3.7422787321339289E-3</v>
      </c>
      <c r="G3024" s="156"/>
    </row>
    <row r="3025" spans="2:7" x14ac:dyDescent="0.2">
      <c r="B3025" s="230">
        <v>41535</v>
      </c>
      <c r="C3025" s="124">
        <v>227.76</v>
      </c>
      <c r="D3025" s="156">
        <f t="shared" si="48"/>
        <v>-3.3481858688733351E-2</v>
      </c>
      <c r="E3025" s="156">
        <v>-3.7442766057597674E-3</v>
      </c>
      <c r="G3025" s="156"/>
    </row>
    <row r="3026" spans="2:7" x14ac:dyDescent="0.2">
      <c r="B3026" s="230">
        <v>41534</v>
      </c>
      <c r="C3026" s="124">
        <v>224.54</v>
      </c>
      <c r="D3026" s="156">
        <f t="shared" si="48"/>
        <v>-1.4137688795223037E-2</v>
      </c>
      <c r="E3026" s="156">
        <v>-3.7530612893992136E-3</v>
      </c>
      <c r="G3026" s="156"/>
    </row>
    <row r="3027" spans="2:7" x14ac:dyDescent="0.2">
      <c r="B3027" s="230">
        <v>41533</v>
      </c>
      <c r="C3027" s="124">
        <v>221.39</v>
      </c>
      <c r="D3027" s="156">
        <f t="shared" si="48"/>
        <v>-1.4028680858644366E-2</v>
      </c>
      <c r="E3027" s="156">
        <v>-3.7587841150514049E-3</v>
      </c>
      <c r="G3027" s="156"/>
    </row>
    <row r="3028" spans="2:7" x14ac:dyDescent="0.2">
      <c r="B3028" s="230">
        <v>41530</v>
      </c>
      <c r="C3028" s="124">
        <v>219.67</v>
      </c>
      <c r="D3028" s="156">
        <f t="shared" si="48"/>
        <v>-7.7690952617552687E-3</v>
      </c>
      <c r="E3028" s="156">
        <v>-3.7726358148893004E-3</v>
      </c>
      <c r="G3028" s="156"/>
    </row>
    <row r="3029" spans="2:7" x14ac:dyDescent="0.2">
      <c r="B3029" s="230">
        <v>41529</v>
      </c>
      <c r="C3029" s="124">
        <v>223.08</v>
      </c>
      <c r="D3029" s="156">
        <f t="shared" si="48"/>
        <v>1.5523284927391202E-2</v>
      </c>
      <c r="E3029" s="156">
        <v>-3.774247344860939E-3</v>
      </c>
      <c r="G3029" s="156"/>
    </row>
    <row r="3030" spans="2:7" x14ac:dyDescent="0.2">
      <c r="B3030" s="230">
        <v>41528</v>
      </c>
      <c r="C3030" s="124">
        <v>218.74</v>
      </c>
      <c r="D3030" s="156">
        <f t="shared" si="48"/>
        <v>-1.9454904070288701E-2</v>
      </c>
      <c r="E3030" s="156">
        <v>-3.7766943624252076E-3</v>
      </c>
      <c r="G3030" s="156"/>
    </row>
    <row r="3031" spans="2:7" x14ac:dyDescent="0.2">
      <c r="B3031" s="230">
        <v>41527</v>
      </c>
      <c r="C3031" s="124">
        <v>222.69</v>
      </c>
      <c r="D3031" s="156">
        <f t="shared" si="48"/>
        <v>1.805796836426803E-2</v>
      </c>
      <c r="E3031" s="156">
        <v>-3.7783375314859829E-3</v>
      </c>
      <c r="G3031" s="156"/>
    </row>
    <row r="3032" spans="2:7" x14ac:dyDescent="0.2">
      <c r="B3032" s="230">
        <v>41523</v>
      </c>
      <c r="C3032" s="124">
        <v>209.76</v>
      </c>
      <c r="D3032" s="156">
        <f t="shared" si="48"/>
        <v>-5.8062777852620269E-2</v>
      </c>
      <c r="E3032" s="156">
        <v>-3.7814707931136974E-3</v>
      </c>
      <c r="G3032" s="156"/>
    </row>
    <row r="3033" spans="2:7" x14ac:dyDescent="0.2">
      <c r="B3033" s="230">
        <v>41522</v>
      </c>
      <c r="C3033" s="124">
        <v>206.94</v>
      </c>
      <c r="D3033" s="156">
        <f t="shared" si="48"/>
        <v>-1.3443935926773424E-2</v>
      </c>
      <c r="E3033" s="156">
        <v>-3.7965441713312298E-3</v>
      </c>
      <c r="G3033" s="156"/>
    </row>
    <row r="3034" spans="2:7" x14ac:dyDescent="0.2">
      <c r="B3034" s="230">
        <v>41521</v>
      </c>
      <c r="C3034" s="124">
        <v>198.79</v>
      </c>
      <c r="D3034" s="156">
        <f t="shared" si="48"/>
        <v>-3.9383396153474463E-2</v>
      </c>
      <c r="E3034" s="156">
        <v>-3.8063518496491556E-3</v>
      </c>
      <c r="G3034" s="156"/>
    </row>
    <row r="3035" spans="2:7" x14ac:dyDescent="0.2">
      <c r="B3035" s="230">
        <v>41520</v>
      </c>
      <c r="C3035" s="124">
        <v>199.35</v>
      </c>
      <c r="D3035" s="156">
        <f t="shared" si="48"/>
        <v>2.8170431108204752E-3</v>
      </c>
      <c r="E3035" s="156">
        <v>-3.8178936752629386E-3</v>
      </c>
      <c r="G3035" s="156"/>
    </row>
    <row r="3036" spans="2:7" x14ac:dyDescent="0.2">
      <c r="B3036" s="230">
        <v>41519</v>
      </c>
      <c r="C3036" s="124">
        <v>212.41</v>
      </c>
      <c r="D3036" s="156">
        <f t="shared" si="48"/>
        <v>6.5512916980185618E-2</v>
      </c>
      <c r="E3036" s="156">
        <v>-3.8192527148904112E-3</v>
      </c>
      <c r="G3036" s="156"/>
    </row>
    <row r="3037" spans="2:7" x14ac:dyDescent="0.2">
      <c r="B3037" s="230">
        <v>41516</v>
      </c>
      <c r="C3037" s="124">
        <v>204.65</v>
      </c>
      <c r="D3037" s="156">
        <f t="shared" si="48"/>
        <v>-3.6533119909608731E-2</v>
      </c>
      <c r="E3037" s="156">
        <v>-3.8208772734219776E-3</v>
      </c>
      <c r="G3037" s="156"/>
    </row>
    <row r="3038" spans="2:7" x14ac:dyDescent="0.2">
      <c r="B3038" s="230">
        <v>41515</v>
      </c>
      <c r="C3038" s="124">
        <v>202.57</v>
      </c>
      <c r="D3038" s="156">
        <f t="shared" si="48"/>
        <v>-1.0163694111898424E-2</v>
      </c>
      <c r="E3038" s="156">
        <v>-3.8257798705120991E-3</v>
      </c>
      <c r="G3038" s="156"/>
    </row>
    <row r="3039" spans="2:7" x14ac:dyDescent="0.2">
      <c r="B3039" s="230">
        <v>41514</v>
      </c>
      <c r="C3039" s="124">
        <v>197.69</v>
      </c>
      <c r="D3039" s="156">
        <f t="shared" si="48"/>
        <v>-2.4090437873327718E-2</v>
      </c>
      <c r="E3039" s="156">
        <v>-3.8338045718118705E-3</v>
      </c>
      <c r="G3039" s="156"/>
    </row>
    <row r="3040" spans="2:7" x14ac:dyDescent="0.2">
      <c r="B3040" s="230">
        <v>41513</v>
      </c>
      <c r="C3040" s="124">
        <v>197.49</v>
      </c>
      <c r="D3040" s="156">
        <f t="shared" si="48"/>
        <v>-1.0116849613029928E-3</v>
      </c>
      <c r="E3040" s="156">
        <v>-3.8430744595676176E-3</v>
      </c>
      <c r="G3040" s="156"/>
    </row>
    <row r="3041" spans="2:7" x14ac:dyDescent="0.2">
      <c r="B3041" s="230">
        <v>41512</v>
      </c>
      <c r="C3041" s="124">
        <v>203.86</v>
      </c>
      <c r="D3041" s="156">
        <f t="shared" si="48"/>
        <v>3.2254797711276539E-2</v>
      </c>
      <c r="E3041" s="156">
        <v>-3.8489295164781476E-3</v>
      </c>
      <c r="G3041" s="156"/>
    </row>
    <row r="3042" spans="2:7" x14ac:dyDescent="0.2">
      <c r="B3042" s="230">
        <v>41509</v>
      </c>
      <c r="C3042" s="124">
        <v>204.52</v>
      </c>
      <c r="D3042" s="156">
        <f t="shared" si="48"/>
        <v>3.2375159423133353E-3</v>
      </c>
      <c r="E3042" s="156">
        <v>-3.8580246913580245E-3</v>
      </c>
      <c r="G3042" s="156"/>
    </row>
    <row r="3043" spans="2:7" x14ac:dyDescent="0.2">
      <c r="B3043" s="230">
        <v>41508</v>
      </c>
      <c r="C3043" s="124">
        <v>204.16</v>
      </c>
      <c r="D3043" s="156">
        <f t="shared" si="48"/>
        <v>-1.7602190494817799E-3</v>
      </c>
      <c r="E3043" s="156">
        <v>-3.8684719535783912E-3</v>
      </c>
      <c r="G3043" s="156"/>
    </row>
    <row r="3044" spans="2:7" x14ac:dyDescent="0.2">
      <c r="B3044" s="230">
        <v>41507</v>
      </c>
      <c r="C3044" s="124">
        <v>199.45</v>
      </c>
      <c r="D3044" s="156">
        <f t="shared" si="48"/>
        <v>-2.307014106583076E-2</v>
      </c>
      <c r="E3044" s="156">
        <v>-3.874621230937366E-3</v>
      </c>
      <c r="G3044" s="156"/>
    </row>
    <row r="3045" spans="2:7" x14ac:dyDescent="0.2">
      <c r="B3045" s="230">
        <v>41506</v>
      </c>
      <c r="C3045" s="124">
        <v>209.03</v>
      </c>
      <c r="D3045" s="156">
        <f t="shared" si="48"/>
        <v>4.8032088242667401E-2</v>
      </c>
      <c r="E3045" s="156">
        <v>-3.8791614634534621E-3</v>
      </c>
      <c r="G3045" s="156"/>
    </row>
    <row r="3046" spans="2:7" x14ac:dyDescent="0.2">
      <c r="B3046" s="230">
        <v>41505</v>
      </c>
      <c r="C3046" s="124">
        <v>208.1</v>
      </c>
      <c r="D3046" s="156">
        <f t="shared" si="48"/>
        <v>-4.4491221355786575E-3</v>
      </c>
      <c r="E3046" s="156">
        <v>-3.8801800403538726E-3</v>
      </c>
      <c r="G3046" s="156"/>
    </row>
    <row r="3047" spans="2:7" x14ac:dyDescent="0.2">
      <c r="B3047" s="230">
        <v>41502</v>
      </c>
      <c r="C3047" s="124">
        <v>212.41</v>
      </c>
      <c r="D3047" s="156">
        <f t="shared" si="48"/>
        <v>2.0711196540124953E-2</v>
      </c>
      <c r="E3047" s="156">
        <v>-3.8921807830834643E-3</v>
      </c>
      <c r="G3047" s="156"/>
    </row>
    <row r="3048" spans="2:7" x14ac:dyDescent="0.2">
      <c r="B3048" s="230">
        <v>41500</v>
      </c>
      <c r="C3048" s="124">
        <v>221.99</v>
      </c>
      <c r="D3048" s="156">
        <f t="shared" si="48"/>
        <v>4.5101454733769655E-2</v>
      </c>
      <c r="E3048" s="156">
        <v>-3.8941540771323269E-3</v>
      </c>
      <c r="G3048" s="156"/>
    </row>
    <row r="3049" spans="2:7" x14ac:dyDescent="0.2">
      <c r="B3049" s="230">
        <v>41499</v>
      </c>
      <c r="C3049" s="124">
        <v>221.56</v>
      </c>
      <c r="D3049" s="156">
        <f t="shared" si="48"/>
        <v>-1.9370241902788719E-3</v>
      </c>
      <c r="E3049" s="156">
        <v>-3.8965087281795513E-3</v>
      </c>
      <c r="G3049" s="156"/>
    </row>
    <row r="3050" spans="2:7" x14ac:dyDescent="0.2">
      <c r="B3050" s="230">
        <v>41498</v>
      </c>
      <c r="C3050" s="124">
        <v>222.52</v>
      </c>
      <c r="D3050" s="156">
        <f t="shared" si="48"/>
        <v>4.3329120779924532E-3</v>
      </c>
      <c r="E3050" s="156">
        <v>-3.8983863236937864E-3</v>
      </c>
      <c r="G3050" s="156"/>
    </row>
    <row r="3051" spans="2:7" x14ac:dyDescent="0.2">
      <c r="B3051" s="230">
        <v>41494</v>
      </c>
      <c r="C3051" s="124">
        <v>215.69</v>
      </c>
      <c r="D3051" s="156">
        <f t="shared" si="48"/>
        <v>-3.0693870213913409E-2</v>
      </c>
      <c r="E3051" s="156">
        <v>-3.9007875174799523E-3</v>
      </c>
      <c r="G3051" s="156"/>
    </row>
    <row r="3052" spans="2:7" x14ac:dyDescent="0.2">
      <c r="B3052" s="230">
        <v>41493</v>
      </c>
      <c r="C3052" s="124">
        <v>213.54</v>
      </c>
      <c r="D3052" s="156">
        <f t="shared" si="48"/>
        <v>-9.9680096434698207E-3</v>
      </c>
      <c r="E3052" s="156">
        <v>-3.9062499999999254E-3</v>
      </c>
      <c r="G3052" s="156"/>
    </row>
    <row r="3053" spans="2:7" x14ac:dyDescent="0.2">
      <c r="B3053" s="230">
        <v>41492</v>
      </c>
      <c r="C3053" s="124">
        <v>218.94</v>
      </c>
      <c r="D3053" s="156">
        <f t="shared" si="48"/>
        <v>2.528800224782245E-2</v>
      </c>
      <c r="E3053" s="156">
        <v>-3.9162893158732424E-3</v>
      </c>
      <c r="G3053" s="156"/>
    </row>
    <row r="3054" spans="2:7" x14ac:dyDescent="0.2">
      <c r="B3054" s="230">
        <v>41491</v>
      </c>
      <c r="C3054" s="124">
        <v>222.36</v>
      </c>
      <c r="D3054" s="156">
        <f t="shared" si="48"/>
        <v>1.5620718004932931E-2</v>
      </c>
      <c r="E3054" s="156">
        <v>-3.9198284150580662E-3</v>
      </c>
      <c r="G3054" s="156"/>
    </row>
    <row r="3055" spans="2:7" x14ac:dyDescent="0.2">
      <c r="B3055" s="230">
        <v>41488</v>
      </c>
      <c r="C3055" s="124">
        <v>220.73</v>
      </c>
      <c r="D3055" s="156">
        <f t="shared" si="48"/>
        <v>-7.3304551178270541E-3</v>
      </c>
      <c r="E3055" s="156">
        <v>-3.9200313602508821E-3</v>
      </c>
      <c r="G3055" s="156"/>
    </row>
    <row r="3056" spans="2:7" x14ac:dyDescent="0.2">
      <c r="B3056" s="230">
        <v>41487</v>
      </c>
      <c r="C3056" s="124">
        <v>225.01</v>
      </c>
      <c r="D3056" s="156">
        <f t="shared" si="48"/>
        <v>1.9390205228106742E-2</v>
      </c>
      <c r="E3056" s="156">
        <v>-3.9207593891870283E-3</v>
      </c>
      <c r="G3056" s="156"/>
    </row>
    <row r="3057" spans="2:7" x14ac:dyDescent="0.2">
      <c r="B3057" s="230">
        <v>41486</v>
      </c>
      <c r="C3057" s="124">
        <v>226.53</v>
      </c>
      <c r="D3057" s="156">
        <f t="shared" si="48"/>
        <v>6.7552553219857349E-3</v>
      </c>
      <c r="E3057" s="156">
        <v>-3.9227519613758439E-3</v>
      </c>
      <c r="G3057" s="156"/>
    </row>
    <row r="3058" spans="2:7" x14ac:dyDescent="0.2">
      <c r="B3058" s="230">
        <v>41485</v>
      </c>
      <c r="C3058" s="124">
        <v>232.43</v>
      </c>
      <c r="D3058" s="156">
        <f t="shared" si="48"/>
        <v>2.6045115437248953E-2</v>
      </c>
      <c r="E3058" s="156">
        <v>-3.9432176656150576E-3</v>
      </c>
      <c r="G3058" s="156"/>
    </row>
    <row r="3059" spans="2:7" x14ac:dyDescent="0.2">
      <c r="B3059" s="230">
        <v>41484</v>
      </c>
      <c r="C3059" s="124">
        <v>237.31</v>
      </c>
      <c r="D3059" s="156">
        <f t="shared" si="48"/>
        <v>2.0995568558275588E-2</v>
      </c>
      <c r="E3059" s="156">
        <v>-3.9443869415615989E-3</v>
      </c>
      <c r="G3059" s="156"/>
    </row>
    <row r="3060" spans="2:7" x14ac:dyDescent="0.2">
      <c r="B3060" s="230">
        <v>41481</v>
      </c>
      <c r="C3060" s="124">
        <v>244.07</v>
      </c>
      <c r="D3060" s="156">
        <f t="shared" si="48"/>
        <v>2.848594665205845E-2</v>
      </c>
      <c r="E3060" s="156">
        <v>-3.9452595241031259E-3</v>
      </c>
      <c r="G3060" s="156"/>
    </row>
    <row r="3061" spans="2:7" x14ac:dyDescent="0.2">
      <c r="B3061" s="230">
        <v>41480</v>
      </c>
      <c r="C3061" s="124">
        <v>237.94</v>
      </c>
      <c r="D3061" s="156">
        <f t="shared" si="48"/>
        <v>-2.5115745482853263E-2</v>
      </c>
      <c r="E3061" s="156">
        <v>-3.9473684210526473E-3</v>
      </c>
      <c r="G3061" s="156"/>
    </row>
    <row r="3062" spans="2:7" x14ac:dyDescent="0.2">
      <c r="B3062" s="230">
        <v>41479</v>
      </c>
      <c r="C3062" s="124">
        <v>249.14</v>
      </c>
      <c r="D3062" s="156">
        <f t="shared" si="48"/>
        <v>4.707069008993859E-2</v>
      </c>
      <c r="E3062" s="156">
        <v>-3.9599833263860651E-3</v>
      </c>
      <c r="G3062" s="156"/>
    </row>
    <row r="3063" spans="2:7" x14ac:dyDescent="0.2">
      <c r="B3063" s="230">
        <v>41478</v>
      </c>
      <c r="C3063" s="124">
        <v>249.11</v>
      </c>
      <c r="D3063" s="156">
        <f t="shared" si="48"/>
        <v>-1.2041422493366267E-4</v>
      </c>
      <c r="E3063" s="156">
        <v>-3.9714058776806989E-3</v>
      </c>
      <c r="G3063" s="156"/>
    </row>
    <row r="3064" spans="2:7" x14ac:dyDescent="0.2">
      <c r="B3064" s="230">
        <v>41477</v>
      </c>
      <c r="C3064" s="124">
        <v>244.5</v>
      </c>
      <c r="D3064" s="156">
        <f t="shared" si="48"/>
        <v>-1.8505880936132688E-2</v>
      </c>
      <c r="E3064" s="156">
        <v>-3.9717016259153857E-3</v>
      </c>
      <c r="G3064" s="156"/>
    </row>
    <row r="3065" spans="2:7" x14ac:dyDescent="0.2">
      <c r="B3065" s="230">
        <v>41474</v>
      </c>
      <c r="C3065" s="124">
        <v>244.66</v>
      </c>
      <c r="D3065" s="156">
        <f t="shared" si="48"/>
        <v>6.5439672801634601E-4</v>
      </c>
      <c r="E3065" s="156">
        <v>-3.9735099337748778E-3</v>
      </c>
      <c r="G3065" s="156"/>
    </row>
    <row r="3066" spans="2:7" x14ac:dyDescent="0.2">
      <c r="B3066" s="230">
        <v>41473</v>
      </c>
      <c r="C3066" s="124">
        <v>244.4</v>
      </c>
      <c r="D3066" s="156">
        <f t="shared" si="48"/>
        <v>-1.0626992561104836E-3</v>
      </c>
      <c r="E3066" s="156">
        <v>-3.975014196479101E-3</v>
      </c>
      <c r="G3066" s="156"/>
    </row>
    <row r="3067" spans="2:7" x14ac:dyDescent="0.2">
      <c r="B3067" s="230">
        <v>41472</v>
      </c>
      <c r="C3067" s="124">
        <v>244.2</v>
      </c>
      <c r="D3067" s="156">
        <f t="shared" si="48"/>
        <v>-8.1833060556471787E-4</v>
      </c>
      <c r="E3067" s="156">
        <v>-3.9823936281702665E-3</v>
      </c>
      <c r="G3067" s="156"/>
    </row>
    <row r="3068" spans="2:7" x14ac:dyDescent="0.2">
      <c r="B3068" s="230">
        <v>41471</v>
      </c>
      <c r="C3068" s="124">
        <v>238.7</v>
      </c>
      <c r="D3068" s="156">
        <f t="shared" si="48"/>
        <v>-2.2522522522522525E-2</v>
      </c>
      <c r="E3068" s="156">
        <v>-3.9851222104144149E-3</v>
      </c>
      <c r="G3068" s="156"/>
    </row>
    <row r="3069" spans="2:7" x14ac:dyDescent="0.2">
      <c r="B3069" s="230">
        <v>41470</v>
      </c>
      <c r="C3069" s="124">
        <v>233.76</v>
      </c>
      <c r="D3069" s="156">
        <f t="shared" si="48"/>
        <v>-2.0695433598659396E-2</v>
      </c>
      <c r="E3069" s="156">
        <v>-4.0007274049826003E-3</v>
      </c>
      <c r="G3069" s="156"/>
    </row>
    <row r="3070" spans="2:7" x14ac:dyDescent="0.2">
      <c r="B3070" s="230">
        <v>41467</v>
      </c>
      <c r="C3070" s="124">
        <v>232.43</v>
      </c>
      <c r="D3070" s="156">
        <f t="shared" ref="D3070:D3133" si="49">(C3070-C3069)/C3069</f>
        <v>-5.6895961670088303E-3</v>
      </c>
      <c r="E3070" s="156">
        <v>-4.0034438226431634E-3</v>
      </c>
      <c r="G3070" s="156"/>
    </row>
    <row r="3071" spans="2:7" x14ac:dyDescent="0.2">
      <c r="B3071" s="230">
        <v>41466</v>
      </c>
      <c r="C3071" s="124">
        <v>234.29</v>
      </c>
      <c r="D3071" s="156">
        <f t="shared" si="49"/>
        <v>8.0024093275394108E-3</v>
      </c>
      <c r="E3071" s="156">
        <v>-4.0131002352507246E-3</v>
      </c>
      <c r="G3071" s="156"/>
    </row>
    <row r="3072" spans="2:7" x14ac:dyDescent="0.2">
      <c r="B3072" s="230">
        <v>41465</v>
      </c>
      <c r="C3072" s="124">
        <v>229.08</v>
      </c>
      <c r="D3072" s="156">
        <f t="shared" si="49"/>
        <v>-2.2237398096376201E-2</v>
      </c>
      <c r="E3072" s="156">
        <v>-4.0186580552565646E-3</v>
      </c>
      <c r="G3072" s="156"/>
    </row>
    <row r="3073" spans="2:7" x14ac:dyDescent="0.2">
      <c r="B3073" s="230">
        <v>41464</v>
      </c>
      <c r="C3073" s="124">
        <v>230.34</v>
      </c>
      <c r="D3073" s="156">
        <f t="shared" si="49"/>
        <v>5.5002619172341144E-3</v>
      </c>
      <c r="E3073" s="156">
        <v>-4.0314912714410761E-3</v>
      </c>
      <c r="G3073" s="156"/>
    </row>
    <row r="3074" spans="2:7" x14ac:dyDescent="0.2">
      <c r="B3074" s="230">
        <v>41463</v>
      </c>
      <c r="C3074" s="124">
        <v>229.85</v>
      </c>
      <c r="D3074" s="156">
        <f t="shared" si="49"/>
        <v>-2.1272900929061784E-3</v>
      </c>
      <c r="E3074" s="156">
        <v>-4.0360873694206762E-3</v>
      </c>
      <c r="G3074" s="156"/>
    </row>
    <row r="3075" spans="2:7" x14ac:dyDescent="0.2">
      <c r="B3075" s="230">
        <v>41460</v>
      </c>
      <c r="C3075" s="124">
        <v>227.13</v>
      </c>
      <c r="D3075" s="156">
        <f t="shared" si="49"/>
        <v>-1.1833804655209916E-2</v>
      </c>
      <c r="E3075" s="156">
        <v>-4.0379213483147268E-3</v>
      </c>
      <c r="G3075" s="156"/>
    </row>
    <row r="3076" spans="2:7" x14ac:dyDescent="0.2">
      <c r="B3076" s="230">
        <v>41459</v>
      </c>
      <c r="C3076" s="124">
        <v>224.64</v>
      </c>
      <c r="D3076" s="156">
        <f t="shared" si="49"/>
        <v>-1.0962884691586357E-2</v>
      </c>
      <c r="E3076" s="156">
        <v>-4.0413533834587102E-3</v>
      </c>
      <c r="G3076" s="156"/>
    </row>
    <row r="3077" spans="2:7" x14ac:dyDescent="0.2">
      <c r="B3077" s="230">
        <v>41458</v>
      </c>
      <c r="C3077" s="124">
        <v>216.36</v>
      </c>
      <c r="D3077" s="156">
        <f t="shared" si="49"/>
        <v>-3.6858974358974242E-2</v>
      </c>
      <c r="E3077" s="156">
        <v>-4.043905257076659E-3</v>
      </c>
      <c r="G3077" s="156"/>
    </row>
    <row r="3078" spans="2:7" x14ac:dyDescent="0.2">
      <c r="B3078" s="230">
        <v>41457</v>
      </c>
      <c r="C3078" s="124">
        <v>215.36</v>
      </c>
      <c r="D3078" s="156">
        <f t="shared" si="49"/>
        <v>-4.6219264189314106E-3</v>
      </c>
      <c r="E3078" s="156">
        <v>-4.0472721385785976E-3</v>
      </c>
      <c r="G3078" s="156"/>
    </row>
    <row r="3079" spans="2:7" x14ac:dyDescent="0.2">
      <c r="B3079" s="230">
        <v>41456</v>
      </c>
      <c r="C3079" s="124">
        <v>216.09</v>
      </c>
      <c r="D3079" s="156">
        <f t="shared" si="49"/>
        <v>3.3896731054977236E-3</v>
      </c>
      <c r="E3079" s="156">
        <v>-4.0689788800620198E-3</v>
      </c>
      <c r="G3079" s="156"/>
    </row>
    <row r="3080" spans="2:7" x14ac:dyDescent="0.2">
      <c r="B3080" s="230">
        <v>41453</v>
      </c>
      <c r="C3080" s="124">
        <v>215.03</v>
      </c>
      <c r="D3080" s="156">
        <f t="shared" si="49"/>
        <v>-4.9053635059466069E-3</v>
      </c>
      <c r="E3080" s="156">
        <v>-4.0689788800620475E-3</v>
      </c>
      <c r="G3080" s="156"/>
    </row>
    <row r="3081" spans="2:7" x14ac:dyDescent="0.2">
      <c r="B3081" s="230">
        <v>41452</v>
      </c>
      <c r="C3081" s="124">
        <v>213.27</v>
      </c>
      <c r="D3081" s="156">
        <f t="shared" si="49"/>
        <v>-8.1849044319396869E-3</v>
      </c>
      <c r="E3081" s="156">
        <v>-4.0747842761265311E-3</v>
      </c>
      <c r="G3081" s="156"/>
    </row>
    <row r="3082" spans="2:7" x14ac:dyDescent="0.2">
      <c r="B3082" s="230">
        <v>41451</v>
      </c>
      <c r="C3082" s="124">
        <v>214.1</v>
      </c>
      <c r="D3082" s="156">
        <f t="shared" si="49"/>
        <v>3.8917803722979512E-3</v>
      </c>
      <c r="E3082" s="156">
        <v>-4.0793621361023338E-3</v>
      </c>
      <c r="G3082" s="156"/>
    </row>
    <row r="3083" spans="2:7" x14ac:dyDescent="0.2">
      <c r="B3083" s="230">
        <v>41450</v>
      </c>
      <c r="C3083" s="124">
        <v>211.95</v>
      </c>
      <c r="D3083" s="156">
        <f t="shared" si="49"/>
        <v>-1.0042036431574058E-2</v>
      </c>
      <c r="E3083" s="156">
        <v>-4.0941658137154556E-3</v>
      </c>
      <c r="G3083" s="156"/>
    </row>
    <row r="3084" spans="2:7" x14ac:dyDescent="0.2">
      <c r="B3084" s="230">
        <v>41449</v>
      </c>
      <c r="C3084" s="124">
        <v>208.43</v>
      </c>
      <c r="D3084" s="156">
        <f t="shared" si="49"/>
        <v>-1.6607690493040728E-2</v>
      </c>
      <c r="E3084" s="156">
        <v>-4.1004613018964971E-3</v>
      </c>
      <c r="G3084" s="156"/>
    </row>
    <row r="3085" spans="2:7" x14ac:dyDescent="0.2">
      <c r="B3085" s="230">
        <v>41446</v>
      </c>
      <c r="C3085" s="124">
        <v>213.7</v>
      </c>
      <c r="D3085" s="156">
        <f t="shared" si="49"/>
        <v>2.5284268099601697E-2</v>
      </c>
      <c r="E3085" s="156">
        <v>-4.1014168530945786E-3</v>
      </c>
      <c r="G3085" s="156"/>
    </row>
    <row r="3086" spans="2:7" x14ac:dyDescent="0.2">
      <c r="B3086" s="230">
        <v>41445</v>
      </c>
      <c r="C3086" s="124">
        <v>213.94</v>
      </c>
      <c r="D3086" s="156">
        <f t="shared" si="49"/>
        <v>1.1230697239120687E-3</v>
      </c>
      <c r="E3086" s="156">
        <v>-4.1056765440915174E-3</v>
      </c>
      <c r="G3086" s="156"/>
    </row>
    <row r="3087" spans="2:7" x14ac:dyDescent="0.2">
      <c r="B3087" s="230">
        <v>41444</v>
      </c>
      <c r="C3087" s="124">
        <v>218.71</v>
      </c>
      <c r="D3087" s="156">
        <f t="shared" si="49"/>
        <v>2.2295970832943865E-2</v>
      </c>
      <c r="E3087" s="156">
        <v>-4.1159627773800188E-3</v>
      </c>
      <c r="G3087" s="156"/>
    </row>
    <row r="3088" spans="2:7" x14ac:dyDescent="0.2">
      <c r="B3088" s="230">
        <v>41443</v>
      </c>
      <c r="C3088" s="124">
        <v>218.88</v>
      </c>
      <c r="D3088" s="156">
        <f t="shared" si="49"/>
        <v>7.772849892551209E-4</v>
      </c>
      <c r="E3088" s="156">
        <v>-4.120525366984349E-3</v>
      </c>
      <c r="G3088" s="156"/>
    </row>
    <row r="3089" spans="2:7" x14ac:dyDescent="0.2">
      <c r="B3089" s="230">
        <v>41442</v>
      </c>
      <c r="C3089" s="124">
        <v>220</v>
      </c>
      <c r="D3089" s="156">
        <f t="shared" si="49"/>
        <v>5.1169590643275059E-3</v>
      </c>
      <c r="E3089" s="156">
        <v>-4.1220115416323163E-3</v>
      </c>
      <c r="G3089" s="156"/>
    </row>
    <row r="3090" spans="2:7" x14ac:dyDescent="0.2">
      <c r="B3090" s="230">
        <v>41439</v>
      </c>
      <c r="C3090" s="124">
        <v>219.94</v>
      </c>
      <c r="D3090" s="156">
        <f t="shared" si="49"/>
        <v>-2.7272727272728304E-4</v>
      </c>
      <c r="E3090" s="156">
        <v>-4.1327822956939379E-3</v>
      </c>
      <c r="G3090" s="156"/>
    </row>
    <row r="3091" spans="2:7" x14ac:dyDescent="0.2">
      <c r="B3091" s="230">
        <v>41438</v>
      </c>
      <c r="C3091" s="124">
        <v>216.79</v>
      </c>
      <c r="D3091" s="156">
        <f t="shared" si="49"/>
        <v>-1.4322087842138792E-2</v>
      </c>
      <c r="E3091" s="156">
        <v>-4.1562759767248547E-3</v>
      </c>
      <c r="G3091" s="156"/>
    </row>
    <row r="3092" spans="2:7" x14ac:dyDescent="0.2">
      <c r="B3092" s="230">
        <v>41437</v>
      </c>
      <c r="C3092" s="124">
        <v>219.44</v>
      </c>
      <c r="D3092" s="156">
        <f t="shared" si="49"/>
        <v>1.2223811061395848E-2</v>
      </c>
      <c r="E3092" s="156">
        <v>-4.1598842466991654E-3</v>
      </c>
      <c r="G3092" s="156"/>
    </row>
    <row r="3093" spans="2:7" x14ac:dyDescent="0.2">
      <c r="B3093" s="230">
        <v>41436</v>
      </c>
      <c r="C3093" s="124">
        <v>221.66</v>
      </c>
      <c r="D3093" s="156">
        <f t="shared" si="49"/>
        <v>1.0116660590594235E-2</v>
      </c>
      <c r="E3093" s="156">
        <v>-4.1703902293713947E-3</v>
      </c>
      <c r="G3093" s="156"/>
    </row>
    <row r="3094" spans="2:7" x14ac:dyDescent="0.2">
      <c r="B3094" s="230">
        <v>41435</v>
      </c>
      <c r="C3094" s="124">
        <v>223.42</v>
      </c>
      <c r="D3094" s="156">
        <f t="shared" si="49"/>
        <v>7.9400884237119506E-3</v>
      </c>
      <c r="E3094" s="156">
        <v>-4.1728222274057406E-3</v>
      </c>
      <c r="G3094" s="156"/>
    </row>
    <row r="3095" spans="2:7" x14ac:dyDescent="0.2">
      <c r="B3095" s="230">
        <v>41432</v>
      </c>
      <c r="C3095" s="124">
        <v>221.33</v>
      </c>
      <c r="D3095" s="156">
        <f t="shared" si="49"/>
        <v>-9.3545788201592293E-3</v>
      </c>
      <c r="E3095" s="156">
        <v>-4.183427192276718E-3</v>
      </c>
      <c r="G3095" s="156"/>
    </row>
    <row r="3096" spans="2:7" x14ac:dyDescent="0.2">
      <c r="B3096" s="230">
        <v>41431</v>
      </c>
      <c r="C3096" s="124">
        <v>222.02</v>
      </c>
      <c r="D3096" s="156">
        <f t="shared" si="49"/>
        <v>3.1175168300727318E-3</v>
      </c>
      <c r="E3096" s="156">
        <v>-4.1854739433729252E-3</v>
      </c>
      <c r="G3096" s="156"/>
    </row>
    <row r="3097" spans="2:7" x14ac:dyDescent="0.2">
      <c r="B3097" s="230">
        <v>41430</v>
      </c>
      <c r="C3097" s="124">
        <v>221.43</v>
      </c>
      <c r="D3097" s="156">
        <f t="shared" si="49"/>
        <v>-2.6574182506080685E-3</v>
      </c>
      <c r="E3097" s="156">
        <v>-4.1886723729740814E-3</v>
      </c>
      <c r="G3097" s="156"/>
    </row>
    <row r="3098" spans="2:7" x14ac:dyDescent="0.2">
      <c r="B3098" s="230">
        <v>41429</v>
      </c>
      <c r="C3098" s="124">
        <v>223.62</v>
      </c>
      <c r="D3098" s="156">
        <f t="shared" si="49"/>
        <v>9.8902587725240385E-3</v>
      </c>
      <c r="E3098" s="156">
        <v>-4.1899441340782426E-3</v>
      </c>
      <c r="G3098" s="156"/>
    </row>
    <row r="3099" spans="2:7" x14ac:dyDescent="0.2">
      <c r="B3099" s="230">
        <v>41428</v>
      </c>
      <c r="C3099" s="124">
        <v>222.79</v>
      </c>
      <c r="D3099" s="156">
        <f t="shared" si="49"/>
        <v>-3.7116536982381384E-3</v>
      </c>
      <c r="E3099" s="156">
        <v>-4.1947375111223281E-3</v>
      </c>
      <c r="G3099" s="156"/>
    </row>
    <row r="3100" spans="2:7" x14ac:dyDescent="0.2">
      <c r="B3100" s="230">
        <v>41425</v>
      </c>
      <c r="C3100" s="124">
        <v>225.34</v>
      </c>
      <c r="D3100" s="156">
        <f t="shared" si="49"/>
        <v>1.1445756093181972E-2</v>
      </c>
      <c r="E3100" s="156">
        <v>-4.2168145480102259E-3</v>
      </c>
      <c r="G3100" s="156"/>
    </row>
    <row r="3101" spans="2:7" x14ac:dyDescent="0.2">
      <c r="B3101" s="230">
        <v>41424</v>
      </c>
      <c r="C3101" s="124">
        <v>234.89</v>
      </c>
      <c r="D3101" s="156">
        <f t="shared" si="49"/>
        <v>4.2380402946658305E-2</v>
      </c>
      <c r="E3101" s="156">
        <v>-4.2190496484125683E-3</v>
      </c>
      <c r="G3101" s="156"/>
    </row>
    <row r="3102" spans="2:7" x14ac:dyDescent="0.2">
      <c r="B3102" s="230">
        <v>41423</v>
      </c>
      <c r="C3102" s="124">
        <v>227.16</v>
      </c>
      <c r="D3102" s="156">
        <f t="shared" si="49"/>
        <v>-3.2909021243986508E-2</v>
      </c>
      <c r="E3102" s="156">
        <v>-4.2287659223350692E-3</v>
      </c>
      <c r="G3102" s="156"/>
    </row>
    <row r="3103" spans="2:7" x14ac:dyDescent="0.2">
      <c r="B3103" s="230">
        <v>41422</v>
      </c>
      <c r="C3103" s="124">
        <v>225.41</v>
      </c>
      <c r="D3103" s="156">
        <f t="shared" si="49"/>
        <v>-7.7038210952632509E-3</v>
      </c>
      <c r="E3103" s="156">
        <v>-4.2413462854015904E-3</v>
      </c>
      <c r="G3103" s="156"/>
    </row>
    <row r="3104" spans="2:7" x14ac:dyDescent="0.2">
      <c r="B3104" s="230">
        <v>41421</v>
      </c>
      <c r="C3104" s="124">
        <v>221.36</v>
      </c>
      <c r="D3104" s="156">
        <f t="shared" si="49"/>
        <v>-1.7967259660174716E-2</v>
      </c>
      <c r="E3104" s="156">
        <v>-4.251773352704916E-3</v>
      </c>
      <c r="G3104" s="156"/>
    </row>
    <row r="3105" spans="2:7" x14ac:dyDescent="0.2">
      <c r="B3105" s="230">
        <v>41418</v>
      </c>
      <c r="C3105" s="124">
        <v>218.71</v>
      </c>
      <c r="D3105" s="156">
        <f t="shared" si="49"/>
        <v>-1.1971449222985207E-2</v>
      </c>
      <c r="E3105" s="156">
        <v>-4.2617305208782139E-3</v>
      </c>
      <c r="G3105" s="156"/>
    </row>
    <row r="3106" spans="2:7" x14ac:dyDescent="0.2">
      <c r="B3106" s="230">
        <v>41417</v>
      </c>
      <c r="C3106" s="124">
        <v>220.43</v>
      </c>
      <c r="D3106" s="156">
        <f t="shared" si="49"/>
        <v>7.8642951854053251E-3</v>
      </c>
      <c r="E3106" s="156">
        <v>-4.268774703557362E-3</v>
      </c>
      <c r="G3106" s="156"/>
    </row>
    <row r="3107" spans="2:7" x14ac:dyDescent="0.2">
      <c r="B3107" s="230">
        <v>41416</v>
      </c>
      <c r="C3107" s="124">
        <v>222.45</v>
      </c>
      <c r="D3107" s="156">
        <f t="shared" si="49"/>
        <v>9.1639069092227989E-3</v>
      </c>
      <c r="E3107" s="156">
        <v>-4.2742349119507606E-3</v>
      </c>
      <c r="G3107" s="156"/>
    </row>
    <row r="3108" spans="2:7" x14ac:dyDescent="0.2">
      <c r="B3108" s="230">
        <v>41415</v>
      </c>
      <c r="C3108" s="124">
        <v>219.44</v>
      </c>
      <c r="D3108" s="156">
        <f t="shared" si="49"/>
        <v>-1.3531130591144037E-2</v>
      </c>
      <c r="E3108" s="156">
        <v>-4.2766827817031514E-3</v>
      </c>
      <c r="G3108" s="156"/>
    </row>
    <row r="3109" spans="2:7" x14ac:dyDescent="0.2">
      <c r="B3109" s="230">
        <v>41414</v>
      </c>
      <c r="C3109" s="124">
        <v>221.86</v>
      </c>
      <c r="D3109" s="156">
        <f t="shared" si="49"/>
        <v>1.1028071454611812E-2</v>
      </c>
      <c r="E3109" s="156">
        <v>-4.2767679853368129E-3</v>
      </c>
      <c r="G3109" s="156"/>
    </row>
    <row r="3110" spans="2:7" x14ac:dyDescent="0.2">
      <c r="B3110" s="230">
        <v>41411</v>
      </c>
      <c r="C3110" s="124">
        <v>222.02</v>
      </c>
      <c r="D3110" s="156">
        <f t="shared" si="49"/>
        <v>7.2117551609121328E-4</v>
      </c>
      <c r="E3110" s="156">
        <v>-4.2821158690176039E-3</v>
      </c>
      <c r="G3110" s="156"/>
    </row>
    <row r="3111" spans="2:7" x14ac:dyDescent="0.2">
      <c r="B3111" s="230">
        <v>41410</v>
      </c>
      <c r="C3111" s="124">
        <v>223.42</v>
      </c>
      <c r="D3111" s="156">
        <f t="shared" si="49"/>
        <v>6.3057382217817188E-3</v>
      </c>
      <c r="E3111" s="156">
        <v>-4.2826552462526769E-3</v>
      </c>
      <c r="G3111" s="156"/>
    </row>
    <row r="3112" spans="2:7" x14ac:dyDescent="0.2">
      <c r="B3112" s="230">
        <v>41409</v>
      </c>
      <c r="C3112" s="124">
        <v>227.03</v>
      </c>
      <c r="D3112" s="156">
        <f t="shared" si="49"/>
        <v>1.615790887118438E-2</v>
      </c>
      <c r="E3112" s="156">
        <v>-4.292962143879254E-3</v>
      </c>
      <c r="G3112" s="156"/>
    </row>
    <row r="3113" spans="2:7" x14ac:dyDescent="0.2">
      <c r="B3113" s="230">
        <v>41408</v>
      </c>
      <c r="C3113" s="124">
        <v>222.65</v>
      </c>
      <c r="D3113" s="156">
        <f t="shared" si="49"/>
        <v>-1.9292604501607698E-2</v>
      </c>
      <c r="E3113" s="156">
        <v>-4.2959427207637504E-3</v>
      </c>
      <c r="G3113" s="156"/>
    </row>
    <row r="3114" spans="2:7" x14ac:dyDescent="0.2">
      <c r="B3114" s="230">
        <v>41407</v>
      </c>
      <c r="C3114" s="124">
        <v>222.62</v>
      </c>
      <c r="D3114" s="156">
        <f t="shared" si="49"/>
        <v>-1.34740624298231E-4</v>
      </c>
      <c r="E3114" s="156">
        <v>-4.2979942693409335E-3</v>
      </c>
      <c r="G3114" s="156"/>
    </row>
    <row r="3115" spans="2:7" x14ac:dyDescent="0.2">
      <c r="B3115" s="230">
        <v>41405</v>
      </c>
      <c r="C3115" s="124">
        <v>234.79</v>
      </c>
      <c r="D3115" s="156">
        <f t="shared" si="49"/>
        <v>5.4667145809001831E-2</v>
      </c>
      <c r="E3115" s="156">
        <v>-4.3176271822790305E-3</v>
      </c>
      <c r="G3115" s="156"/>
    </row>
    <row r="3116" spans="2:7" x14ac:dyDescent="0.2">
      <c r="B3116" s="230">
        <v>41404</v>
      </c>
      <c r="C3116" s="124">
        <v>234.12</v>
      </c>
      <c r="D3116" s="156">
        <f t="shared" si="49"/>
        <v>-2.853613867711519E-3</v>
      </c>
      <c r="E3116" s="156">
        <v>-4.3220745958060594E-3</v>
      </c>
      <c r="G3116" s="156"/>
    </row>
    <row r="3117" spans="2:7" x14ac:dyDescent="0.2">
      <c r="B3117" s="230">
        <v>41403</v>
      </c>
      <c r="C3117" s="124">
        <v>228.39</v>
      </c>
      <c r="D3117" s="156">
        <f t="shared" si="49"/>
        <v>-2.4474628395694593E-2</v>
      </c>
      <c r="E3117" s="156">
        <v>-4.3238407633814238E-3</v>
      </c>
      <c r="G3117" s="156"/>
    </row>
    <row r="3118" spans="2:7" x14ac:dyDescent="0.2">
      <c r="B3118" s="230">
        <v>41402</v>
      </c>
      <c r="C3118" s="124">
        <v>227.26</v>
      </c>
      <c r="D3118" s="156">
        <f t="shared" si="49"/>
        <v>-4.9476772187923967E-3</v>
      </c>
      <c r="E3118" s="156">
        <v>-4.3357613596947623E-3</v>
      </c>
      <c r="G3118" s="156"/>
    </row>
    <row r="3119" spans="2:7" x14ac:dyDescent="0.2">
      <c r="B3119" s="230">
        <v>41401</v>
      </c>
      <c r="C3119" s="124">
        <v>222.29</v>
      </c>
      <c r="D3119" s="156">
        <f t="shared" si="49"/>
        <v>-2.1869224676581884E-2</v>
      </c>
      <c r="E3119" s="156">
        <v>-4.3372714031395861E-3</v>
      </c>
      <c r="G3119" s="156"/>
    </row>
    <row r="3120" spans="2:7" x14ac:dyDescent="0.2">
      <c r="B3120" s="230">
        <v>41400</v>
      </c>
      <c r="C3120" s="124">
        <v>216.26</v>
      </c>
      <c r="D3120" s="156">
        <f t="shared" si="49"/>
        <v>-2.7126726348463723E-2</v>
      </c>
      <c r="E3120" s="156">
        <v>-4.3396564065855351E-3</v>
      </c>
      <c r="G3120" s="156"/>
    </row>
    <row r="3121" spans="2:7" x14ac:dyDescent="0.2">
      <c r="B3121" s="230">
        <v>41397</v>
      </c>
      <c r="C3121" s="124">
        <v>219.24</v>
      </c>
      <c r="D3121" s="156">
        <f t="shared" si="49"/>
        <v>1.3779709608804301E-2</v>
      </c>
      <c r="E3121" s="156">
        <v>-4.3408035534020471E-3</v>
      </c>
      <c r="G3121" s="156"/>
    </row>
    <row r="3122" spans="2:7" x14ac:dyDescent="0.2">
      <c r="B3122" s="230">
        <v>41396</v>
      </c>
      <c r="C3122" s="124">
        <v>221.13</v>
      </c>
      <c r="D3122" s="156">
        <f t="shared" si="49"/>
        <v>8.6206896551723512E-3</v>
      </c>
      <c r="E3122" s="156">
        <v>-4.3494019572308399E-3</v>
      </c>
      <c r="G3122" s="156"/>
    </row>
    <row r="3123" spans="2:7" x14ac:dyDescent="0.2">
      <c r="B3123" s="230">
        <v>41394</v>
      </c>
      <c r="C3123" s="124">
        <v>218.01</v>
      </c>
      <c r="D3123" s="156">
        <f t="shared" si="49"/>
        <v>-1.4109347442680796E-2</v>
      </c>
      <c r="E3123" s="156">
        <v>-4.3631353337415281E-3</v>
      </c>
      <c r="G3123" s="156"/>
    </row>
    <row r="3124" spans="2:7" x14ac:dyDescent="0.2">
      <c r="B3124" s="230">
        <v>41393</v>
      </c>
      <c r="C3124" s="124">
        <v>215.23</v>
      </c>
      <c r="D3124" s="156">
        <f t="shared" si="49"/>
        <v>-1.2751708637218482E-2</v>
      </c>
      <c r="E3124" s="156">
        <v>-4.3668122270742894E-3</v>
      </c>
      <c r="G3124" s="156"/>
    </row>
    <row r="3125" spans="2:7" x14ac:dyDescent="0.2">
      <c r="B3125" s="230">
        <v>41390</v>
      </c>
      <c r="C3125" s="124">
        <v>211.42</v>
      </c>
      <c r="D3125" s="156">
        <f t="shared" si="49"/>
        <v>-1.7701993216559041E-2</v>
      </c>
      <c r="E3125" s="156">
        <v>-4.3805965341749565E-3</v>
      </c>
      <c r="G3125" s="156"/>
    </row>
    <row r="3126" spans="2:7" x14ac:dyDescent="0.2">
      <c r="B3126" s="230">
        <v>41389</v>
      </c>
      <c r="C3126" s="124">
        <v>212.05</v>
      </c>
      <c r="D3126" s="156">
        <f t="shared" si="49"/>
        <v>2.9798505344812405E-3</v>
      </c>
      <c r="E3126" s="156">
        <v>-4.3859649122807015E-3</v>
      </c>
      <c r="G3126" s="156"/>
    </row>
    <row r="3127" spans="2:7" x14ac:dyDescent="0.2">
      <c r="B3127" s="230">
        <v>41387</v>
      </c>
      <c r="C3127" s="124">
        <v>210.55</v>
      </c>
      <c r="D3127" s="156">
        <f t="shared" si="49"/>
        <v>-7.0738033482669179E-3</v>
      </c>
      <c r="E3127" s="156">
        <v>-4.3886739702871259E-3</v>
      </c>
      <c r="G3127" s="156"/>
    </row>
    <row r="3128" spans="2:7" x14ac:dyDescent="0.2">
      <c r="B3128" s="230">
        <v>41386</v>
      </c>
      <c r="C3128" s="124">
        <v>210.16</v>
      </c>
      <c r="D3128" s="156">
        <f t="shared" si="49"/>
        <v>-1.8522916171931358E-3</v>
      </c>
      <c r="E3128" s="156">
        <v>-4.4044710933451685E-3</v>
      </c>
      <c r="G3128" s="156"/>
    </row>
    <row r="3129" spans="2:7" x14ac:dyDescent="0.2">
      <c r="B3129" s="230">
        <v>41382</v>
      </c>
      <c r="C3129" s="124">
        <v>209.03</v>
      </c>
      <c r="D3129" s="156">
        <f t="shared" si="49"/>
        <v>-5.3768557289683837E-3</v>
      </c>
      <c r="E3129" s="156">
        <v>-4.4182621502210804E-3</v>
      </c>
      <c r="G3129" s="156"/>
    </row>
    <row r="3130" spans="2:7" x14ac:dyDescent="0.2">
      <c r="B3130" s="230">
        <v>41381</v>
      </c>
      <c r="C3130" s="124">
        <v>207.57</v>
      </c>
      <c r="D3130" s="156">
        <f t="shared" si="49"/>
        <v>-6.9846433526288476E-3</v>
      </c>
      <c r="E3130" s="156">
        <v>-4.4263191923210148E-3</v>
      </c>
      <c r="G3130" s="156"/>
    </row>
    <row r="3131" spans="2:7" x14ac:dyDescent="0.2">
      <c r="B3131" s="230">
        <v>41380</v>
      </c>
      <c r="C3131" s="124">
        <v>204.16</v>
      </c>
      <c r="D3131" s="156">
        <f t="shared" si="49"/>
        <v>-1.6428192898781117E-2</v>
      </c>
      <c r="E3131" s="156">
        <v>-4.4397087551056652E-3</v>
      </c>
      <c r="G3131" s="156"/>
    </row>
    <row r="3132" spans="2:7" x14ac:dyDescent="0.2">
      <c r="B3132" s="230">
        <v>41379</v>
      </c>
      <c r="C3132" s="124">
        <v>198.85</v>
      </c>
      <c r="D3132" s="156">
        <f t="shared" si="49"/>
        <v>-2.6009012539184966E-2</v>
      </c>
      <c r="E3132" s="156">
        <v>-4.4491221355786575E-3</v>
      </c>
      <c r="G3132" s="156"/>
    </row>
    <row r="3133" spans="2:7" x14ac:dyDescent="0.2">
      <c r="B3133" s="230">
        <v>41376</v>
      </c>
      <c r="C3133" s="124">
        <v>194.18</v>
      </c>
      <c r="D3133" s="156">
        <f t="shared" si="49"/>
        <v>-2.3485038974101018E-2</v>
      </c>
      <c r="E3133" s="156">
        <v>-4.4504450445043827E-3</v>
      </c>
      <c r="G3133" s="156"/>
    </row>
    <row r="3134" spans="2:7" x14ac:dyDescent="0.2">
      <c r="B3134" s="230">
        <v>41375</v>
      </c>
      <c r="C3134" s="124">
        <v>189.14</v>
      </c>
      <c r="D3134" s="156">
        <f t="shared" ref="D3134:D3197" si="50">(C3134-C3133)/C3133</f>
        <v>-2.5955299206921519E-2</v>
      </c>
      <c r="E3134" s="156">
        <v>-4.4525234370213166E-3</v>
      </c>
      <c r="G3134" s="156"/>
    </row>
    <row r="3135" spans="2:7" x14ac:dyDescent="0.2">
      <c r="B3135" s="230">
        <v>41374</v>
      </c>
      <c r="C3135" s="124">
        <v>188.84</v>
      </c>
      <c r="D3135" s="156">
        <f t="shared" si="50"/>
        <v>-1.5861266786506448E-3</v>
      </c>
      <c r="E3135" s="156">
        <v>-4.4543429844097768E-3</v>
      </c>
      <c r="G3135" s="156"/>
    </row>
    <row r="3136" spans="2:7" x14ac:dyDescent="0.2">
      <c r="B3136" s="230">
        <v>41373</v>
      </c>
      <c r="C3136" s="124">
        <v>190.4</v>
      </c>
      <c r="D3136" s="156">
        <f t="shared" si="50"/>
        <v>8.2609616606651257E-3</v>
      </c>
      <c r="E3136" s="156">
        <v>-4.4577511643380963E-3</v>
      </c>
      <c r="G3136" s="156"/>
    </row>
    <row r="3137" spans="2:7" x14ac:dyDescent="0.2">
      <c r="B3137" s="230">
        <v>41372</v>
      </c>
      <c r="C3137" s="124">
        <v>194.15</v>
      </c>
      <c r="D3137" s="156">
        <f t="shared" si="50"/>
        <v>1.9695378151260504E-2</v>
      </c>
      <c r="E3137" s="156">
        <v>-4.4599217986315866E-3</v>
      </c>
      <c r="G3137" s="156"/>
    </row>
    <row r="3138" spans="2:7" x14ac:dyDescent="0.2">
      <c r="B3138" s="230">
        <v>41369</v>
      </c>
      <c r="C3138" s="124">
        <v>193.12</v>
      </c>
      <c r="D3138" s="156">
        <f t="shared" si="50"/>
        <v>-5.3051764099922797E-3</v>
      </c>
      <c r="E3138" s="156">
        <v>-4.4670661254643902E-3</v>
      </c>
      <c r="G3138" s="156"/>
    </row>
    <row r="3139" spans="2:7" x14ac:dyDescent="0.2">
      <c r="B3139" s="230">
        <v>41368</v>
      </c>
      <c r="C3139" s="124">
        <v>198.59</v>
      </c>
      <c r="D3139" s="156">
        <f t="shared" si="50"/>
        <v>2.8324357912178948E-2</v>
      </c>
      <c r="E3139" s="156">
        <v>-4.4729206963250064E-3</v>
      </c>
      <c r="G3139" s="156"/>
    </row>
    <row r="3140" spans="2:7" x14ac:dyDescent="0.2">
      <c r="B3140" s="230">
        <v>41367</v>
      </c>
      <c r="C3140" s="124">
        <v>203.93</v>
      </c>
      <c r="D3140" s="156">
        <f t="shared" si="50"/>
        <v>2.6889571478926448E-2</v>
      </c>
      <c r="E3140" s="156">
        <v>-4.480035840286627E-3</v>
      </c>
      <c r="G3140" s="156"/>
    </row>
    <row r="3141" spans="2:7" x14ac:dyDescent="0.2">
      <c r="B3141" s="230">
        <v>41366</v>
      </c>
      <c r="C3141" s="124">
        <v>203.63</v>
      </c>
      <c r="D3141" s="156">
        <f t="shared" si="50"/>
        <v>-1.4710930221154875E-3</v>
      </c>
      <c r="E3141" s="156">
        <v>-4.4915402058259253E-3</v>
      </c>
      <c r="G3141" s="156"/>
    </row>
    <row r="3142" spans="2:7" x14ac:dyDescent="0.2">
      <c r="B3142" s="230">
        <v>41365</v>
      </c>
      <c r="C3142" s="124">
        <v>203.66</v>
      </c>
      <c r="D3142" s="156">
        <f t="shared" si="50"/>
        <v>1.4732603250995009E-4</v>
      </c>
      <c r="E3142" s="156">
        <v>-4.4921875000000222E-3</v>
      </c>
      <c r="G3142" s="156"/>
    </row>
    <row r="3143" spans="2:7" x14ac:dyDescent="0.2">
      <c r="B3143" s="230">
        <v>41361</v>
      </c>
      <c r="C3143" s="124">
        <v>205.15</v>
      </c>
      <c r="D3143" s="156">
        <f t="shared" si="50"/>
        <v>7.3161150937838017E-3</v>
      </c>
      <c r="E3143" s="156">
        <v>-4.4947860481841066E-3</v>
      </c>
      <c r="G3143" s="156"/>
    </row>
    <row r="3144" spans="2:7" x14ac:dyDescent="0.2">
      <c r="B3144" s="230">
        <v>41359</v>
      </c>
      <c r="C3144" s="124">
        <v>203.1</v>
      </c>
      <c r="D3144" s="156">
        <f t="shared" si="50"/>
        <v>-9.9926882768706371E-3</v>
      </c>
      <c r="E3144" s="156">
        <v>-4.4954270655713259E-3</v>
      </c>
      <c r="G3144" s="156"/>
    </row>
    <row r="3145" spans="2:7" x14ac:dyDescent="0.2">
      <c r="B3145" s="230">
        <v>41358</v>
      </c>
      <c r="C3145" s="124">
        <v>200.48</v>
      </c>
      <c r="D3145" s="156">
        <f t="shared" si="50"/>
        <v>-1.2900049236829171E-2</v>
      </c>
      <c r="E3145" s="156">
        <v>-4.5071859852028329E-3</v>
      </c>
      <c r="G3145" s="156"/>
    </row>
    <row r="3146" spans="2:7" x14ac:dyDescent="0.2">
      <c r="B3146" s="230">
        <v>41355</v>
      </c>
      <c r="C3146" s="124">
        <v>202.6</v>
      </c>
      <c r="D3146" s="156">
        <f t="shared" si="50"/>
        <v>1.0574620909816463E-2</v>
      </c>
      <c r="E3146" s="156">
        <v>-4.5078559236728134E-3</v>
      </c>
      <c r="G3146" s="156"/>
    </row>
    <row r="3147" spans="2:7" x14ac:dyDescent="0.2">
      <c r="B3147" s="230">
        <v>41354</v>
      </c>
      <c r="C3147" s="124">
        <v>202.2</v>
      </c>
      <c r="D3147" s="156">
        <f t="shared" si="50"/>
        <v>-1.9743336623889718E-3</v>
      </c>
      <c r="E3147" s="156">
        <v>-4.5118051601033826E-3</v>
      </c>
      <c r="G3147" s="156"/>
    </row>
    <row r="3148" spans="2:7" x14ac:dyDescent="0.2">
      <c r="B3148" s="230">
        <v>41353</v>
      </c>
      <c r="C3148" s="124">
        <v>203.66</v>
      </c>
      <c r="D3148" s="156">
        <f t="shared" si="50"/>
        <v>7.2205736894164589E-3</v>
      </c>
      <c r="E3148" s="156">
        <v>-4.5133437990581629E-3</v>
      </c>
      <c r="G3148" s="156"/>
    </row>
    <row r="3149" spans="2:7" x14ac:dyDescent="0.2">
      <c r="B3149" s="230">
        <v>41352</v>
      </c>
      <c r="C3149" s="124">
        <v>203.06</v>
      </c>
      <c r="D3149" s="156">
        <f t="shared" si="50"/>
        <v>-2.9460866149464515E-3</v>
      </c>
      <c r="E3149" s="156">
        <v>-4.5226799095464468E-3</v>
      </c>
      <c r="G3149" s="156"/>
    </row>
    <row r="3150" spans="2:7" x14ac:dyDescent="0.2">
      <c r="B3150" s="230">
        <v>41351</v>
      </c>
      <c r="C3150" s="124">
        <v>201.7</v>
      </c>
      <c r="D3150" s="156">
        <f t="shared" si="50"/>
        <v>-6.6975278242884552E-3</v>
      </c>
      <c r="E3150" s="156">
        <v>-4.5344619105200275E-3</v>
      </c>
      <c r="G3150" s="156"/>
    </row>
    <row r="3151" spans="2:7" x14ac:dyDescent="0.2">
      <c r="B3151" s="230">
        <v>41348</v>
      </c>
      <c r="C3151" s="124">
        <v>200.15</v>
      </c>
      <c r="D3151" s="156">
        <f t="shared" si="50"/>
        <v>-7.684680218145677E-3</v>
      </c>
      <c r="E3151" s="156">
        <v>-4.5405405405405897E-3</v>
      </c>
      <c r="G3151" s="156"/>
    </row>
    <row r="3152" spans="2:7" x14ac:dyDescent="0.2">
      <c r="B3152" s="230">
        <v>41347</v>
      </c>
      <c r="C3152" s="124">
        <v>200.15</v>
      </c>
      <c r="D3152" s="156">
        <f t="shared" si="50"/>
        <v>0</v>
      </c>
      <c r="E3152" s="156">
        <v>-4.5468964787986959E-3</v>
      </c>
      <c r="G3152" s="156"/>
    </row>
    <row r="3153" spans="2:7" x14ac:dyDescent="0.2">
      <c r="B3153" s="230">
        <v>41346</v>
      </c>
      <c r="C3153" s="124">
        <v>199.98</v>
      </c>
      <c r="D3153" s="156">
        <f t="shared" si="50"/>
        <v>-8.4936297776675449E-4</v>
      </c>
      <c r="E3153" s="156">
        <v>-4.5687134502923974E-3</v>
      </c>
      <c r="G3153" s="156"/>
    </row>
    <row r="3154" spans="2:7" x14ac:dyDescent="0.2">
      <c r="B3154" s="230">
        <v>41345</v>
      </c>
      <c r="C3154" s="124">
        <v>198.12</v>
      </c>
      <c r="D3154" s="156">
        <f t="shared" si="50"/>
        <v>-9.3009300930092277E-3</v>
      </c>
      <c r="E3154" s="156">
        <v>-4.5735808447672551E-3</v>
      </c>
      <c r="G3154" s="156"/>
    </row>
    <row r="3155" spans="2:7" x14ac:dyDescent="0.2">
      <c r="B3155" s="230">
        <v>41344</v>
      </c>
      <c r="C3155" s="124">
        <v>197.26</v>
      </c>
      <c r="D3155" s="156">
        <f t="shared" si="50"/>
        <v>-4.3408035534020471E-3</v>
      </c>
      <c r="E3155" s="156">
        <v>-4.5796532548250104E-3</v>
      </c>
      <c r="G3155" s="156"/>
    </row>
    <row r="3156" spans="2:7" x14ac:dyDescent="0.2">
      <c r="B3156" s="230">
        <v>41341</v>
      </c>
      <c r="C3156" s="124">
        <v>197.36</v>
      </c>
      <c r="D3156" s="156">
        <f t="shared" si="50"/>
        <v>5.0694514853504382E-4</v>
      </c>
      <c r="E3156" s="156">
        <v>-4.58311299136256E-3</v>
      </c>
      <c r="G3156" s="156"/>
    </row>
    <row r="3157" spans="2:7" x14ac:dyDescent="0.2">
      <c r="B3157" s="230">
        <v>41340</v>
      </c>
      <c r="C3157" s="124">
        <v>193.82</v>
      </c>
      <c r="D3157" s="156">
        <f t="shared" si="50"/>
        <v>-1.7936765301986322E-2</v>
      </c>
      <c r="E3157" s="156">
        <v>-4.5851154833189906E-3</v>
      </c>
      <c r="G3157" s="156"/>
    </row>
    <row r="3158" spans="2:7" x14ac:dyDescent="0.2">
      <c r="B3158" s="230">
        <v>41339</v>
      </c>
      <c r="C3158" s="124">
        <v>190.3</v>
      </c>
      <c r="D3158" s="156">
        <f t="shared" si="50"/>
        <v>-1.8161180476730893E-2</v>
      </c>
      <c r="E3158" s="156">
        <v>-4.5952633439376271E-3</v>
      </c>
      <c r="G3158" s="156"/>
    </row>
    <row r="3159" spans="2:7" x14ac:dyDescent="0.2">
      <c r="B3159" s="230">
        <v>41338</v>
      </c>
      <c r="C3159" s="124">
        <v>193.98</v>
      </c>
      <c r="D3159" s="156">
        <f t="shared" si="50"/>
        <v>1.9337887545979916E-2</v>
      </c>
      <c r="E3159" s="156">
        <v>-4.5963803504740393E-3</v>
      </c>
      <c r="G3159" s="156"/>
    </row>
    <row r="3160" spans="2:7" x14ac:dyDescent="0.2">
      <c r="B3160" s="230">
        <v>41337</v>
      </c>
      <c r="C3160" s="124">
        <v>193.91</v>
      </c>
      <c r="D3160" s="156">
        <f t="shared" si="50"/>
        <v>-3.6086194453032881E-4</v>
      </c>
      <c r="E3160" s="156">
        <v>-4.6003450258771143E-3</v>
      </c>
      <c r="G3160" s="156"/>
    </row>
    <row r="3161" spans="2:7" x14ac:dyDescent="0.2">
      <c r="B3161" s="230">
        <v>41334</v>
      </c>
      <c r="C3161" s="124">
        <v>193.09</v>
      </c>
      <c r="D3161" s="156">
        <f t="shared" si="50"/>
        <v>-4.2287659223350692E-3</v>
      </c>
      <c r="E3161" s="156">
        <v>-4.6219264189314106E-3</v>
      </c>
      <c r="G3161" s="156"/>
    </row>
    <row r="3162" spans="2:7" x14ac:dyDescent="0.2">
      <c r="B3162" s="230">
        <v>41333</v>
      </c>
      <c r="C3162" s="124">
        <v>195.44</v>
      </c>
      <c r="D3162" s="156">
        <f t="shared" si="50"/>
        <v>1.2170490444870239E-2</v>
      </c>
      <c r="E3162" s="156">
        <v>-4.6265328874025222E-3</v>
      </c>
      <c r="G3162" s="156"/>
    </row>
    <row r="3163" spans="2:7" x14ac:dyDescent="0.2">
      <c r="B3163" s="230">
        <v>41332</v>
      </c>
      <c r="C3163" s="124">
        <v>195.44</v>
      </c>
      <c r="D3163" s="156">
        <f t="shared" si="50"/>
        <v>0</v>
      </c>
      <c r="E3163" s="156">
        <v>-4.629629629629586E-3</v>
      </c>
      <c r="G3163" s="156"/>
    </row>
    <row r="3164" spans="2:7" x14ac:dyDescent="0.2">
      <c r="B3164" s="230">
        <v>41331</v>
      </c>
      <c r="C3164" s="124">
        <v>192.82</v>
      </c>
      <c r="D3164" s="156">
        <f t="shared" si="50"/>
        <v>-1.34056487924683E-2</v>
      </c>
      <c r="E3164" s="156">
        <v>-4.6304235980106859E-3</v>
      </c>
      <c r="G3164" s="156"/>
    </row>
    <row r="3165" spans="2:7" x14ac:dyDescent="0.2">
      <c r="B3165" s="230">
        <v>41330</v>
      </c>
      <c r="C3165" s="124">
        <v>194.01</v>
      </c>
      <c r="D3165" s="156">
        <f t="shared" si="50"/>
        <v>6.1715589669121343E-3</v>
      </c>
      <c r="E3165" s="156">
        <v>-4.6312789454933823E-3</v>
      </c>
      <c r="G3165" s="156"/>
    </row>
    <row r="3166" spans="2:7" x14ac:dyDescent="0.2">
      <c r="B3166" s="230">
        <v>41327</v>
      </c>
      <c r="C3166" s="124">
        <v>193.58</v>
      </c>
      <c r="D3166" s="156">
        <f t="shared" si="50"/>
        <v>-2.2163805989380879E-3</v>
      </c>
      <c r="E3166" s="156">
        <v>-4.6319422369556799E-3</v>
      </c>
      <c r="G3166" s="156"/>
    </row>
    <row r="3167" spans="2:7" x14ac:dyDescent="0.2">
      <c r="B3167" s="230">
        <v>41326</v>
      </c>
      <c r="C3167" s="124">
        <v>196.63</v>
      </c>
      <c r="D3167" s="156">
        <f t="shared" si="50"/>
        <v>1.5755759892550795E-2</v>
      </c>
      <c r="E3167" s="156">
        <v>-4.6367851622874474E-3</v>
      </c>
      <c r="G3167" s="156"/>
    </row>
    <row r="3168" spans="2:7" x14ac:dyDescent="0.2">
      <c r="B3168" s="230">
        <v>41325</v>
      </c>
      <c r="C3168" s="124">
        <v>198.89</v>
      </c>
      <c r="D3168" s="156">
        <f t="shared" si="50"/>
        <v>1.1493668311040995E-2</v>
      </c>
      <c r="E3168" s="156">
        <v>-4.6757929130752307E-3</v>
      </c>
      <c r="G3168" s="156"/>
    </row>
    <row r="3169" spans="2:7" x14ac:dyDescent="0.2">
      <c r="B3169" s="230">
        <v>41324</v>
      </c>
      <c r="C3169" s="124">
        <v>199.98</v>
      </c>
      <c r="D3169" s="156">
        <f t="shared" si="50"/>
        <v>5.4804163105234222E-3</v>
      </c>
      <c r="E3169" s="156">
        <v>-4.6778651924303397E-3</v>
      </c>
      <c r="G3169" s="156"/>
    </row>
    <row r="3170" spans="2:7" x14ac:dyDescent="0.2">
      <c r="B3170" s="230">
        <v>41323</v>
      </c>
      <c r="C3170" s="124">
        <v>199.09</v>
      </c>
      <c r="D3170" s="156">
        <f t="shared" si="50"/>
        <v>-4.4504450445043827E-3</v>
      </c>
      <c r="E3170" s="156">
        <v>-4.6861511900357072E-3</v>
      </c>
      <c r="G3170" s="156"/>
    </row>
    <row r="3171" spans="2:7" x14ac:dyDescent="0.2">
      <c r="B3171" s="230">
        <v>41320</v>
      </c>
      <c r="C3171" s="124">
        <v>199.28</v>
      </c>
      <c r="D3171" s="156">
        <f t="shared" si="50"/>
        <v>9.5434225727056971E-4</v>
      </c>
      <c r="E3171" s="156">
        <v>-4.7071129707112053E-3</v>
      </c>
      <c r="G3171" s="156"/>
    </row>
    <row r="3172" spans="2:7" x14ac:dyDescent="0.2">
      <c r="B3172" s="230">
        <v>41319</v>
      </c>
      <c r="C3172" s="124">
        <v>199.38</v>
      </c>
      <c r="D3172" s="156">
        <f t="shared" si="50"/>
        <v>5.0180650341225571E-4</v>
      </c>
      <c r="E3172" s="156">
        <v>-4.7193585337915291E-3</v>
      </c>
      <c r="G3172" s="156"/>
    </row>
    <row r="3173" spans="2:7" x14ac:dyDescent="0.2">
      <c r="B3173" s="230">
        <v>41318</v>
      </c>
      <c r="C3173" s="124">
        <v>199.12</v>
      </c>
      <c r="D3173" s="156">
        <f t="shared" si="50"/>
        <v>-1.3040425318486856E-3</v>
      </c>
      <c r="E3173" s="156">
        <v>-4.7219307450157948E-3</v>
      </c>
      <c r="G3173" s="156"/>
    </row>
    <row r="3174" spans="2:7" x14ac:dyDescent="0.2">
      <c r="B3174" s="230">
        <v>41317</v>
      </c>
      <c r="C3174" s="124">
        <v>198.92</v>
      </c>
      <c r="D3174" s="156">
        <f t="shared" si="50"/>
        <v>-1.0044194455605517E-3</v>
      </c>
      <c r="E3174" s="156">
        <v>-4.7234878568741187E-3</v>
      </c>
      <c r="G3174" s="156"/>
    </row>
    <row r="3175" spans="2:7" x14ac:dyDescent="0.2">
      <c r="B3175" s="230">
        <v>41316</v>
      </c>
      <c r="C3175" s="124">
        <v>198.32</v>
      </c>
      <c r="D3175" s="156">
        <f t="shared" si="50"/>
        <v>-3.0162879549567381E-3</v>
      </c>
      <c r="E3175" s="156">
        <v>-4.7275735728637275E-3</v>
      </c>
      <c r="G3175" s="156"/>
    </row>
    <row r="3176" spans="2:7" x14ac:dyDescent="0.2">
      <c r="B3176" s="230">
        <v>41313</v>
      </c>
      <c r="C3176" s="124">
        <v>200.05</v>
      </c>
      <c r="D3176" s="156">
        <f t="shared" si="50"/>
        <v>8.7232755143203822E-3</v>
      </c>
      <c r="E3176" s="156">
        <v>-4.7306851780433866E-3</v>
      </c>
      <c r="G3176" s="156"/>
    </row>
    <row r="3177" spans="2:7" x14ac:dyDescent="0.2">
      <c r="B3177" s="230">
        <v>41312</v>
      </c>
      <c r="C3177" s="124">
        <v>201.57</v>
      </c>
      <c r="D3177" s="156">
        <f t="shared" si="50"/>
        <v>7.5981004748811882E-3</v>
      </c>
      <c r="E3177" s="156">
        <v>-4.7367125984252596E-3</v>
      </c>
      <c r="G3177" s="156"/>
    </row>
    <row r="3178" spans="2:7" x14ac:dyDescent="0.2">
      <c r="B3178" s="230">
        <v>41311</v>
      </c>
      <c r="C3178" s="124">
        <v>202.1</v>
      </c>
      <c r="D3178" s="156">
        <f t="shared" si="50"/>
        <v>2.6293595277075018E-3</v>
      </c>
      <c r="E3178" s="156">
        <v>-4.7456763385037076E-3</v>
      </c>
      <c r="G3178" s="156"/>
    </row>
    <row r="3179" spans="2:7" x14ac:dyDescent="0.2">
      <c r="B3179" s="230">
        <v>41310</v>
      </c>
      <c r="C3179" s="124">
        <v>200.51</v>
      </c>
      <c r="D3179" s="156">
        <f t="shared" si="50"/>
        <v>-7.8673923800099133E-3</v>
      </c>
      <c r="E3179" s="156">
        <v>-4.7489823609226257E-3</v>
      </c>
      <c r="G3179" s="156"/>
    </row>
    <row r="3180" spans="2:7" x14ac:dyDescent="0.2">
      <c r="B3180" s="230">
        <v>41309</v>
      </c>
      <c r="C3180" s="124">
        <v>203.69</v>
      </c>
      <c r="D3180" s="156">
        <f t="shared" si="50"/>
        <v>1.5859558126776755E-2</v>
      </c>
      <c r="E3180" s="156">
        <v>-4.7497960946121433E-3</v>
      </c>
      <c r="G3180" s="156"/>
    </row>
    <row r="3181" spans="2:7" x14ac:dyDescent="0.2">
      <c r="B3181" s="230">
        <v>41306</v>
      </c>
      <c r="C3181" s="124">
        <v>205.12</v>
      </c>
      <c r="D3181" s="156">
        <f t="shared" si="50"/>
        <v>7.0204722863174765E-3</v>
      </c>
      <c r="E3181" s="156">
        <v>-4.7602256699577671E-3</v>
      </c>
      <c r="G3181" s="156"/>
    </row>
    <row r="3182" spans="2:7" x14ac:dyDescent="0.2">
      <c r="B3182" s="230">
        <v>41305</v>
      </c>
      <c r="C3182" s="124">
        <v>203.96</v>
      </c>
      <c r="D3182" s="156">
        <f t="shared" si="50"/>
        <v>-5.6552262090483448E-3</v>
      </c>
      <c r="E3182" s="156">
        <v>-4.7616024379404489E-3</v>
      </c>
      <c r="G3182" s="156"/>
    </row>
    <row r="3183" spans="2:7" x14ac:dyDescent="0.2">
      <c r="B3183" s="230">
        <v>41304</v>
      </c>
      <c r="C3183" s="124">
        <v>201.67</v>
      </c>
      <c r="D3183" s="156">
        <f t="shared" si="50"/>
        <v>-1.1227691704255836E-2</v>
      </c>
      <c r="E3183" s="156">
        <v>-4.7788093937738167E-3</v>
      </c>
      <c r="G3183" s="156"/>
    </row>
    <row r="3184" spans="2:7" x14ac:dyDescent="0.2">
      <c r="B3184" s="230">
        <v>41303</v>
      </c>
      <c r="C3184" s="124">
        <v>202.3</v>
      </c>
      <c r="D3184" s="156">
        <f t="shared" si="50"/>
        <v>3.1239153071851238E-3</v>
      </c>
      <c r="E3184" s="156">
        <v>-4.7804696927503994E-3</v>
      </c>
      <c r="G3184" s="156"/>
    </row>
    <row r="3185" spans="2:7" x14ac:dyDescent="0.2">
      <c r="B3185" s="230">
        <v>41302</v>
      </c>
      <c r="C3185" s="124">
        <v>199.38</v>
      </c>
      <c r="D3185" s="156">
        <f t="shared" si="50"/>
        <v>-1.4434008897676796E-2</v>
      </c>
      <c r="E3185" s="156">
        <v>-4.7824007651841227E-3</v>
      </c>
      <c r="G3185" s="156"/>
    </row>
    <row r="3186" spans="2:7" x14ac:dyDescent="0.2">
      <c r="B3186" s="230">
        <v>41299</v>
      </c>
      <c r="C3186" s="124">
        <v>198.72</v>
      </c>
      <c r="D3186" s="156">
        <f t="shared" si="50"/>
        <v>-3.3102618116159924E-3</v>
      </c>
      <c r="E3186" s="156">
        <v>-4.7896709704290117E-3</v>
      </c>
      <c r="G3186" s="156"/>
    </row>
    <row r="3187" spans="2:7" x14ac:dyDescent="0.2">
      <c r="B3187" s="230">
        <v>41298</v>
      </c>
      <c r="C3187" s="124">
        <v>197.2</v>
      </c>
      <c r="D3187" s="156">
        <f t="shared" si="50"/>
        <v>-7.6489533011272655E-3</v>
      </c>
      <c r="E3187" s="156">
        <v>-4.7923322683705296E-3</v>
      </c>
      <c r="G3187" s="156"/>
    </row>
    <row r="3188" spans="2:7" x14ac:dyDescent="0.2">
      <c r="B3188" s="230">
        <v>41297</v>
      </c>
      <c r="C3188" s="124">
        <v>194.08</v>
      </c>
      <c r="D3188" s="156">
        <f t="shared" si="50"/>
        <v>-1.5821501014198661E-2</v>
      </c>
      <c r="E3188" s="156">
        <v>-4.7952047952047501E-3</v>
      </c>
      <c r="G3188" s="156"/>
    </row>
    <row r="3189" spans="2:7" x14ac:dyDescent="0.2">
      <c r="B3189" s="230">
        <v>41296</v>
      </c>
      <c r="C3189" s="124">
        <v>191.69</v>
      </c>
      <c r="D3189" s="156">
        <f t="shared" si="50"/>
        <v>-1.2314509480626621E-2</v>
      </c>
      <c r="E3189" s="156">
        <v>-4.803650774588687E-3</v>
      </c>
      <c r="G3189" s="156"/>
    </row>
    <row r="3190" spans="2:7" x14ac:dyDescent="0.2">
      <c r="B3190" s="230">
        <v>41295</v>
      </c>
      <c r="C3190" s="124">
        <v>193.28</v>
      </c>
      <c r="D3190" s="156">
        <f t="shared" si="50"/>
        <v>8.2946423913610699E-3</v>
      </c>
      <c r="E3190" s="156">
        <v>-4.8087062892815894E-3</v>
      </c>
      <c r="G3190" s="156"/>
    </row>
    <row r="3191" spans="2:7" x14ac:dyDescent="0.2">
      <c r="B3191" s="230">
        <v>41292</v>
      </c>
      <c r="C3191" s="124">
        <v>190.57</v>
      </c>
      <c r="D3191" s="156">
        <f t="shared" si="50"/>
        <v>-1.4021109271523219E-2</v>
      </c>
      <c r="E3191" s="156">
        <v>-4.811250925240605E-3</v>
      </c>
      <c r="G3191" s="156"/>
    </row>
    <row r="3192" spans="2:7" x14ac:dyDescent="0.2">
      <c r="B3192" s="230">
        <v>41291</v>
      </c>
      <c r="C3192" s="124">
        <v>189.14</v>
      </c>
      <c r="D3192" s="156">
        <f t="shared" si="50"/>
        <v>-7.5038043763446865E-3</v>
      </c>
      <c r="E3192" s="156">
        <v>-4.8184275473028152E-3</v>
      </c>
      <c r="G3192" s="156"/>
    </row>
    <row r="3193" spans="2:7" x14ac:dyDescent="0.2">
      <c r="B3193" s="230">
        <v>41290</v>
      </c>
      <c r="C3193" s="124">
        <v>188.28</v>
      </c>
      <c r="D3193" s="156">
        <f t="shared" si="50"/>
        <v>-4.5468964787986959E-3</v>
      </c>
      <c r="E3193" s="156">
        <v>-4.8186965425852301E-3</v>
      </c>
      <c r="G3193" s="156"/>
    </row>
    <row r="3194" spans="2:7" x14ac:dyDescent="0.2">
      <c r="B3194" s="230">
        <v>41289</v>
      </c>
      <c r="C3194" s="124">
        <v>188.35</v>
      </c>
      <c r="D3194" s="156">
        <f t="shared" si="50"/>
        <v>3.7178670065855736E-4</v>
      </c>
      <c r="E3194" s="156">
        <v>-4.8318562583465072E-3</v>
      </c>
      <c r="G3194" s="156"/>
    </row>
    <row r="3195" spans="2:7" x14ac:dyDescent="0.2">
      <c r="B3195" s="230">
        <v>41288</v>
      </c>
      <c r="C3195" s="124">
        <v>184.24</v>
      </c>
      <c r="D3195" s="156">
        <f t="shared" si="50"/>
        <v>-2.1821077780727293E-2</v>
      </c>
      <c r="E3195" s="156">
        <v>-4.846140991668392E-3</v>
      </c>
      <c r="G3195" s="156"/>
    </row>
    <row r="3196" spans="2:7" x14ac:dyDescent="0.2">
      <c r="B3196" s="230">
        <v>41285</v>
      </c>
      <c r="C3196" s="124">
        <v>181.25</v>
      </c>
      <c r="D3196" s="156">
        <f t="shared" si="50"/>
        <v>-1.6228831958315291E-2</v>
      </c>
      <c r="E3196" s="156">
        <v>-4.8553164495193698E-3</v>
      </c>
      <c r="G3196" s="156"/>
    </row>
    <row r="3197" spans="2:7" x14ac:dyDescent="0.2">
      <c r="B3197" s="230">
        <v>41284</v>
      </c>
      <c r="C3197" s="124">
        <v>186.29</v>
      </c>
      <c r="D3197" s="156">
        <f t="shared" si="50"/>
        <v>2.7806896551724095E-2</v>
      </c>
      <c r="E3197" s="156">
        <v>-4.8606016140865837E-3</v>
      </c>
      <c r="G3197" s="156"/>
    </row>
    <row r="3198" spans="2:7" x14ac:dyDescent="0.2">
      <c r="B3198" s="230">
        <v>41283</v>
      </c>
      <c r="C3198" s="124">
        <v>185.3</v>
      </c>
      <c r="D3198" s="156">
        <f t="shared" ref="D3198:D3261" si="51">(C3198-C3197)/C3197</f>
        <v>-5.3142949165278907E-3</v>
      </c>
      <c r="E3198" s="156">
        <v>-4.8748781280467529E-3</v>
      </c>
      <c r="G3198" s="156"/>
    </row>
    <row r="3199" spans="2:7" x14ac:dyDescent="0.2">
      <c r="B3199" s="230">
        <v>41282</v>
      </c>
      <c r="C3199" s="124">
        <v>189.41</v>
      </c>
      <c r="D3199" s="156">
        <f t="shared" si="51"/>
        <v>2.2180248246087345E-2</v>
      </c>
      <c r="E3199" s="156">
        <v>-4.8767967145791425E-3</v>
      </c>
      <c r="G3199" s="156"/>
    </row>
    <row r="3200" spans="2:7" x14ac:dyDescent="0.2">
      <c r="B3200" s="230">
        <v>41281</v>
      </c>
      <c r="C3200" s="124">
        <v>185</v>
      </c>
      <c r="D3200" s="156">
        <f t="shared" si="51"/>
        <v>-2.3282825616387712E-2</v>
      </c>
      <c r="E3200" s="156">
        <v>-4.880429477794E-3</v>
      </c>
      <c r="G3200" s="156"/>
    </row>
    <row r="3201" spans="2:7" x14ac:dyDescent="0.2">
      <c r="B3201" s="230">
        <v>41278</v>
      </c>
      <c r="C3201" s="124">
        <v>187.22</v>
      </c>
      <c r="D3201" s="156">
        <f t="shared" si="51"/>
        <v>1.1999999999999993E-2</v>
      </c>
      <c r="E3201" s="156">
        <v>-4.8813169984686551E-3</v>
      </c>
      <c r="G3201" s="156"/>
    </row>
    <row r="3202" spans="2:7" x14ac:dyDescent="0.2">
      <c r="B3202" s="230">
        <v>41277</v>
      </c>
      <c r="C3202" s="124">
        <v>187.98</v>
      </c>
      <c r="D3202" s="156">
        <f t="shared" si="51"/>
        <v>4.059395363743141E-3</v>
      </c>
      <c r="E3202" s="156">
        <v>-4.8891786179921307E-3</v>
      </c>
      <c r="G3202" s="156"/>
    </row>
    <row r="3203" spans="2:7" x14ac:dyDescent="0.2">
      <c r="B3203" s="230">
        <v>41276</v>
      </c>
      <c r="C3203" s="124">
        <v>189.21</v>
      </c>
      <c r="D3203" s="156">
        <f t="shared" si="51"/>
        <v>6.5432492818385908E-3</v>
      </c>
      <c r="E3203" s="156">
        <v>-4.8904184024634043E-3</v>
      </c>
      <c r="G3203" s="156"/>
    </row>
    <row r="3204" spans="2:7" x14ac:dyDescent="0.2">
      <c r="B3204" s="230">
        <v>41275</v>
      </c>
      <c r="C3204" s="124">
        <v>190.43</v>
      </c>
      <c r="D3204" s="156">
        <f t="shared" si="51"/>
        <v>6.4478621637334118E-3</v>
      </c>
      <c r="E3204" s="156">
        <v>-4.8942834768989823E-3</v>
      </c>
      <c r="G3204" s="156"/>
    </row>
    <row r="3205" spans="2:7" x14ac:dyDescent="0.2">
      <c r="B3205" s="230">
        <v>41274</v>
      </c>
      <c r="C3205" s="124">
        <v>190.14</v>
      </c>
      <c r="D3205" s="156">
        <f t="shared" si="51"/>
        <v>-1.5228692958043398E-3</v>
      </c>
      <c r="E3205" s="156">
        <v>-4.8993167925206913E-3</v>
      </c>
      <c r="G3205" s="156"/>
    </row>
    <row r="3206" spans="2:7" x14ac:dyDescent="0.2">
      <c r="B3206" s="230">
        <v>41271</v>
      </c>
      <c r="C3206" s="124">
        <v>191.86</v>
      </c>
      <c r="D3206" s="156">
        <f t="shared" si="51"/>
        <v>9.0459661302199814E-3</v>
      </c>
      <c r="E3206" s="156">
        <v>-4.90168139070952E-3</v>
      </c>
      <c r="G3206" s="156"/>
    </row>
    <row r="3207" spans="2:7" x14ac:dyDescent="0.2">
      <c r="B3207" s="230">
        <v>41270</v>
      </c>
      <c r="C3207" s="124">
        <v>191.2</v>
      </c>
      <c r="D3207" s="156">
        <f t="shared" si="51"/>
        <v>-3.4400083394142862E-3</v>
      </c>
      <c r="E3207" s="156">
        <v>-4.9053635059466069E-3</v>
      </c>
      <c r="G3207" s="156"/>
    </row>
    <row r="3208" spans="2:7" x14ac:dyDescent="0.2">
      <c r="B3208" s="230">
        <v>41269</v>
      </c>
      <c r="C3208" s="124">
        <v>192.59</v>
      </c>
      <c r="D3208" s="156">
        <f t="shared" si="51"/>
        <v>7.2698744769875258E-3</v>
      </c>
      <c r="E3208" s="156">
        <v>-4.915492275655067E-3</v>
      </c>
      <c r="G3208" s="156"/>
    </row>
    <row r="3209" spans="2:7" x14ac:dyDescent="0.2">
      <c r="B3209" s="230">
        <v>41267</v>
      </c>
      <c r="C3209" s="124">
        <v>190.3</v>
      </c>
      <c r="D3209" s="156">
        <f t="shared" si="51"/>
        <v>-1.1890544680409117E-2</v>
      </c>
      <c r="E3209" s="156">
        <v>-4.9280222476689537E-3</v>
      </c>
      <c r="G3209" s="156"/>
    </row>
    <row r="3210" spans="2:7" x14ac:dyDescent="0.2">
      <c r="B3210" s="230">
        <v>41264</v>
      </c>
      <c r="C3210" s="124">
        <v>190.3</v>
      </c>
      <c r="D3210" s="156">
        <f t="shared" si="51"/>
        <v>0</v>
      </c>
      <c r="E3210" s="156">
        <v>-4.9330195510499794E-3</v>
      </c>
      <c r="G3210" s="156"/>
    </row>
    <row r="3211" spans="2:7" x14ac:dyDescent="0.2">
      <c r="B3211" s="230">
        <v>41263</v>
      </c>
      <c r="C3211" s="124">
        <v>190.33</v>
      </c>
      <c r="D3211" s="156">
        <f t="shared" si="51"/>
        <v>1.5764582238571274E-4</v>
      </c>
      <c r="E3211" s="156">
        <v>-4.9382716049382715E-3</v>
      </c>
      <c r="G3211" s="156"/>
    </row>
    <row r="3212" spans="2:7" x14ac:dyDescent="0.2">
      <c r="B3212" s="230">
        <v>41262</v>
      </c>
      <c r="C3212" s="124">
        <v>192.32</v>
      </c>
      <c r="D3212" s="156">
        <f t="shared" si="51"/>
        <v>1.045552461514202E-2</v>
      </c>
      <c r="E3212" s="156">
        <v>-4.9401127837069595E-3</v>
      </c>
      <c r="G3212" s="156"/>
    </row>
    <row r="3213" spans="2:7" x14ac:dyDescent="0.2">
      <c r="B3213" s="230">
        <v>41261</v>
      </c>
      <c r="C3213" s="124">
        <v>194.31</v>
      </c>
      <c r="D3213" s="156">
        <f t="shared" si="51"/>
        <v>1.0347337770382744E-2</v>
      </c>
      <c r="E3213" s="156">
        <v>-4.9468216670789013E-3</v>
      </c>
      <c r="G3213" s="156"/>
    </row>
    <row r="3214" spans="2:7" x14ac:dyDescent="0.2">
      <c r="B3214" s="230">
        <v>41260</v>
      </c>
      <c r="C3214" s="124">
        <v>194.28</v>
      </c>
      <c r="D3214" s="156">
        <f t="shared" si="51"/>
        <v>-1.5439246564768225E-4</v>
      </c>
      <c r="E3214" s="156">
        <v>-4.9476772187923967E-3</v>
      </c>
      <c r="G3214" s="156"/>
    </row>
    <row r="3215" spans="2:7" x14ac:dyDescent="0.2">
      <c r="B3215" s="230">
        <v>41257</v>
      </c>
      <c r="C3215" s="124">
        <v>196.2</v>
      </c>
      <c r="D3215" s="156">
        <f t="shared" si="51"/>
        <v>9.8826436071648514E-3</v>
      </c>
      <c r="E3215" s="156">
        <v>-4.9720323182100212E-3</v>
      </c>
      <c r="G3215" s="156"/>
    </row>
    <row r="3216" spans="2:7" x14ac:dyDescent="0.2">
      <c r="B3216" s="230">
        <v>41256</v>
      </c>
      <c r="C3216" s="124">
        <v>195.74</v>
      </c>
      <c r="D3216" s="156">
        <f t="shared" si="51"/>
        <v>-2.3445463812435249E-3</v>
      </c>
      <c r="E3216" s="156">
        <v>-4.9729915116179229E-3</v>
      </c>
      <c r="G3216" s="156"/>
    </row>
    <row r="3217" spans="2:7" x14ac:dyDescent="0.2">
      <c r="B3217" s="230">
        <v>41255</v>
      </c>
      <c r="C3217" s="124">
        <v>202.83</v>
      </c>
      <c r="D3217" s="156">
        <f t="shared" si="51"/>
        <v>3.6221518340655991E-2</v>
      </c>
      <c r="E3217" s="156">
        <v>-4.9857216422453353E-3</v>
      </c>
      <c r="G3217" s="156"/>
    </row>
    <row r="3218" spans="2:7" x14ac:dyDescent="0.2">
      <c r="B3218" s="230">
        <v>41254</v>
      </c>
      <c r="C3218" s="124">
        <v>201.07</v>
      </c>
      <c r="D3218" s="156">
        <f t="shared" si="51"/>
        <v>-8.6772173741557924E-3</v>
      </c>
      <c r="E3218" s="156">
        <v>-5.0093457943924296E-3</v>
      </c>
      <c r="G3218" s="156"/>
    </row>
    <row r="3219" spans="2:7" x14ac:dyDescent="0.2">
      <c r="B3219" s="230">
        <v>41253</v>
      </c>
      <c r="C3219" s="124">
        <v>200.18</v>
      </c>
      <c r="D3219" s="156">
        <f t="shared" si="51"/>
        <v>-4.4263191923210148E-3</v>
      </c>
      <c r="E3219" s="156">
        <v>-5.0107372942019149E-3</v>
      </c>
      <c r="G3219" s="156"/>
    </row>
    <row r="3220" spans="2:7" x14ac:dyDescent="0.2">
      <c r="B3220" s="230">
        <v>41250</v>
      </c>
      <c r="C3220" s="124">
        <v>199.88</v>
      </c>
      <c r="D3220" s="156">
        <f t="shared" si="51"/>
        <v>-1.4986512139075401E-3</v>
      </c>
      <c r="E3220" s="156">
        <v>-5.0139275766017555E-3</v>
      </c>
      <c r="G3220" s="156"/>
    </row>
    <row r="3221" spans="2:7" x14ac:dyDescent="0.2">
      <c r="B3221" s="230">
        <v>41249</v>
      </c>
      <c r="C3221" s="124">
        <v>199.78</v>
      </c>
      <c r="D3221" s="156">
        <f t="shared" si="51"/>
        <v>-5.0030018010803641E-4</v>
      </c>
      <c r="E3221" s="156">
        <v>-5.0262737034498257E-3</v>
      </c>
      <c r="G3221" s="156"/>
    </row>
    <row r="3222" spans="2:7" x14ac:dyDescent="0.2">
      <c r="B3222" s="230">
        <v>41248</v>
      </c>
      <c r="C3222" s="124">
        <v>197.49</v>
      </c>
      <c r="D3222" s="156">
        <f t="shared" si="51"/>
        <v>-1.1462608869756693E-2</v>
      </c>
      <c r="E3222" s="156">
        <v>-5.029337803855778E-3</v>
      </c>
      <c r="G3222" s="156"/>
    </row>
    <row r="3223" spans="2:7" x14ac:dyDescent="0.2">
      <c r="B3223" s="230">
        <v>41247</v>
      </c>
      <c r="C3223" s="124">
        <v>195.67</v>
      </c>
      <c r="D3223" s="156">
        <f t="shared" si="51"/>
        <v>-9.215656488936257E-3</v>
      </c>
      <c r="E3223" s="156">
        <v>-5.0435910368181328E-3</v>
      </c>
      <c r="G3223" s="156"/>
    </row>
    <row r="3224" spans="2:7" x14ac:dyDescent="0.2">
      <c r="B3224" s="230">
        <v>41246</v>
      </c>
      <c r="C3224" s="124">
        <v>196.33</v>
      </c>
      <c r="D3224" s="156">
        <f t="shared" si="51"/>
        <v>3.3730260131855936E-3</v>
      </c>
      <c r="E3224" s="156">
        <v>-5.0472158905894215E-3</v>
      </c>
      <c r="G3224" s="156"/>
    </row>
    <row r="3225" spans="2:7" x14ac:dyDescent="0.2">
      <c r="B3225" s="230">
        <v>41243</v>
      </c>
      <c r="C3225" s="124">
        <v>197.89</v>
      </c>
      <c r="D3225" s="156">
        <f t="shared" si="51"/>
        <v>7.9458055315029478E-3</v>
      </c>
      <c r="E3225" s="156">
        <v>-5.0570153693603468E-3</v>
      </c>
      <c r="G3225" s="156"/>
    </row>
    <row r="3226" spans="2:7" x14ac:dyDescent="0.2">
      <c r="B3226" s="230">
        <v>41242</v>
      </c>
      <c r="C3226" s="124">
        <v>197.56</v>
      </c>
      <c r="D3226" s="156">
        <f t="shared" si="51"/>
        <v>-1.6675931072817429E-3</v>
      </c>
      <c r="E3226" s="156">
        <v>-5.057921357480866E-3</v>
      </c>
      <c r="G3226" s="156"/>
    </row>
    <row r="3227" spans="2:7" x14ac:dyDescent="0.2">
      <c r="B3227" s="230">
        <v>41240</v>
      </c>
      <c r="C3227" s="124">
        <v>195.07</v>
      </c>
      <c r="D3227" s="156">
        <f t="shared" si="51"/>
        <v>-1.2603765944523228E-2</v>
      </c>
      <c r="E3227" s="156">
        <v>-5.08130081300813E-3</v>
      </c>
      <c r="G3227" s="156"/>
    </row>
    <row r="3228" spans="2:7" x14ac:dyDescent="0.2">
      <c r="B3228" s="230">
        <v>41239</v>
      </c>
      <c r="C3228" s="124">
        <v>190.33</v>
      </c>
      <c r="D3228" s="156">
        <f t="shared" si="51"/>
        <v>-2.4298969600656077E-2</v>
      </c>
      <c r="E3228" s="156">
        <v>-5.0868268724784975E-3</v>
      </c>
      <c r="G3228" s="156"/>
    </row>
    <row r="3229" spans="2:7" x14ac:dyDescent="0.2">
      <c r="B3229" s="230">
        <v>41236</v>
      </c>
      <c r="C3229" s="124">
        <v>190</v>
      </c>
      <c r="D3229" s="156">
        <f t="shared" si="51"/>
        <v>-1.7338307150738847E-3</v>
      </c>
      <c r="E3229" s="156">
        <v>-5.0936874658906095E-3</v>
      </c>
      <c r="G3229" s="156"/>
    </row>
    <row r="3230" spans="2:7" x14ac:dyDescent="0.2">
      <c r="B3230" s="230">
        <v>41235</v>
      </c>
      <c r="C3230" s="124">
        <v>191.59</v>
      </c>
      <c r="D3230" s="156">
        <f t="shared" si="51"/>
        <v>8.3684210526315961E-3</v>
      </c>
      <c r="E3230" s="156">
        <v>-5.0937717064134958E-3</v>
      </c>
      <c r="G3230" s="156"/>
    </row>
    <row r="3231" spans="2:7" x14ac:dyDescent="0.2">
      <c r="B3231" s="230">
        <v>41234</v>
      </c>
      <c r="C3231" s="124">
        <v>189.67</v>
      </c>
      <c r="D3231" s="156">
        <f t="shared" si="51"/>
        <v>-1.0021399864293627E-2</v>
      </c>
      <c r="E3231" s="156">
        <v>-5.1133458326232187E-3</v>
      </c>
      <c r="G3231" s="156"/>
    </row>
    <row r="3232" spans="2:7" x14ac:dyDescent="0.2">
      <c r="B3232" s="230">
        <v>41233</v>
      </c>
      <c r="C3232" s="124">
        <v>185.99</v>
      </c>
      <c r="D3232" s="156">
        <f t="shared" si="51"/>
        <v>-1.9402119470659455E-2</v>
      </c>
      <c r="E3232" s="156">
        <v>-5.123966942148798E-3</v>
      </c>
      <c r="G3232" s="156"/>
    </row>
    <row r="3233" spans="2:7" x14ac:dyDescent="0.2">
      <c r="B3233" s="230">
        <v>41232</v>
      </c>
      <c r="C3233" s="124">
        <v>186.75</v>
      </c>
      <c r="D3233" s="156">
        <f t="shared" si="51"/>
        <v>4.0862411957631644E-3</v>
      </c>
      <c r="E3233" s="156">
        <v>-5.1269163106307204E-3</v>
      </c>
      <c r="G3233" s="156"/>
    </row>
    <row r="3234" spans="2:7" x14ac:dyDescent="0.2">
      <c r="B3234" s="230">
        <v>41229</v>
      </c>
      <c r="C3234" s="124">
        <v>182.08</v>
      </c>
      <c r="D3234" s="156">
        <f t="shared" si="51"/>
        <v>-2.5006693440428312E-2</v>
      </c>
      <c r="E3234" s="156">
        <v>-5.1288313591402266E-3</v>
      </c>
      <c r="G3234" s="156"/>
    </row>
    <row r="3235" spans="2:7" x14ac:dyDescent="0.2">
      <c r="B3235" s="230">
        <v>41228</v>
      </c>
      <c r="C3235" s="124">
        <v>183.27</v>
      </c>
      <c r="D3235" s="156">
        <f t="shared" si="51"/>
        <v>6.5355887521968232E-3</v>
      </c>
      <c r="E3235" s="156">
        <v>-5.135032331684922E-3</v>
      </c>
      <c r="G3235" s="156"/>
    </row>
    <row r="3236" spans="2:7" x14ac:dyDescent="0.2">
      <c r="B3236" s="230">
        <v>41226</v>
      </c>
      <c r="C3236" s="124">
        <v>188.21</v>
      </c>
      <c r="D3236" s="156">
        <f t="shared" si="51"/>
        <v>2.6954766191957209E-2</v>
      </c>
      <c r="E3236" s="156">
        <v>-5.135135135135074E-3</v>
      </c>
      <c r="G3236" s="156"/>
    </row>
    <row r="3237" spans="2:7" x14ac:dyDescent="0.2">
      <c r="B3237" s="230">
        <v>41225</v>
      </c>
      <c r="C3237" s="124">
        <v>188.15</v>
      </c>
      <c r="D3237" s="156">
        <f t="shared" si="51"/>
        <v>-3.1879283778758977E-4</v>
      </c>
      <c r="E3237" s="156">
        <v>-5.1388718952648594E-3</v>
      </c>
      <c r="G3237" s="156"/>
    </row>
    <row r="3238" spans="2:7" x14ac:dyDescent="0.2">
      <c r="B3238" s="230">
        <v>41222</v>
      </c>
      <c r="C3238" s="124">
        <v>191.03</v>
      </c>
      <c r="D3238" s="156">
        <f t="shared" si="51"/>
        <v>1.5306935955354746E-2</v>
      </c>
      <c r="E3238" s="156">
        <v>-5.1422694549195106E-3</v>
      </c>
      <c r="G3238" s="156"/>
    </row>
    <row r="3239" spans="2:7" x14ac:dyDescent="0.2">
      <c r="B3239" s="230">
        <v>41221</v>
      </c>
      <c r="C3239" s="124">
        <v>191.59</v>
      </c>
      <c r="D3239" s="156">
        <f t="shared" si="51"/>
        <v>2.9314767314034562E-3</v>
      </c>
      <c r="E3239" s="156">
        <v>-5.1624658366231056E-3</v>
      </c>
      <c r="G3239" s="156"/>
    </row>
    <row r="3240" spans="2:7" x14ac:dyDescent="0.2">
      <c r="B3240" s="230">
        <v>41220</v>
      </c>
      <c r="C3240" s="124">
        <v>192.22</v>
      </c>
      <c r="D3240" s="156">
        <f t="shared" si="51"/>
        <v>3.2882718304712952E-3</v>
      </c>
      <c r="E3240" s="156">
        <v>-5.1760791200665705E-3</v>
      </c>
      <c r="G3240" s="156"/>
    </row>
    <row r="3241" spans="2:7" x14ac:dyDescent="0.2">
      <c r="B3241" s="230">
        <v>41219</v>
      </c>
      <c r="C3241" s="124">
        <v>191.69</v>
      </c>
      <c r="D3241" s="156">
        <f t="shared" si="51"/>
        <v>-2.7572573093330617E-3</v>
      </c>
      <c r="E3241" s="156">
        <v>-5.1818353118522438E-3</v>
      </c>
      <c r="G3241" s="156"/>
    </row>
    <row r="3242" spans="2:7" x14ac:dyDescent="0.2">
      <c r="B3242" s="230">
        <v>41218</v>
      </c>
      <c r="C3242" s="124">
        <v>191.36</v>
      </c>
      <c r="D3242" s="156">
        <f t="shared" si="51"/>
        <v>-1.7215295529239088E-3</v>
      </c>
      <c r="E3242" s="156">
        <v>-5.1888694717032047E-3</v>
      </c>
      <c r="G3242" s="156"/>
    </row>
    <row r="3243" spans="2:7" x14ac:dyDescent="0.2">
      <c r="B3243" s="230">
        <v>41215</v>
      </c>
      <c r="C3243" s="124">
        <v>187.75</v>
      </c>
      <c r="D3243" s="156">
        <f t="shared" si="51"/>
        <v>-1.8864966555184017E-2</v>
      </c>
      <c r="E3243" s="156">
        <v>-5.1978928721270841E-3</v>
      </c>
      <c r="G3243" s="156"/>
    </row>
    <row r="3244" spans="2:7" x14ac:dyDescent="0.2">
      <c r="B3244" s="230">
        <v>41214</v>
      </c>
      <c r="C3244" s="124">
        <v>185.16</v>
      </c>
      <c r="D3244" s="156">
        <f t="shared" si="51"/>
        <v>-1.3794940079893493E-2</v>
      </c>
      <c r="E3244" s="156">
        <v>-5.2196406300521756E-3</v>
      </c>
      <c r="G3244" s="156"/>
    </row>
    <row r="3245" spans="2:7" x14ac:dyDescent="0.2">
      <c r="B3245" s="230">
        <v>41213</v>
      </c>
      <c r="C3245" s="124">
        <v>187.32</v>
      </c>
      <c r="D3245" s="156">
        <f t="shared" si="51"/>
        <v>1.1665586519766669E-2</v>
      </c>
      <c r="E3245" s="156">
        <v>-5.2213393870601844E-3</v>
      </c>
      <c r="G3245" s="156"/>
    </row>
    <row r="3246" spans="2:7" x14ac:dyDescent="0.2">
      <c r="B3246" s="230">
        <v>41212</v>
      </c>
      <c r="C3246" s="124">
        <v>188.35</v>
      </c>
      <c r="D3246" s="156">
        <f t="shared" si="51"/>
        <v>5.4986120008541596E-3</v>
      </c>
      <c r="E3246" s="156">
        <v>-5.2220527750820069E-3</v>
      </c>
      <c r="G3246" s="156"/>
    </row>
    <row r="3247" spans="2:7" x14ac:dyDescent="0.2">
      <c r="B3247" s="230">
        <v>41211</v>
      </c>
      <c r="C3247" s="124">
        <v>191.1</v>
      </c>
      <c r="D3247" s="156">
        <f t="shared" si="51"/>
        <v>1.4600477833820017E-2</v>
      </c>
      <c r="E3247" s="156">
        <v>-5.2246603970741903E-3</v>
      </c>
      <c r="G3247" s="156"/>
    </row>
    <row r="3248" spans="2:7" x14ac:dyDescent="0.2">
      <c r="B3248" s="230">
        <v>41208</v>
      </c>
      <c r="C3248" s="124">
        <v>189.51</v>
      </c>
      <c r="D3248" s="156">
        <f t="shared" si="51"/>
        <v>-8.3202511773940533E-3</v>
      </c>
      <c r="E3248" s="156">
        <v>-5.2297939778129677E-3</v>
      </c>
      <c r="G3248" s="156"/>
    </row>
    <row r="3249" spans="2:7" x14ac:dyDescent="0.2">
      <c r="B3249" s="230">
        <v>41207</v>
      </c>
      <c r="C3249" s="124">
        <v>193.62</v>
      </c>
      <c r="D3249" s="156">
        <f t="shared" si="51"/>
        <v>2.1687509893937067E-2</v>
      </c>
      <c r="E3249" s="156">
        <v>-5.2308802308801902E-3</v>
      </c>
      <c r="G3249" s="156"/>
    </row>
    <row r="3250" spans="2:7" x14ac:dyDescent="0.2">
      <c r="B3250" s="230">
        <v>41205</v>
      </c>
      <c r="C3250" s="124">
        <v>192.26</v>
      </c>
      <c r="D3250" s="156">
        <f t="shared" si="51"/>
        <v>-7.024067761594947E-3</v>
      </c>
      <c r="E3250" s="156">
        <v>-5.2477279390208747E-3</v>
      </c>
      <c r="G3250" s="156"/>
    </row>
    <row r="3251" spans="2:7" x14ac:dyDescent="0.2">
      <c r="B3251" s="230">
        <v>41204</v>
      </c>
      <c r="C3251" s="124">
        <v>194.91</v>
      </c>
      <c r="D3251" s="156">
        <f t="shared" si="51"/>
        <v>1.3783418287735388E-2</v>
      </c>
      <c r="E3251" s="156">
        <v>-5.2511815158410649E-3</v>
      </c>
      <c r="G3251" s="156"/>
    </row>
    <row r="3252" spans="2:7" x14ac:dyDescent="0.2">
      <c r="B3252" s="230">
        <v>41201</v>
      </c>
      <c r="C3252" s="124">
        <v>197.23</v>
      </c>
      <c r="D3252" s="156">
        <f t="shared" si="51"/>
        <v>1.1902929557231509E-2</v>
      </c>
      <c r="E3252" s="156">
        <v>-5.2569102933695483E-3</v>
      </c>
      <c r="G3252" s="156"/>
    </row>
    <row r="3253" spans="2:7" x14ac:dyDescent="0.2">
      <c r="B3253" s="230">
        <v>41200</v>
      </c>
      <c r="C3253" s="124">
        <v>193.32</v>
      </c>
      <c r="D3253" s="156">
        <f t="shared" si="51"/>
        <v>-1.9824570298636095E-2</v>
      </c>
      <c r="E3253" s="156">
        <v>-5.2607502287282965E-3</v>
      </c>
      <c r="G3253" s="156"/>
    </row>
    <row r="3254" spans="2:7" x14ac:dyDescent="0.2">
      <c r="B3254" s="230">
        <v>41199</v>
      </c>
      <c r="C3254" s="124">
        <v>191.1</v>
      </c>
      <c r="D3254" s="156">
        <f t="shared" si="51"/>
        <v>-1.1483550589695836E-2</v>
      </c>
      <c r="E3254" s="156">
        <v>-5.263157894736881E-3</v>
      </c>
      <c r="G3254" s="156"/>
    </row>
    <row r="3255" spans="2:7" x14ac:dyDescent="0.2">
      <c r="B3255" s="230">
        <v>41198</v>
      </c>
      <c r="C3255" s="124">
        <v>189.9</v>
      </c>
      <c r="D3255" s="156">
        <f t="shared" si="51"/>
        <v>-6.2794348508633628E-3</v>
      </c>
      <c r="E3255" s="156">
        <v>-5.2684903748733995E-3</v>
      </c>
      <c r="G3255" s="156"/>
    </row>
    <row r="3256" spans="2:7" x14ac:dyDescent="0.2">
      <c r="B3256" s="230">
        <v>41197</v>
      </c>
      <c r="C3256" s="124">
        <v>190.1</v>
      </c>
      <c r="D3256" s="156">
        <f t="shared" si="51"/>
        <v>1.0531858873090501E-3</v>
      </c>
      <c r="E3256" s="156">
        <v>-5.273566249175893E-3</v>
      </c>
      <c r="G3256" s="156"/>
    </row>
    <row r="3257" spans="2:7" x14ac:dyDescent="0.2">
      <c r="B3257" s="230">
        <v>41194</v>
      </c>
      <c r="C3257" s="124">
        <v>187.95</v>
      </c>
      <c r="D3257" s="156">
        <f t="shared" si="51"/>
        <v>-1.1309836927932698E-2</v>
      </c>
      <c r="E3257" s="156">
        <v>-5.2793124616328478E-3</v>
      </c>
      <c r="G3257" s="156"/>
    </row>
    <row r="3258" spans="2:7" x14ac:dyDescent="0.2">
      <c r="B3258" s="230">
        <v>41193</v>
      </c>
      <c r="C3258" s="124">
        <v>187.95</v>
      </c>
      <c r="D3258" s="156">
        <f t="shared" si="51"/>
        <v>0</v>
      </c>
      <c r="E3258" s="156">
        <v>-5.2800089872493275E-3</v>
      </c>
      <c r="G3258" s="156"/>
    </row>
    <row r="3259" spans="2:7" x14ac:dyDescent="0.2">
      <c r="B3259" s="230">
        <v>41192</v>
      </c>
      <c r="C3259" s="124">
        <v>186.29</v>
      </c>
      <c r="D3259" s="156">
        <f t="shared" si="51"/>
        <v>-8.8321362064378642E-3</v>
      </c>
      <c r="E3259" s="156">
        <v>-5.2831783601014369E-3</v>
      </c>
      <c r="G3259" s="156"/>
    </row>
    <row r="3260" spans="2:7" x14ac:dyDescent="0.2">
      <c r="B3260" s="230">
        <v>41191</v>
      </c>
      <c r="C3260" s="124">
        <v>185.66</v>
      </c>
      <c r="D3260" s="156">
        <f t="shared" si="51"/>
        <v>-3.3818240377905175E-3</v>
      </c>
      <c r="E3260" s="156">
        <v>-5.2914110429447677E-3</v>
      </c>
      <c r="G3260" s="156"/>
    </row>
    <row r="3261" spans="2:7" x14ac:dyDescent="0.2">
      <c r="B3261" s="230">
        <v>41190</v>
      </c>
      <c r="C3261" s="124">
        <v>184.14</v>
      </c>
      <c r="D3261" s="156">
        <f t="shared" si="51"/>
        <v>-8.1870085101799547E-3</v>
      </c>
      <c r="E3261" s="156">
        <v>-5.3051764099922797E-3</v>
      </c>
      <c r="G3261" s="156"/>
    </row>
    <row r="3262" spans="2:7" x14ac:dyDescent="0.2">
      <c r="B3262" s="230">
        <v>41187</v>
      </c>
      <c r="C3262" s="124">
        <v>182.74</v>
      </c>
      <c r="D3262" s="156">
        <f t="shared" ref="D3262:D3325" si="52">(C3262-C3261)/C3261</f>
        <v>-7.6029108287171574E-3</v>
      </c>
      <c r="E3262" s="156">
        <v>-5.3133170279159609E-3</v>
      </c>
      <c r="G3262" s="156"/>
    </row>
    <row r="3263" spans="2:7" x14ac:dyDescent="0.2">
      <c r="B3263" s="230">
        <v>41186</v>
      </c>
      <c r="C3263" s="124">
        <v>182.51</v>
      </c>
      <c r="D3263" s="156">
        <f t="shared" si="52"/>
        <v>-1.2586188026705602E-3</v>
      </c>
      <c r="E3263" s="156">
        <v>-5.3142949165278907E-3</v>
      </c>
      <c r="G3263" s="156"/>
    </row>
    <row r="3264" spans="2:7" x14ac:dyDescent="0.2">
      <c r="B3264" s="230">
        <v>41185</v>
      </c>
      <c r="C3264" s="124">
        <v>179.16</v>
      </c>
      <c r="D3264" s="156">
        <f t="shared" si="52"/>
        <v>-1.8355158621445371E-2</v>
      </c>
      <c r="E3264" s="156">
        <v>-5.3144375553587243E-3</v>
      </c>
      <c r="G3264" s="156"/>
    </row>
    <row r="3265" spans="2:7" x14ac:dyDescent="0.2">
      <c r="B3265" s="230">
        <v>41183</v>
      </c>
      <c r="C3265" s="124">
        <v>181.15</v>
      </c>
      <c r="D3265" s="156">
        <f t="shared" si="52"/>
        <v>1.1107390042420234E-2</v>
      </c>
      <c r="E3265" s="156">
        <v>-5.3159800192474982E-3</v>
      </c>
      <c r="G3265" s="156"/>
    </row>
    <row r="3266" spans="2:7" x14ac:dyDescent="0.2">
      <c r="B3266" s="230">
        <v>41180</v>
      </c>
      <c r="C3266" s="124">
        <v>180.59</v>
      </c>
      <c r="D3266" s="156">
        <f t="shared" si="52"/>
        <v>-3.0913607507590517E-3</v>
      </c>
      <c r="E3266" s="156">
        <v>-5.3181386514718982E-3</v>
      </c>
      <c r="G3266" s="156"/>
    </row>
    <row r="3267" spans="2:7" x14ac:dyDescent="0.2">
      <c r="B3267" s="230">
        <v>41179</v>
      </c>
      <c r="C3267" s="124">
        <v>176.98</v>
      </c>
      <c r="D3267" s="156">
        <f t="shared" si="52"/>
        <v>-1.9990032670690591E-2</v>
      </c>
      <c r="E3267" s="156">
        <v>-5.3277040611178234E-3</v>
      </c>
      <c r="G3267" s="156"/>
    </row>
    <row r="3268" spans="2:7" x14ac:dyDescent="0.2">
      <c r="B3268" s="230">
        <v>41178</v>
      </c>
      <c r="C3268" s="124">
        <v>174.89</v>
      </c>
      <c r="D3268" s="156">
        <f t="shared" si="52"/>
        <v>-1.1809243982370909E-2</v>
      </c>
      <c r="E3268" s="156">
        <v>-5.3396618214180099E-3</v>
      </c>
      <c r="G3268" s="156"/>
    </row>
    <row r="3269" spans="2:7" x14ac:dyDescent="0.2">
      <c r="B3269" s="230">
        <v>41177</v>
      </c>
      <c r="C3269" s="124">
        <v>172.9</v>
      </c>
      <c r="D3269" s="156">
        <f t="shared" si="52"/>
        <v>-1.1378580822231006E-2</v>
      </c>
      <c r="E3269" s="156">
        <v>-5.3444180522565932E-3</v>
      </c>
      <c r="G3269" s="156"/>
    </row>
    <row r="3270" spans="2:7" x14ac:dyDescent="0.2">
      <c r="B3270" s="230">
        <v>41176</v>
      </c>
      <c r="C3270" s="124">
        <v>169.62</v>
      </c>
      <c r="D3270" s="156">
        <f t="shared" si="52"/>
        <v>-1.8970503181029504E-2</v>
      </c>
      <c r="E3270" s="156">
        <v>-5.3453068206115026E-3</v>
      </c>
      <c r="G3270" s="156"/>
    </row>
    <row r="3271" spans="2:7" x14ac:dyDescent="0.2">
      <c r="B3271" s="230">
        <v>41173</v>
      </c>
      <c r="C3271" s="124">
        <v>173.43</v>
      </c>
      <c r="D3271" s="156">
        <f t="shared" si="52"/>
        <v>2.246197382384154E-2</v>
      </c>
      <c r="E3271" s="156">
        <v>-5.357334190506804E-3</v>
      </c>
      <c r="G3271" s="156"/>
    </row>
    <row r="3272" spans="2:7" x14ac:dyDescent="0.2">
      <c r="B3272" s="230">
        <v>41172</v>
      </c>
      <c r="C3272" s="124">
        <v>170.02</v>
      </c>
      <c r="D3272" s="156">
        <f t="shared" si="52"/>
        <v>-1.9662111514732149E-2</v>
      </c>
      <c r="E3272" s="156">
        <v>-5.3583389149363192E-3</v>
      </c>
      <c r="G3272" s="156"/>
    </row>
    <row r="3273" spans="2:7" x14ac:dyDescent="0.2">
      <c r="B3273" s="230">
        <v>41170</v>
      </c>
      <c r="C3273" s="124">
        <v>168.52</v>
      </c>
      <c r="D3273" s="156">
        <f t="shared" si="52"/>
        <v>-8.8224914715915766E-3</v>
      </c>
      <c r="E3273" s="156">
        <v>-5.3641673620216952E-3</v>
      </c>
      <c r="G3273" s="156"/>
    </row>
    <row r="3274" spans="2:7" x14ac:dyDescent="0.2">
      <c r="B3274" s="230">
        <v>41169</v>
      </c>
      <c r="C3274" s="124">
        <v>168.06</v>
      </c>
      <c r="D3274" s="156">
        <f t="shared" si="52"/>
        <v>-2.7296463327795392E-3</v>
      </c>
      <c r="E3274" s="156">
        <v>-5.3647768867527987E-3</v>
      </c>
      <c r="G3274" s="156"/>
    </row>
    <row r="3275" spans="2:7" x14ac:dyDescent="0.2">
      <c r="B3275" s="230">
        <v>41166</v>
      </c>
      <c r="C3275" s="124">
        <v>177.84</v>
      </c>
      <c r="D3275" s="156">
        <f t="shared" si="52"/>
        <v>5.8193502320599791E-2</v>
      </c>
      <c r="E3275" s="156">
        <v>-5.3768557289683837E-3</v>
      </c>
      <c r="G3275" s="156"/>
    </row>
    <row r="3276" spans="2:7" x14ac:dyDescent="0.2">
      <c r="B3276" s="230">
        <v>41165</v>
      </c>
      <c r="C3276" s="124">
        <v>178.77</v>
      </c>
      <c r="D3276" s="156">
        <f t="shared" si="52"/>
        <v>5.2294197031039517E-3</v>
      </c>
      <c r="E3276" s="156">
        <v>-5.378858746492075E-3</v>
      </c>
      <c r="G3276" s="156"/>
    </row>
    <row r="3277" spans="2:7" x14ac:dyDescent="0.2">
      <c r="B3277" s="230">
        <v>41164</v>
      </c>
      <c r="C3277" s="124">
        <v>178.53</v>
      </c>
      <c r="D3277" s="156">
        <f t="shared" si="52"/>
        <v>-1.3425071320691899E-3</v>
      </c>
      <c r="E3277" s="156">
        <v>-5.3812909521816533E-3</v>
      </c>
      <c r="G3277" s="156"/>
    </row>
    <row r="3278" spans="2:7" x14ac:dyDescent="0.2">
      <c r="B3278" s="230">
        <v>41163</v>
      </c>
      <c r="C3278" s="124">
        <v>177.21</v>
      </c>
      <c r="D3278" s="156">
        <f t="shared" si="52"/>
        <v>-7.3937153419592963E-3</v>
      </c>
      <c r="E3278" s="156">
        <v>-5.3835800807537229E-3</v>
      </c>
      <c r="G3278" s="156"/>
    </row>
    <row r="3279" spans="2:7" x14ac:dyDescent="0.2">
      <c r="B3279" s="230">
        <v>41162</v>
      </c>
      <c r="C3279" s="124">
        <v>175.45</v>
      </c>
      <c r="D3279" s="156">
        <f t="shared" si="52"/>
        <v>-9.9317194289262421E-3</v>
      </c>
      <c r="E3279" s="156">
        <v>-5.3902449712958048E-3</v>
      </c>
      <c r="G3279" s="156"/>
    </row>
    <row r="3280" spans="2:7" x14ac:dyDescent="0.2">
      <c r="B3280" s="230">
        <v>41160</v>
      </c>
      <c r="C3280" s="124">
        <v>174.59</v>
      </c>
      <c r="D3280" s="156">
        <f t="shared" si="52"/>
        <v>-4.90168139070952E-3</v>
      </c>
      <c r="E3280" s="156">
        <v>-5.4023315325562931E-3</v>
      </c>
      <c r="G3280" s="156"/>
    </row>
    <row r="3281" spans="2:7" x14ac:dyDescent="0.2">
      <c r="B3281" s="230">
        <v>41159</v>
      </c>
      <c r="C3281" s="124">
        <v>174.19</v>
      </c>
      <c r="D3281" s="156">
        <f t="shared" si="52"/>
        <v>-2.2910819634572753E-3</v>
      </c>
      <c r="E3281" s="156">
        <v>-5.422153369481081E-3</v>
      </c>
      <c r="G3281" s="156"/>
    </row>
    <row r="3282" spans="2:7" x14ac:dyDescent="0.2">
      <c r="B3282" s="230">
        <v>41158</v>
      </c>
      <c r="C3282" s="124">
        <v>172.67</v>
      </c>
      <c r="D3282" s="156">
        <f t="shared" si="52"/>
        <v>-8.7261036798898343E-3</v>
      </c>
      <c r="E3282" s="156">
        <v>-5.4234799983688131E-3</v>
      </c>
      <c r="G3282" s="156"/>
    </row>
    <row r="3283" spans="2:7" x14ac:dyDescent="0.2">
      <c r="B3283" s="230">
        <v>41157</v>
      </c>
      <c r="C3283" s="124">
        <v>177.51</v>
      </c>
      <c r="D3283" s="156">
        <f t="shared" si="52"/>
        <v>2.8030346904499934E-2</v>
      </c>
      <c r="E3283" s="156">
        <v>-5.4282557525099466E-3</v>
      </c>
      <c r="G3283" s="156"/>
    </row>
    <row r="3284" spans="2:7" x14ac:dyDescent="0.2">
      <c r="B3284" s="230">
        <v>41156</v>
      </c>
      <c r="C3284" s="124">
        <v>176.68</v>
      </c>
      <c r="D3284" s="156">
        <f t="shared" si="52"/>
        <v>-4.6757929130752307E-3</v>
      </c>
      <c r="E3284" s="156">
        <v>-5.4283691291007055E-3</v>
      </c>
      <c r="G3284" s="156"/>
    </row>
    <row r="3285" spans="2:7" x14ac:dyDescent="0.2">
      <c r="B3285" s="230">
        <v>41155</v>
      </c>
      <c r="C3285" s="124">
        <v>177.41</v>
      </c>
      <c r="D3285" s="156">
        <f t="shared" si="52"/>
        <v>4.1317636404799053E-3</v>
      </c>
      <c r="E3285" s="156">
        <v>-5.4335521847408193E-3</v>
      </c>
      <c r="G3285" s="156"/>
    </row>
    <row r="3286" spans="2:7" x14ac:dyDescent="0.2">
      <c r="B3286" s="230">
        <v>41152</v>
      </c>
      <c r="C3286" s="124">
        <v>177.44</v>
      </c>
      <c r="D3286" s="156">
        <f t="shared" si="52"/>
        <v>1.6909982526352031E-4</v>
      </c>
      <c r="E3286" s="156">
        <v>-5.4384772263766593E-3</v>
      </c>
      <c r="G3286" s="156"/>
    </row>
    <row r="3287" spans="2:7" x14ac:dyDescent="0.2">
      <c r="B3287" s="230">
        <v>41151</v>
      </c>
      <c r="C3287" s="124">
        <v>179.4</v>
      </c>
      <c r="D3287" s="156">
        <f t="shared" si="52"/>
        <v>1.1045987376014473E-2</v>
      </c>
      <c r="E3287" s="156">
        <v>-5.4412833923587331E-3</v>
      </c>
      <c r="G3287" s="156"/>
    </row>
    <row r="3288" spans="2:7" x14ac:dyDescent="0.2">
      <c r="B3288" s="230">
        <v>41150</v>
      </c>
      <c r="C3288" s="124">
        <v>178.57</v>
      </c>
      <c r="D3288" s="156">
        <f t="shared" si="52"/>
        <v>-4.6265328874025222E-3</v>
      </c>
      <c r="E3288" s="156">
        <v>-5.4452836817144258E-3</v>
      </c>
      <c r="G3288" s="156"/>
    </row>
    <row r="3289" spans="2:7" x14ac:dyDescent="0.2">
      <c r="B3289" s="230">
        <v>41149</v>
      </c>
      <c r="C3289" s="124">
        <v>177.77</v>
      </c>
      <c r="D3289" s="156">
        <f t="shared" si="52"/>
        <v>-4.480035840286627E-3</v>
      </c>
      <c r="E3289" s="156">
        <v>-5.4475439090823545E-3</v>
      </c>
      <c r="G3289" s="156"/>
    </row>
    <row r="3290" spans="2:7" x14ac:dyDescent="0.2">
      <c r="B3290" s="230">
        <v>41148</v>
      </c>
      <c r="C3290" s="124">
        <v>175.92</v>
      </c>
      <c r="D3290" s="156">
        <f t="shared" si="52"/>
        <v>-1.0406705293356711E-2</v>
      </c>
      <c r="E3290" s="156">
        <v>-5.4575986565910282E-3</v>
      </c>
      <c r="G3290" s="156"/>
    </row>
    <row r="3291" spans="2:7" x14ac:dyDescent="0.2">
      <c r="B3291" s="230">
        <v>41145</v>
      </c>
      <c r="C3291" s="124">
        <v>175.78</v>
      </c>
      <c r="D3291" s="156">
        <f t="shared" si="52"/>
        <v>-7.9581628012725307E-4</v>
      </c>
      <c r="E3291" s="156">
        <v>-5.4603652796083443E-3</v>
      </c>
      <c r="G3291" s="156"/>
    </row>
    <row r="3292" spans="2:7" x14ac:dyDescent="0.2">
      <c r="B3292" s="230">
        <v>41144</v>
      </c>
      <c r="C3292" s="124">
        <v>175.19</v>
      </c>
      <c r="D3292" s="156">
        <f t="shared" si="52"/>
        <v>-3.3564683126635761E-3</v>
      </c>
      <c r="E3292" s="156">
        <v>-5.4671364354270443E-3</v>
      </c>
      <c r="G3292" s="156"/>
    </row>
    <row r="3293" spans="2:7" x14ac:dyDescent="0.2">
      <c r="B3293" s="230">
        <v>41143</v>
      </c>
      <c r="C3293" s="124">
        <v>173.46</v>
      </c>
      <c r="D3293" s="156">
        <f t="shared" si="52"/>
        <v>-9.8749928648894907E-3</v>
      </c>
      <c r="E3293" s="156">
        <v>-5.4932981762250048E-3</v>
      </c>
      <c r="G3293" s="156"/>
    </row>
    <row r="3294" spans="2:7" x14ac:dyDescent="0.2">
      <c r="B3294" s="230">
        <v>41142</v>
      </c>
      <c r="C3294" s="124">
        <v>172.87</v>
      </c>
      <c r="D3294" s="156">
        <f t="shared" si="52"/>
        <v>-3.4013605442177065E-3</v>
      </c>
      <c r="E3294" s="156">
        <v>-5.496889917546586E-3</v>
      </c>
      <c r="G3294" s="156"/>
    </row>
    <row r="3295" spans="2:7" x14ac:dyDescent="0.2">
      <c r="B3295" s="230">
        <v>41138</v>
      </c>
      <c r="C3295" s="124">
        <v>173.76</v>
      </c>
      <c r="D3295" s="156">
        <f t="shared" si="52"/>
        <v>5.1483773934169396E-3</v>
      </c>
      <c r="E3295" s="156">
        <v>-5.4990834860856241E-3</v>
      </c>
      <c r="G3295" s="156"/>
    </row>
    <row r="3296" spans="2:7" x14ac:dyDescent="0.2">
      <c r="B3296" s="230">
        <v>41137</v>
      </c>
      <c r="C3296" s="124">
        <v>171.27</v>
      </c>
      <c r="D3296" s="156">
        <f t="shared" si="52"/>
        <v>-1.4330110497237458E-2</v>
      </c>
      <c r="E3296" s="156">
        <v>-5.5082623935903572E-3</v>
      </c>
      <c r="G3296" s="156"/>
    </row>
    <row r="3297" spans="2:7" x14ac:dyDescent="0.2">
      <c r="B3297" s="230">
        <v>41135</v>
      </c>
      <c r="C3297" s="124">
        <v>177.54</v>
      </c>
      <c r="D3297" s="156">
        <f t="shared" si="52"/>
        <v>3.6608863198458463E-2</v>
      </c>
      <c r="E3297" s="156">
        <v>-5.5145295866500703E-3</v>
      </c>
      <c r="G3297" s="156"/>
    </row>
    <row r="3298" spans="2:7" x14ac:dyDescent="0.2">
      <c r="B3298" s="230">
        <v>41134</v>
      </c>
      <c r="C3298" s="124">
        <v>176.94</v>
      </c>
      <c r="D3298" s="156">
        <f t="shared" si="52"/>
        <v>-3.3795201081446118E-3</v>
      </c>
      <c r="E3298" s="156">
        <v>-5.5338541666666297E-3</v>
      </c>
      <c r="G3298" s="156"/>
    </row>
    <row r="3299" spans="2:7" x14ac:dyDescent="0.2">
      <c r="B3299" s="230">
        <v>41131</v>
      </c>
      <c r="C3299" s="124">
        <v>177.51</v>
      </c>
      <c r="D3299" s="156">
        <f t="shared" si="52"/>
        <v>3.2214309935570994E-3</v>
      </c>
      <c r="E3299" s="156">
        <v>-5.5527511357899764E-3</v>
      </c>
      <c r="G3299" s="156"/>
    </row>
    <row r="3300" spans="2:7" x14ac:dyDescent="0.2">
      <c r="B3300" s="230">
        <v>41130</v>
      </c>
      <c r="C3300" s="124">
        <v>176.08</v>
      </c>
      <c r="D3300" s="156">
        <f t="shared" si="52"/>
        <v>-8.0558841755392855E-3</v>
      </c>
      <c r="E3300" s="156">
        <v>-5.5661344660904565E-3</v>
      </c>
      <c r="G3300" s="156"/>
    </row>
    <row r="3301" spans="2:7" x14ac:dyDescent="0.2">
      <c r="B3301" s="230">
        <v>41129</v>
      </c>
      <c r="C3301" s="124">
        <v>173.4</v>
      </c>
      <c r="D3301" s="156">
        <f t="shared" si="52"/>
        <v>-1.5220354384370778E-2</v>
      </c>
      <c r="E3301" s="156">
        <v>-5.5735735735735568E-3</v>
      </c>
      <c r="G3301" s="156"/>
    </row>
    <row r="3302" spans="2:7" x14ac:dyDescent="0.2">
      <c r="B3302" s="230">
        <v>41128</v>
      </c>
      <c r="C3302" s="124">
        <v>173.23</v>
      </c>
      <c r="D3302" s="156">
        <f t="shared" si="52"/>
        <v>-9.8039215686283681E-4</v>
      </c>
      <c r="E3302" s="156">
        <v>-5.5843637814119561E-3</v>
      </c>
      <c r="G3302" s="156"/>
    </row>
    <row r="3303" spans="2:7" x14ac:dyDescent="0.2">
      <c r="B3303" s="230">
        <v>41127</v>
      </c>
      <c r="C3303" s="124">
        <v>171.31</v>
      </c>
      <c r="D3303" s="156">
        <f t="shared" si="52"/>
        <v>-1.1083530566299068E-2</v>
      </c>
      <c r="E3303" s="156">
        <v>-5.5906579774388752E-3</v>
      </c>
      <c r="G3303" s="156"/>
    </row>
    <row r="3304" spans="2:7" x14ac:dyDescent="0.2">
      <c r="B3304" s="230">
        <v>41124</v>
      </c>
      <c r="C3304" s="124">
        <v>171.94</v>
      </c>
      <c r="D3304" s="156">
        <f t="shared" si="52"/>
        <v>3.6775436343470633E-3</v>
      </c>
      <c r="E3304" s="156">
        <v>-5.5909987240459922E-3</v>
      </c>
      <c r="G3304" s="156"/>
    </row>
    <row r="3305" spans="2:7" x14ac:dyDescent="0.2">
      <c r="B3305" s="230">
        <v>41123</v>
      </c>
      <c r="C3305" s="124">
        <v>173.33</v>
      </c>
      <c r="D3305" s="156">
        <f t="shared" si="52"/>
        <v>8.0842154239851964E-3</v>
      </c>
      <c r="E3305" s="156">
        <v>-5.5938840201379828E-3</v>
      </c>
      <c r="G3305" s="156"/>
    </row>
    <row r="3306" spans="2:7" x14ac:dyDescent="0.2">
      <c r="B3306" s="230">
        <v>41122</v>
      </c>
      <c r="C3306" s="124">
        <v>171.74</v>
      </c>
      <c r="D3306" s="156">
        <f t="shared" si="52"/>
        <v>-9.1732533317948617E-3</v>
      </c>
      <c r="E3306" s="156">
        <v>-5.5986996568539327E-3</v>
      </c>
      <c r="G3306" s="156"/>
    </row>
    <row r="3307" spans="2:7" x14ac:dyDescent="0.2">
      <c r="B3307" s="230">
        <v>41121</v>
      </c>
      <c r="C3307" s="124">
        <v>171.14</v>
      </c>
      <c r="D3307" s="156">
        <f t="shared" si="52"/>
        <v>-3.4936531966928072E-3</v>
      </c>
      <c r="E3307" s="156">
        <v>-5.6022408963585435E-3</v>
      </c>
      <c r="G3307" s="156"/>
    </row>
    <row r="3308" spans="2:7" x14ac:dyDescent="0.2">
      <c r="B3308" s="230">
        <v>41120</v>
      </c>
      <c r="C3308" s="124">
        <v>171.18</v>
      </c>
      <c r="D3308" s="156">
        <f t="shared" si="52"/>
        <v>2.3372677340201278E-4</v>
      </c>
      <c r="E3308" s="156">
        <v>-5.6191049568533238E-3</v>
      </c>
      <c r="G3308" s="156"/>
    </row>
    <row r="3309" spans="2:7" x14ac:dyDescent="0.2">
      <c r="B3309" s="230">
        <v>41117</v>
      </c>
      <c r="C3309" s="124">
        <v>169.02</v>
      </c>
      <c r="D3309" s="156">
        <f t="shared" si="52"/>
        <v>-1.2618296529968433E-2</v>
      </c>
      <c r="E3309" s="156">
        <v>-5.6317335945150699E-3</v>
      </c>
      <c r="G3309" s="156"/>
    </row>
    <row r="3310" spans="2:7" x14ac:dyDescent="0.2">
      <c r="B3310" s="230">
        <v>41116</v>
      </c>
      <c r="C3310" s="124">
        <v>165.37</v>
      </c>
      <c r="D3310" s="156">
        <f t="shared" si="52"/>
        <v>-2.1595077505620668E-2</v>
      </c>
      <c r="E3310" s="156">
        <v>-5.6365751096000309E-3</v>
      </c>
      <c r="G3310" s="156"/>
    </row>
    <row r="3311" spans="2:7" x14ac:dyDescent="0.2">
      <c r="B3311" s="230">
        <v>41115</v>
      </c>
      <c r="C3311" s="124">
        <v>168.89</v>
      </c>
      <c r="D3311" s="156">
        <f t="shared" si="52"/>
        <v>2.1285601983430984E-2</v>
      </c>
      <c r="E3311" s="156">
        <v>-5.6375194914238275E-3</v>
      </c>
      <c r="G3311" s="156"/>
    </row>
    <row r="3312" spans="2:7" x14ac:dyDescent="0.2">
      <c r="B3312" s="230">
        <v>41114</v>
      </c>
      <c r="C3312" s="124">
        <v>165.94</v>
      </c>
      <c r="D3312" s="156">
        <f t="shared" si="52"/>
        <v>-1.746699034874764E-2</v>
      </c>
      <c r="E3312" s="156">
        <v>-5.6380379627889495E-3</v>
      </c>
      <c r="G3312" s="156"/>
    </row>
    <row r="3313" spans="2:7" x14ac:dyDescent="0.2">
      <c r="B3313" s="230">
        <v>41113</v>
      </c>
      <c r="C3313" s="124">
        <v>165.44</v>
      </c>
      <c r="D3313" s="156">
        <f t="shared" si="52"/>
        <v>-3.0131372785344099E-3</v>
      </c>
      <c r="E3313" s="156">
        <v>-5.6419495543333859E-3</v>
      </c>
      <c r="G3313" s="156"/>
    </row>
    <row r="3314" spans="2:7" x14ac:dyDescent="0.2">
      <c r="B3314" s="230">
        <v>41110</v>
      </c>
      <c r="C3314" s="124">
        <v>167.63</v>
      </c>
      <c r="D3314" s="156">
        <f t="shared" si="52"/>
        <v>1.3237427466150857E-2</v>
      </c>
      <c r="E3314" s="156">
        <v>-5.6446554968192404E-3</v>
      </c>
      <c r="G3314" s="156"/>
    </row>
    <row r="3315" spans="2:7" x14ac:dyDescent="0.2">
      <c r="B3315" s="230">
        <v>41109</v>
      </c>
      <c r="C3315" s="124">
        <v>168.46</v>
      </c>
      <c r="D3315" s="156">
        <f t="shared" si="52"/>
        <v>4.9513810177176671E-3</v>
      </c>
      <c r="E3315" s="156">
        <v>-5.6552262090483448E-3</v>
      </c>
      <c r="G3315" s="156"/>
    </row>
    <row r="3316" spans="2:7" x14ac:dyDescent="0.2">
      <c r="B3316" s="230">
        <v>41108</v>
      </c>
      <c r="C3316" s="124">
        <v>169.02</v>
      </c>
      <c r="D3316" s="156">
        <f t="shared" si="52"/>
        <v>3.3242312715184748E-3</v>
      </c>
      <c r="E3316" s="156">
        <v>-5.6710775047259928E-3</v>
      </c>
      <c r="G3316" s="156"/>
    </row>
    <row r="3317" spans="2:7" x14ac:dyDescent="0.2">
      <c r="B3317" s="230">
        <v>41107</v>
      </c>
      <c r="C3317" s="124">
        <v>169.39</v>
      </c>
      <c r="D3317" s="156">
        <f t="shared" si="52"/>
        <v>2.1890900485148274E-3</v>
      </c>
      <c r="E3317" s="156">
        <v>-5.6733756585167763E-3</v>
      </c>
      <c r="G3317" s="156"/>
    </row>
    <row r="3318" spans="2:7" x14ac:dyDescent="0.2">
      <c r="B3318" s="230">
        <v>41106</v>
      </c>
      <c r="C3318" s="124">
        <v>167.1</v>
      </c>
      <c r="D3318" s="156">
        <f t="shared" si="52"/>
        <v>-1.3519097939665815E-2</v>
      </c>
      <c r="E3318" s="156">
        <v>-5.6895961670088303E-3</v>
      </c>
      <c r="G3318" s="156"/>
    </row>
    <row r="3319" spans="2:7" x14ac:dyDescent="0.2">
      <c r="B3319" s="230">
        <v>41103</v>
      </c>
      <c r="C3319" s="124">
        <v>168.09</v>
      </c>
      <c r="D3319" s="156">
        <f t="shared" si="52"/>
        <v>5.9245960502693545E-3</v>
      </c>
      <c r="E3319" s="156">
        <v>-5.691924581999369E-3</v>
      </c>
      <c r="G3319" s="156"/>
    </row>
    <row r="3320" spans="2:7" x14ac:dyDescent="0.2">
      <c r="B3320" s="230">
        <v>41102</v>
      </c>
      <c r="C3320" s="124">
        <v>166.87</v>
      </c>
      <c r="D3320" s="156">
        <f t="shared" si="52"/>
        <v>-7.2580165387589914E-3</v>
      </c>
      <c r="E3320" s="156">
        <v>-5.7003257328990461E-3</v>
      </c>
      <c r="G3320" s="156"/>
    </row>
    <row r="3321" spans="2:7" x14ac:dyDescent="0.2">
      <c r="B3321" s="230">
        <v>41101</v>
      </c>
      <c r="C3321" s="124">
        <v>167.93</v>
      </c>
      <c r="D3321" s="156">
        <f t="shared" si="52"/>
        <v>6.3522502546892925E-3</v>
      </c>
      <c r="E3321" s="156">
        <v>-5.7102069950035073E-3</v>
      </c>
      <c r="G3321" s="156"/>
    </row>
    <row r="3322" spans="2:7" x14ac:dyDescent="0.2">
      <c r="B3322" s="230">
        <v>41100</v>
      </c>
      <c r="C3322" s="124">
        <v>171.31</v>
      </c>
      <c r="D3322" s="156">
        <f t="shared" si="52"/>
        <v>2.0127434049901718E-2</v>
      </c>
      <c r="E3322" s="156">
        <v>-5.728053825521621E-3</v>
      </c>
      <c r="G3322" s="156"/>
    </row>
    <row r="3323" spans="2:7" x14ac:dyDescent="0.2">
      <c r="B3323" s="230">
        <v>41099</v>
      </c>
      <c r="C3323" s="124">
        <v>166.83</v>
      </c>
      <c r="D3323" s="156">
        <f t="shared" si="52"/>
        <v>-2.6151421399801471E-2</v>
      </c>
      <c r="E3323" s="156">
        <v>-5.7354925775978029E-3</v>
      </c>
      <c r="G3323" s="156"/>
    </row>
    <row r="3324" spans="2:7" x14ac:dyDescent="0.2">
      <c r="B3324" s="230">
        <v>41096</v>
      </c>
      <c r="C3324" s="124">
        <v>167.56</v>
      </c>
      <c r="D3324" s="156">
        <f t="shared" si="52"/>
        <v>4.3757118024335536E-3</v>
      </c>
      <c r="E3324" s="156">
        <v>-5.7368232341339764E-3</v>
      </c>
      <c r="G3324" s="156"/>
    </row>
    <row r="3325" spans="2:7" x14ac:dyDescent="0.2">
      <c r="B3325" s="230">
        <v>41095</v>
      </c>
      <c r="C3325" s="124">
        <v>166.14</v>
      </c>
      <c r="D3325" s="156">
        <f t="shared" si="52"/>
        <v>-8.4745762711865361E-3</v>
      </c>
      <c r="E3325" s="156">
        <v>-5.7539346759181483E-3</v>
      </c>
      <c r="G3325" s="156"/>
    </row>
    <row r="3326" spans="2:7" x14ac:dyDescent="0.2">
      <c r="B3326" s="230">
        <v>41094</v>
      </c>
      <c r="C3326" s="124">
        <v>163.19</v>
      </c>
      <c r="D3326" s="156">
        <f t="shared" ref="D3326:D3389" si="53">(C3326-C3325)/C3325</f>
        <v>-1.7756109305405013E-2</v>
      </c>
      <c r="E3326" s="156">
        <v>-5.7740887766150224E-3</v>
      </c>
      <c r="G3326" s="156"/>
    </row>
    <row r="3327" spans="2:7" x14ac:dyDescent="0.2">
      <c r="B3327" s="230">
        <v>41093</v>
      </c>
      <c r="C3327" s="124">
        <v>163.41999999999999</v>
      </c>
      <c r="D3327" s="156">
        <f t="shared" si="53"/>
        <v>1.4094000857895078E-3</v>
      </c>
      <c r="E3327" s="156">
        <v>-5.7849591063236262E-3</v>
      </c>
      <c r="G3327" s="156"/>
    </row>
    <row r="3328" spans="2:7" x14ac:dyDescent="0.2">
      <c r="B3328" s="230">
        <v>41092</v>
      </c>
      <c r="C3328" s="124">
        <v>165.77</v>
      </c>
      <c r="D3328" s="156">
        <f t="shared" si="53"/>
        <v>1.4380124831722083E-2</v>
      </c>
      <c r="E3328" s="156">
        <v>-5.7939446743629384E-3</v>
      </c>
      <c r="G3328" s="156"/>
    </row>
    <row r="3329" spans="2:7" x14ac:dyDescent="0.2">
      <c r="B3329" s="230">
        <v>41089</v>
      </c>
      <c r="C3329" s="124">
        <v>171.64</v>
      </c>
      <c r="D3329" s="156">
        <f t="shared" si="53"/>
        <v>3.5410508535923119E-2</v>
      </c>
      <c r="E3329" s="156">
        <v>-5.7943925233645286E-3</v>
      </c>
      <c r="G3329" s="156"/>
    </row>
    <row r="3330" spans="2:7" x14ac:dyDescent="0.2">
      <c r="B3330" s="230">
        <v>41088</v>
      </c>
      <c r="C3330" s="124">
        <v>166.6</v>
      </c>
      <c r="D3330" s="156">
        <f t="shared" si="53"/>
        <v>-2.9363784665579075E-2</v>
      </c>
      <c r="E3330" s="156">
        <v>-5.8274127883770239E-3</v>
      </c>
      <c r="G3330" s="156"/>
    </row>
    <row r="3331" spans="2:7" x14ac:dyDescent="0.2">
      <c r="B3331" s="230">
        <v>41087</v>
      </c>
      <c r="C3331" s="124">
        <v>164.28</v>
      </c>
      <c r="D3331" s="156">
        <f t="shared" si="53"/>
        <v>-1.3925570228091195E-2</v>
      </c>
      <c r="E3331" s="156">
        <v>-5.8275058275057724E-3</v>
      </c>
      <c r="G3331" s="156"/>
    </row>
    <row r="3332" spans="2:7" x14ac:dyDescent="0.2">
      <c r="B3332" s="230">
        <v>41086</v>
      </c>
      <c r="C3332" s="124">
        <v>163.78</v>
      </c>
      <c r="D3332" s="156">
        <f t="shared" si="53"/>
        <v>-3.0435841246652059E-3</v>
      </c>
      <c r="E3332" s="156">
        <v>-5.8644495583105964E-3</v>
      </c>
      <c r="G3332" s="156"/>
    </row>
    <row r="3333" spans="2:7" x14ac:dyDescent="0.2">
      <c r="B3333" s="230">
        <v>41085</v>
      </c>
      <c r="C3333" s="124">
        <v>165.77</v>
      </c>
      <c r="D3333" s="156">
        <f t="shared" si="53"/>
        <v>1.2150445719868171E-2</v>
      </c>
      <c r="E3333" s="156">
        <v>-5.8672533920059505E-3</v>
      </c>
      <c r="G3333" s="156"/>
    </row>
    <row r="3334" spans="2:7" x14ac:dyDescent="0.2">
      <c r="B3334" s="230">
        <v>41082</v>
      </c>
      <c r="C3334" s="124">
        <v>166.07</v>
      </c>
      <c r="D3334" s="156">
        <f t="shared" si="53"/>
        <v>1.8097363817336245E-3</v>
      </c>
      <c r="E3334" s="156">
        <v>-5.8801911062108265E-3</v>
      </c>
      <c r="G3334" s="156"/>
    </row>
    <row r="3335" spans="2:7" x14ac:dyDescent="0.2">
      <c r="B3335" s="230">
        <v>41081</v>
      </c>
      <c r="C3335" s="124">
        <v>166.67</v>
      </c>
      <c r="D3335" s="156">
        <f t="shared" si="53"/>
        <v>3.6129343048111901E-3</v>
      </c>
      <c r="E3335" s="156">
        <v>-5.8815666354765104E-3</v>
      </c>
      <c r="G3335" s="156"/>
    </row>
    <row r="3336" spans="2:7" x14ac:dyDescent="0.2">
      <c r="B3336" s="230">
        <v>41080</v>
      </c>
      <c r="C3336" s="124">
        <v>163.12</v>
      </c>
      <c r="D3336" s="156">
        <f t="shared" si="53"/>
        <v>-2.1299574008519728E-2</v>
      </c>
      <c r="E3336" s="156">
        <v>-5.8845163663112272E-3</v>
      </c>
      <c r="G3336" s="156"/>
    </row>
    <row r="3337" spans="2:7" x14ac:dyDescent="0.2">
      <c r="B3337" s="230">
        <v>41079</v>
      </c>
      <c r="C3337" s="124">
        <v>165.34</v>
      </c>
      <c r="D3337" s="156">
        <f t="shared" si="53"/>
        <v>1.3609612555174098E-2</v>
      </c>
      <c r="E3337" s="156">
        <v>-5.8878944889307581E-3</v>
      </c>
      <c r="G3337" s="156"/>
    </row>
    <row r="3338" spans="2:7" x14ac:dyDescent="0.2">
      <c r="B3338" s="230">
        <v>41078</v>
      </c>
      <c r="C3338" s="124">
        <v>161.22999999999999</v>
      </c>
      <c r="D3338" s="156">
        <f t="shared" si="53"/>
        <v>-2.4857868634329344E-2</v>
      </c>
      <c r="E3338" s="156">
        <v>-5.9032983508245452E-3</v>
      </c>
      <c r="G3338" s="156"/>
    </row>
    <row r="3339" spans="2:7" x14ac:dyDescent="0.2">
      <c r="B3339" s="230">
        <v>41075</v>
      </c>
      <c r="C3339" s="124">
        <v>164.41</v>
      </c>
      <c r="D3339" s="156">
        <f t="shared" si="53"/>
        <v>1.9723376542827062E-2</v>
      </c>
      <c r="E3339" s="156">
        <v>-5.9038749376351899E-3</v>
      </c>
      <c r="G3339" s="156"/>
    </row>
    <row r="3340" spans="2:7" x14ac:dyDescent="0.2">
      <c r="B3340" s="230">
        <v>41074</v>
      </c>
      <c r="C3340" s="124">
        <v>162.22999999999999</v>
      </c>
      <c r="D3340" s="156">
        <f t="shared" si="53"/>
        <v>-1.3259534091600309E-2</v>
      </c>
      <c r="E3340" s="156">
        <v>-5.9110004089372534E-3</v>
      </c>
      <c r="G3340" s="156"/>
    </row>
    <row r="3341" spans="2:7" x14ac:dyDescent="0.2">
      <c r="B3341" s="230">
        <v>41073</v>
      </c>
      <c r="C3341" s="124">
        <v>161.79</v>
      </c>
      <c r="D3341" s="156">
        <f t="shared" si="53"/>
        <v>-2.7121987301978534E-3</v>
      </c>
      <c r="E3341" s="156">
        <v>-5.9216519890677279E-3</v>
      </c>
      <c r="G3341" s="156"/>
    </row>
    <row r="3342" spans="2:7" x14ac:dyDescent="0.2">
      <c r="B3342" s="230">
        <v>41072</v>
      </c>
      <c r="C3342" s="124">
        <v>161.13</v>
      </c>
      <c r="D3342" s="156">
        <f t="shared" si="53"/>
        <v>-4.0793621361023338E-3</v>
      </c>
      <c r="E3342" s="156">
        <v>-5.9237319511292949E-3</v>
      </c>
      <c r="G3342" s="156"/>
    </row>
    <row r="3343" spans="2:7" x14ac:dyDescent="0.2">
      <c r="B3343" s="230">
        <v>41071</v>
      </c>
      <c r="C3343" s="124">
        <v>158.94</v>
      </c>
      <c r="D3343" s="156">
        <f t="shared" si="53"/>
        <v>-1.3591509960901122E-2</v>
      </c>
      <c r="E3343" s="156">
        <v>-5.9286517428192072E-3</v>
      </c>
      <c r="G3343" s="156"/>
    </row>
    <row r="3344" spans="2:7" x14ac:dyDescent="0.2">
      <c r="B3344" s="230">
        <v>41068</v>
      </c>
      <c r="C3344" s="124">
        <v>158.58000000000001</v>
      </c>
      <c r="D3344" s="156">
        <f t="shared" si="53"/>
        <v>-2.2650056625140632E-3</v>
      </c>
      <c r="E3344" s="156">
        <v>-5.9460607347631231E-3</v>
      </c>
      <c r="G3344" s="156"/>
    </row>
    <row r="3345" spans="2:7" x14ac:dyDescent="0.2">
      <c r="B3345" s="230">
        <v>41067</v>
      </c>
      <c r="C3345" s="124">
        <v>156.69</v>
      </c>
      <c r="D3345" s="156">
        <f t="shared" si="53"/>
        <v>-1.1918274687854802E-2</v>
      </c>
      <c r="E3345" s="156">
        <v>-5.949161709031878E-3</v>
      </c>
      <c r="G3345" s="156"/>
    </row>
    <row r="3346" spans="2:7" x14ac:dyDescent="0.2">
      <c r="B3346" s="230">
        <v>41066</v>
      </c>
      <c r="C3346" s="124">
        <v>155.5</v>
      </c>
      <c r="D3346" s="156">
        <f t="shared" si="53"/>
        <v>-7.5946135681919571E-3</v>
      </c>
      <c r="E3346" s="156">
        <v>-5.9511678147801238E-3</v>
      </c>
      <c r="G3346" s="156"/>
    </row>
    <row r="3347" spans="2:7" x14ac:dyDescent="0.2">
      <c r="B3347" s="230">
        <v>41065</v>
      </c>
      <c r="C3347" s="124">
        <v>149.76</v>
      </c>
      <c r="D3347" s="156">
        <f t="shared" si="53"/>
        <v>-3.6913183279742821E-2</v>
      </c>
      <c r="E3347" s="156">
        <v>-5.9536200507931507E-3</v>
      </c>
      <c r="G3347" s="156"/>
    </row>
    <row r="3348" spans="2:7" x14ac:dyDescent="0.2">
      <c r="B3348" s="230">
        <v>41064</v>
      </c>
      <c r="C3348" s="124">
        <v>152.55000000000001</v>
      </c>
      <c r="D3348" s="156">
        <f t="shared" si="53"/>
        <v>1.8629807692307831E-2</v>
      </c>
      <c r="E3348" s="156">
        <v>-5.9679224170086633E-3</v>
      </c>
      <c r="G3348" s="156"/>
    </row>
    <row r="3349" spans="2:7" x14ac:dyDescent="0.2">
      <c r="B3349" s="230">
        <v>41061</v>
      </c>
      <c r="C3349" s="124">
        <v>155.03</v>
      </c>
      <c r="D3349" s="156">
        <f t="shared" si="53"/>
        <v>1.6256964929531232E-2</v>
      </c>
      <c r="E3349" s="156">
        <v>-5.9925093632959654E-3</v>
      </c>
      <c r="G3349" s="156"/>
    </row>
    <row r="3350" spans="2:7" x14ac:dyDescent="0.2">
      <c r="B3350" s="230">
        <v>41060</v>
      </c>
      <c r="C3350" s="124">
        <v>152.05000000000001</v>
      </c>
      <c r="D3350" s="156">
        <f t="shared" si="53"/>
        <v>-1.9222086047861638E-2</v>
      </c>
      <c r="E3350" s="156">
        <v>-5.9967290568779842E-3</v>
      </c>
      <c r="G3350" s="156"/>
    </row>
    <row r="3351" spans="2:7" x14ac:dyDescent="0.2">
      <c r="B3351" s="230">
        <v>41059</v>
      </c>
      <c r="C3351" s="124">
        <v>153.74</v>
      </c>
      <c r="D3351" s="156">
        <f t="shared" si="53"/>
        <v>1.1114764879973676E-2</v>
      </c>
      <c r="E3351" s="156">
        <v>-5.9973710154453174E-3</v>
      </c>
      <c r="G3351" s="156"/>
    </row>
    <row r="3352" spans="2:7" x14ac:dyDescent="0.2">
      <c r="B3352" s="230">
        <v>41058</v>
      </c>
      <c r="C3352" s="124">
        <v>153.08000000000001</v>
      </c>
      <c r="D3352" s="156">
        <f t="shared" si="53"/>
        <v>-4.292962143879254E-3</v>
      </c>
      <c r="E3352" s="156">
        <v>-6.0026950875903193E-3</v>
      </c>
      <c r="G3352" s="156"/>
    </row>
    <row r="3353" spans="2:7" x14ac:dyDescent="0.2">
      <c r="B3353" s="230">
        <v>41057</v>
      </c>
      <c r="C3353" s="124">
        <v>155.83000000000001</v>
      </c>
      <c r="D3353" s="156">
        <f t="shared" si="53"/>
        <v>1.7964463025868824E-2</v>
      </c>
      <c r="E3353" s="156">
        <v>-6.0099294486543279E-3</v>
      </c>
      <c r="G3353" s="156"/>
    </row>
    <row r="3354" spans="2:7" x14ac:dyDescent="0.2">
      <c r="B3354" s="230">
        <v>41054</v>
      </c>
      <c r="C3354" s="124">
        <v>153.71</v>
      </c>
      <c r="D3354" s="156">
        <f t="shared" si="53"/>
        <v>-1.3604569081691616E-2</v>
      </c>
      <c r="E3354" s="156">
        <v>-6.0110603510459245E-3</v>
      </c>
      <c r="G3354" s="156"/>
    </row>
    <row r="3355" spans="2:7" x14ac:dyDescent="0.2">
      <c r="B3355" s="230">
        <v>41053</v>
      </c>
      <c r="C3355" s="124">
        <v>154.69999999999999</v>
      </c>
      <c r="D3355" s="156">
        <f t="shared" si="53"/>
        <v>6.4407000195171463E-3</v>
      </c>
      <c r="E3355" s="156">
        <v>-6.0162176301333838E-3</v>
      </c>
      <c r="G3355" s="156"/>
    </row>
    <row r="3356" spans="2:7" x14ac:dyDescent="0.2">
      <c r="B3356" s="230">
        <v>41052</v>
      </c>
      <c r="C3356" s="124">
        <v>153.61000000000001</v>
      </c>
      <c r="D3356" s="156">
        <f t="shared" si="53"/>
        <v>-7.0458952811892376E-3</v>
      </c>
      <c r="E3356" s="156">
        <v>-6.045519203414001E-3</v>
      </c>
      <c r="G3356" s="156"/>
    </row>
    <row r="3357" spans="2:7" x14ac:dyDescent="0.2">
      <c r="B3357" s="230">
        <v>41051</v>
      </c>
      <c r="C3357" s="124">
        <v>154.30000000000001</v>
      </c>
      <c r="D3357" s="156">
        <f t="shared" si="53"/>
        <v>4.4918950589154204E-3</v>
      </c>
      <c r="E3357" s="156">
        <v>-6.0479787018548345E-3</v>
      </c>
      <c r="G3357" s="156"/>
    </row>
    <row r="3358" spans="2:7" x14ac:dyDescent="0.2">
      <c r="B3358" s="230">
        <v>41050</v>
      </c>
      <c r="C3358" s="124">
        <v>155.69999999999999</v>
      </c>
      <c r="D3358" s="156">
        <f t="shared" si="53"/>
        <v>9.073233959818388E-3</v>
      </c>
      <c r="E3358" s="156">
        <v>-6.0545363499794422E-3</v>
      </c>
      <c r="G3358" s="156"/>
    </row>
    <row r="3359" spans="2:7" x14ac:dyDescent="0.2">
      <c r="B3359" s="230">
        <v>41047</v>
      </c>
      <c r="C3359" s="124">
        <v>158.81</v>
      </c>
      <c r="D3359" s="156">
        <f t="shared" si="53"/>
        <v>1.9974309569685381E-2</v>
      </c>
      <c r="E3359" s="156">
        <v>-6.0699702019643802E-3</v>
      </c>
      <c r="G3359" s="156"/>
    </row>
    <row r="3360" spans="2:7" x14ac:dyDescent="0.2">
      <c r="B3360" s="230">
        <v>41046</v>
      </c>
      <c r="C3360" s="124">
        <v>155.63</v>
      </c>
      <c r="D3360" s="156">
        <f t="shared" si="53"/>
        <v>-2.0023927964234033E-2</v>
      </c>
      <c r="E3360" s="156">
        <v>-6.0816681146828849E-3</v>
      </c>
      <c r="G3360" s="156"/>
    </row>
    <row r="3361" spans="2:7" x14ac:dyDescent="0.2">
      <c r="B3361" s="230">
        <v>41045</v>
      </c>
      <c r="C3361" s="124">
        <v>150.69</v>
      </c>
      <c r="D3361" s="156">
        <f t="shared" si="53"/>
        <v>-3.1741952065797066E-2</v>
      </c>
      <c r="E3361" s="156">
        <v>-6.0875170092387293E-3</v>
      </c>
      <c r="G3361" s="156"/>
    </row>
    <row r="3362" spans="2:7" x14ac:dyDescent="0.2">
      <c r="B3362" s="230">
        <v>41044</v>
      </c>
      <c r="C3362" s="124">
        <v>153.04</v>
      </c>
      <c r="D3362" s="156">
        <f t="shared" si="53"/>
        <v>1.5594929988718524E-2</v>
      </c>
      <c r="E3362" s="156">
        <v>-6.0924620714371313E-3</v>
      </c>
      <c r="G3362" s="156"/>
    </row>
    <row r="3363" spans="2:7" x14ac:dyDescent="0.2">
      <c r="B3363" s="230">
        <v>41043</v>
      </c>
      <c r="C3363" s="124">
        <v>155.46</v>
      </c>
      <c r="D3363" s="156">
        <f t="shared" si="53"/>
        <v>1.5812859383167906E-2</v>
      </c>
      <c r="E3363" s="156">
        <v>-6.0968174612852089E-3</v>
      </c>
      <c r="G3363" s="156"/>
    </row>
    <row r="3364" spans="2:7" x14ac:dyDescent="0.2">
      <c r="B3364" s="230">
        <v>41040</v>
      </c>
      <c r="C3364" s="124">
        <v>155.30000000000001</v>
      </c>
      <c r="D3364" s="156">
        <f t="shared" si="53"/>
        <v>-1.0292036536729485E-3</v>
      </c>
      <c r="E3364" s="156">
        <v>-6.097712118583099E-3</v>
      </c>
      <c r="G3364" s="156"/>
    </row>
    <row r="3365" spans="2:7" x14ac:dyDescent="0.2">
      <c r="B3365" s="230">
        <v>41039</v>
      </c>
      <c r="C3365" s="124">
        <v>158.61000000000001</v>
      </c>
      <c r="D3365" s="156">
        <f t="shared" si="53"/>
        <v>2.1313586606567948E-2</v>
      </c>
      <c r="E3365" s="156">
        <v>-6.0993751859565095E-3</v>
      </c>
      <c r="G3365" s="156"/>
    </row>
    <row r="3366" spans="2:7" x14ac:dyDescent="0.2">
      <c r="B3366" s="230">
        <v>41038</v>
      </c>
      <c r="C3366" s="124">
        <v>159.04</v>
      </c>
      <c r="D3366" s="156">
        <f t="shared" si="53"/>
        <v>2.7110522665656539E-3</v>
      </c>
      <c r="E3366" s="156">
        <v>-6.1156955556485549E-3</v>
      </c>
      <c r="G3366" s="156"/>
    </row>
    <row r="3367" spans="2:7" x14ac:dyDescent="0.2">
      <c r="B3367" s="230">
        <v>41037</v>
      </c>
      <c r="C3367" s="124">
        <v>150.41999999999999</v>
      </c>
      <c r="D3367" s="156">
        <f t="shared" si="53"/>
        <v>-5.420020120724349E-2</v>
      </c>
      <c r="E3367" s="156">
        <v>-6.117247238742636E-3</v>
      </c>
      <c r="G3367" s="156"/>
    </row>
    <row r="3368" spans="2:7" x14ac:dyDescent="0.2">
      <c r="B3368" s="230">
        <v>41036</v>
      </c>
      <c r="C3368" s="124">
        <v>156.69</v>
      </c>
      <c r="D3368" s="156">
        <f t="shared" si="53"/>
        <v>4.1683286796968561E-2</v>
      </c>
      <c r="E3368" s="156">
        <v>-6.1270557884553776E-3</v>
      </c>
      <c r="G3368" s="156"/>
    </row>
    <row r="3369" spans="2:7" x14ac:dyDescent="0.2">
      <c r="B3369" s="230">
        <v>41033</v>
      </c>
      <c r="C3369" s="124">
        <v>157.88</v>
      </c>
      <c r="D3369" s="156">
        <f t="shared" si="53"/>
        <v>7.5946135681919571E-3</v>
      </c>
      <c r="E3369" s="156">
        <v>-6.1349693251533744E-3</v>
      </c>
      <c r="G3369" s="156"/>
    </row>
    <row r="3370" spans="2:7" x14ac:dyDescent="0.2">
      <c r="B3370" s="230">
        <v>41032</v>
      </c>
      <c r="C3370" s="124">
        <v>160.24</v>
      </c>
      <c r="D3370" s="156">
        <f t="shared" si="53"/>
        <v>1.4948061819103202E-2</v>
      </c>
      <c r="E3370" s="156">
        <v>-6.1379818315737784E-3</v>
      </c>
      <c r="G3370" s="156"/>
    </row>
    <row r="3371" spans="2:7" x14ac:dyDescent="0.2">
      <c r="B3371" s="230">
        <v>41031</v>
      </c>
      <c r="C3371" s="124">
        <v>162.16</v>
      </c>
      <c r="D3371" s="156">
        <f t="shared" si="53"/>
        <v>1.198202695956058E-2</v>
      </c>
      <c r="E3371" s="156">
        <v>-6.1530109034973243E-3</v>
      </c>
      <c r="G3371" s="156"/>
    </row>
    <row r="3372" spans="2:7" x14ac:dyDescent="0.2">
      <c r="B3372" s="230">
        <v>41029</v>
      </c>
      <c r="C3372" s="124">
        <v>162.76</v>
      </c>
      <c r="D3372" s="156">
        <f t="shared" si="53"/>
        <v>3.7000493339910847E-3</v>
      </c>
      <c r="E3372" s="156">
        <v>-6.1642973958988267E-3</v>
      </c>
      <c r="G3372" s="156"/>
    </row>
    <row r="3373" spans="2:7" x14ac:dyDescent="0.2">
      <c r="B3373" s="230">
        <v>41027</v>
      </c>
      <c r="C3373" s="124">
        <v>163.68</v>
      </c>
      <c r="D3373" s="156">
        <f t="shared" si="53"/>
        <v>5.6524944703859421E-3</v>
      </c>
      <c r="E3373" s="156">
        <v>-6.1768530559168167E-3</v>
      </c>
      <c r="G3373" s="156"/>
    </row>
    <row r="3374" spans="2:7" x14ac:dyDescent="0.2">
      <c r="B3374" s="230">
        <v>41026</v>
      </c>
      <c r="C3374" s="124">
        <v>162.94999999999999</v>
      </c>
      <c r="D3374" s="156">
        <f t="shared" si="53"/>
        <v>-4.4599217986315866E-3</v>
      </c>
      <c r="E3374" s="156">
        <v>-6.1781747175005822E-3</v>
      </c>
      <c r="G3374" s="156"/>
    </row>
    <row r="3375" spans="2:7" x14ac:dyDescent="0.2">
      <c r="B3375" s="230">
        <v>41025</v>
      </c>
      <c r="C3375" s="124">
        <v>165.11</v>
      </c>
      <c r="D3375" s="156">
        <f t="shared" si="53"/>
        <v>1.3255599877263118E-2</v>
      </c>
      <c r="E3375" s="156">
        <v>-6.187422657216753E-3</v>
      </c>
      <c r="G3375" s="156"/>
    </row>
    <row r="3376" spans="2:7" x14ac:dyDescent="0.2">
      <c r="B3376" s="230">
        <v>41024</v>
      </c>
      <c r="C3376" s="124">
        <v>163.05000000000001</v>
      </c>
      <c r="D3376" s="156">
        <f t="shared" si="53"/>
        <v>-1.2476530797650064E-2</v>
      </c>
      <c r="E3376" s="156">
        <v>-6.1993323795898093E-3</v>
      </c>
      <c r="G3376" s="156"/>
    </row>
    <row r="3377" spans="2:7" x14ac:dyDescent="0.2">
      <c r="B3377" s="230">
        <v>41023</v>
      </c>
      <c r="C3377" s="124">
        <v>162.46</v>
      </c>
      <c r="D3377" s="156">
        <f t="shared" si="53"/>
        <v>-3.6185219257896559E-3</v>
      </c>
      <c r="E3377" s="156">
        <v>-6.2056737588652485E-3</v>
      </c>
      <c r="G3377" s="156"/>
    </row>
    <row r="3378" spans="2:7" x14ac:dyDescent="0.2">
      <c r="B3378" s="230">
        <v>41022</v>
      </c>
      <c r="C3378" s="124">
        <v>162.26</v>
      </c>
      <c r="D3378" s="156">
        <f t="shared" si="53"/>
        <v>-1.2310722639419984E-3</v>
      </c>
      <c r="E3378" s="156">
        <v>-6.220194899440124E-3</v>
      </c>
      <c r="G3378" s="156"/>
    </row>
    <row r="3379" spans="2:7" x14ac:dyDescent="0.2">
      <c r="B3379" s="230">
        <v>41019</v>
      </c>
      <c r="C3379" s="124">
        <v>162.56</v>
      </c>
      <c r="D3379" s="156">
        <f t="shared" si="53"/>
        <v>1.848884506347907E-3</v>
      </c>
      <c r="E3379" s="156">
        <v>-6.2365591397848972E-3</v>
      </c>
      <c r="G3379" s="156"/>
    </row>
    <row r="3380" spans="2:7" x14ac:dyDescent="0.2">
      <c r="B3380" s="230">
        <v>41018</v>
      </c>
      <c r="C3380" s="124">
        <v>161.79</v>
      </c>
      <c r="D3380" s="156">
        <f t="shared" si="53"/>
        <v>-4.7367125984252596E-3</v>
      </c>
      <c r="E3380" s="156">
        <v>-6.2413605328194227E-3</v>
      </c>
      <c r="G3380" s="156"/>
    </row>
    <row r="3381" spans="2:7" x14ac:dyDescent="0.2">
      <c r="B3381" s="230">
        <v>41017</v>
      </c>
      <c r="C3381" s="124">
        <v>160.27000000000001</v>
      </c>
      <c r="D3381" s="156">
        <f t="shared" si="53"/>
        <v>-9.3948946164780379E-3</v>
      </c>
      <c r="E3381" s="156">
        <v>-6.2597809076682222E-3</v>
      </c>
      <c r="G3381" s="156"/>
    </row>
    <row r="3382" spans="2:7" x14ac:dyDescent="0.2">
      <c r="B3382" s="230">
        <v>41016</v>
      </c>
      <c r="C3382" s="124">
        <v>163.22</v>
      </c>
      <c r="D3382" s="156">
        <f t="shared" si="53"/>
        <v>1.8406439133961366E-2</v>
      </c>
      <c r="E3382" s="156">
        <v>-6.2614011733964905E-3</v>
      </c>
      <c r="G3382" s="156"/>
    </row>
    <row r="3383" spans="2:7" x14ac:dyDescent="0.2">
      <c r="B3383" s="230">
        <v>41015</v>
      </c>
      <c r="C3383" s="124">
        <v>159.81</v>
      </c>
      <c r="D3383" s="156">
        <f t="shared" si="53"/>
        <v>-2.0892047543193216E-2</v>
      </c>
      <c r="E3383" s="156">
        <v>-6.2683643486777449E-3</v>
      </c>
      <c r="G3383" s="156"/>
    </row>
    <row r="3384" spans="2:7" x14ac:dyDescent="0.2">
      <c r="B3384" s="230">
        <v>41012</v>
      </c>
      <c r="C3384" s="124">
        <v>156.62</v>
      </c>
      <c r="D3384" s="156">
        <f t="shared" si="53"/>
        <v>-1.9961203929666466E-2</v>
      </c>
      <c r="E3384" s="156">
        <v>-6.274172754619594E-3</v>
      </c>
      <c r="G3384" s="156"/>
    </row>
    <row r="3385" spans="2:7" x14ac:dyDescent="0.2">
      <c r="B3385" s="230">
        <v>41011</v>
      </c>
      <c r="C3385" s="124">
        <v>155.63</v>
      </c>
      <c r="D3385" s="156">
        <f t="shared" si="53"/>
        <v>-6.3210317967054598E-3</v>
      </c>
      <c r="E3385" s="156">
        <v>-6.2794348508633628E-3</v>
      </c>
      <c r="G3385" s="156"/>
    </row>
    <row r="3386" spans="2:7" x14ac:dyDescent="0.2">
      <c r="B3386" s="230">
        <v>41010</v>
      </c>
      <c r="C3386" s="124">
        <v>152.31</v>
      </c>
      <c r="D3386" s="156">
        <f t="shared" si="53"/>
        <v>-2.1332647947053866E-2</v>
      </c>
      <c r="E3386" s="156">
        <v>-6.2830984651288295E-3</v>
      </c>
      <c r="G3386" s="156"/>
    </row>
    <row r="3387" spans="2:7" x14ac:dyDescent="0.2">
      <c r="B3387" s="230">
        <v>41009</v>
      </c>
      <c r="C3387" s="124">
        <v>152.05000000000001</v>
      </c>
      <c r="D3387" s="156">
        <f t="shared" si="53"/>
        <v>-1.7070448427548481E-3</v>
      </c>
      <c r="E3387" s="156">
        <v>-6.2996439331690678E-3</v>
      </c>
      <c r="G3387" s="156"/>
    </row>
    <row r="3388" spans="2:7" x14ac:dyDescent="0.2">
      <c r="B3388" s="230">
        <v>41008</v>
      </c>
      <c r="C3388" s="124">
        <v>148.54</v>
      </c>
      <c r="D3388" s="156">
        <f t="shared" si="53"/>
        <v>-2.3084511673791643E-2</v>
      </c>
      <c r="E3388" s="156">
        <v>-6.3043107854830029E-3</v>
      </c>
      <c r="G3388" s="156"/>
    </row>
    <row r="3389" spans="2:7" x14ac:dyDescent="0.2">
      <c r="B3389" s="230">
        <v>41003</v>
      </c>
      <c r="C3389" s="124">
        <v>150.76</v>
      </c>
      <c r="D3389" s="156">
        <f t="shared" si="53"/>
        <v>1.494546923387639E-2</v>
      </c>
      <c r="E3389" s="156">
        <v>-6.3049293083682744E-3</v>
      </c>
      <c r="G3389" s="156"/>
    </row>
    <row r="3390" spans="2:7" x14ac:dyDescent="0.2">
      <c r="B3390" s="230">
        <v>41002</v>
      </c>
      <c r="C3390" s="124">
        <v>150.56</v>
      </c>
      <c r="D3390" s="156">
        <f t="shared" ref="D3390:D3453" si="54">(C3390-C3389)/C3389</f>
        <v>-1.3266118333774785E-3</v>
      </c>
      <c r="E3390" s="156">
        <v>-6.3129554843801405E-3</v>
      </c>
      <c r="G3390" s="156"/>
    </row>
    <row r="3391" spans="2:7" x14ac:dyDescent="0.2">
      <c r="B3391" s="230">
        <v>41001</v>
      </c>
      <c r="C3391" s="124">
        <v>150.46</v>
      </c>
      <c r="D3391" s="156">
        <f t="shared" si="54"/>
        <v>-6.6418703506903774E-4</v>
      </c>
      <c r="E3391" s="156">
        <v>-6.3137445361826682E-3</v>
      </c>
      <c r="G3391" s="156"/>
    </row>
    <row r="3392" spans="2:7" x14ac:dyDescent="0.2">
      <c r="B3392" s="230">
        <v>40998</v>
      </c>
      <c r="C3392" s="124">
        <v>150.41999999999999</v>
      </c>
      <c r="D3392" s="156">
        <f t="shared" si="54"/>
        <v>-2.6585138907364391E-4</v>
      </c>
      <c r="E3392" s="156">
        <v>-6.3157894736842199E-3</v>
      </c>
      <c r="G3392" s="156"/>
    </row>
    <row r="3393" spans="2:7" x14ac:dyDescent="0.2">
      <c r="B3393" s="230">
        <v>40997</v>
      </c>
      <c r="C3393" s="124">
        <v>148.87</v>
      </c>
      <c r="D3393" s="156">
        <f t="shared" si="54"/>
        <v>-1.0304480787129259E-2</v>
      </c>
      <c r="E3393" s="156">
        <v>-6.3210317967054598E-3</v>
      </c>
      <c r="G3393" s="156"/>
    </row>
    <row r="3394" spans="2:7" x14ac:dyDescent="0.2">
      <c r="B3394" s="230">
        <v>40996</v>
      </c>
      <c r="C3394" s="124">
        <v>150.36000000000001</v>
      </c>
      <c r="D3394" s="156">
        <f t="shared" si="54"/>
        <v>1.0008732451131921E-2</v>
      </c>
      <c r="E3394" s="156">
        <v>-6.3332250730756372E-3</v>
      </c>
      <c r="G3394" s="156"/>
    </row>
    <row r="3395" spans="2:7" x14ac:dyDescent="0.2">
      <c r="B3395" s="230">
        <v>40995</v>
      </c>
      <c r="C3395" s="124">
        <v>149.86000000000001</v>
      </c>
      <c r="D3395" s="156">
        <f t="shared" si="54"/>
        <v>-3.3253524873636604E-3</v>
      </c>
      <c r="E3395" s="156">
        <v>-6.3511084481725722E-3</v>
      </c>
      <c r="G3395" s="156"/>
    </row>
    <row r="3396" spans="2:7" x14ac:dyDescent="0.2">
      <c r="B3396" s="230">
        <v>40994</v>
      </c>
      <c r="C3396" s="124">
        <v>147.63999999999999</v>
      </c>
      <c r="D3396" s="156">
        <f t="shared" si="54"/>
        <v>-1.4813826237822148E-2</v>
      </c>
      <c r="E3396" s="156">
        <v>-6.3775510204081634E-3</v>
      </c>
      <c r="G3396" s="156"/>
    </row>
    <row r="3397" spans="2:7" x14ac:dyDescent="0.2">
      <c r="B3397" s="230">
        <v>40991</v>
      </c>
      <c r="C3397" s="124">
        <v>147.47</v>
      </c>
      <c r="D3397" s="156">
        <f t="shared" si="54"/>
        <v>-1.1514494716878048E-3</v>
      </c>
      <c r="E3397" s="156">
        <v>-6.3965884861408324E-3</v>
      </c>
      <c r="G3397" s="156"/>
    </row>
    <row r="3398" spans="2:7" x14ac:dyDescent="0.2">
      <c r="B3398" s="230">
        <v>40990</v>
      </c>
      <c r="C3398" s="124">
        <v>145.65</v>
      </c>
      <c r="D3398" s="156">
        <f t="shared" si="54"/>
        <v>-1.2341493185054541E-2</v>
      </c>
      <c r="E3398" s="156">
        <v>-6.406129281483419E-3</v>
      </c>
      <c r="G3398" s="156"/>
    </row>
    <row r="3399" spans="2:7" x14ac:dyDescent="0.2">
      <c r="B3399" s="230">
        <v>40989</v>
      </c>
      <c r="C3399" s="124">
        <v>148.4</v>
      </c>
      <c r="D3399" s="156">
        <f t="shared" si="54"/>
        <v>1.8880878819086851E-2</v>
      </c>
      <c r="E3399" s="156">
        <v>-6.4084031993831749E-3</v>
      </c>
      <c r="G3399" s="156"/>
    </row>
    <row r="3400" spans="2:7" x14ac:dyDescent="0.2">
      <c r="B3400" s="230">
        <v>40988</v>
      </c>
      <c r="C3400" s="124">
        <v>148.24</v>
      </c>
      <c r="D3400" s="156">
        <f t="shared" si="54"/>
        <v>-1.0781671159029419E-3</v>
      </c>
      <c r="E3400" s="156">
        <v>-6.423982869378982E-3</v>
      </c>
      <c r="G3400" s="156"/>
    </row>
    <row r="3401" spans="2:7" x14ac:dyDescent="0.2">
      <c r="B3401" s="230">
        <v>40987</v>
      </c>
      <c r="C3401" s="124">
        <v>146.18</v>
      </c>
      <c r="D3401" s="156">
        <f t="shared" si="54"/>
        <v>-1.3896384241770117E-2</v>
      </c>
      <c r="E3401" s="156">
        <v>-6.4317180616740438E-3</v>
      </c>
      <c r="G3401" s="156"/>
    </row>
    <row r="3402" spans="2:7" x14ac:dyDescent="0.2">
      <c r="B3402" s="230">
        <v>40984</v>
      </c>
      <c r="C3402" s="124">
        <v>143.30000000000001</v>
      </c>
      <c r="D3402" s="156">
        <f t="shared" si="54"/>
        <v>-1.9701737583800762E-2</v>
      </c>
      <c r="E3402" s="156">
        <v>-6.4334539605950718E-3</v>
      </c>
      <c r="G3402" s="156"/>
    </row>
    <row r="3403" spans="2:7" x14ac:dyDescent="0.2">
      <c r="B3403" s="230">
        <v>40983</v>
      </c>
      <c r="C3403" s="124">
        <v>138.49</v>
      </c>
      <c r="D3403" s="156">
        <f t="shared" si="54"/>
        <v>-3.3565945568736925E-2</v>
      </c>
      <c r="E3403" s="156">
        <v>-6.4412238325282211E-3</v>
      </c>
      <c r="G3403" s="156"/>
    </row>
    <row r="3404" spans="2:7" x14ac:dyDescent="0.2">
      <c r="B3404" s="230">
        <v>40982</v>
      </c>
      <c r="C3404" s="124">
        <v>140.88</v>
      </c>
      <c r="D3404" s="156">
        <f t="shared" si="54"/>
        <v>1.7257563723012393E-2</v>
      </c>
      <c r="E3404" s="156">
        <v>-6.4435296223375599E-3</v>
      </c>
      <c r="G3404" s="156"/>
    </row>
    <row r="3405" spans="2:7" x14ac:dyDescent="0.2">
      <c r="B3405" s="230">
        <v>40981</v>
      </c>
      <c r="C3405" s="124">
        <v>138.59</v>
      </c>
      <c r="D3405" s="156">
        <f t="shared" si="54"/>
        <v>-1.6254968767745542E-2</v>
      </c>
      <c r="E3405" s="156">
        <v>-6.4474323667583098E-3</v>
      </c>
      <c r="G3405" s="156"/>
    </row>
    <row r="3406" spans="2:7" x14ac:dyDescent="0.2">
      <c r="B3406" s="230">
        <v>40980</v>
      </c>
      <c r="C3406" s="124">
        <v>137.1</v>
      </c>
      <c r="D3406" s="156">
        <f t="shared" si="54"/>
        <v>-1.0751136445631063E-2</v>
      </c>
      <c r="E3406" s="156">
        <v>-6.4676616915422987E-3</v>
      </c>
      <c r="G3406" s="156"/>
    </row>
    <row r="3407" spans="2:7" x14ac:dyDescent="0.2">
      <c r="B3407" s="230">
        <v>40977</v>
      </c>
      <c r="C3407" s="124">
        <v>138.06</v>
      </c>
      <c r="D3407" s="156">
        <f t="shared" si="54"/>
        <v>7.0021881838074982E-3</v>
      </c>
      <c r="E3407" s="156">
        <v>-6.4734161549812631E-3</v>
      </c>
      <c r="G3407" s="156"/>
    </row>
    <row r="3408" spans="2:7" x14ac:dyDescent="0.2">
      <c r="B3408" s="230">
        <v>40975</v>
      </c>
      <c r="C3408" s="124">
        <v>139.19</v>
      </c>
      <c r="D3408" s="156">
        <f t="shared" si="54"/>
        <v>8.1848471678979823E-3</v>
      </c>
      <c r="E3408" s="156">
        <v>-6.4838829195997469E-3</v>
      </c>
      <c r="G3408" s="156"/>
    </row>
    <row r="3409" spans="2:7" x14ac:dyDescent="0.2">
      <c r="B3409" s="230">
        <v>40974</v>
      </c>
      <c r="C3409" s="124">
        <v>139.49</v>
      </c>
      <c r="D3409" s="156">
        <f t="shared" si="54"/>
        <v>2.1553272505209524E-3</v>
      </c>
      <c r="E3409" s="156">
        <v>-6.4867127014018961E-3</v>
      </c>
      <c r="G3409" s="156"/>
    </row>
    <row r="3410" spans="2:7" x14ac:dyDescent="0.2">
      <c r="B3410" s="230">
        <v>40973</v>
      </c>
      <c r="C3410" s="124">
        <v>137.22999999999999</v>
      </c>
      <c r="D3410" s="156">
        <f t="shared" si="54"/>
        <v>-1.6201878270843927E-2</v>
      </c>
      <c r="E3410" s="156">
        <v>-6.5068493150684152E-3</v>
      </c>
      <c r="G3410" s="156"/>
    </row>
    <row r="3411" spans="2:7" x14ac:dyDescent="0.2">
      <c r="B3411" s="230">
        <v>40971</v>
      </c>
      <c r="C3411" s="124">
        <v>135.91</v>
      </c>
      <c r="D3411" s="156">
        <f t="shared" si="54"/>
        <v>-9.618887998251063E-3</v>
      </c>
      <c r="E3411" s="156">
        <v>-6.5173116089612803E-3</v>
      </c>
      <c r="G3411" s="156"/>
    </row>
    <row r="3412" spans="2:7" x14ac:dyDescent="0.2">
      <c r="B3412" s="230">
        <v>40970</v>
      </c>
      <c r="C3412" s="124">
        <v>136.07</v>
      </c>
      <c r="D3412" s="156">
        <f t="shared" si="54"/>
        <v>1.1772496505039849E-3</v>
      </c>
      <c r="E3412" s="156">
        <v>-6.5298507462686834E-3</v>
      </c>
      <c r="G3412" s="156"/>
    </row>
    <row r="3413" spans="2:7" x14ac:dyDescent="0.2">
      <c r="B3413" s="230">
        <v>40969</v>
      </c>
      <c r="C3413" s="124">
        <v>137.13</v>
      </c>
      <c r="D3413" s="156">
        <f t="shared" si="54"/>
        <v>7.7901080326302809E-3</v>
      </c>
      <c r="E3413" s="156">
        <v>-6.533700137551504E-3</v>
      </c>
      <c r="G3413" s="156"/>
    </row>
    <row r="3414" spans="2:7" x14ac:dyDescent="0.2">
      <c r="B3414" s="230">
        <v>40968</v>
      </c>
      <c r="C3414" s="124">
        <v>137.66</v>
      </c>
      <c r="D3414" s="156">
        <f t="shared" si="54"/>
        <v>3.864945671990091E-3</v>
      </c>
      <c r="E3414" s="156">
        <v>-6.5403030751765489E-3</v>
      </c>
      <c r="G3414" s="156"/>
    </row>
    <row r="3415" spans="2:7" x14ac:dyDescent="0.2">
      <c r="B3415" s="230">
        <v>40967</v>
      </c>
      <c r="C3415" s="124">
        <v>139.68</v>
      </c>
      <c r="D3415" s="156">
        <f t="shared" si="54"/>
        <v>1.4673834083975086E-2</v>
      </c>
      <c r="E3415" s="156">
        <v>-6.5535400819192778E-3</v>
      </c>
      <c r="G3415" s="156"/>
    </row>
    <row r="3416" spans="2:7" x14ac:dyDescent="0.2">
      <c r="B3416" s="230">
        <v>40966</v>
      </c>
      <c r="C3416" s="124">
        <v>140.75</v>
      </c>
      <c r="D3416" s="156">
        <f t="shared" si="54"/>
        <v>7.6603665521190805E-3</v>
      </c>
      <c r="E3416" s="156">
        <v>-6.5549676660786637E-3</v>
      </c>
      <c r="G3416" s="156"/>
    </row>
    <row r="3417" spans="2:7" x14ac:dyDescent="0.2">
      <c r="B3417" s="230">
        <v>40963</v>
      </c>
      <c r="C3417" s="124">
        <v>138.82</v>
      </c>
      <c r="D3417" s="156">
        <f t="shared" si="54"/>
        <v>-1.3712255772646585E-2</v>
      </c>
      <c r="E3417" s="156">
        <v>-6.5549890750182492E-3</v>
      </c>
      <c r="G3417" s="156"/>
    </row>
    <row r="3418" spans="2:7" x14ac:dyDescent="0.2">
      <c r="B3418" s="230">
        <v>40962</v>
      </c>
      <c r="C3418" s="124">
        <v>138.29</v>
      </c>
      <c r="D3418" s="156">
        <f t="shared" si="54"/>
        <v>-3.8178936752629386E-3</v>
      </c>
      <c r="E3418" s="156">
        <v>-6.5637750576548609E-3</v>
      </c>
      <c r="G3418" s="156"/>
    </row>
    <row r="3419" spans="2:7" x14ac:dyDescent="0.2">
      <c r="B3419" s="230">
        <v>40961</v>
      </c>
      <c r="C3419" s="124">
        <v>138.26</v>
      </c>
      <c r="D3419" s="156">
        <f t="shared" si="54"/>
        <v>-2.1693542555500136E-4</v>
      </c>
      <c r="E3419" s="156">
        <v>-6.5670661631915712E-3</v>
      </c>
      <c r="G3419" s="156"/>
    </row>
    <row r="3420" spans="2:7" x14ac:dyDescent="0.2">
      <c r="B3420" s="230">
        <v>40960</v>
      </c>
      <c r="C3420" s="124">
        <v>137.5</v>
      </c>
      <c r="D3420" s="156">
        <f t="shared" si="54"/>
        <v>-5.496889917546586E-3</v>
      </c>
      <c r="E3420" s="156">
        <v>-6.578093218505136E-3</v>
      </c>
      <c r="G3420" s="156"/>
    </row>
    <row r="3421" spans="2:7" x14ac:dyDescent="0.2">
      <c r="B3421" s="230">
        <v>40956</v>
      </c>
      <c r="C3421" s="124">
        <v>136.19999999999999</v>
      </c>
      <c r="D3421" s="156">
        <f t="shared" si="54"/>
        <v>-9.4545454545455366E-3</v>
      </c>
      <c r="E3421" s="156">
        <v>-6.5827620314472075E-3</v>
      </c>
      <c r="G3421" s="156"/>
    </row>
    <row r="3422" spans="2:7" x14ac:dyDescent="0.2">
      <c r="B3422" s="230">
        <v>40955</v>
      </c>
      <c r="C3422" s="124">
        <v>135.21</v>
      </c>
      <c r="D3422" s="156">
        <f t="shared" si="54"/>
        <v>-7.268722466960211E-3</v>
      </c>
      <c r="E3422" s="156">
        <v>-6.5835880554902691E-3</v>
      </c>
      <c r="G3422" s="156"/>
    </row>
    <row r="3423" spans="2:7" x14ac:dyDescent="0.2">
      <c r="B3423" s="230">
        <v>40954</v>
      </c>
      <c r="C3423" s="124">
        <v>134.68</v>
      </c>
      <c r="D3423" s="156">
        <f t="shared" si="54"/>
        <v>-3.9198284150580662E-3</v>
      </c>
      <c r="E3423" s="156">
        <v>-6.5903028401066155E-3</v>
      </c>
      <c r="G3423" s="156"/>
    </row>
    <row r="3424" spans="2:7" x14ac:dyDescent="0.2">
      <c r="B3424" s="230">
        <v>40953</v>
      </c>
      <c r="C3424" s="124">
        <v>134.28</v>
      </c>
      <c r="D3424" s="156">
        <f t="shared" si="54"/>
        <v>-2.9700029700030122E-3</v>
      </c>
      <c r="E3424" s="156">
        <v>-6.5914750256335563E-3</v>
      </c>
      <c r="G3424" s="156"/>
    </row>
    <row r="3425" spans="2:7" x14ac:dyDescent="0.2">
      <c r="B3425" s="230">
        <v>40952</v>
      </c>
      <c r="C3425" s="124">
        <v>134.44999999999999</v>
      </c>
      <c r="D3425" s="156">
        <f t="shared" si="54"/>
        <v>1.2660113196305293E-3</v>
      </c>
      <c r="E3425" s="156">
        <v>-6.5995710278831639E-3</v>
      </c>
      <c r="G3425" s="156"/>
    </row>
    <row r="3426" spans="2:7" x14ac:dyDescent="0.2">
      <c r="B3426" s="230">
        <v>40949</v>
      </c>
      <c r="C3426" s="124">
        <v>135.11000000000001</v>
      </c>
      <c r="D3426" s="156">
        <f t="shared" si="54"/>
        <v>4.9088880624769439E-3</v>
      </c>
      <c r="E3426" s="156">
        <v>-6.6090493136755617E-3</v>
      </c>
      <c r="G3426" s="156"/>
    </row>
    <row r="3427" spans="2:7" x14ac:dyDescent="0.2">
      <c r="B3427" s="230">
        <v>40948</v>
      </c>
      <c r="C3427" s="124">
        <v>135.18</v>
      </c>
      <c r="D3427" s="156">
        <f t="shared" si="54"/>
        <v>5.1809636592401137E-4</v>
      </c>
      <c r="E3427" s="156">
        <v>-6.6120320357607914E-3</v>
      </c>
      <c r="G3427" s="156"/>
    </row>
    <row r="3428" spans="2:7" x14ac:dyDescent="0.2">
      <c r="B3428" s="230">
        <v>40947</v>
      </c>
      <c r="C3428" s="124">
        <v>135.54</v>
      </c>
      <c r="D3428" s="156">
        <f t="shared" si="54"/>
        <v>2.6631158455391714E-3</v>
      </c>
      <c r="E3428" s="156">
        <v>-6.619213855011922E-3</v>
      </c>
      <c r="G3428" s="156"/>
    </row>
    <row r="3429" spans="2:7" x14ac:dyDescent="0.2">
      <c r="B3429" s="230">
        <v>40946</v>
      </c>
      <c r="C3429" s="124">
        <v>136.27000000000001</v>
      </c>
      <c r="D3429" s="156">
        <f t="shared" si="54"/>
        <v>5.3858639516011376E-3</v>
      </c>
      <c r="E3429" s="156">
        <v>-6.6414307409842161E-3</v>
      </c>
      <c r="G3429" s="156"/>
    </row>
    <row r="3430" spans="2:7" x14ac:dyDescent="0.2">
      <c r="B3430" s="230">
        <v>40945</v>
      </c>
      <c r="C3430" s="124">
        <v>134.18</v>
      </c>
      <c r="D3430" s="156">
        <f t="shared" si="54"/>
        <v>-1.5337198209437171E-2</v>
      </c>
      <c r="E3430" s="156">
        <v>-6.6479161339811372E-3</v>
      </c>
      <c r="G3430" s="156"/>
    </row>
    <row r="3431" spans="2:7" x14ac:dyDescent="0.2">
      <c r="B3431" s="230">
        <v>40942</v>
      </c>
      <c r="C3431" s="124">
        <v>133.02000000000001</v>
      </c>
      <c r="D3431" s="156">
        <f t="shared" si="54"/>
        <v>-8.6451035921895694E-3</v>
      </c>
      <c r="E3431" s="156">
        <v>-6.6568047337278004E-3</v>
      </c>
      <c r="G3431" s="156"/>
    </row>
    <row r="3432" spans="2:7" x14ac:dyDescent="0.2">
      <c r="B3432" s="230">
        <v>40941</v>
      </c>
      <c r="C3432" s="124">
        <v>131.96</v>
      </c>
      <c r="D3432" s="156">
        <f t="shared" si="54"/>
        <v>-7.9687265072921534E-3</v>
      </c>
      <c r="E3432" s="156">
        <v>-6.6569837811669245E-3</v>
      </c>
      <c r="G3432" s="156"/>
    </row>
    <row r="3433" spans="2:7" x14ac:dyDescent="0.2">
      <c r="B3433" s="230">
        <v>40940</v>
      </c>
      <c r="C3433" s="124">
        <v>133.65</v>
      </c>
      <c r="D3433" s="156">
        <f t="shared" si="54"/>
        <v>1.2806911185207621E-2</v>
      </c>
      <c r="E3433" s="156">
        <v>-6.6584463625153851E-3</v>
      </c>
      <c r="G3433" s="156"/>
    </row>
    <row r="3434" spans="2:7" x14ac:dyDescent="0.2">
      <c r="B3434" s="230">
        <v>40939</v>
      </c>
      <c r="C3434" s="124">
        <v>135.21</v>
      </c>
      <c r="D3434" s="156">
        <f t="shared" si="54"/>
        <v>1.1672278338945023E-2</v>
      </c>
      <c r="E3434" s="156">
        <v>-6.686318211230188E-3</v>
      </c>
      <c r="G3434" s="156"/>
    </row>
    <row r="3435" spans="2:7" x14ac:dyDescent="0.2">
      <c r="B3435" s="230">
        <v>40938</v>
      </c>
      <c r="C3435" s="124">
        <v>133.15</v>
      </c>
      <c r="D3435" s="156">
        <f t="shared" si="54"/>
        <v>-1.5235559500036995E-2</v>
      </c>
      <c r="E3435" s="156">
        <v>-6.6975278242884552E-3</v>
      </c>
      <c r="G3435" s="156"/>
    </row>
    <row r="3436" spans="2:7" x14ac:dyDescent="0.2">
      <c r="B3436" s="230">
        <v>40935</v>
      </c>
      <c r="C3436" s="124">
        <v>133.78</v>
      </c>
      <c r="D3436" s="156">
        <f t="shared" si="54"/>
        <v>4.7315058205031572E-3</v>
      </c>
      <c r="E3436" s="156">
        <v>-6.730769230769258E-3</v>
      </c>
      <c r="G3436" s="156"/>
    </row>
    <row r="3437" spans="2:7" x14ac:dyDescent="0.2">
      <c r="B3437" s="230">
        <v>40933</v>
      </c>
      <c r="C3437" s="124">
        <v>136.6</v>
      </c>
      <c r="D3437" s="156">
        <f t="shared" si="54"/>
        <v>2.10793840633876E-2</v>
      </c>
      <c r="E3437" s="156">
        <v>-6.7359287589907908E-3</v>
      </c>
      <c r="G3437" s="156"/>
    </row>
    <row r="3438" spans="2:7" x14ac:dyDescent="0.2">
      <c r="B3438" s="230">
        <v>40932</v>
      </c>
      <c r="C3438" s="124">
        <v>136.54</v>
      </c>
      <c r="D3438" s="156">
        <f t="shared" si="54"/>
        <v>-4.3923865300148079E-4</v>
      </c>
      <c r="E3438" s="156">
        <v>-6.7599067599067066E-3</v>
      </c>
      <c r="G3438" s="156"/>
    </row>
    <row r="3439" spans="2:7" x14ac:dyDescent="0.2">
      <c r="B3439" s="230">
        <v>40931</v>
      </c>
      <c r="C3439" s="124">
        <v>135.63999999999999</v>
      </c>
      <c r="D3439" s="156">
        <f t="shared" si="54"/>
        <v>-6.5914750256335563E-3</v>
      </c>
      <c r="E3439" s="156">
        <v>-6.7672238075826537E-3</v>
      </c>
      <c r="G3439" s="156"/>
    </row>
    <row r="3440" spans="2:7" x14ac:dyDescent="0.2">
      <c r="B3440" s="230">
        <v>40928</v>
      </c>
      <c r="C3440" s="124">
        <v>133.44999999999999</v>
      </c>
      <c r="D3440" s="156">
        <f t="shared" si="54"/>
        <v>-1.6145679740489517E-2</v>
      </c>
      <c r="E3440" s="156">
        <v>-6.7757395471822277E-3</v>
      </c>
      <c r="G3440" s="156"/>
    </row>
    <row r="3441" spans="2:7" x14ac:dyDescent="0.2">
      <c r="B3441" s="230">
        <v>40927</v>
      </c>
      <c r="C3441" s="124">
        <v>138.69</v>
      </c>
      <c r="D3441" s="156">
        <f t="shared" si="54"/>
        <v>3.9265642562757656E-2</v>
      </c>
      <c r="E3441" s="156">
        <v>-6.7778936392075178E-3</v>
      </c>
      <c r="G3441" s="156"/>
    </row>
    <row r="3442" spans="2:7" x14ac:dyDescent="0.2">
      <c r="B3442" s="230">
        <v>40926</v>
      </c>
      <c r="C3442" s="124">
        <v>139.09</v>
      </c>
      <c r="D3442" s="156">
        <f t="shared" si="54"/>
        <v>2.8841300742663903E-3</v>
      </c>
      <c r="E3442" s="156">
        <v>-6.7854113655641335E-3</v>
      </c>
      <c r="G3442" s="156"/>
    </row>
    <row r="3443" spans="2:7" x14ac:dyDescent="0.2">
      <c r="B3443" s="230">
        <v>40925</v>
      </c>
      <c r="C3443" s="124">
        <v>138.16</v>
      </c>
      <c r="D3443" s="156">
        <f t="shared" si="54"/>
        <v>-6.686318211230188E-3</v>
      </c>
      <c r="E3443" s="156">
        <v>-6.7870036101082866E-3</v>
      </c>
      <c r="G3443" s="156"/>
    </row>
    <row r="3444" spans="2:7" x14ac:dyDescent="0.2">
      <c r="B3444" s="230">
        <v>40924</v>
      </c>
      <c r="C3444" s="124">
        <v>138.62</v>
      </c>
      <c r="D3444" s="156">
        <f t="shared" si="54"/>
        <v>3.3294730746960622E-3</v>
      </c>
      <c r="E3444" s="156">
        <v>-6.7889163561228472E-3</v>
      </c>
      <c r="G3444" s="156"/>
    </row>
    <row r="3445" spans="2:7" x14ac:dyDescent="0.2">
      <c r="B3445" s="230">
        <v>40921</v>
      </c>
      <c r="C3445" s="124">
        <v>137.27000000000001</v>
      </c>
      <c r="D3445" s="156">
        <f t="shared" si="54"/>
        <v>-9.7388544221612625E-3</v>
      </c>
      <c r="E3445" s="156">
        <v>-6.7903279231532115E-3</v>
      </c>
      <c r="G3445" s="156"/>
    </row>
    <row r="3446" spans="2:7" x14ac:dyDescent="0.2">
      <c r="B3446" s="230">
        <v>40920</v>
      </c>
      <c r="C3446" s="124">
        <v>135.87</v>
      </c>
      <c r="D3446" s="156">
        <f t="shared" si="54"/>
        <v>-1.0198878123406465E-2</v>
      </c>
      <c r="E3446" s="156">
        <v>-6.8013274880157192E-3</v>
      </c>
      <c r="G3446" s="156"/>
    </row>
    <row r="3447" spans="2:7" x14ac:dyDescent="0.2">
      <c r="B3447" s="230">
        <v>40919</v>
      </c>
      <c r="C3447" s="124">
        <v>134.78</v>
      </c>
      <c r="D3447" s="156">
        <f t="shared" si="54"/>
        <v>-8.022374328402174E-3</v>
      </c>
      <c r="E3447" s="156">
        <v>-6.8027210884354867E-3</v>
      </c>
      <c r="G3447" s="156"/>
    </row>
    <row r="3448" spans="2:7" x14ac:dyDescent="0.2">
      <c r="B3448" s="230">
        <v>40918</v>
      </c>
      <c r="C3448" s="124">
        <v>136.01</v>
      </c>
      <c r="D3448" s="156">
        <f t="shared" si="54"/>
        <v>9.1259830835434767E-3</v>
      </c>
      <c r="E3448" s="156">
        <v>-6.8033550792171854E-3</v>
      </c>
      <c r="G3448" s="156"/>
    </row>
    <row r="3449" spans="2:7" x14ac:dyDescent="0.2">
      <c r="B3449" s="230">
        <v>40917</v>
      </c>
      <c r="C3449" s="124">
        <v>133.91999999999999</v>
      </c>
      <c r="D3449" s="156">
        <f t="shared" si="54"/>
        <v>-1.536651716785533E-2</v>
      </c>
      <c r="E3449" s="156">
        <v>-6.8038782105800067E-3</v>
      </c>
      <c r="G3449" s="156"/>
    </row>
    <row r="3450" spans="2:7" x14ac:dyDescent="0.2">
      <c r="B3450" s="230">
        <v>40915</v>
      </c>
      <c r="C3450" s="124">
        <v>133.69</v>
      </c>
      <c r="D3450" s="156">
        <f t="shared" si="54"/>
        <v>-1.7174432497012379E-3</v>
      </c>
      <c r="E3450" s="156">
        <v>-6.8297703138887958E-3</v>
      </c>
      <c r="G3450" s="156"/>
    </row>
    <row r="3451" spans="2:7" x14ac:dyDescent="0.2">
      <c r="B3451" s="230">
        <v>40914</v>
      </c>
      <c r="C3451" s="124">
        <v>133.97999999999999</v>
      </c>
      <c r="D3451" s="156">
        <f t="shared" si="54"/>
        <v>2.1691973969630643E-3</v>
      </c>
      <c r="E3451" s="156">
        <v>-6.8306010928960029E-3</v>
      </c>
      <c r="G3451" s="156"/>
    </row>
    <row r="3452" spans="2:7" x14ac:dyDescent="0.2">
      <c r="B3452" s="230">
        <v>40913</v>
      </c>
      <c r="C3452" s="124">
        <v>132.46</v>
      </c>
      <c r="D3452" s="156">
        <f t="shared" si="54"/>
        <v>-1.1344976862218107E-2</v>
      </c>
      <c r="E3452" s="156">
        <v>-6.8442923490589372E-3</v>
      </c>
      <c r="G3452" s="156"/>
    </row>
    <row r="3453" spans="2:7" x14ac:dyDescent="0.2">
      <c r="B3453" s="230">
        <v>40912</v>
      </c>
      <c r="C3453" s="124">
        <v>132.29</v>
      </c>
      <c r="D3453" s="156">
        <f t="shared" si="54"/>
        <v>-1.2834063113393924E-3</v>
      </c>
      <c r="E3453" s="156">
        <v>-6.8483378513340557E-3</v>
      </c>
      <c r="G3453" s="156"/>
    </row>
    <row r="3454" spans="2:7" x14ac:dyDescent="0.2">
      <c r="B3454" s="230">
        <v>40911</v>
      </c>
      <c r="C3454" s="124">
        <v>132.82</v>
      </c>
      <c r="D3454" s="156">
        <f t="shared" ref="D3454:D3517" si="55">(C3454-C3453)/C3453</f>
        <v>4.0063496862952691E-3</v>
      </c>
      <c r="E3454" s="156">
        <v>-6.8699731903484685E-3</v>
      </c>
      <c r="G3454" s="156"/>
    </row>
    <row r="3455" spans="2:7" x14ac:dyDescent="0.2">
      <c r="B3455" s="230">
        <v>40910</v>
      </c>
      <c r="C3455" s="124">
        <v>131.69999999999999</v>
      </c>
      <c r="D3455" s="156">
        <f t="shared" si="55"/>
        <v>-8.432464990212352E-3</v>
      </c>
      <c r="E3455" s="156">
        <v>-6.8728522336769403E-3</v>
      </c>
      <c r="G3455" s="156"/>
    </row>
    <row r="3456" spans="2:7" x14ac:dyDescent="0.2">
      <c r="B3456" s="230">
        <v>40907</v>
      </c>
      <c r="C3456" s="124">
        <v>133.44999999999999</v>
      </c>
      <c r="D3456" s="156">
        <f t="shared" si="55"/>
        <v>1.328777524677297E-2</v>
      </c>
      <c r="E3456" s="156">
        <v>-6.9029850746269508E-3</v>
      </c>
      <c r="G3456" s="156"/>
    </row>
    <row r="3457" spans="2:7" x14ac:dyDescent="0.2">
      <c r="B3457" s="230">
        <v>40906</v>
      </c>
      <c r="C3457" s="124">
        <v>133.06</v>
      </c>
      <c r="D3457" s="156">
        <f t="shared" si="55"/>
        <v>-2.9224428624952145E-3</v>
      </c>
      <c r="E3457" s="156">
        <v>-6.9074402999802645E-3</v>
      </c>
      <c r="G3457" s="156"/>
    </row>
    <row r="3458" spans="2:7" x14ac:dyDescent="0.2">
      <c r="B3458" s="230">
        <v>40905</v>
      </c>
      <c r="C3458" s="124">
        <v>133.94999999999999</v>
      </c>
      <c r="D3458" s="156">
        <f t="shared" si="55"/>
        <v>6.6887118593114865E-3</v>
      </c>
      <c r="E3458" s="156">
        <v>-6.9249080285652513E-3</v>
      </c>
      <c r="G3458" s="156"/>
    </row>
    <row r="3459" spans="2:7" x14ac:dyDescent="0.2">
      <c r="B3459" s="230">
        <v>40904</v>
      </c>
      <c r="C3459" s="124">
        <v>135.94</v>
      </c>
      <c r="D3459" s="156">
        <f t="shared" si="55"/>
        <v>1.4856289660321084E-2</v>
      </c>
      <c r="E3459" s="156">
        <v>-6.925959426282483E-3</v>
      </c>
      <c r="G3459" s="156"/>
    </row>
    <row r="3460" spans="2:7" x14ac:dyDescent="0.2">
      <c r="B3460" s="230">
        <v>40903</v>
      </c>
      <c r="C3460" s="124">
        <v>135.87</v>
      </c>
      <c r="D3460" s="156">
        <f t="shared" si="55"/>
        <v>-5.1493305870231848E-4</v>
      </c>
      <c r="E3460" s="156">
        <v>-6.9290788401071253E-3</v>
      </c>
      <c r="G3460" s="156"/>
    </row>
    <row r="3461" spans="2:7" x14ac:dyDescent="0.2">
      <c r="B3461" s="230">
        <v>40900</v>
      </c>
      <c r="C3461" s="124">
        <v>135.24</v>
      </c>
      <c r="D3461" s="156">
        <f t="shared" si="55"/>
        <v>-4.6367851622874474E-3</v>
      </c>
      <c r="E3461" s="156">
        <v>-6.9468565474122713E-3</v>
      </c>
      <c r="G3461" s="156"/>
    </row>
    <row r="3462" spans="2:7" x14ac:dyDescent="0.2">
      <c r="B3462" s="230">
        <v>40899</v>
      </c>
      <c r="C3462" s="124">
        <v>135.08000000000001</v>
      </c>
      <c r="D3462" s="156">
        <f t="shared" si="55"/>
        <v>-1.1830819284235181E-3</v>
      </c>
      <c r="E3462" s="156">
        <v>-6.9544364508392744E-3</v>
      </c>
      <c r="G3462" s="156"/>
    </row>
    <row r="3463" spans="2:7" x14ac:dyDescent="0.2">
      <c r="B3463" s="230">
        <v>40898</v>
      </c>
      <c r="C3463" s="124">
        <v>134.08000000000001</v>
      </c>
      <c r="D3463" s="156">
        <f t="shared" si="55"/>
        <v>-7.403020432336393E-3</v>
      </c>
      <c r="E3463" s="156">
        <v>-6.9583240802427839E-3</v>
      </c>
      <c r="G3463" s="156"/>
    </row>
    <row r="3464" spans="2:7" x14ac:dyDescent="0.2">
      <c r="B3464" s="230">
        <v>40897</v>
      </c>
      <c r="C3464" s="124">
        <v>132.19</v>
      </c>
      <c r="D3464" s="156">
        <f t="shared" si="55"/>
        <v>-1.4096062052506075E-2</v>
      </c>
      <c r="E3464" s="156">
        <v>-6.9610522719507836E-3</v>
      </c>
      <c r="G3464" s="156"/>
    </row>
    <row r="3465" spans="2:7" x14ac:dyDescent="0.2">
      <c r="B3465" s="230">
        <v>40896</v>
      </c>
      <c r="C3465" s="124">
        <v>130.93</v>
      </c>
      <c r="D3465" s="156">
        <f t="shared" si="55"/>
        <v>-9.5317346244041985E-3</v>
      </c>
      <c r="E3465" s="156">
        <v>-6.9611780455153417E-3</v>
      </c>
      <c r="G3465" s="156"/>
    </row>
    <row r="3466" spans="2:7" x14ac:dyDescent="0.2">
      <c r="B3466" s="230">
        <v>40893</v>
      </c>
      <c r="C3466" s="124">
        <v>129.81</v>
      </c>
      <c r="D3466" s="156">
        <f t="shared" si="55"/>
        <v>-8.5541892614374431E-3</v>
      </c>
      <c r="E3466" s="156">
        <v>-6.9840990951418932E-3</v>
      </c>
      <c r="G3466" s="156"/>
    </row>
    <row r="3467" spans="2:7" x14ac:dyDescent="0.2">
      <c r="B3467" s="230">
        <v>40892</v>
      </c>
      <c r="C3467" s="124">
        <v>132.33000000000001</v>
      </c>
      <c r="D3467" s="156">
        <f t="shared" si="55"/>
        <v>1.941298821354295E-2</v>
      </c>
      <c r="E3467" s="156">
        <v>-6.9846433526288476E-3</v>
      </c>
      <c r="G3467" s="156"/>
    </row>
    <row r="3468" spans="2:7" x14ac:dyDescent="0.2">
      <c r="B3468" s="230">
        <v>40891</v>
      </c>
      <c r="C3468" s="124">
        <v>132.49</v>
      </c>
      <c r="D3468" s="156">
        <f t="shared" si="55"/>
        <v>1.2090984659562955E-3</v>
      </c>
      <c r="E3468" s="156">
        <v>-6.988694758478884E-3</v>
      </c>
      <c r="G3468" s="156"/>
    </row>
    <row r="3469" spans="2:7" x14ac:dyDescent="0.2">
      <c r="B3469" s="230">
        <v>40890</v>
      </c>
      <c r="C3469" s="124">
        <v>130.83000000000001</v>
      </c>
      <c r="D3469" s="156">
        <f t="shared" si="55"/>
        <v>-1.2529247490376606E-2</v>
      </c>
      <c r="E3469" s="156">
        <v>-7.0002295157218534E-3</v>
      </c>
      <c r="G3469" s="156"/>
    </row>
    <row r="3470" spans="2:7" x14ac:dyDescent="0.2">
      <c r="B3470" s="230">
        <v>40889</v>
      </c>
      <c r="C3470" s="124">
        <v>129.94</v>
      </c>
      <c r="D3470" s="156">
        <f t="shared" si="55"/>
        <v>-6.8027210884354867E-3</v>
      </c>
      <c r="E3470" s="156">
        <v>-7.0044361428904973E-3</v>
      </c>
      <c r="G3470" s="156"/>
    </row>
    <row r="3471" spans="2:7" x14ac:dyDescent="0.2">
      <c r="B3471" s="230">
        <v>40886</v>
      </c>
      <c r="C3471" s="124">
        <v>130.69999999999999</v>
      </c>
      <c r="D3471" s="156">
        <f t="shared" si="55"/>
        <v>5.8488533169154299E-3</v>
      </c>
      <c r="E3471" s="156">
        <v>-7.0059930784164628E-3</v>
      </c>
      <c r="G3471" s="156"/>
    </row>
    <row r="3472" spans="2:7" x14ac:dyDescent="0.2">
      <c r="B3472" s="230">
        <v>40885</v>
      </c>
      <c r="C3472" s="124">
        <v>131.93</v>
      </c>
      <c r="D3472" s="156">
        <f t="shared" si="55"/>
        <v>9.4108645753635672E-3</v>
      </c>
      <c r="E3472" s="156">
        <v>-7.0197300103842066E-3</v>
      </c>
      <c r="G3472" s="156"/>
    </row>
    <row r="3473" spans="2:7" x14ac:dyDescent="0.2">
      <c r="B3473" s="230">
        <v>40884</v>
      </c>
      <c r="C3473" s="124">
        <v>135.87</v>
      </c>
      <c r="D3473" s="156">
        <f t="shared" si="55"/>
        <v>2.9864321988933507E-2</v>
      </c>
      <c r="E3473" s="156">
        <v>-7.024067761594947E-3</v>
      </c>
      <c r="G3473" s="156"/>
    </row>
    <row r="3474" spans="2:7" x14ac:dyDescent="0.2">
      <c r="B3474" s="230">
        <v>40882</v>
      </c>
      <c r="C3474" s="124">
        <v>135.34</v>
      </c>
      <c r="D3474" s="156">
        <f t="shared" si="55"/>
        <v>-3.9007875174799523E-3</v>
      </c>
      <c r="E3474" s="156">
        <v>-7.0438536696205917E-3</v>
      </c>
      <c r="G3474" s="156"/>
    </row>
    <row r="3475" spans="2:7" x14ac:dyDescent="0.2">
      <c r="B3475" s="230">
        <v>40879</v>
      </c>
      <c r="C3475" s="124">
        <v>136.9</v>
      </c>
      <c r="D3475" s="156">
        <f t="shared" si="55"/>
        <v>1.1526525786907065E-2</v>
      </c>
      <c r="E3475" s="156">
        <v>-7.0458952811892376E-3</v>
      </c>
      <c r="G3475" s="156"/>
    </row>
    <row r="3476" spans="2:7" x14ac:dyDescent="0.2">
      <c r="B3476" s="230">
        <v>40878</v>
      </c>
      <c r="C3476" s="124">
        <v>135.01</v>
      </c>
      <c r="D3476" s="156">
        <f t="shared" si="55"/>
        <v>-1.3805697589481481E-2</v>
      </c>
      <c r="E3476" s="156">
        <v>-7.0560564484515205E-3</v>
      </c>
      <c r="G3476" s="156"/>
    </row>
    <row r="3477" spans="2:7" x14ac:dyDescent="0.2">
      <c r="B3477" s="230">
        <v>40877</v>
      </c>
      <c r="C3477" s="124">
        <v>133.06</v>
      </c>
      <c r="D3477" s="156">
        <f t="shared" si="55"/>
        <v>-1.4443374564846964E-2</v>
      </c>
      <c r="E3477" s="156">
        <v>-7.0610733812243986E-3</v>
      </c>
      <c r="G3477" s="156"/>
    </row>
    <row r="3478" spans="2:7" x14ac:dyDescent="0.2">
      <c r="B3478" s="230">
        <v>40876</v>
      </c>
      <c r="C3478" s="124">
        <v>131.19999999999999</v>
      </c>
      <c r="D3478" s="156">
        <f t="shared" si="55"/>
        <v>-1.3978656245302973E-2</v>
      </c>
      <c r="E3478" s="156">
        <v>-7.0738033482669179E-3</v>
      </c>
      <c r="G3478" s="156"/>
    </row>
    <row r="3479" spans="2:7" x14ac:dyDescent="0.2">
      <c r="B3479" s="230">
        <v>40875</v>
      </c>
      <c r="C3479" s="124">
        <v>130.24</v>
      </c>
      <c r="D3479" s="156">
        <f t="shared" si="55"/>
        <v>-7.3170731707315516E-3</v>
      </c>
      <c r="E3479" s="156">
        <v>-7.1185391519654586E-3</v>
      </c>
      <c r="G3479" s="156"/>
    </row>
    <row r="3480" spans="2:7" x14ac:dyDescent="0.2">
      <c r="B3480" s="230">
        <v>40872</v>
      </c>
      <c r="C3480" s="124">
        <v>127.45</v>
      </c>
      <c r="D3480" s="156">
        <f t="shared" si="55"/>
        <v>-2.1421990171990219E-2</v>
      </c>
      <c r="E3480" s="156">
        <v>-7.1510297482837533E-3</v>
      </c>
      <c r="G3480" s="156"/>
    </row>
    <row r="3481" spans="2:7" x14ac:dyDescent="0.2">
      <c r="B3481" s="230">
        <v>40871</v>
      </c>
      <c r="C3481" s="124">
        <v>127.49</v>
      </c>
      <c r="D3481" s="156">
        <f t="shared" si="55"/>
        <v>3.1384856806584575E-4</v>
      </c>
      <c r="E3481" s="156">
        <v>-7.1599045346063712E-3</v>
      </c>
      <c r="G3481" s="156"/>
    </row>
    <row r="3482" spans="2:7" x14ac:dyDescent="0.2">
      <c r="B3482" s="230">
        <v>40870</v>
      </c>
      <c r="C3482" s="124">
        <v>128.15</v>
      </c>
      <c r="D3482" s="156">
        <f t="shared" si="55"/>
        <v>5.1768766177740276E-3</v>
      </c>
      <c r="E3482" s="156">
        <v>-7.163610860635241E-3</v>
      </c>
      <c r="G3482" s="156"/>
    </row>
    <row r="3483" spans="2:7" x14ac:dyDescent="0.2">
      <c r="B3483" s="230">
        <v>40869</v>
      </c>
      <c r="C3483" s="124">
        <v>130.07</v>
      </c>
      <c r="D3483" s="156">
        <f t="shared" si="55"/>
        <v>1.498244245025351E-2</v>
      </c>
      <c r="E3483" s="156">
        <v>-7.1714476317544977E-3</v>
      </c>
      <c r="G3483" s="156"/>
    </row>
    <row r="3484" spans="2:7" x14ac:dyDescent="0.2">
      <c r="B3484" s="230">
        <v>40868</v>
      </c>
      <c r="C3484" s="124">
        <v>132.22999999999999</v>
      </c>
      <c r="D3484" s="156">
        <f t="shared" si="55"/>
        <v>1.6606442684708209E-2</v>
      </c>
      <c r="E3484" s="156">
        <v>-7.1799950482792562E-3</v>
      </c>
      <c r="G3484" s="156"/>
    </row>
    <row r="3485" spans="2:7" x14ac:dyDescent="0.2">
      <c r="B3485" s="230">
        <v>40865</v>
      </c>
      <c r="C3485" s="124">
        <v>133.78</v>
      </c>
      <c r="D3485" s="156">
        <f t="shared" si="55"/>
        <v>1.1721999546245266E-2</v>
      </c>
      <c r="E3485" s="156">
        <v>-7.1848646249446065E-3</v>
      </c>
      <c r="G3485" s="156"/>
    </row>
    <row r="3486" spans="2:7" x14ac:dyDescent="0.2">
      <c r="B3486" s="230">
        <v>40864</v>
      </c>
      <c r="C3486" s="124">
        <v>137.72999999999999</v>
      </c>
      <c r="D3486" s="156">
        <f t="shared" si="55"/>
        <v>2.9526087606518078E-2</v>
      </c>
      <c r="E3486" s="156">
        <v>-7.1862024912167956E-3</v>
      </c>
      <c r="G3486" s="156"/>
    </row>
    <row r="3487" spans="2:7" x14ac:dyDescent="0.2">
      <c r="B3487" s="230">
        <v>40863</v>
      </c>
      <c r="C3487" s="124">
        <v>140.94</v>
      </c>
      <c r="D3487" s="156">
        <f t="shared" si="55"/>
        <v>2.3306469178828202E-2</v>
      </c>
      <c r="E3487" s="156">
        <v>-7.1961158314548142E-3</v>
      </c>
      <c r="G3487" s="156"/>
    </row>
    <row r="3488" spans="2:7" x14ac:dyDescent="0.2">
      <c r="B3488" s="230">
        <v>40862</v>
      </c>
      <c r="C3488" s="124">
        <v>139.65</v>
      </c>
      <c r="D3488" s="156">
        <f t="shared" si="55"/>
        <v>-9.1528309919113957E-3</v>
      </c>
      <c r="E3488" s="156">
        <v>-7.1996027805363311E-3</v>
      </c>
      <c r="G3488" s="156"/>
    </row>
    <row r="3489" spans="2:7" x14ac:dyDescent="0.2">
      <c r="B3489" s="230">
        <v>40861</v>
      </c>
      <c r="C3489" s="124">
        <v>140.22</v>
      </c>
      <c r="D3489" s="156">
        <f t="shared" si="55"/>
        <v>4.0816326530611754E-3</v>
      </c>
      <c r="E3489" s="156">
        <v>-7.2111051018568587E-3</v>
      </c>
      <c r="G3489" s="156"/>
    </row>
    <row r="3490" spans="2:7" x14ac:dyDescent="0.2">
      <c r="B3490" s="230">
        <v>40858</v>
      </c>
      <c r="C3490" s="124">
        <v>140.97999999999999</v>
      </c>
      <c r="D3490" s="156">
        <f t="shared" si="55"/>
        <v>5.4200542005419404E-3</v>
      </c>
      <c r="E3490" s="156">
        <v>-7.2270825408899866E-3</v>
      </c>
      <c r="G3490" s="156"/>
    </row>
    <row r="3491" spans="2:7" x14ac:dyDescent="0.2">
      <c r="B3491" s="230">
        <v>40856</v>
      </c>
      <c r="C3491" s="124">
        <v>140.55000000000001</v>
      </c>
      <c r="D3491" s="156">
        <f t="shared" si="55"/>
        <v>-3.0500780252516557E-3</v>
      </c>
      <c r="E3491" s="156">
        <v>-7.2398190045248872E-3</v>
      </c>
      <c r="G3491" s="156"/>
    </row>
    <row r="3492" spans="2:7" x14ac:dyDescent="0.2">
      <c r="B3492" s="230">
        <v>40855</v>
      </c>
      <c r="C3492" s="124">
        <v>139.75</v>
      </c>
      <c r="D3492" s="156">
        <f t="shared" si="55"/>
        <v>-5.691924581999369E-3</v>
      </c>
      <c r="E3492" s="156">
        <v>-7.2477234714736615E-3</v>
      </c>
      <c r="G3492" s="156"/>
    </row>
    <row r="3493" spans="2:7" x14ac:dyDescent="0.2">
      <c r="B3493" s="230">
        <v>40851</v>
      </c>
      <c r="C3493" s="124">
        <v>139.44999999999999</v>
      </c>
      <c r="D3493" s="156">
        <f t="shared" si="55"/>
        <v>-2.1466905187836234E-3</v>
      </c>
      <c r="E3493" s="156">
        <v>-7.2580165387589914E-3</v>
      </c>
      <c r="G3493" s="156"/>
    </row>
    <row r="3494" spans="2:7" x14ac:dyDescent="0.2">
      <c r="B3494" s="230">
        <v>40850</v>
      </c>
      <c r="C3494" s="124">
        <v>139.35</v>
      </c>
      <c r="D3494" s="156">
        <f t="shared" si="55"/>
        <v>-7.1710290426672157E-4</v>
      </c>
      <c r="E3494" s="156">
        <v>-7.2630432151071294E-3</v>
      </c>
      <c r="G3494" s="156"/>
    </row>
    <row r="3495" spans="2:7" x14ac:dyDescent="0.2">
      <c r="B3495" s="230">
        <v>40849</v>
      </c>
      <c r="C3495" s="124">
        <v>138.79</v>
      </c>
      <c r="D3495" s="156">
        <f t="shared" si="55"/>
        <v>-4.0186580552565646E-3</v>
      </c>
      <c r="E3495" s="156">
        <v>-7.2659987363481067E-3</v>
      </c>
      <c r="G3495" s="156"/>
    </row>
    <row r="3496" spans="2:7" x14ac:dyDescent="0.2">
      <c r="B3496" s="230">
        <v>40848</v>
      </c>
      <c r="C3496" s="124">
        <v>138.09</v>
      </c>
      <c r="D3496" s="156">
        <f t="shared" si="55"/>
        <v>-5.0435910368181328E-3</v>
      </c>
      <c r="E3496" s="156">
        <v>-7.268722466960211E-3</v>
      </c>
      <c r="G3496" s="156"/>
    </row>
    <row r="3497" spans="2:7" x14ac:dyDescent="0.2">
      <c r="B3497" s="230">
        <v>40847</v>
      </c>
      <c r="C3497" s="124">
        <v>141.31</v>
      </c>
      <c r="D3497" s="156">
        <f t="shared" si="55"/>
        <v>2.3318125859946404E-2</v>
      </c>
      <c r="E3497" s="156">
        <v>-7.269422989550179E-3</v>
      </c>
      <c r="G3497" s="156"/>
    </row>
    <row r="3498" spans="2:7" x14ac:dyDescent="0.2">
      <c r="B3498" s="230">
        <v>40844</v>
      </c>
      <c r="C3498" s="124">
        <v>142.87</v>
      </c>
      <c r="D3498" s="156">
        <f t="shared" si="55"/>
        <v>1.103955841766331E-2</v>
      </c>
      <c r="E3498" s="156">
        <v>-7.2837093622313432E-3</v>
      </c>
      <c r="G3498" s="156"/>
    </row>
    <row r="3499" spans="2:7" x14ac:dyDescent="0.2">
      <c r="B3499" s="230">
        <v>40842</v>
      </c>
      <c r="C3499" s="124">
        <v>140.68</v>
      </c>
      <c r="D3499" s="156">
        <f t="shared" si="55"/>
        <v>-1.5328620424161809E-2</v>
      </c>
      <c r="E3499" s="156">
        <v>-7.286649376312326E-3</v>
      </c>
      <c r="G3499" s="156"/>
    </row>
    <row r="3500" spans="2:7" x14ac:dyDescent="0.2">
      <c r="B3500" s="230">
        <v>40841</v>
      </c>
      <c r="C3500" s="124">
        <v>139.91999999999999</v>
      </c>
      <c r="D3500" s="156">
        <f t="shared" si="55"/>
        <v>-5.4023315325562931E-3</v>
      </c>
      <c r="E3500" s="156">
        <v>-7.2893790009812736E-3</v>
      </c>
      <c r="G3500" s="156"/>
    </row>
    <row r="3501" spans="2:7" x14ac:dyDescent="0.2">
      <c r="B3501" s="230">
        <v>40840</v>
      </c>
      <c r="C3501" s="124">
        <v>137.19999999999999</v>
      </c>
      <c r="D3501" s="156">
        <f t="shared" si="55"/>
        <v>-1.94396798170383E-2</v>
      </c>
      <c r="E3501" s="156">
        <v>-7.2962268084219304E-3</v>
      </c>
      <c r="G3501" s="156"/>
    </row>
    <row r="3502" spans="2:7" x14ac:dyDescent="0.2">
      <c r="B3502" s="230">
        <v>40837</v>
      </c>
      <c r="C3502" s="124">
        <v>135.24</v>
      </c>
      <c r="D3502" s="156">
        <f t="shared" si="55"/>
        <v>-1.4285714285714138E-2</v>
      </c>
      <c r="E3502" s="156">
        <v>-7.296849087893827E-3</v>
      </c>
      <c r="G3502" s="156"/>
    </row>
    <row r="3503" spans="2:7" x14ac:dyDescent="0.2">
      <c r="B3503" s="230">
        <v>40836</v>
      </c>
      <c r="C3503" s="124">
        <v>135.94</v>
      </c>
      <c r="D3503" s="156">
        <f t="shared" si="55"/>
        <v>5.1759834368529179E-3</v>
      </c>
      <c r="E3503" s="156">
        <v>-7.2977033698218017E-3</v>
      </c>
      <c r="G3503" s="156"/>
    </row>
    <row r="3504" spans="2:7" x14ac:dyDescent="0.2">
      <c r="B3504" s="230">
        <v>40835</v>
      </c>
      <c r="C3504" s="124">
        <v>137.30000000000001</v>
      </c>
      <c r="D3504" s="156">
        <f t="shared" si="55"/>
        <v>1.0004413711931835E-2</v>
      </c>
      <c r="E3504" s="156">
        <v>-7.3116707167587306E-3</v>
      </c>
      <c r="G3504" s="156"/>
    </row>
    <row r="3505" spans="2:7" x14ac:dyDescent="0.2">
      <c r="B3505" s="230">
        <v>40834</v>
      </c>
      <c r="C3505" s="124">
        <v>135.41</v>
      </c>
      <c r="D3505" s="156">
        <f t="shared" si="55"/>
        <v>-1.3765477057538344E-2</v>
      </c>
      <c r="E3505" s="156">
        <v>-7.3170731707315516E-3</v>
      </c>
      <c r="G3505" s="156"/>
    </row>
    <row r="3506" spans="2:7" x14ac:dyDescent="0.2">
      <c r="B3506" s="230">
        <v>40833</v>
      </c>
      <c r="C3506" s="124">
        <v>136.4</v>
      </c>
      <c r="D3506" s="156">
        <f t="shared" si="55"/>
        <v>7.3111291632819517E-3</v>
      </c>
      <c r="E3506" s="156">
        <v>-7.3193766724382716E-3</v>
      </c>
      <c r="G3506" s="156"/>
    </row>
    <row r="3507" spans="2:7" x14ac:dyDescent="0.2">
      <c r="B3507" s="230">
        <v>40830</v>
      </c>
      <c r="C3507" s="124">
        <v>136.04</v>
      </c>
      <c r="D3507" s="156">
        <f t="shared" si="55"/>
        <v>-2.6392961876833842E-3</v>
      </c>
      <c r="E3507" s="156">
        <v>-7.3251417769375606E-3</v>
      </c>
      <c r="G3507" s="156"/>
    </row>
    <row r="3508" spans="2:7" x14ac:dyDescent="0.2">
      <c r="B3508" s="230">
        <v>40829</v>
      </c>
      <c r="C3508" s="124">
        <v>133.85</v>
      </c>
      <c r="D3508" s="156">
        <f t="shared" si="55"/>
        <v>-1.6098206409879433E-2</v>
      </c>
      <c r="E3508" s="156">
        <v>-7.3257719371526827E-3</v>
      </c>
      <c r="G3508" s="156"/>
    </row>
    <row r="3509" spans="2:7" x14ac:dyDescent="0.2">
      <c r="B3509" s="230">
        <v>40828</v>
      </c>
      <c r="C3509" s="124">
        <v>135.24</v>
      </c>
      <c r="D3509" s="156">
        <f t="shared" si="55"/>
        <v>1.0384759058647851E-2</v>
      </c>
      <c r="E3509" s="156">
        <v>-7.3304551178270541E-3</v>
      </c>
      <c r="G3509" s="156"/>
    </row>
    <row r="3510" spans="2:7" x14ac:dyDescent="0.2">
      <c r="B3510" s="230">
        <v>40827</v>
      </c>
      <c r="C3510" s="124">
        <v>132.29</v>
      </c>
      <c r="D3510" s="156">
        <f t="shared" si="55"/>
        <v>-2.1813073055309204E-2</v>
      </c>
      <c r="E3510" s="156">
        <v>-7.3388640714741682E-3</v>
      </c>
      <c r="G3510" s="156"/>
    </row>
    <row r="3511" spans="2:7" x14ac:dyDescent="0.2">
      <c r="B3511" s="230">
        <v>40826</v>
      </c>
      <c r="C3511" s="124">
        <v>132.66</v>
      </c>
      <c r="D3511" s="156">
        <f t="shared" si="55"/>
        <v>2.7968856300552162E-3</v>
      </c>
      <c r="E3511" s="156">
        <v>-7.3390647934577485E-3</v>
      </c>
      <c r="G3511" s="156"/>
    </row>
    <row r="3512" spans="2:7" x14ac:dyDescent="0.2">
      <c r="B3512" s="230">
        <v>40823</v>
      </c>
      <c r="C3512" s="124">
        <v>132.03</v>
      </c>
      <c r="D3512" s="156">
        <f t="shared" si="55"/>
        <v>-4.7489823609226257E-3</v>
      </c>
      <c r="E3512" s="156">
        <v>-7.3426573426573494E-3</v>
      </c>
      <c r="G3512" s="156"/>
    </row>
    <row r="3513" spans="2:7" x14ac:dyDescent="0.2">
      <c r="B3513" s="230">
        <v>40821</v>
      </c>
      <c r="C3513" s="124">
        <v>128.68</v>
      </c>
      <c r="D3513" s="156">
        <f t="shared" si="55"/>
        <v>-2.537302128304169E-2</v>
      </c>
      <c r="E3513" s="156">
        <v>-7.3490813648294266E-3</v>
      </c>
      <c r="G3513" s="156"/>
    </row>
    <row r="3514" spans="2:7" x14ac:dyDescent="0.2">
      <c r="B3514" s="230">
        <v>40820</v>
      </c>
      <c r="C3514" s="124">
        <v>127.06</v>
      </c>
      <c r="D3514" s="156">
        <f t="shared" si="55"/>
        <v>-1.2589368977308085E-2</v>
      </c>
      <c r="E3514" s="156">
        <v>-7.3679901760131195E-3</v>
      </c>
      <c r="G3514" s="156"/>
    </row>
    <row r="3515" spans="2:7" x14ac:dyDescent="0.2">
      <c r="B3515" s="230">
        <v>40819</v>
      </c>
      <c r="C3515" s="124">
        <v>128.85</v>
      </c>
      <c r="D3515" s="156">
        <f t="shared" si="55"/>
        <v>1.4087832520069196E-2</v>
      </c>
      <c r="E3515" s="156">
        <v>-7.371007371007504E-3</v>
      </c>
      <c r="G3515" s="156"/>
    </row>
    <row r="3516" spans="2:7" x14ac:dyDescent="0.2">
      <c r="B3516" s="230">
        <v>40816</v>
      </c>
      <c r="C3516" s="124">
        <v>131.27000000000001</v>
      </c>
      <c r="D3516" s="156">
        <f t="shared" si="55"/>
        <v>1.8781528909584913E-2</v>
      </c>
      <c r="E3516" s="156">
        <v>-7.371126521507251E-3</v>
      </c>
      <c r="G3516" s="156"/>
    </row>
    <row r="3517" spans="2:7" x14ac:dyDescent="0.2">
      <c r="B3517" s="230">
        <v>40815</v>
      </c>
      <c r="C3517" s="124">
        <v>134.08000000000001</v>
      </c>
      <c r="D3517" s="156">
        <f t="shared" si="55"/>
        <v>2.1406261902948139E-2</v>
      </c>
      <c r="E3517" s="156">
        <v>-7.3853145859962511E-3</v>
      </c>
      <c r="G3517" s="156"/>
    </row>
    <row r="3518" spans="2:7" x14ac:dyDescent="0.2">
      <c r="B3518" s="230">
        <v>40814</v>
      </c>
      <c r="C3518" s="124">
        <v>130.66999999999999</v>
      </c>
      <c r="D3518" s="156">
        <f t="shared" ref="D3518:D3581" si="56">(C3518-C3517)/C3517</f>
        <v>-2.5432577565632643E-2</v>
      </c>
      <c r="E3518" s="156">
        <v>-7.3937153419592963E-3</v>
      </c>
      <c r="G3518" s="156"/>
    </row>
    <row r="3519" spans="2:7" x14ac:dyDescent="0.2">
      <c r="B3519" s="230">
        <v>40813</v>
      </c>
      <c r="C3519" s="124">
        <v>128.25</v>
      </c>
      <c r="D3519" s="156">
        <f t="shared" si="56"/>
        <v>-1.8519935715925522E-2</v>
      </c>
      <c r="E3519" s="156">
        <v>-7.403020432336393E-3</v>
      </c>
      <c r="G3519" s="156"/>
    </row>
    <row r="3520" spans="2:7" x14ac:dyDescent="0.2">
      <c r="B3520" s="230">
        <v>40812</v>
      </c>
      <c r="C3520" s="124">
        <v>124.97</v>
      </c>
      <c r="D3520" s="156">
        <f t="shared" si="56"/>
        <v>-2.557504873294348E-2</v>
      </c>
      <c r="E3520" s="156">
        <v>-7.4127644187308309E-3</v>
      </c>
      <c r="G3520" s="156"/>
    </row>
    <row r="3521" spans="2:7" x14ac:dyDescent="0.2">
      <c r="B3521" s="230">
        <v>40809</v>
      </c>
      <c r="C3521" s="124">
        <v>127.06</v>
      </c>
      <c r="D3521" s="156">
        <f t="shared" si="56"/>
        <v>1.6724013763303219E-2</v>
      </c>
      <c r="E3521" s="156">
        <v>-7.4346112504478533E-3</v>
      </c>
      <c r="G3521" s="156"/>
    </row>
    <row r="3522" spans="2:7" x14ac:dyDescent="0.2">
      <c r="B3522" s="230">
        <v>40808</v>
      </c>
      <c r="C3522" s="124">
        <v>126.59</v>
      </c>
      <c r="D3522" s="156">
        <f t="shared" si="56"/>
        <v>-3.6990398237053269E-3</v>
      </c>
      <c r="E3522" s="156">
        <v>-7.4349442379183115E-3</v>
      </c>
      <c r="G3522" s="156"/>
    </row>
    <row r="3523" spans="2:7" x14ac:dyDescent="0.2">
      <c r="B3523" s="230">
        <v>40807</v>
      </c>
      <c r="C3523" s="124">
        <v>131</v>
      </c>
      <c r="D3523" s="156">
        <f t="shared" si="56"/>
        <v>3.4836874950627983E-2</v>
      </c>
      <c r="E3523" s="156">
        <v>-7.4528188484191994E-3</v>
      </c>
      <c r="G3523" s="156"/>
    </row>
    <row r="3524" spans="2:7" x14ac:dyDescent="0.2">
      <c r="B3524" s="230">
        <v>40806</v>
      </c>
      <c r="C3524" s="124">
        <v>131.6</v>
      </c>
      <c r="D3524" s="156">
        <f t="shared" si="56"/>
        <v>4.580152671755682E-3</v>
      </c>
      <c r="E3524" s="156">
        <v>-7.4746396155898412E-3</v>
      </c>
      <c r="G3524" s="156"/>
    </row>
    <row r="3525" spans="2:7" x14ac:dyDescent="0.2">
      <c r="B3525" s="230">
        <v>40805</v>
      </c>
      <c r="C3525" s="124">
        <v>129.51</v>
      </c>
      <c r="D3525" s="156">
        <f t="shared" si="56"/>
        <v>-1.5881458966565377E-2</v>
      </c>
      <c r="E3525" s="156">
        <v>-7.4809512814592678E-3</v>
      </c>
      <c r="G3525" s="156"/>
    </row>
    <row r="3526" spans="2:7" x14ac:dyDescent="0.2">
      <c r="B3526" s="230">
        <v>40802</v>
      </c>
      <c r="C3526" s="124">
        <v>131.22999999999999</v>
      </c>
      <c r="D3526" s="156">
        <f t="shared" si="56"/>
        <v>1.3280827735310008E-2</v>
      </c>
      <c r="E3526" s="156">
        <v>-7.4915044794562789E-3</v>
      </c>
      <c r="G3526" s="156"/>
    </row>
    <row r="3527" spans="2:7" x14ac:dyDescent="0.2">
      <c r="B3527" s="230">
        <v>40801</v>
      </c>
      <c r="C3527" s="124">
        <v>132.19</v>
      </c>
      <c r="D3527" s="156">
        <f t="shared" si="56"/>
        <v>7.3154004419721712E-3</v>
      </c>
      <c r="E3527" s="156">
        <v>-7.4922493971753745E-3</v>
      </c>
      <c r="G3527" s="156"/>
    </row>
    <row r="3528" spans="2:7" x14ac:dyDescent="0.2">
      <c r="B3528" s="230">
        <v>40800</v>
      </c>
      <c r="C3528" s="124">
        <v>132.22999999999999</v>
      </c>
      <c r="D3528" s="156">
        <f t="shared" si="56"/>
        <v>3.0259474998102764E-4</v>
      </c>
      <c r="E3528" s="156">
        <v>-7.5038043763446865E-3</v>
      </c>
      <c r="G3528" s="156"/>
    </row>
    <row r="3529" spans="2:7" x14ac:dyDescent="0.2">
      <c r="B3529" s="230">
        <v>40799</v>
      </c>
      <c r="C3529" s="124">
        <v>130.63999999999999</v>
      </c>
      <c r="D3529" s="156">
        <f t="shared" si="56"/>
        <v>-1.2024502760341855E-2</v>
      </c>
      <c r="E3529" s="156">
        <v>-7.5459317585302209E-3</v>
      </c>
      <c r="G3529" s="156"/>
    </row>
    <row r="3530" spans="2:7" x14ac:dyDescent="0.2">
      <c r="B3530" s="230">
        <v>40798</v>
      </c>
      <c r="C3530" s="124">
        <v>130.07</v>
      </c>
      <c r="D3530" s="156">
        <f t="shared" si="56"/>
        <v>-4.3631353337415281E-3</v>
      </c>
      <c r="E3530" s="156">
        <v>-7.5471698113207773E-3</v>
      </c>
      <c r="G3530" s="156"/>
    </row>
    <row r="3531" spans="2:7" x14ac:dyDescent="0.2">
      <c r="B3531" s="230">
        <v>40795</v>
      </c>
      <c r="C3531" s="124">
        <v>131.03</v>
      </c>
      <c r="D3531" s="156">
        <f t="shared" si="56"/>
        <v>7.3806411932037215E-3</v>
      </c>
      <c r="E3531" s="156">
        <v>-7.5489881143592117E-3</v>
      </c>
      <c r="G3531" s="156"/>
    </row>
    <row r="3532" spans="2:7" x14ac:dyDescent="0.2">
      <c r="B3532" s="230">
        <v>40794</v>
      </c>
      <c r="C3532" s="124">
        <v>132.03</v>
      </c>
      <c r="D3532" s="156">
        <f t="shared" si="56"/>
        <v>7.6318400366328322E-3</v>
      </c>
      <c r="E3532" s="156">
        <v>-7.5598300156564423E-3</v>
      </c>
      <c r="G3532" s="156"/>
    </row>
    <row r="3533" spans="2:7" x14ac:dyDescent="0.2">
      <c r="B3533" s="230">
        <v>40793</v>
      </c>
      <c r="C3533" s="124">
        <v>132.62</v>
      </c>
      <c r="D3533" s="156">
        <f t="shared" si="56"/>
        <v>4.4686813602969281E-3</v>
      </c>
      <c r="E3533" s="156">
        <v>-7.5640969259861864E-3</v>
      </c>
      <c r="G3533" s="156"/>
    </row>
    <row r="3534" spans="2:7" x14ac:dyDescent="0.2">
      <c r="B3534" s="230">
        <v>40792</v>
      </c>
      <c r="C3534" s="124">
        <v>134.44999999999999</v>
      </c>
      <c r="D3534" s="156">
        <f t="shared" si="56"/>
        <v>1.3798823706831428E-2</v>
      </c>
      <c r="E3534" s="156">
        <v>-7.5757575757574528E-3</v>
      </c>
      <c r="G3534" s="156"/>
    </row>
    <row r="3535" spans="2:7" x14ac:dyDescent="0.2">
      <c r="B3535" s="230">
        <v>40791</v>
      </c>
      <c r="C3535" s="124">
        <v>134.41</v>
      </c>
      <c r="D3535" s="156">
        <f t="shared" si="56"/>
        <v>-2.9750836742277459E-4</v>
      </c>
      <c r="E3535" s="156">
        <v>-7.5872534142640358E-3</v>
      </c>
      <c r="G3535" s="156"/>
    </row>
    <row r="3536" spans="2:7" x14ac:dyDescent="0.2">
      <c r="B3536" s="230">
        <v>40788</v>
      </c>
      <c r="C3536" s="124">
        <v>134.75</v>
      </c>
      <c r="D3536" s="156">
        <f t="shared" si="56"/>
        <v>2.5295736924336241E-3</v>
      </c>
      <c r="E3536" s="156">
        <v>-7.5884121605498183E-3</v>
      </c>
      <c r="G3536" s="156"/>
    </row>
    <row r="3537" spans="2:7" x14ac:dyDescent="0.2">
      <c r="B3537" s="230">
        <v>40785</v>
      </c>
      <c r="C3537" s="124">
        <v>132.59</v>
      </c>
      <c r="D3537" s="156">
        <f t="shared" si="56"/>
        <v>-1.6029684601113148E-2</v>
      </c>
      <c r="E3537" s="156">
        <v>-7.5946135681919571E-3</v>
      </c>
      <c r="G3537" s="156"/>
    </row>
    <row r="3538" spans="2:7" x14ac:dyDescent="0.2">
      <c r="B3538" s="230">
        <v>40784</v>
      </c>
      <c r="C3538" s="124">
        <v>133.88</v>
      </c>
      <c r="D3538" s="156">
        <f t="shared" si="56"/>
        <v>9.729240515875948E-3</v>
      </c>
      <c r="E3538" s="156">
        <v>-7.6001005895665443E-3</v>
      </c>
      <c r="G3538" s="156"/>
    </row>
    <row r="3539" spans="2:7" x14ac:dyDescent="0.2">
      <c r="B3539" s="230">
        <v>40781</v>
      </c>
      <c r="C3539" s="124">
        <v>130.5</v>
      </c>
      <c r="D3539" s="156">
        <f t="shared" si="56"/>
        <v>-2.5246489393486671E-2</v>
      </c>
      <c r="E3539" s="156">
        <v>-7.6026355803344445E-3</v>
      </c>
      <c r="G3539" s="156"/>
    </row>
    <row r="3540" spans="2:7" x14ac:dyDescent="0.2">
      <c r="B3540" s="230">
        <v>40780</v>
      </c>
      <c r="C3540" s="124">
        <v>134.15</v>
      </c>
      <c r="D3540" s="156">
        <f t="shared" si="56"/>
        <v>2.7969348659003874E-2</v>
      </c>
      <c r="E3540" s="156">
        <v>-7.6029108287171574E-3</v>
      </c>
      <c r="G3540" s="156"/>
    </row>
    <row r="3541" spans="2:7" x14ac:dyDescent="0.2">
      <c r="B3541" s="230">
        <v>40779</v>
      </c>
      <c r="C3541" s="124">
        <v>133.88</v>
      </c>
      <c r="D3541" s="156">
        <f t="shared" si="56"/>
        <v>-2.0126723816623945E-3</v>
      </c>
      <c r="E3541" s="156">
        <v>-7.6173151806270267E-3</v>
      </c>
      <c r="G3541" s="156"/>
    </row>
    <row r="3542" spans="2:7" x14ac:dyDescent="0.2">
      <c r="B3542" s="230">
        <v>40778</v>
      </c>
      <c r="C3542" s="124">
        <v>134.71</v>
      </c>
      <c r="D3542" s="156">
        <f t="shared" si="56"/>
        <v>6.1995817149687223E-3</v>
      </c>
      <c r="E3542" s="156">
        <v>-7.6212809614539167E-3</v>
      </c>
      <c r="G3542" s="156"/>
    </row>
    <row r="3543" spans="2:7" x14ac:dyDescent="0.2">
      <c r="B3543" s="230">
        <v>40777</v>
      </c>
      <c r="C3543" s="124">
        <v>133.91999999999999</v>
      </c>
      <c r="D3543" s="156">
        <f t="shared" si="56"/>
        <v>-5.8644495583105964E-3</v>
      </c>
      <c r="E3543" s="156">
        <v>-7.6330363592584053E-3</v>
      </c>
      <c r="G3543" s="156"/>
    </row>
    <row r="3544" spans="2:7" x14ac:dyDescent="0.2">
      <c r="B3544" s="230">
        <v>40774</v>
      </c>
      <c r="C3544" s="124">
        <v>132.06</v>
      </c>
      <c r="D3544" s="156">
        <f t="shared" si="56"/>
        <v>-1.3888888888888781E-2</v>
      </c>
      <c r="E3544" s="156">
        <v>-7.6384468491406026E-3</v>
      </c>
      <c r="G3544" s="156"/>
    </row>
    <row r="3545" spans="2:7" x14ac:dyDescent="0.2">
      <c r="B3545" s="230">
        <v>40773</v>
      </c>
      <c r="C3545" s="124">
        <v>135.13999999999999</v>
      </c>
      <c r="D3545" s="156">
        <f t="shared" si="56"/>
        <v>2.3322732091473453E-2</v>
      </c>
      <c r="E3545" s="156">
        <v>-7.6484895033283509E-3</v>
      </c>
      <c r="G3545" s="156"/>
    </row>
    <row r="3546" spans="2:7" x14ac:dyDescent="0.2">
      <c r="B3546" s="230">
        <v>40772</v>
      </c>
      <c r="C3546" s="124">
        <v>135.41</v>
      </c>
      <c r="D3546" s="156">
        <f t="shared" si="56"/>
        <v>1.9979280745893906E-3</v>
      </c>
      <c r="E3546" s="156">
        <v>-7.6489533011272655E-3</v>
      </c>
      <c r="G3546" s="156"/>
    </row>
    <row r="3547" spans="2:7" x14ac:dyDescent="0.2">
      <c r="B3547" s="230">
        <v>40771</v>
      </c>
      <c r="C3547" s="124">
        <v>132.91999999999999</v>
      </c>
      <c r="D3547" s="156">
        <f t="shared" si="56"/>
        <v>-1.838859759249693E-2</v>
      </c>
      <c r="E3547" s="156">
        <v>-7.6521089958939267E-3</v>
      </c>
      <c r="G3547" s="156"/>
    </row>
    <row r="3548" spans="2:7" x14ac:dyDescent="0.2">
      <c r="B3548" s="230">
        <v>40767</v>
      </c>
      <c r="C3548" s="124">
        <v>131.27000000000001</v>
      </c>
      <c r="D3548" s="156">
        <f t="shared" si="56"/>
        <v>-1.2413481793559866E-2</v>
      </c>
      <c r="E3548" s="156">
        <v>-7.6523140011717627E-3</v>
      </c>
      <c r="G3548" s="156"/>
    </row>
    <row r="3549" spans="2:7" x14ac:dyDescent="0.2">
      <c r="B3549" s="230">
        <v>40766</v>
      </c>
      <c r="C3549" s="124">
        <v>131.76</v>
      </c>
      <c r="D3549" s="156">
        <f t="shared" si="56"/>
        <v>3.7327645311189201E-3</v>
      </c>
      <c r="E3549" s="156">
        <v>-7.6621828707645161E-3</v>
      </c>
      <c r="G3549" s="156"/>
    </row>
    <row r="3550" spans="2:7" x14ac:dyDescent="0.2">
      <c r="B3550" s="230">
        <v>40765</v>
      </c>
      <c r="C3550" s="124">
        <v>130.66999999999999</v>
      </c>
      <c r="D3550" s="156">
        <f t="shared" si="56"/>
        <v>-8.272616879174282E-3</v>
      </c>
      <c r="E3550" s="156">
        <v>-7.6759456210117299E-3</v>
      </c>
      <c r="G3550" s="156"/>
    </row>
    <row r="3551" spans="2:7" x14ac:dyDescent="0.2">
      <c r="B3551" s="230">
        <v>40764</v>
      </c>
      <c r="C3551" s="124">
        <v>132.43</v>
      </c>
      <c r="D3551" s="156">
        <f t="shared" si="56"/>
        <v>1.3469044157036959E-2</v>
      </c>
      <c r="E3551" s="156">
        <v>-7.6821566594400762E-3</v>
      </c>
      <c r="G3551" s="156"/>
    </row>
    <row r="3552" spans="2:7" x14ac:dyDescent="0.2">
      <c r="B3552" s="230">
        <v>40763</v>
      </c>
      <c r="C3552" s="124">
        <v>129.28</v>
      </c>
      <c r="D3552" s="156">
        <f t="shared" si="56"/>
        <v>-2.3786151174205281E-2</v>
      </c>
      <c r="E3552" s="156">
        <v>-7.684680218145677E-3</v>
      </c>
      <c r="G3552" s="156"/>
    </row>
    <row r="3553" spans="2:7" x14ac:dyDescent="0.2">
      <c r="B3553" s="230">
        <v>40760</v>
      </c>
      <c r="C3553" s="124">
        <v>130.19999999999999</v>
      </c>
      <c r="D3553" s="156">
        <f t="shared" si="56"/>
        <v>7.1163366336632694E-3</v>
      </c>
      <c r="E3553" s="156">
        <v>-7.7038210952632509E-3</v>
      </c>
      <c r="G3553" s="156"/>
    </row>
    <row r="3554" spans="2:7" x14ac:dyDescent="0.2">
      <c r="B3554" s="230">
        <v>40759</v>
      </c>
      <c r="C3554" s="124">
        <v>132.56</v>
      </c>
      <c r="D3554" s="156">
        <f t="shared" si="56"/>
        <v>1.8125960061444037E-2</v>
      </c>
      <c r="E3554" s="156">
        <v>-7.7109093397818946E-3</v>
      </c>
      <c r="G3554" s="156"/>
    </row>
    <row r="3555" spans="2:7" x14ac:dyDescent="0.2">
      <c r="B3555" s="230">
        <v>40758</v>
      </c>
      <c r="C3555" s="124">
        <v>137.13</v>
      </c>
      <c r="D3555" s="156">
        <f t="shared" si="56"/>
        <v>3.4474954737477317E-2</v>
      </c>
      <c r="E3555" s="156">
        <v>-7.7282530553557773E-3</v>
      </c>
      <c r="G3555" s="156"/>
    </row>
    <row r="3556" spans="2:7" x14ac:dyDescent="0.2">
      <c r="B3556" s="230">
        <v>40757</v>
      </c>
      <c r="C3556" s="124">
        <v>135.74</v>
      </c>
      <c r="D3556" s="156">
        <f t="shared" si="56"/>
        <v>-1.013636695106823E-2</v>
      </c>
      <c r="E3556" s="156">
        <v>-7.7404590428753871E-3</v>
      </c>
      <c r="G3556" s="156"/>
    </row>
    <row r="3557" spans="2:7" x14ac:dyDescent="0.2">
      <c r="B3557" s="230">
        <v>40756</v>
      </c>
      <c r="C3557" s="124">
        <v>138.49</v>
      </c>
      <c r="D3557" s="156">
        <f t="shared" si="56"/>
        <v>2.0259319286871958E-2</v>
      </c>
      <c r="E3557" s="156">
        <v>-7.7466001032880016E-3</v>
      </c>
      <c r="G3557" s="156"/>
    </row>
    <row r="3558" spans="2:7" x14ac:dyDescent="0.2">
      <c r="B3558" s="230">
        <v>40753</v>
      </c>
      <c r="C3558" s="124">
        <v>138.13</v>
      </c>
      <c r="D3558" s="156">
        <f t="shared" si="56"/>
        <v>-2.5994656653911012E-3</v>
      </c>
      <c r="E3558" s="156">
        <v>-7.7489345215032927E-3</v>
      </c>
      <c r="G3558" s="156"/>
    </row>
    <row r="3559" spans="2:7" x14ac:dyDescent="0.2">
      <c r="B3559" s="230">
        <v>40752</v>
      </c>
      <c r="C3559" s="124">
        <v>136.72999999999999</v>
      </c>
      <c r="D3559" s="156">
        <f t="shared" si="56"/>
        <v>-1.0135379714761498E-2</v>
      </c>
      <c r="E3559" s="156">
        <v>-7.7519379844960389E-3</v>
      </c>
      <c r="G3559" s="156"/>
    </row>
    <row r="3560" spans="2:7" x14ac:dyDescent="0.2">
      <c r="B3560" s="230">
        <v>40751</v>
      </c>
      <c r="C3560" s="124">
        <v>133.19</v>
      </c>
      <c r="D3560" s="156">
        <f t="shared" si="56"/>
        <v>-2.5890441015139268E-2</v>
      </c>
      <c r="E3560" s="156">
        <v>-7.7684691546078457E-3</v>
      </c>
      <c r="G3560" s="156"/>
    </row>
    <row r="3561" spans="2:7" x14ac:dyDescent="0.2">
      <c r="B3561" s="230">
        <v>40750</v>
      </c>
      <c r="C3561" s="124">
        <v>133.19</v>
      </c>
      <c r="D3561" s="156">
        <f t="shared" si="56"/>
        <v>0</v>
      </c>
      <c r="E3561" s="156">
        <v>-7.7690952617552687E-3</v>
      </c>
      <c r="G3561" s="156"/>
    </row>
    <row r="3562" spans="2:7" x14ac:dyDescent="0.2">
      <c r="B3562" s="230">
        <v>40749</v>
      </c>
      <c r="C3562" s="124">
        <v>136.16999999999999</v>
      </c>
      <c r="D3562" s="156">
        <f t="shared" si="56"/>
        <v>2.2374052106013887E-2</v>
      </c>
      <c r="E3562" s="156">
        <v>-7.7861952861953817E-3</v>
      </c>
      <c r="G3562" s="156"/>
    </row>
    <row r="3563" spans="2:7" x14ac:dyDescent="0.2">
      <c r="B3563" s="230">
        <v>40746</v>
      </c>
      <c r="C3563" s="124">
        <v>137.5</v>
      </c>
      <c r="D3563" s="156">
        <f t="shared" si="56"/>
        <v>9.7672027612544076E-3</v>
      </c>
      <c r="E3563" s="156">
        <v>-7.7987911873660075E-3</v>
      </c>
      <c r="G3563" s="156"/>
    </row>
    <row r="3564" spans="2:7" x14ac:dyDescent="0.2">
      <c r="B3564" s="230">
        <v>40745</v>
      </c>
      <c r="C3564" s="124">
        <v>137.30000000000001</v>
      </c>
      <c r="D3564" s="156">
        <f t="shared" si="56"/>
        <v>-1.4545454545453718E-3</v>
      </c>
      <c r="E3564" s="156">
        <v>-7.8215751568186404E-3</v>
      </c>
      <c r="G3564" s="156"/>
    </row>
    <row r="3565" spans="2:7" x14ac:dyDescent="0.2">
      <c r="B3565" s="230">
        <v>40744</v>
      </c>
      <c r="C3565" s="124">
        <v>136.4</v>
      </c>
      <c r="D3565" s="156">
        <f t="shared" si="56"/>
        <v>-6.5549890750182492E-3</v>
      </c>
      <c r="E3565" s="156">
        <v>-7.8333630051630604E-3</v>
      </c>
      <c r="G3565" s="156"/>
    </row>
    <row r="3566" spans="2:7" x14ac:dyDescent="0.2">
      <c r="B3566" s="230">
        <v>40743</v>
      </c>
      <c r="C3566" s="124">
        <v>135.31</v>
      </c>
      <c r="D3566" s="156">
        <f t="shared" si="56"/>
        <v>-7.9912023460410805E-3</v>
      </c>
      <c r="E3566" s="156">
        <v>-7.8361630588823557E-3</v>
      </c>
      <c r="G3566" s="156"/>
    </row>
    <row r="3567" spans="2:7" x14ac:dyDescent="0.2">
      <c r="B3567" s="230">
        <v>40742</v>
      </c>
      <c r="C3567" s="124">
        <v>133.69</v>
      </c>
      <c r="D3567" s="156">
        <f t="shared" si="56"/>
        <v>-1.1972507575197728E-2</v>
      </c>
      <c r="E3567" s="156">
        <v>-7.8372920473122193E-3</v>
      </c>
      <c r="G3567" s="156"/>
    </row>
    <row r="3568" spans="2:7" x14ac:dyDescent="0.2">
      <c r="B3568" s="230">
        <v>40739</v>
      </c>
      <c r="C3568" s="124">
        <v>133.75</v>
      </c>
      <c r="D3568" s="156">
        <f t="shared" si="56"/>
        <v>4.4879946144066329E-4</v>
      </c>
      <c r="E3568" s="156">
        <v>-7.8433090877223378E-3</v>
      </c>
      <c r="G3568" s="156"/>
    </row>
    <row r="3569" spans="2:7" x14ac:dyDescent="0.2">
      <c r="B3569" s="230">
        <v>40738</v>
      </c>
      <c r="C3569" s="124">
        <v>134.58000000000001</v>
      </c>
      <c r="D3569" s="156">
        <f t="shared" si="56"/>
        <v>6.2056074766356079E-3</v>
      </c>
      <c r="E3569" s="156">
        <v>-7.8543377365228317E-3</v>
      </c>
      <c r="G3569" s="156"/>
    </row>
    <row r="3570" spans="2:7" x14ac:dyDescent="0.2">
      <c r="B3570" s="230">
        <v>40737</v>
      </c>
      <c r="C3570" s="124">
        <v>135.24</v>
      </c>
      <c r="D3570" s="156">
        <f t="shared" si="56"/>
        <v>4.9041462327240049E-3</v>
      </c>
      <c r="E3570" s="156">
        <v>-7.8673923800099133E-3</v>
      </c>
      <c r="G3570" s="156"/>
    </row>
    <row r="3571" spans="2:7" x14ac:dyDescent="0.2">
      <c r="B3571" s="230">
        <v>40736</v>
      </c>
      <c r="C3571" s="124">
        <v>133.69</v>
      </c>
      <c r="D3571" s="156">
        <f t="shared" si="56"/>
        <v>-1.146110618160316E-2</v>
      </c>
      <c r="E3571" s="156">
        <v>-7.8710168846007934E-3</v>
      </c>
      <c r="G3571" s="156"/>
    </row>
    <row r="3572" spans="2:7" x14ac:dyDescent="0.2">
      <c r="B3572" s="230">
        <v>40735</v>
      </c>
      <c r="C3572" s="124">
        <v>134.31</v>
      </c>
      <c r="D3572" s="156">
        <f t="shared" si="56"/>
        <v>4.6375944348867118E-3</v>
      </c>
      <c r="E3572" s="156">
        <v>-7.8710644677662013E-3</v>
      </c>
      <c r="G3572" s="156"/>
    </row>
    <row r="3573" spans="2:7" x14ac:dyDescent="0.2">
      <c r="B3573" s="230">
        <v>40732</v>
      </c>
      <c r="C3573" s="124">
        <v>132.96</v>
      </c>
      <c r="D3573" s="156">
        <f t="shared" si="56"/>
        <v>-1.0051373687737281E-2</v>
      </c>
      <c r="E3573" s="156">
        <v>-7.8740157480315653E-3</v>
      </c>
      <c r="G3573" s="156"/>
    </row>
    <row r="3574" spans="2:7" x14ac:dyDescent="0.2">
      <c r="B3574" s="230">
        <v>40731</v>
      </c>
      <c r="C3574" s="124">
        <v>134.85</v>
      </c>
      <c r="D3574" s="156">
        <f t="shared" si="56"/>
        <v>1.4214801444043218E-2</v>
      </c>
      <c r="E3574" s="156">
        <v>-7.8869536641471717E-3</v>
      </c>
      <c r="G3574" s="156"/>
    </row>
    <row r="3575" spans="2:7" x14ac:dyDescent="0.2">
      <c r="B3575" s="230">
        <v>40730</v>
      </c>
      <c r="C3575" s="124">
        <v>130.4</v>
      </c>
      <c r="D3575" s="156">
        <f t="shared" si="56"/>
        <v>-3.2999629217649158E-2</v>
      </c>
      <c r="E3575" s="156">
        <v>-7.8883298165882375E-3</v>
      </c>
      <c r="G3575" s="156"/>
    </row>
    <row r="3576" spans="2:7" x14ac:dyDescent="0.2">
      <c r="B3576" s="230">
        <v>40729</v>
      </c>
      <c r="C3576" s="124">
        <v>129.71</v>
      </c>
      <c r="D3576" s="156">
        <f t="shared" si="56"/>
        <v>-5.2914110429447677E-3</v>
      </c>
      <c r="E3576" s="156">
        <v>-7.8923966207202507E-3</v>
      </c>
      <c r="G3576" s="156"/>
    </row>
    <row r="3577" spans="2:7" x14ac:dyDescent="0.2">
      <c r="B3577" s="230">
        <v>40728</v>
      </c>
      <c r="C3577" s="124">
        <v>131.76</v>
      </c>
      <c r="D3577" s="156">
        <f t="shared" si="56"/>
        <v>1.58044869323875E-2</v>
      </c>
      <c r="E3577" s="156">
        <v>-7.8945513498273386E-3</v>
      </c>
      <c r="G3577" s="156"/>
    </row>
    <row r="3578" spans="2:7" x14ac:dyDescent="0.2">
      <c r="B3578" s="230">
        <v>40725</v>
      </c>
      <c r="C3578" s="124">
        <v>133.62</v>
      </c>
      <c r="D3578" s="156">
        <f t="shared" si="56"/>
        <v>1.4116575591985533E-2</v>
      </c>
      <c r="E3578" s="156">
        <v>-7.9101811686653895E-3</v>
      </c>
      <c r="G3578" s="156"/>
    </row>
    <row r="3579" spans="2:7" x14ac:dyDescent="0.2">
      <c r="B3579" s="230">
        <v>40724</v>
      </c>
      <c r="C3579" s="124">
        <v>134.55000000000001</v>
      </c>
      <c r="D3579" s="156">
        <f t="shared" si="56"/>
        <v>6.9600359227661038E-3</v>
      </c>
      <c r="E3579" s="156">
        <v>-7.9113924050632899E-3</v>
      </c>
      <c r="G3579" s="156"/>
    </row>
    <row r="3580" spans="2:7" x14ac:dyDescent="0.2">
      <c r="B3580" s="230">
        <v>40723</v>
      </c>
      <c r="C3580" s="124">
        <v>132.29</v>
      </c>
      <c r="D3580" s="156">
        <f t="shared" si="56"/>
        <v>-1.6796729840208243E-2</v>
      </c>
      <c r="E3580" s="156">
        <v>-7.9241579085968794E-3</v>
      </c>
      <c r="G3580" s="156"/>
    </row>
    <row r="3581" spans="2:7" x14ac:dyDescent="0.2">
      <c r="B3581" s="230">
        <v>40722</v>
      </c>
      <c r="C3581" s="124">
        <v>128.51</v>
      </c>
      <c r="D3581" s="156">
        <f t="shared" si="56"/>
        <v>-2.8573588328671868E-2</v>
      </c>
      <c r="E3581" s="156">
        <v>-7.9275198187994181E-3</v>
      </c>
      <c r="G3581" s="156"/>
    </row>
    <row r="3582" spans="2:7" x14ac:dyDescent="0.2">
      <c r="B3582" s="230">
        <v>40721</v>
      </c>
      <c r="C3582" s="124">
        <v>128.35</v>
      </c>
      <c r="D3582" s="156">
        <f t="shared" ref="D3582:D3645" si="57">(C3582-C3581)/C3581</f>
        <v>-1.2450392965527709E-3</v>
      </c>
      <c r="E3582" s="156">
        <v>-7.9365079365079638E-3</v>
      </c>
      <c r="G3582" s="156"/>
    </row>
    <row r="3583" spans="2:7" x14ac:dyDescent="0.2">
      <c r="B3583" s="230">
        <v>40718</v>
      </c>
      <c r="C3583" s="124">
        <v>129.34</v>
      </c>
      <c r="D3583" s="156">
        <f t="shared" si="57"/>
        <v>7.713283989092397E-3</v>
      </c>
      <c r="E3583" s="156">
        <v>-7.941443811893014E-3</v>
      </c>
      <c r="G3583" s="156"/>
    </row>
    <row r="3584" spans="2:7" x14ac:dyDescent="0.2">
      <c r="B3584" s="230">
        <v>40717</v>
      </c>
      <c r="C3584" s="124">
        <v>126.92</v>
      </c>
      <c r="D3584" s="156">
        <f t="shared" si="57"/>
        <v>-1.8710375753827134E-2</v>
      </c>
      <c r="E3584" s="156">
        <v>-7.9462786793507972E-3</v>
      </c>
      <c r="G3584" s="156"/>
    </row>
    <row r="3585" spans="2:7" x14ac:dyDescent="0.2">
      <c r="B3585" s="230">
        <v>40716</v>
      </c>
      <c r="C3585" s="124">
        <v>122.78</v>
      </c>
      <c r="D3585" s="156">
        <f t="shared" si="57"/>
        <v>-3.2618972581153489E-2</v>
      </c>
      <c r="E3585" s="156">
        <v>-7.953340402969248E-3</v>
      </c>
      <c r="G3585" s="156"/>
    </row>
    <row r="3586" spans="2:7" x14ac:dyDescent="0.2">
      <c r="B3586" s="230">
        <v>40715</v>
      </c>
      <c r="C3586" s="124">
        <v>122.55</v>
      </c>
      <c r="D3586" s="156">
        <f t="shared" si="57"/>
        <v>-1.8732692620948362E-3</v>
      </c>
      <c r="E3586" s="156">
        <v>-7.9687265072921534E-3</v>
      </c>
      <c r="G3586" s="156"/>
    </row>
    <row r="3587" spans="2:7" x14ac:dyDescent="0.2">
      <c r="B3587" s="230">
        <v>40714</v>
      </c>
      <c r="C3587" s="124">
        <v>123.61</v>
      </c>
      <c r="D3587" s="156">
        <f t="shared" si="57"/>
        <v>8.6495308037535888E-3</v>
      </c>
      <c r="E3587" s="156">
        <v>-7.9861573272992734E-3</v>
      </c>
      <c r="G3587" s="156"/>
    </row>
    <row r="3588" spans="2:7" x14ac:dyDescent="0.2">
      <c r="B3588" s="230">
        <v>40711</v>
      </c>
      <c r="C3588" s="124">
        <v>127.12</v>
      </c>
      <c r="D3588" s="156">
        <f t="shared" si="57"/>
        <v>2.8395760860771824E-2</v>
      </c>
      <c r="E3588" s="156">
        <v>-7.9912023460410805E-3</v>
      </c>
      <c r="G3588" s="156"/>
    </row>
    <row r="3589" spans="2:7" x14ac:dyDescent="0.2">
      <c r="B3589" s="230">
        <v>40710</v>
      </c>
      <c r="C3589" s="124">
        <v>128.61000000000001</v>
      </c>
      <c r="D3589" s="156">
        <f t="shared" si="57"/>
        <v>1.1721208307111462E-2</v>
      </c>
      <c r="E3589" s="156">
        <v>-8.022374328402174E-3</v>
      </c>
      <c r="G3589" s="156"/>
    </row>
    <row r="3590" spans="2:7" x14ac:dyDescent="0.2">
      <c r="B3590" s="230">
        <v>40709</v>
      </c>
      <c r="C3590" s="124">
        <v>128.71</v>
      </c>
      <c r="D3590" s="156">
        <f t="shared" si="57"/>
        <v>7.7754451442340645E-4</v>
      </c>
      <c r="E3590" s="156">
        <v>-8.0405330983588409E-3</v>
      </c>
      <c r="G3590" s="156"/>
    </row>
    <row r="3591" spans="2:7" x14ac:dyDescent="0.2">
      <c r="B3591" s="230">
        <v>40708</v>
      </c>
      <c r="C3591" s="124">
        <v>128.51</v>
      </c>
      <c r="D3591" s="156">
        <f t="shared" si="57"/>
        <v>-1.5538808173414422E-3</v>
      </c>
      <c r="E3591" s="156">
        <v>-8.0432271902325884E-3</v>
      </c>
      <c r="G3591" s="156"/>
    </row>
    <row r="3592" spans="2:7" x14ac:dyDescent="0.2">
      <c r="B3592" s="230">
        <v>40707</v>
      </c>
      <c r="C3592" s="124">
        <v>126.56</v>
      </c>
      <c r="D3592" s="156">
        <f t="shared" si="57"/>
        <v>-1.5173916426737131E-2</v>
      </c>
      <c r="E3592" s="156">
        <v>-8.044160317048488E-3</v>
      </c>
      <c r="G3592" s="156"/>
    </row>
    <row r="3593" spans="2:7" x14ac:dyDescent="0.2">
      <c r="B3593" s="230">
        <v>40704</v>
      </c>
      <c r="C3593" s="124">
        <v>127.06</v>
      </c>
      <c r="D3593" s="156">
        <f t="shared" si="57"/>
        <v>3.9506953223767379E-3</v>
      </c>
      <c r="E3593" s="156">
        <v>-8.0489375402446883E-3</v>
      </c>
      <c r="G3593" s="156"/>
    </row>
    <row r="3594" spans="2:7" x14ac:dyDescent="0.2">
      <c r="B3594" s="230">
        <v>40703</v>
      </c>
      <c r="C3594" s="124">
        <v>129.28</v>
      </c>
      <c r="D3594" s="156">
        <f t="shared" si="57"/>
        <v>1.747206044388477E-2</v>
      </c>
      <c r="E3594" s="156">
        <v>-8.0541664822763783E-3</v>
      </c>
      <c r="G3594" s="156"/>
    </row>
    <row r="3595" spans="2:7" x14ac:dyDescent="0.2">
      <c r="B3595" s="230">
        <v>40702</v>
      </c>
      <c r="C3595" s="124">
        <v>129.24</v>
      </c>
      <c r="D3595" s="156">
        <f t="shared" si="57"/>
        <v>-3.0940594059399783E-4</v>
      </c>
      <c r="E3595" s="156">
        <v>-8.0558841755392855E-3</v>
      </c>
      <c r="G3595" s="156"/>
    </row>
    <row r="3596" spans="2:7" x14ac:dyDescent="0.2">
      <c r="B3596" s="230">
        <v>40701</v>
      </c>
      <c r="C3596" s="124">
        <v>128.32</v>
      </c>
      <c r="D3596" s="156">
        <f t="shared" si="57"/>
        <v>-7.1185391519654586E-3</v>
      </c>
      <c r="E3596" s="156">
        <v>-8.0611823067383917E-3</v>
      </c>
      <c r="G3596" s="156"/>
    </row>
    <row r="3597" spans="2:7" x14ac:dyDescent="0.2">
      <c r="B3597" s="230">
        <v>40700</v>
      </c>
      <c r="C3597" s="124">
        <v>127.82</v>
      </c>
      <c r="D3597" s="156">
        <f t="shared" si="57"/>
        <v>-3.8965087281795513E-3</v>
      </c>
      <c r="E3597" s="156">
        <v>-8.0674734140080261E-3</v>
      </c>
      <c r="G3597" s="156"/>
    </row>
    <row r="3598" spans="2:7" x14ac:dyDescent="0.2">
      <c r="B3598" s="230">
        <v>40697</v>
      </c>
      <c r="C3598" s="124">
        <v>128.25</v>
      </c>
      <c r="D3598" s="156">
        <f t="shared" si="57"/>
        <v>3.3641057737443815E-3</v>
      </c>
      <c r="E3598" s="156">
        <v>-8.0789946140035901E-3</v>
      </c>
      <c r="G3598" s="156"/>
    </row>
    <row r="3599" spans="2:7" x14ac:dyDescent="0.2">
      <c r="B3599" s="230">
        <v>40696</v>
      </c>
      <c r="C3599" s="124">
        <v>129.47999999999999</v>
      </c>
      <c r="D3599" s="156">
        <f t="shared" si="57"/>
        <v>9.5906432748537208E-3</v>
      </c>
      <c r="E3599" s="156">
        <v>-8.0872672559714077E-3</v>
      </c>
      <c r="G3599" s="156"/>
    </row>
    <row r="3600" spans="2:7" x14ac:dyDescent="0.2">
      <c r="B3600" s="230">
        <v>40695</v>
      </c>
      <c r="C3600" s="124">
        <v>128.51</v>
      </c>
      <c r="D3600" s="156">
        <f t="shared" si="57"/>
        <v>-7.4915044794562789E-3</v>
      </c>
      <c r="E3600" s="156">
        <v>-8.1284455353908564E-3</v>
      </c>
      <c r="G3600" s="156"/>
    </row>
    <row r="3601" spans="2:7" x14ac:dyDescent="0.2">
      <c r="B3601" s="230">
        <v>40694</v>
      </c>
      <c r="C3601" s="124">
        <v>128.18</v>
      </c>
      <c r="D3601" s="156">
        <f t="shared" si="57"/>
        <v>-2.5678935491400211E-3</v>
      </c>
      <c r="E3601" s="156">
        <v>-8.1308499574548505E-3</v>
      </c>
      <c r="G3601" s="156"/>
    </row>
    <row r="3602" spans="2:7" x14ac:dyDescent="0.2">
      <c r="B3602" s="230">
        <v>40693</v>
      </c>
      <c r="C3602" s="124">
        <v>124.37</v>
      </c>
      <c r="D3602" s="156">
        <f t="shared" si="57"/>
        <v>-2.9723825869870511E-2</v>
      </c>
      <c r="E3602" s="156">
        <v>-8.136381247578546E-3</v>
      </c>
      <c r="G3602" s="156"/>
    </row>
    <row r="3603" spans="2:7" x14ac:dyDescent="0.2">
      <c r="B3603" s="230">
        <v>40690</v>
      </c>
      <c r="C3603" s="124">
        <v>125.27</v>
      </c>
      <c r="D3603" s="156">
        <f t="shared" si="57"/>
        <v>7.236471817962462E-3</v>
      </c>
      <c r="E3603" s="156">
        <v>-8.1554745792123198E-3</v>
      </c>
      <c r="G3603" s="156"/>
    </row>
    <row r="3604" spans="2:7" x14ac:dyDescent="0.2">
      <c r="B3604" s="230">
        <v>40689</v>
      </c>
      <c r="C3604" s="124">
        <v>123.97</v>
      </c>
      <c r="D3604" s="156">
        <f t="shared" si="57"/>
        <v>-1.0377584417657836E-2</v>
      </c>
      <c r="E3604" s="156">
        <v>-8.1578947368421643E-3</v>
      </c>
      <c r="G3604" s="156"/>
    </row>
    <row r="3605" spans="2:7" x14ac:dyDescent="0.2">
      <c r="B3605" s="230">
        <v>40688</v>
      </c>
      <c r="C3605" s="124">
        <v>125.37</v>
      </c>
      <c r="D3605" s="156">
        <f t="shared" si="57"/>
        <v>1.1293054771315687E-2</v>
      </c>
      <c r="E3605" s="156">
        <v>-8.1780144541649964E-3</v>
      </c>
      <c r="G3605" s="156"/>
    </row>
    <row r="3606" spans="2:7" x14ac:dyDescent="0.2">
      <c r="B3606" s="230">
        <v>40687</v>
      </c>
      <c r="C3606" s="124">
        <v>123.94</v>
      </c>
      <c r="D3606" s="156">
        <f t="shared" si="57"/>
        <v>-1.1406237536890858E-2</v>
      </c>
      <c r="E3606" s="156">
        <v>-8.181353332197102E-3</v>
      </c>
      <c r="G3606" s="156"/>
    </row>
    <row r="3607" spans="2:7" x14ac:dyDescent="0.2">
      <c r="B3607" s="230">
        <v>40686</v>
      </c>
      <c r="C3607" s="124">
        <v>126.09</v>
      </c>
      <c r="D3607" s="156">
        <f t="shared" si="57"/>
        <v>1.7347103437147054E-2</v>
      </c>
      <c r="E3607" s="156">
        <v>-8.1844542138247121E-3</v>
      </c>
      <c r="G3607" s="156"/>
    </row>
    <row r="3608" spans="2:7" x14ac:dyDescent="0.2">
      <c r="B3608" s="230">
        <v>40683</v>
      </c>
      <c r="C3608" s="124">
        <v>123.67</v>
      </c>
      <c r="D3608" s="156">
        <f t="shared" si="57"/>
        <v>-1.9192640177650898E-2</v>
      </c>
      <c r="E3608" s="156">
        <v>-8.1849044319396869E-3</v>
      </c>
      <c r="G3608" s="156"/>
    </row>
    <row r="3609" spans="2:7" x14ac:dyDescent="0.2">
      <c r="B3609" s="230">
        <v>40682</v>
      </c>
      <c r="C3609" s="124">
        <v>125.33</v>
      </c>
      <c r="D3609" s="156">
        <f t="shared" si="57"/>
        <v>1.3422818791946281E-2</v>
      </c>
      <c r="E3609" s="156">
        <v>-8.1870085101799547E-3</v>
      </c>
      <c r="G3609" s="156"/>
    </row>
    <row r="3610" spans="2:7" x14ac:dyDescent="0.2">
      <c r="B3610" s="230">
        <v>40681</v>
      </c>
      <c r="C3610" s="124">
        <v>125.27</v>
      </c>
      <c r="D3610" s="156">
        <f t="shared" si="57"/>
        <v>-4.7873613659939581E-4</v>
      </c>
      <c r="E3610" s="156">
        <v>-8.1907973982173789E-3</v>
      </c>
      <c r="G3610" s="156"/>
    </row>
    <row r="3611" spans="2:7" x14ac:dyDescent="0.2">
      <c r="B3611" s="230">
        <v>40680</v>
      </c>
      <c r="C3611" s="124">
        <v>124.54</v>
      </c>
      <c r="D3611" s="156">
        <f t="shared" si="57"/>
        <v>-5.8274127883770239E-3</v>
      </c>
      <c r="E3611" s="156">
        <v>-8.2052467352362289E-3</v>
      </c>
      <c r="G3611" s="156"/>
    </row>
    <row r="3612" spans="2:7" x14ac:dyDescent="0.2">
      <c r="B3612" s="230">
        <v>40679</v>
      </c>
      <c r="C3612" s="124">
        <v>123.38</v>
      </c>
      <c r="D3612" s="156">
        <f t="shared" si="57"/>
        <v>-9.3142765376586691E-3</v>
      </c>
      <c r="E3612" s="156">
        <v>-8.2135523613963042E-3</v>
      </c>
      <c r="G3612" s="156"/>
    </row>
    <row r="3613" spans="2:7" x14ac:dyDescent="0.2">
      <c r="B3613" s="230">
        <v>40676</v>
      </c>
      <c r="C3613" s="124">
        <v>125.3</v>
      </c>
      <c r="D3613" s="156">
        <f t="shared" si="57"/>
        <v>1.5561679364564774E-2</v>
      </c>
      <c r="E3613" s="156">
        <v>-8.219821512447158E-3</v>
      </c>
      <c r="G3613" s="156"/>
    </row>
    <row r="3614" spans="2:7" x14ac:dyDescent="0.2">
      <c r="B3614" s="230">
        <v>40675</v>
      </c>
      <c r="C3614" s="124">
        <v>121.85</v>
      </c>
      <c r="D3614" s="156">
        <f t="shared" si="57"/>
        <v>-2.7533918595371132E-2</v>
      </c>
      <c r="E3614" s="156">
        <v>-8.2300611308009711E-3</v>
      </c>
      <c r="G3614" s="156"/>
    </row>
    <row r="3615" spans="2:7" x14ac:dyDescent="0.2">
      <c r="B3615" s="230">
        <v>40674</v>
      </c>
      <c r="C3615" s="124">
        <v>123.54</v>
      </c>
      <c r="D3615" s="156">
        <f t="shared" si="57"/>
        <v>1.3869511694706705E-2</v>
      </c>
      <c r="E3615" s="156">
        <v>-8.2346886258362825E-3</v>
      </c>
      <c r="G3615" s="156"/>
    </row>
    <row r="3616" spans="2:7" x14ac:dyDescent="0.2">
      <c r="B3616" s="230">
        <v>40673</v>
      </c>
      <c r="C3616" s="124">
        <v>123.04</v>
      </c>
      <c r="D3616" s="156">
        <f t="shared" si="57"/>
        <v>-4.0472721385785976E-3</v>
      </c>
      <c r="E3616" s="156">
        <v>-8.2437359217890326E-3</v>
      </c>
      <c r="G3616" s="156"/>
    </row>
    <row r="3617" spans="2:7" x14ac:dyDescent="0.2">
      <c r="B3617" s="230">
        <v>40672</v>
      </c>
      <c r="C3617" s="124">
        <v>122.28</v>
      </c>
      <c r="D3617" s="156">
        <f t="shared" si="57"/>
        <v>-6.1768530559168167E-3</v>
      </c>
      <c r="E3617" s="156">
        <v>-8.2477051650910842E-3</v>
      </c>
      <c r="G3617" s="156"/>
    </row>
    <row r="3618" spans="2:7" x14ac:dyDescent="0.2">
      <c r="B3618" s="230">
        <v>40669</v>
      </c>
      <c r="C3618" s="124">
        <v>121.72</v>
      </c>
      <c r="D3618" s="156">
        <f t="shared" si="57"/>
        <v>-4.5796532548250104E-3</v>
      </c>
      <c r="E3618" s="156">
        <v>-8.2539494704454291E-3</v>
      </c>
      <c r="G3618" s="156"/>
    </row>
    <row r="3619" spans="2:7" x14ac:dyDescent="0.2">
      <c r="B3619" s="230">
        <v>40668</v>
      </c>
      <c r="C3619" s="124">
        <v>120.99</v>
      </c>
      <c r="D3619" s="156">
        <f t="shared" si="57"/>
        <v>-5.9973710154453174E-3</v>
      </c>
      <c r="E3619" s="156">
        <v>-8.272616879174282E-3</v>
      </c>
      <c r="G3619" s="156"/>
    </row>
    <row r="3620" spans="2:7" x14ac:dyDescent="0.2">
      <c r="B3620" s="230">
        <v>40667</v>
      </c>
      <c r="C3620" s="124">
        <v>123.84</v>
      </c>
      <c r="D3620" s="156">
        <f t="shared" si="57"/>
        <v>2.3555665757500691E-2</v>
      </c>
      <c r="E3620" s="156">
        <v>-8.2815734989647605E-3</v>
      </c>
      <c r="G3620" s="156"/>
    </row>
    <row r="3621" spans="2:7" x14ac:dyDescent="0.2">
      <c r="B3621" s="230">
        <v>40666</v>
      </c>
      <c r="C3621" s="124">
        <v>123.87</v>
      </c>
      <c r="D3621" s="156">
        <f t="shared" si="57"/>
        <v>2.4224806201551306E-4</v>
      </c>
      <c r="E3621" s="156">
        <v>-8.3030617540218645E-3</v>
      </c>
      <c r="G3621" s="156"/>
    </row>
    <row r="3622" spans="2:7" x14ac:dyDescent="0.2">
      <c r="B3622" s="230">
        <v>40665</v>
      </c>
      <c r="C3622" s="124">
        <v>126.72</v>
      </c>
      <c r="D3622" s="156">
        <f t="shared" si="57"/>
        <v>2.3007992249939407E-2</v>
      </c>
      <c r="E3622" s="156">
        <v>-8.308157099697842E-3</v>
      </c>
      <c r="G3622" s="156"/>
    </row>
    <row r="3623" spans="2:7" x14ac:dyDescent="0.2">
      <c r="B3623" s="230">
        <v>40662</v>
      </c>
      <c r="C3623" s="124">
        <v>127.52</v>
      </c>
      <c r="D3623" s="156">
        <f t="shared" si="57"/>
        <v>6.3131313131312905E-3</v>
      </c>
      <c r="E3623" s="156">
        <v>-8.3121761207525704E-3</v>
      </c>
      <c r="G3623" s="156"/>
    </row>
    <row r="3624" spans="2:7" x14ac:dyDescent="0.2">
      <c r="B3624" s="230">
        <v>40661</v>
      </c>
      <c r="C3624" s="124">
        <v>127.19</v>
      </c>
      <c r="D3624" s="156">
        <f t="shared" si="57"/>
        <v>-2.587829360100363E-3</v>
      </c>
      <c r="E3624" s="156">
        <v>-8.3125519534498257E-3</v>
      </c>
      <c r="G3624" s="156"/>
    </row>
    <row r="3625" spans="2:7" x14ac:dyDescent="0.2">
      <c r="B3625" s="230">
        <v>40660</v>
      </c>
      <c r="C3625" s="124">
        <v>128.38</v>
      </c>
      <c r="D3625" s="156">
        <f t="shared" si="57"/>
        <v>9.356081452944396E-3</v>
      </c>
      <c r="E3625" s="156">
        <v>-8.3166999334664017E-3</v>
      </c>
      <c r="G3625" s="156"/>
    </row>
    <row r="3626" spans="2:7" x14ac:dyDescent="0.2">
      <c r="B3626" s="230">
        <v>40659</v>
      </c>
      <c r="C3626" s="124">
        <v>127.06</v>
      </c>
      <c r="D3626" s="156">
        <f t="shared" si="57"/>
        <v>-1.0281975385574025E-2</v>
      </c>
      <c r="E3626" s="156">
        <v>-8.3202511773940533E-3</v>
      </c>
      <c r="G3626" s="156"/>
    </row>
    <row r="3627" spans="2:7" x14ac:dyDescent="0.2">
      <c r="B3627" s="230">
        <v>40658</v>
      </c>
      <c r="C3627" s="124">
        <v>126.13</v>
      </c>
      <c r="D3627" s="156">
        <f t="shared" si="57"/>
        <v>-7.3193766724382716E-3</v>
      </c>
      <c r="E3627" s="156">
        <v>-8.3209509658246986E-3</v>
      </c>
      <c r="G3627" s="156"/>
    </row>
    <row r="3628" spans="2:7" x14ac:dyDescent="0.2">
      <c r="B3628" s="230">
        <v>40654</v>
      </c>
      <c r="C3628" s="124">
        <v>126.06</v>
      </c>
      <c r="D3628" s="156">
        <f t="shared" si="57"/>
        <v>-5.5498295409492728E-4</v>
      </c>
      <c r="E3628" s="156">
        <v>-8.3388637216146415E-3</v>
      </c>
      <c r="G3628" s="156"/>
    </row>
    <row r="3629" spans="2:7" x14ac:dyDescent="0.2">
      <c r="B3629" s="230">
        <v>40653</v>
      </c>
      <c r="C3629" s="124">
        <v>126.36</v>
      </c>
      <c r="D3629" s="156">
        <f t="shared" si="57"/>
        <v>2.3798191337458126E-3</v>
      </c>
      <c r="E3629" s="156">
        <v>-8.3440614122919955E-3</v>
      </c>
      <c r="G3629" s="156"/>
    </row>
    <row r="3630" spans="2:7" x14ac:dyDescent="0.2">
      <c r="B3630" s="230">
        <v>40652</v>
      </c>
      <c r="C3630" s="124">
        <v>124.3</v>
      </c>
      <c r="D3630" s="156">
        <f t="shared" si="57"/>
        <v>-1.6302627413738544E-2</v>
      </c>
      <c r="E3630" s="156">
        <v>-8.356545961002786E-3</v>
      </c>
      <c r="G3630" s="156"/>
    </row>
    <row r="3631" spans="2:7" x14ac:dyDescent="0.2">
      <c r="B3631" s="230">
        <v>40651</v>
      </c>
      <c r="C3631" s="124">
        <v>126.09</v>
      </c>
      <c r="D3631" s="156">
        <f t="shared" si="57"/>
        <v>1.4400643604183477E-2</v>
      </c>
      <c r="E3631" s="156">
        <v>-8.3612040133779018E-3</v>
      </c>
      <c r="G3631" s="156"/>
    </row>
    <row r="3632" spans="2:7" x14ac:dyDescent="0.2">
      <c r="B3632" s="230">
        <v>40648</v>
      </c>
      <c r="C3632" s="124">
        <v>126.96</v>
      </c>
      <c r="D3632" s="156">
        <f t="shared" si="57"/>
        <v>6.8998334522959023E-3</v>
      </c>
      <c r="E3632" s="156">
        <v>-8.3694515020176705E-3</v>
      </c>
      <c r="G3632" s="156"/>
    </row>
    <row r="3633" spans="2:7" x14ac:dyDescent="0.2">
      <c r="B3633" s="230">
        <v>40646</v>
      </c>
      <c r="C3633" s="124">
        <v>126.03</v>
      </c>
      <c r="D3633" s="156">
        <f t="shared" si="57"/>
        <v>-7.3251417769375606E-3</v>
      </c>
      <c r="E3633" s="156">
        <v>-8.4033613445378408E-3</v>
      </c>
      <c r="G3633" s="156"/>
    </row>
    <row r="3634" spans="2:7" x14ac:dyDescent="0.2">
      <c r="B3634" s="230">
        <v>40644</v>
      </c>
      <c r="C3634" s="124">
        <v>122.65</v>
      </c>
      <c r="D3634" s="156">
        <f t="shared" si="57"/>
        <v>-2.6819011346504763E-2</v>
      </c>
      <c r="E3634" s="156">
        <v>-8.4165198669014576E-3</v>
      </c>
      <c r="G3634" s="156"/>
    </row>
    <row r="3635" spans="2:7" x14ac:dyDescent="0.2">
      <c r="B3635" s="230">
        <v>40641</v>
      </c>
      <c r="C3635" s="124">
        <v>121.82</v>
      </c>
      <c r="D3635" s="156">
        <f t="shared" si="57"/>
        <v>-6.7672238075826537E-3</v>
      </c>
      <c r="E3635" s="156">
        <v>-8.4175084175084174E-3</v>
      </c>
      <c r="G3635" s="156"/>
    </row>
    <row r="3636" spans="2:7" x14ac:dyDescent="0.2">
      <c r="B3636" s="230">
        <v>40640</v>
      </c>
      <c r="C3636" s="124">
        <v>121.02</v>
      </c>
      <c r="D3636" s="156">
        <f t="shared" si="57"/>
        <v>-6.5670661631915712E-3</v>
      </c>
      <c r="E3636" s="156">
        <v>-8.432464990212352E-3</v>
      </c>
      <c r="G3636" s="156"/>
    </row>
    <row r="3637" spans="2:7" x14ac:dyDescent="0.2">
      <c r="B3637" s="230">
        <v>40639</v>
      </c>
      <c r="C3637" s="124">
        <v>121.29</v>
      </c>
      <c r="D3637" s="156">
        <f t="shared" si="57"/>
        <v>2.2310361923649829E-3</v>
      </c>
      <c r="E3637" s="156">
        <v>-8.4435239764218753E-3</v>
      </c>
      <c r="G3637" s="156"/>
    </row>
    <row r="3638" spans="2:7" x14ac:dyDescent="0.2">
      <c r="B3638" s="230">
        <v>40638</v>
      </c>
      <c r="C3638" s="124">
        <v>122.12</v>
      </c>
      <c r="D3638" s="156">
        <f t="shared" si="57"/>
        <v>6.8431033061257997E-3</v>
      </c>
      <c r="E3638" s="156">
        <v>-8.4581497797356284E-3</v>
      </c>
      <c r="G3638" s="156"/>
    </row>
    <row r="3639" spans="2:7" x14ac:dyDescent="0.2">
      <c r="B3639" s="230">
        <v>40637</v>
      </c>
      <c r="C3639" s="124">
        <v>122.55</v>
      </c>
      <c r="D3639" s="156">
        <f t="shared" si="57"/>
        <v>3.5211267605633196E-3</v>
      </c>
      <c r="E3639" s="156">
        <v>-8.4720121028744669E-3</v>
      </c>
      <c r="G3639" s="156"/>
    </row>
    <row r="3640" spans="2:7" x14ac:dyDescent="0.2">
      <c r="B3640" s="230">
        <v>40634</v>
      </c>
      <c r="C3640" s="124">
        <v>120.99</v>
      </c>
      <c r="D3640" s="156">
        <f t="shared" si="57"/>
        <v>-1.2729498164014707E-2</v>
      </c>
      <c r="E3640" s="156">
        <v>-8.4745762711865361E-3</v>
      </c>
      <c r="G3640" s="156"/>
    </row>
    <row r="3641" spans="2:7" x14ac:dyDescent="0.2">
      <c r="B3641" s="230">
        <v>40633</v>
      </c>
      <c r="C3641" s="124">
        <v>120.72</v>
      </c>
      <c r="D3641" s="156">
        <f t="shared" si="57"/>
        <v>-2.2315893875526575E-3</v>
      </c>
      <c r="E3641" s="156">
        <v>-8.4770678165426213E-3</v>
      </c>
      <c r="G3641" s="156"/>
    </row>
    <row r="3642" spans="2:7" x14ac:dyDescent="0.2">
      <c r="B3642" s="230">
        <v>40632</v>
      </c>
      <c r="C3642" s="124">
        <v>117.74</v>
      </c>
      <c r="D3642" s="156">
        <f t="shared" si="57"/>
        <v>-2.4685222001325415E-2</v>
      </c>
      <c r="E3642" s="156">
        <v>-8.4933530280648772E-3</v>
      </c>
      <c r="G3642" s="156"/>
    </row>
    <row r="3643" spans="2:7" x14ac:dyDescent="0.2">
      <c r="B3643" s="230">
        <v>40631</v>
      </c>
      <c r="C3643" s="124">
        <v>118.83</v>
      </c>
      <c r="D3643" s="156">
        <f t="shared" si="57"/>
        <v>9.2576864277221296E-3</v>
      </c>
      <c r="E3643" s="156">
        <v>-8.5314894040394162E-3</v>
      </c>
      <c r="G3643" s="156"/>
    </row>
    <row r="3644" spans="2:7" x14ac:dyDescent="0.2">
      <c r="B3644" s="230">
        <v>40630</v>
      </c>
      <c r="C3644" s="124">
        <v>118.47</v>
      </c>
      <c r="D3644" s="156">
        <f t="shared" si="57"/>
        <v>-3.0295379954556885E-3</v>
      </c>
      <c r="E3644" s="156">
        <v>-8.5451569420373855E-3</v>
      </c>
      <c r="G3644" s="156"/>
    </row>
    <row r="3645" spans="2:7" x14ac:dyDescent="0.2">
      <c r="B3645" s="230">
        <v>40627</v>
      </c>
      <c r="C3645" s="124">
        <v>117.64</v>
      </c>
      <c r="D3645" s="156">
        <f t="shared" si="57"/>
        <v>-7.0059930784164628E-3</v>
      </c>
      <c r="E3645" s="156">
        <v>-8.5483870967742112E-3</v>
      </c>
      <c r="G3645" s="156"/>
    </row>
    <row r="3646" spans="2:7" x14ac:dyDescent="0.2">
      <c r="B3646" s="230">
        <v>40626</v>
      </c>
      <c r="C3646" s="124">
        <v>114.69</v>
      </c>
      <c r="D3646" s="156">
        <f t="shared" ref="D3646:D3709" si="58">(C3646-C3645)/C3645</f>
        <v>-2.5076504590275439E-2</v>
      </c>
      <c r="E3646" s="156">
        <v>-8.5541892614374431E-3</v>
      </c>
      <c r="G3646" s="156"/>
    </row>
    <row r="3647" spans="2:7" x14ac:dyDescent="0.2">
      <c r="B3647" s="230">
        <v>40625</v>
      </c>
      <c r="C3647" s="124">
        <v>114</v>
      </c>
      <c r="D3647" s="156">
        <f t="shared" si="58"/>
        <v>-6.0162176301333838E-3</v>
      </c>
      <c r="E3647" s="156">
        <v>-8.5557139947035829E-3</v>
      </c>
      <c r="G3647" s="156"/>
    </row>
    <row r="3648" spans="2:7" x14ac:dyDescent="0.2">
      <c r="B3648" s="230">
        <v>40624</v>
      </c>
      <c r="C3648" s="124">
        <v>112.74</v>
      </c>
      <c r="D3648" s="156">
        <f t="shared" si="58"/>
        <v>-1.1052631578947413E-2</v>
      </c>
      <c r="E3648" s="156">
        <v>-8.5640310695080882E-3</v>
      </c>
      <c r="G3648" s="156"/>
    </row>
    <row r="3649" spans="2:7" x14ac:dyDescent="0.2">
      <c r="B3649" s="230">
        <v>40623</v>
      </c>
      <c r="C3649" s="124">
        <v>111.31</v>
      </c>
      <c r="D3649" s="156">
        <f t="shared" si="58"/>
        <v>-1.2684051800603093E-2</v>
      </c>
      <c r="E3649" s="156">
        <v>-8.5684430512017202E-3</v>
      </c>
      <c r="G3649" s="156"/>
    </row>
    <row r="3650" spans="2:7" x14ac:dyDescent="0.2">
      <c r="B3650" s="230">
        <v>40620</v>
      </c>
      <c r="C3650" s="124">
        <v>111.34</v>
      </c>
      <c r="D3650" s="156">
        <f t="shared" si="58"/>
        <v>2.6951756356123559E-4</v>
      </c>
      <c r="E3650" s="156">
        <v>-8.5838934087960998E-3</v>
      </c>
      <c r="G3650" s="156"/>
    </row>
    <row r="3651" spans="2:7" x14ac:dyDescent="0.2">
      <c r="B3651" s="230">
        <v>40619</v>
      </c>
      <c r="C3651" s="124">
        <v>111.41</v>
      </c>
      <c r="D3651" s="156">
        <f t="shared" si="58"/>
        <v>6.2870486797191646E-4</v>
      </c>
      <c r="E3651" s="156">
        <v>-8.5916442048517578E-3</v>
      </c>
      <c r="G3651" s="156"/>
    </row>
    <row r="3652" spans="2:7" x14ac:dyDescent="0.2">
      <c r="B3652" s="230">
        <v>40618</v>
      </c>
      <c r="C3652" s="124">
        <v>113.5</v>
      </c>
      <c r="D3652" s="156">
        <f t="shared" si="58"/>
        <v>1.8759536845884602E-2</v>
      </c>
      <c r="E3652" s="156">
        <v>-8.5940943146761446E-3</v>
      </c>
      <c r="G3652" s="156"/>
    </row>
    <row r="3653" spans="2:7" x14ac:dyDescent="0.2">
      <c r="B3653" s="230">
        <v>40617</v>
      </c>
      <c r="C3653" s="124">
        <v>112.77</v>
      </c>
      <c r="D3653" s="156">
        <f t="shared" si="58"/>
        <v>-6.4317180616740438E-3</v>
      </c>
      <c r="E3653" s="156">
        <v>-8.6033315028373782E-3</v>
      </c>
      <c r="G3653" s="156"/>
    </row>
    <row r="3654" spans="2:7" x14ac:dyDescent="0.2">
      <c r="B3654" s="230">
        <v>40616</v>
      </c>
      <c r="C3654" s="124">
        <v>114.99</v>
      </c>
      <c r="D3654" s="156">
        <f t="shared" si="58"/>
        <v>1.9686086725192863E-2</v>
      </c>
      <c r="E3654" s="156">
        <v>-8.6091732225025714E-3</v>
      </c>
      <c r="G3654" s="156"/>
    </row>
    <row r="3655" spans="2:7" x14ac:dyDescent="0.2">
      <c r="B3655" s="230">
        <v>40613</v>
      </c>
      <c r="C3655" s="124">
        <v>113.6</v>
      </c>
      <c r="D3655" s="156">
        <f t="shared" si="58"/>
        <v>-1.2088007652839383E-2</v>
      </c>
      <c r="E3655" s="156">
        <v>-8.6173129651390071E-3</v>
      </c>
      <c r="G3655" s="156"/>
    </row>
    <row r="3656" spans="2:7" x14ac:dyDescent="0.2">
      <c r="B3656" s="230">
        <v>40612</v>
      </c>
      <c r="C3656" s="124">
        <v>113.56</v>
      </c>
      <c r="D3656" s="156">
        <f t="shared" si="58"/>
        <v>-3.5211267605626801E-4</v>
      </c>
      <c r="E3656" s="156">
        <v>-8.6317722681360145E-3</v>
      </c>
      <c r="G3656" s="156"/>
    </row>
    <row r="3657" spans="2:7" x14ac:dyDescent="0.2">
      <c r="B3657" s="230">
        <v>40611</v>
      </c>
      <c r="C3657" s="124">
        <v>113.86</v>
      </c>
      <c r="D3657" s="156">
        <f t="shared" si="58"/>
        <v>2.64177527298342E-3</v>
      </c>
      <c r="E3657" s="156">
        <v>-8.63395452214058E-3</v>
      </c>
      <c r="G3657" s="156"/>
    </row>
    <row r="3658" spans="2:7" x14ac:dyDescent="0.2">
      <c r="B3658" s="230">
        <v>40610</v>
      </c>
      <c r="C3658" s="124">
        <v>114</v>
      </c>
      <c r="D3658" s="156">
        <f t="shared" si="58"/>
        <v>1.229580186193576E-3</v>
      </c>
      <c r="E3658" s="156">
        <v>-8.6451035921895694E-3</v>
      </c>
      <c r="G3658" s="156"/>
    </row>
    <row r="3659" spans="2:7" x14ac:dyDescent="0.2">
      <c r="B3659" s="230">
        <v>40609</v>
      </c>
      <c r="C3659" s="124">
        <v>114.46</v>
      </c>
      <c r="D3659" s="156">
        <f t="shared" si="58"/>
        <v>4.035087719298191E-3</v>
      </c>
      <c r="E3659" s="156">
        <v>-8.6461888509670338E-3</v>
      </c>
      <c r="G3659" s="156"/>
    </row>
    <row r="3660" spans="2:7" x14ac:dyDescent="0.2">
      <c r="B3660" s="230">
        <v>40606</v>
      </c>
      <c r="C3660" s="124">
        <v>114.29</v>
      </c>
      <c r="D3660" s="156">
        <f t="shared" si="58"/>
        <v>-1.4852350165995762E-3</v>
      </c>
      <c r="E3660" s="156">
        <v>-8.6507269013576023E-3</v>
      </c>
      <c r="G3660" s="156"/>
    </row>
    <row r="3661" spans="2:7" x14ac:dyDescent="0.2">
      <c r="B3661" s="230">
        <v>40605</v>
      </c>
      <c r="C3661" s="124">
        <v>115.06</v>
      </c>
      <c r="D3661" s="156">
        <f t="shared" si="58"/>
        <v>6.737247353224219E-3</v>
      </c>
      <c r="E3661" s="156">
        <v>-8.6720867208671271E-3</v>
      </c>
      <c r="G3661" s="156"/>
    </row>
    <row r="3662" spans="2:7" x14ac:dyDescent="0.2">
      <c r="B3662" s="230">
        <v>40603</v>
      </c>
      <c r="C3662" s="124">
        <v>115.09</v>
      </c>
      <c r="D3662" s="156">
        <f t="shared" si="58"/>
        <v>2.6073353033201059E-4</v>
      </c>
      <c r="E3662" s="156">
        <v>-8.6736537766533336E-3</v>
      </c>
      <c r="G3662" s="156"/>
    </row>
    <row r="3663" spans="2:7" x14ac:dyDescent="0.2">
      <c r="B3663" s="230">
        <v>40602</v>
      </c>
      <c r="C3663" s="124">
        <v>112.04</v>
      </c>
      <c r="D3663" s="156">
        <f t="shared" si="58"/>
        <v>-2.6500999218003276E-2</v>
      </c>
      <c r="E3663" s="156">
        <v>-8.6749716874291831E-3</v>
      </c>
      <c r="G3663" s="156"/>
    </row>
    <row r="3664" spans="2:7" x14ac:dyDescent="0.2">
      <c r="B3664" s="230">
        <v>40599</v>
      </c>
      <c r="C3664" s="124">
        <v>103.62</v>
      </c>
      <c r="D3664" s="156">
        <f t="shared" si="58"/>
        <v>-7.5151731524455562E-2</v>
      </c>
      <c r="E3664" s="156">
        <v>-8.6772173741557924E-3</v>
      </c>
      <c r="G3664" s="156"/>
    </row>
    <row r="3665" spans="2:7" x14ac:dyDescent="0.2">
      <c r="B3665" s="230">
        <v>40598</v>
      </c>
      <c r="C3665" s="124">
        <v>99.87</v>
      </c>
      <c r="D3665" s="156">
        <f t="shared" si="58"/>
        <v>-3.6189924724956572E-2</v>
      </c>
      <c r="E3665" s="156">
        <v>-8.7256274911128116E-3</v>
      </c>
      <c r="G3665" s="156"/>
    </row>
    <row r="3666" spans="2:7" x14ac:dyDescent="0.2">
      <c r="B3666" s="230">
        <v>40597</v>
      </c>
      <c r="C3666" s="124">
        <v>103.16</v>
      </c>
      <c r="D3666" s="156">
        <f t="shared" si="58"/>
        <v>3.2942825673375309E-2</v>
      </c>
      <c r="E3666" s="156">
        <v>-8.7261036798898343E-3</v>
      </c>
      <c r="G3666" s="156"/>
    </row>
    <row r="3667" spans="2:7" x14ac:dyDescent="0.2">
      <c r="B3667" s="230">
        <v>40596</v>
      </c>
      <c r="C3667" s="124">
        <v>103.89</v>
      </c>
      <c r="D3667" s="156">
        <f t="shared" si="58"/>
        <v>7.0763861962001165E-3</v>
      </c>
      <c r="E3667" s="156">
        <v>-8.7396611916868202E-3</v>
      </c>
      <c r="G3667" s="156"/>
    </row>
    <row r="3668" spans="2:7" x14ac:dyDescent="0.2">
      <c r="B3668" s="230">
        <v>40595</v>
      </c>
      <c r="C3668" s="124">
        <v>104.88</v>
      </c>
      <c r="D3668" s="156">
        <f t="shared" si="58"/>
        <v>9.5293098469534585E-3</v>
      </c>
      <c r="E3668" s="156">
        <v>-8.7401673117742541E-3</v>
      </c>
      <c r="G3668" s="156"/>
    </row>
    <row r="3669" spans="2:7" x14ac:dyDescent="0.2">
      <c r="B3669" s="230">
        <v>40592</v>
      </c>
      <c r="C3669" s="124">
        <v>103.26</v>
      </c>
      <c r="D3669" s="156">
        <f t="shared" si="58"/>
        <v>-1.5446224256292815E-2</v>
      </c>
      <c r="E3669" s="156">
        <v>-8.7597330367073893E-3</v>
      </c>
      <c r="G3669" s="156"/>
    </row>
    <row r="3670" spans="2:7" x14ac:dyDescent="0.2">
      <c r="B3670" s="230">
        <v>40591</v>
      </c>
      <c r="C3670" s="124">
        <v>105.05</v>
      </c>
      <c r="D3670" s="156">
        <f t="shared" si="58"/>
        <v>1.7334882820065775E-2</v>
      </c>
      <c r="E3670" s="156">
        <v>-8.7705051161279697E-3</v>
      </c>
      <c r="G3670" s="156"/>
    </row>
    <row r="3671" spans="2:7" x14ac:dyDescent="0.2">
      <c r="B3671" s="230">
        <v>40590</v>
      </c>
      <c r="C3671" s="124">
        <v>104.02</v>
      </c>
      <c r="D3671" s="156">
        <f t="shared" si="58"/>
        <v>-9.8048548310328519E-3</v>
      </c>
      <c r="E3671" s="156">
        <v>-8.771154610931968E-3</v>
      </c>
      <c r="G3671" s="156"/>
    </row>
    <row r="3672" spans="2:7" x14ac:dyDescent="0.2">
      <c r="B3672" s="230">
        <v>40589</v>
      </c>
      <c r="C3672" s="124">
        <v>104.15</v>
      </c>
      <c r="D3672" s="156">
        <f t="shared" si="58"/>
        <v>1.2497596616036306E-3</v>
      </c>
      <c r="E3672" s="156">
        <v>-8.7760910815940351E-3</v>
      </c>
      <c r="G3672" s="156"/>
    </row>
    <row r="3673" spans="2:7" x14ac:dyDescent="0.2">
      <c r="B3673" s="230">
        <v>40588</v>
      </c>
      <c r="C3673" s="124">
        <v>104.42</v>
      </c>
      <c r="D3673" s="156">
        <f t="shared" si="58"/>
        <v>2.5924147863657801E-3</v>
      </c>
      <c r="E3673" s="156">
        <v>-8.7769509635566168E-3</v>
      </c>
      <c r="G3673" s="156"/>
    </row>
    <row r="3674" spans="2:7" x14ac:dyDescent="0.2">
      <c r="B3674" s="230">
        <v>40585</v>
      </c>
      <c r="C3674" s="124">
        <v>102.82</v>
      </c>
      <c r="D3674" s="156">
        <f t="shared" si="58"/>
        <v>-1.5322735108216898E-2</v>
      </c>
      <c r="E3674" s="156">
        <v>-8.7783467446964705E-3</v>
      </c>
      <c r="G3674" s="156"/>
    </row>
    <row r="3675" spans="2:7" x14ac:dyDescent="0.2">
      <c r="B3675" s="230">
        <v>40584</v>
      </c>
      <c r="C3675" s="124">
        <v>103.52</v>
      </c>
      <c r="D3675" s="156">
        <f t="shared" si="58"/>
        <v>6.8080140050574096E-3</v>
      </c>
      <c r="E3675" s="156">
        <v>-8.7805752172744733E-3</v>
      </c>
      <c r="G3675" s="156"/>
    </row>
    <row r="3676" spans="2:7" x14ac:dyDescent="0.2">
      <c r="B3676" s="230">
        <v>40583</v>
      </c>
      <c r="C3676" s="124">
        <v>102.03</v>
      </c>
      <c r="D3676" s="156">
        <f t="shared" si="58"/>
        <v>-1.4393353941267339E-2</v>
      </c>
      <c r="E3676" s="156">
        <v>-8.7825292505379106E-3</v>
      </c>
      <c r="G3676" s="156"/>
    </row>
    <row r="3677" spans="2:7" x14ac:dyDescent="0.2">
      <c r="B3677" s="230">
        <v>40582</v>
      </c>
      <c r="C3677" s="124">
        <v>103.49</v>
      </c>
      <c r="D3677" s="156">
        <f t="shared" si="58"/>
        <v>1.430951680878167E-2</v>
      </c>
      <c r="E3677" s="156">
        <v>-8.8024090803799204E-3</v>
      </c>
      <c r="G3677" s="156"/>
    </row>
    <row r="3678" spans="2:7" x14ac:dyDescent="0.2">
      <c r="B3678" s="230">
        <v>40581</v>
      </c>
      <c r="C3678" s="124">
        <v>104.15</v>
      </c>
      <c r="D3678" s="156">
        <f t="shared" si="58"/>
        <v>6.3774277707992159E-3</v>
      </c>
      <c r="E3678" s="156">
        <v>-8.8114074565351919E-3</v>
      </c>
      <c r="G3678" s="156"/>
    </row>
    <row r="3679" spans="2:7" x14ac:dyDescent="0.2">
      <c r="B3679" s="230">
        <v>40578</v>
      </c>
      <c r="C3679" s="124">
        <v>101.43</v>
      </c>
      <c r="D3679" s="156">
        <f t="shared" si="58"/>
        <v>-2.6116178588574158E-2</v>
      </c>
      <c r="E3679" s="156">
        <v>-8.820858736541792E-3</v>
      </c>
      <c r="G3679" s="156"/>
    </row>
    <row r="3680" spans="2:7" x14ac:dyDescent="0.2">
      <c r="B3680" s="230">
        <v>40577</v>
      </c>
      <c r="C3680" s="124">
        <v>105.71</v>
      </c>
      <c r="D3680" s="156">
        <f t="shared" si="58"/>
        <v>4.2196588780439581E-2</v>
      </c>
      <c r="E3680" s="156">
        <v>-8.8224914715915766E-3</v>
      </c>
      <c r="G3680" s="156"/>
    </row>
    <row r="3681" spans="2:7" x14ac:dyDescent="0.2">
      <c r="B3681" s="230">
        <v>40576</v>
      </c>
      <c r="C3681" s="124">
        <v>105.41</v>
      </c>
      <c r="D3681" s="156">
        <f t="shared" si="58"/>
        <v>-2.8379528899819995E-3</v>
      </c>
      <c r="E3681" s="156">
        <v>-8.8276506305464096E-3</v>
      </c>
      <c r="G3681" s="156"/>
    </row>
    <row r="3682" spans="2:7" x14ac:dyDescent="0.2">
      <c r="B3682" s="230">
        <v>40575</v>
      </c>
      <c r="C3682" s="124">
        <v>105.81</v>
      </c>
      <c r="D3682" s="156">
        <f t="shared" si="58"/>
        <v>3.7947063845935459E-3</v>
      </c>
      <c r="E3682" s="156">
        <v>-8.8321362064378642E-3</v>
      </c>
      <c r="G3682" s="156"/>
    </row>
    <row r="3683" spans="2:7" x14ac:dyDescent="0.2">
      <c r="B3683" s="230">
        <v>40574</v>
      </c>
      <c r="C3683" s="124">
        <v>107.8</v>
      </c>
      <c r="D3683" s="156">
        <f t="shared" si="58"/>
        <v>1.8807296096777195E-2</v>
      </c>
      <c r="E3683" s="156">
        <v>-8.8324258923170463E-3</v>
      </c>
      <c r="G3683" s="156"/>
    </row>
    <row r="3684" spans="2:7" x14ac:dyDescent="0.2">
      <c r="B3684" s="230">
        <v>40571</v>
      </c>
      <c r="C3684" s="124">
        <v>111.48</v>
      </c>
      <c r="D3684" s="156">
        <f t="shared" si="58"/>
        <v>3.4137291280148488E-2</v>
      </c>
      <c r="E3684" s="156">
        <v>-8.843296781039971E-3</v>
      </c>
      <c r="G3684" s="156"/>
    </row>
    <row r="3685" spans="2:7" x14ac:dyDescent="0.2">
      <c r="B3685" s="230">
        <v>40570</v>
      </c>
      <c r="C3685" s="124">
        <v>111.24</v>
      </c>
      <c r="D3685" s="156">
        <f t="shared" si="58"/>
        <v>-2.1528525296018036E-3</v>
      </c>
      <c r="E3685" s="156">
        <v>-8.8530012647145707E-3</v>
      </c>
      <c r="G3685" s="156"/>
    </row>
    <row r="3686" spans="2:7" x14ac:dyDescent="0.2">
      <c r="B3686" s="230">
        <v>40568</v>
      </c>
      <c r="C3686" s="124">
        <v>111.38</v>
      </c>
      <c r="D3686" s="156">
        <f t="shared" si="58"/>
        <v>1.258540093491555E-3</v>
      </c>
      <c r="E3686" s="156">
        <v>-8.8642659279778921E-3</v>
      </c>
      <c r="G3686" s="156"/>
    </row>
    <row r="3687" spans="2:7" x14ac:dyDescent="0.2">
      <c r="B3687" s="230">
        <v>40567</v>
      </c>
      <c r="C3687" s="124">
        <v>112.11</v>
      </c>
      <c r="D3687" s="156">
        <f t="shared" si="58"/>
        <v>6.5541389836595802E-3</v>
      </c>
      <c r="E3687" s="156">
        <v>-8.8723886232066236E-3</v>
      </c>
      <c r="G3687" s="156"/>
    </row>
    <row r="3688" spans="2:7" x14ac:dyDescent="0.2">
      <c r="B3688" s="230">
        <v>40564</v>
      </c>
      <c r="C3688" s="124">
        <v>111.97</v>
      </c>
      <c r="D3688" s="156">
        <f t="shared" si="58"/>
        <v>-1.248773526001254E-3</v>
      </c>
      <c r="E3688" s="156">
        <v>-8.8728065827303471E-3</v>
      </c>
      <c r="G3688" s="156"/>
    </row>
    <row r="3689" spans="2:7" x14ac:dyDescent="0.2">
      <c r="B3689" s="230">
        <v>40563</v>
      </c>
      <c r="C3689" s="124">
        <v>113.8</v>
      </c>
      <c r="D3689" s="156">
        <f t="shared" si="58"/>
        <v>1.6343663481289617E-2</v>
      </c>
      <c r="E3689" s="156">
        <v>-8.8960776384957758E-3</v>
      </c>
      <c r="G3689" s="156"/>
    </row>
    <row r="3690" spans="2:7" x14ac:dyDescent="0.2">
      <c r="B3690" s="230">
        <v>40562</v>
      </c>
      <c r="C3690" s="124">
        <v>116.32</v>
      </c>
      <c r="D3690" s="156">
        <f t="shared" si="58"/>
        <v>2.2144112478031601E-2</v>
      </c>
      <c r="E3690" s="156">
        <v>-8.8964414234306323E-3</v>
      </c>
      <c r="G3690" s="156"/>
    </row>
    <row r="3691" spans="2:7" x14ac:dyDescent="0.2">
      <c r="B3691" s="230">
        <v>40561</v>
      </c>
      <c r="C3691" s="124">
        <v>116.78</v>
      </c>
      <c r="D3691" s="156">
        <f t="shared" si="58"/>
        <v>3.9546079779918157E-3</v>
      </c>
      <c r="E3691" s="156">
        <v>-8.9047195013357075E-3</v>
      </c>
      <c r="G3691" s="156"/>
    </row>
    <row r="3692" spans="2:7" x14ac:dyDescent="0.2">
      <c r="B3692" s="230">
        <v>40560</v>
      </c>
      <c r="C3692" s="124">
        <v>114</v>
      </c>
      <c r="D3692" s="156">
        <f t="shared" si="58"/>
        <v>-2.3805446138037346E-2</v>
      </c>
      <c r="E3692" s="156">
        <v>-8.9285714285714281E-3</v>
      </c>
      <c r="G3692" s="156"/>
    </row>
    <row r="3693" spans="2:7" x14ac:dyDescent="0.2">
      <c r="B3693" s="230">
        <v>40557</v>
      </c>
      <c r="C3693" s="124">
        <v>113.07</v>
      </c>
      <c r="D3693" s="156">
        <f t="shared" si="58"/>
        <v>-8.1578947368421643E-3</v>
      </c>
      <c r="E3693" s="156">
        <v>-8.9374379344588448E-3</v>
      </c>
      <c r="G3693" s="156"/>
    </row>
    <row r="3694" spans="2:7" x14ac:dyDescent="0.2">
      <c r="B3694" s="230">
        <v>40556</v>
      </c>
      <c r="C3694" s="124">
        <v>114.79</v>
      </c>
      <c r="D3694" s="156">
        <f t="shared" si="58"/>
        <v>1.5211815689396066E-2</v>
      </c>
      <c r="E3694" s="156">
        <v>-8.9432378171198715E-3</v>
      </c>
      <c r="G3694" s="156"/>
    </row>
    <row r="3695" spans="2:7" x14ac:dyDescent="0.2">
      <c r="B3695" s="230">
        <v>40555</v>
      </c>
      <c r="C3695" s="124">
        <v>115.19</v>
      </c>
      <c r="D3695" s="156">
        <f t="shared" si="58"/>
        <v>3.4846240961755506E-3</v>
      </c>
      <c r="E3695" s="156">
        <v>-8.944620388598834E-3</v>
      </c>
      <c r="G3695" s="156"/>
    </row>
    <row r="3696" spans="2:7" x14ac:dyDescent="0.2">
      <c r="B3696" s="230">
        <v>40554</v>
      </c>
      <c r="C3696" s="124">
        <v>112.77</v>
      </c>
      <c r="D3696" s="156">
        <f t="shared" si="58"/>
        <v>-2.1008768122232849E-2</v>
      </c>
      <c r="E3696" s="156">
        <v>-8.9485458612974939E-3</v>
      </c>
      <c r="G3696" s="156"/>
    </row>
    <row r="3697" spans="2:7" x14ac:dyDescent="0.2">
      <c r="B3697" s="230">
        <v>40553</v>
      </c>
      <c r="C3697" s="124">
        <v>113.1</v>
      </c>
      <c r="D3697" s="156">
        <f t="shared" si="58"/>
        <v>2.9263101888800064E-3</v>
      </c>
      <c r="E3697" s="156">
        <v>-8.955617015672419E-3</v>
      </c>
      <c r="G3697" s="156"/>
    </row>
    <row r="3698" spans="2:7" x14ac:dyDescent="0.2">
      <c r="B3698" s="230">
        <v>40550</v>
      </c>
      <c r="C3698" s="124">
        <v>114.36</v>
      </c>
      <c r="D3698" s="156">
        <f t="shared" si="58"/>
        <v>1.1140583554376703E-2</v>
      </c>
      <c r="E3698" s="156">
        <v>-8.9576547231270363E-3</v>
      </c>
      <c r="G3698" s="156"/>
    </row>
    <row r="3699" spans="2:7" x14ac:dyDescent="0.2">
      <c r="B3699" s="230">
        <v>40549</v>
      </c>
      <c r="C3699" s="124">
        <v>118.6</v>
      </c>
      <c r="D3699" s="156">
        <f t="shared" si="58"/>
        <v>3.7075900664567986E-2</v>
      </c>
      <c r="E3699" s="156">
        <v>-8.9596381350033668E-3</v>
      </c>
      <c r="G3699" s="156"/>
    </row>
    <row r="3700" spans="2:7" x14ac:dyDescent="0.2">
      <c r="B3700" s="230">
        <v>40548</v>
      </c>
      <c r="C3700" s="124">
        <v>119.2</v>
      </c>
      <c r="D3700" s="156">
        <f t="shared" si="58"/>
        <v>5.0590219224284022E-3</v>
      </c>
      <c r="E3700" s="156">
        <v>-8.9599905373038101E-3</v>
      </c>
      <c r="G3700" s="156"/>
    </row>
    <row r="3701" spans="2:7" x14ac:dyDescent="0.2">
      <c r="B3701" s="230">
        <v>40547</v>
      </c>
      <c r="C3701" s="124">
        <v>117.67</v>
      </c>
      <c r="D3701" s="156">
        <f t="shared" si="58"/>
        <v>-1.2835570469798666E-2</v>
      </c>
      <c r="E3701" s="156">
        <v>-8.9955022488755615E-3</v>
      </c>
      <c r="G3701" s="156"/>
    </row>
    <row r="3702" spans="2:7" x14ac:dyDescent="0.2">
      <c r="B3702" s="230">
        <v>40546</v>
      </c>
      <c r="C3702" s="124">
        <v>115.88</v>
      </c>
      <c r="D3702" s="156">
        <f t="shared" si="58"/>
        <v>-1.5212033653437632E-2</v>
      </c>
      <c r="E3702" s="156">
        <v>-8.9995653619000891E-3</v>
      </c>
      <c r="G3702" s="156"/>
    </row>
    <row r="3703" spans="2:7" x14ac:dyDescent="0.2">
      <c r="B3703" s="230">
        <v>40543</v>
      </c>
      <c r="C3703" s="124">
        <v>115.79</v>
      </c>
      <c r="D3703" s="156">
        <f t="shared" si="58"/>
        <v>-7.7666551605099421E-4</v>
      </c>
      <c r="E3703" s="156">
        <v>-9.007926975738649E-3</v>
      </c>
      <c r="G3703" s="156"/>
    </row>
    <row r="3704" spans="2:7" x14ac:dyDescent="0.2">
      <c r="B3704" s="230">
        <v>40542</v>
      </c>
      <c r="C3704" s="124">
        <v>115.72</v>
      </c>
      <c r="D3704" s="156">
        <f t="shared" si="58"/>
        <v>-6.0454270662412457E-4</v>
      </c>
      <c r="E3704" s="156">
        <v>-9.0123920390536849E-3</v>
      </c>
      <c r="G3704" s="156"/>
    </row>
    <row r="3705" spans="2:7" x14ac:dyDescent="0.2">
      <c r="B3705" s="230">
        <v>40541</v>
      </c>
      <c r="C3705" s="124">
        <v>115.49</v>
      </c>
      <c r="D3705" s="156">
        <f t="shared" si="58"/>
        <v>-1.9875561700657103E-3</v>
      </c>
      <c r="E3705" s="156">
        <v>-9.0226213089275396E-3</v>
      </c>
      <c r="G3705" s="156"/>
    </row>
    <row r="3706" spans="2:7" x14ac:dyDescent="0.2">
      <c r="B3706" s="230">
        <v>40540</v>
      </c>
      <c r="C3706" s="124">
        <v>113.5</v>
      </c>
      <c r="D3706" s="156">
        <f t="shared" si="58"/>
        <v>-1.7230929084769201E-2</v>
      </c>
      <c r="E3706" s="156">
        <v>-9.0236001850994389E-3</v>
      </c>
      <c r="G3706" s="156"/>
    </row>
    <row r="3707" spans="2:7" x14ac:dyDescent="0.2">
      <c r="B3707" s="230">
        <v>40539</v>
      </c>
      <c r="C3707" s="124">
        <v>112.54</v>
      </c>
      <c r="D3707" s="156">
        <f t="shared" si="58"/>
        <v>-8.4581497797356284E-3</v>
      </c>
      <c r="E3707" s="156">
        <v>-9.0324821955880576E-3</v>
      </c>
      <c r="G3707" s="156"/>
    </row>
    <row r="3708" spans="2:7" x14ac:dyDescent="0.2">
      <c r="B3708" s="230">
        <v>40536</v>
      </c>
      <c r="C3708" s="124">
        <v>112.64</v>
      </c>
      <c r="D3708" s="156">
        <f t="shared" si="58"/>
        <v>8.8857295183929544E-4</v>
      </c>
      <c r="E3708" s="156">
        <v>-9.0412507063476269E-3</v>
      </c>
      <c r="G3708" s="156"/>
    </row>
    <row r="3709" spans="2:7" x14ac:dyDescent="0.2">
      <c r="B3709" s="230">
        <v>40535</v>
      </c>
      <c r="C3709" s="124">
        <v>110.65</v>
      </c>
      <c r="D3709" s="156">
        <f t="shared" si="58"/>
        <v>-1.7666903409090863E-2</v>
      </c>
      <c r="E3709" s="156">
        <v>-9.0419806243272095E-3</v>
      </c>
      <c r="G3709" s="156"/>
    </row>
    <row r="3710" spans="2:7" x14ac:dyDescent="0.2">
      <c r="B3710" s="230">
        <v>40534</v>
      </c>
      <c r="C3710" s="124">
        <v>110.98</v>
      </c>
      <c r="D3710" s="156">
        <f t="shared" ref="D3710:D3773" si="59">(C3710-C3709)/C3709</f>
        <v>2.9823768639855243E-3</v>
      </c>
      <c r="E3710" s="156">
        <v>-9.056176595443553E-3</v>
      </c>
      <c r="G3710" s="156"/>
    </row>
    <row r="3711" spans="2:7" x14ac:dyDescent="0.2">
      <c r="B3711" s="230">
        <v>40533</v>
      </c>
      <c r="C3711" s="124">
        <v>110.81</v>
      </c>
      <c r="D3711" s="156">
        <f t="shared" si="59"/>
        <v>-1.531807532888824E-3</v>
      </c>
      <c r="E3711" s="156">
        <v>-9.0566037735848193E-3</v>
      </c>
      <c r="G3711" s="156"/>
    </row>
    <row r="3712" spans="2:7" x14ac:dyDescent="0.2">
      <c r="B3712" s="230">
        <v>40532</v>
      </c>
      <c r="C3712" s="124">
        <v>110.68</v>
      </c>
      <c r="D3712" s="156">
        <f t="shared" si="59"/>
        <v>-1.1731793159461732E-3</v>
      </c>
      <c r="E3712" s="156">
        <v>-9.063666732167415E-3</v>
      </c>
      <c r="G3712" s="156"/>
    </row>
    <row r="3713" spans="2:7" x14ac:dyDescent="0.2">
      <c r="B3713" s="230">
        <v>40528</v>
      </c>
      <c r="C3713" s="124">
        <v>111.41</v>
      </c>
      <c r="D3713" s="156">
        <f t="shared" si="59"/>
        <v>6.5955908926634416E-3</v>
      </c>
      <c r="E3713" s="156">
        <v>-9.0639647091261787E-3</v>
      </c>
      <c r="G3713" s="156"/>
    </row>
    <row r="3714" spans="2:7" x14ac:dyDescent="0.2">
      <c r="B3714" s="230">
        <v>40527</v>
      </c>
      <c r="C3714" s="124">
        <v>110.71</v>
      </c>
      <c r="D3714" s="156">
        <f t="shared" si="59"/>
        <v>-6.2830984651288295E-3</v>
      </c>
      <c r="E3714" s="156">
        <v>-9.0660013810616204E-3</v>
      </c>
      <c r="G3714" s="156"/>
    </row>
    <row r="3715" spans="2:7" x14ac:dyDescent="0.2">
      <c r="B3715" s="230">
        <v>40526</v>
      </c>
      <c r="C3715" s="124">
        <v>111.64</v>
      </c>
      <c r="D3715" s="156">
        <f t="shared" si="59"/>
        <v>8.4003251738777613E-3</v>
      </c>
      <c r="E3715" s="156">
        <v>-9.0694721567204789E-3</v>
      </c>
      <c r="G3715" s="156"/>
    </row>
    <row r="3716" spans="2:7" x14ac:dyDescent="0.2">
      <c r="B3716" s="230">
        <v>40525</v>
      </c>
      <c r="C3716" s="124">
        <v>110.81</v>
      </c>
      <c r="D3716" s="156">
        <f t="shared" si="59"/>
        <v>-7.4346112504478533E-3</v>
      </c>
      <c r="E3716" s="156">
        <v>-9.087998423761786E-3</v>
      </c>
      <c r="G3716" s="156"/>
    </row>
    <row r="3717" spans="2:7" x14ac:dyDescent="0.2">
      <c r="B3717" s="230">
        <v>40522</v>
      </c>
      <c r="C3717" s="124">
        <v>112.9</v>
      </c>
      <c r="D3717" s="156">
        <f t="shared" si="59"/>
        <v>1.8861113617904553E-2</v>
      </c>
      <c r="E3717" s="156">
        <v>-9.0893788924423114E-3</v>
      </c>
      <c r="G3717" s="156"/>
    </row>
    <row r="3718" spans="2:7" x14ac:dyDescent="0.2">
      <c r="B3718" s="230">
        <v>40521</v>
      </c>
      <c r="C3718" s="124">
        <v>110.91</v>
      </c>
      <c r="D3718" s="156">
        <f t="shared" si="59"/>
        <v>-1.7626217891939848E-2</v>
      </c>
      <c r="E3718" s="156">
        <v>-9.0968161143599492E-3</v>
      </c>
      <c r="G3718" s="156"/>
    </row>
    <row r="3719" spans="2:7" x14ac:dyDescent="0.2">
      <c r="B3719" s="230">
        <v>40520</v>
      </c>
      <c r="C3719" s="124">
        <v>110.55</v>
      </c>
      <c r="D3719" s="156">
        <f t="shared" si="59"/>
        <v>-3.2458750338111931E-3</v>
      </c>
      <c r="E3719" s="156">
        <v>-9.1032345535540047E-3</v>
      </c>
      <c r="G3719" s="156"/>
    </row>
    <row r="3720" spans="2:7" x14ac:dyDescent="0.2">
      <c r="B3720" s="230">
        <v>40519</v>
      </c>
      <c r="C3720" s="124">
        <v>111.51</v>
      </c>
      <c r="D3720" s="156">
        <f t="shared" si="59"/>
        <v>8.6838534599729348E-3</v>
      </c>
      <c r="E3720" s="156">
        <v>-9.1324200913241744E-3</v>
      </c>
      <c r="G3720" s="156"/>
    </row>
    <row r="3721" spans="2:7" x14ac:dyDescent="0.2">
      <c r="B3721" s="230">
        <v>40518</v>
      </c>
      <c r="C3721" s="124">
        <v>112.07</v>
      </c>
      <c r="D3721" s="156">
        <f t="shared" si="59"/>
        <v>5.0219711236659317E-3</v>
      </c>
      <c r="E3721" s="156">
        <v>-9.146877748460942E-3</v>
      </c>
      <c r="G3721" s="156"/>
    </row>
    <row r="3722" spans="2:7" x14ac:dyDescent="0.2">
      <c r="B3722" s="230">
        <v>40515</v>
      </c>
      <c r="C3722" s="124">
        <v>113.56</v>
      </c>
      <c r="D3722" s="156">
        <f t="shared" si="59"/>
        <v>1.3295261889890329E-2</v>
      </c>
      <c r="E3722" s="156">
        <v>-9.1525020801140281E-3</v>
      </c>
      <c r="G3722" s="156"/>
    </row>
    <row r="3723" spans="2:7" x14ac:dyDescent="0.2">
      <c r="B3723" s="230">
        <v>40514</v>
      </c>
      <c r="C3723" s="124">
        <v>113.3</v>
      </c>
      <c r="D3723" s="156">
        <f t="shared" si="59"/>
        <v>-2.2895385699190306E-3</v>
      </c>
      <c r="E3723" s="156">
        <v>-9.1528309919113957E-3</v>
      </c>
      <c r="G3723" s="156"/>
    </row>
    <row r="3724" spans="2:7" x14ac:dyDescent="0.2">
      <c r="B3724" s="230">
        <v>40513</v>
      </c>
      <c r="C3724" s="124">
        <v>113.63</v>
      </c>
      <c r="D3724" s="156">
        <f t="shared" si="59"/>
        <v>2.9126213592232859E-3</v>
      </c>
      <c r="E3724" s="156">
        <v>-9.1710758377425844E-3</v>
      </c>
      <c r="G3724" s="156"/>
    </row>
    <row r="3725" spans="2:7" x14ac:dyDescent="0.2">
      <c r="B3725" s="230">
        <v>40512</v>
      </c>
      <c r="C3725" s="124">
        <v>113.96</v>
      </c>
      <c r="D3725" s="156">
        <f t="shared" si="59"/>
        <v>2.9041626331074389E-3</v>
      </c>
      <c r="E3725" s="156">
        <v>-9.1732533317948617E-3</v>
      </c>
      <c r="G3725" s="156"/>
    </row>
    <row r="3726" spans="2:7" x14ac:dyDescent="0.2">
      <c r="B3726" s="230">
        <v>40511</v>
      </c>
      <c r="C3726" s="124">
        <v>111.77</v>
      </c>
      <c r="D3726" s="156">
        <f t="shared" si="59"/>
        <v>-1.9217269217269198E-2</v>
      </c>
      <c r="E3726" s="156">
        <v>-9.1859468723222166E-3</v>
      </c>
      <c r="G3726" s="156"/>
    </row>
    <row r="3727" spans="2:7" x14ac:dyDescent="0.2">
      <c r="B3727" s="230">
        <v>40508</v>
      </c>
      <c r="C3727" s="124">
        <v>111.14</v>
      </c>
      <c r="D3727" s="156">
        <f t="shared" si="59"/>
        <v>-5.6365751096000309E-3</v>
      </c>
      <c r="E3727" s="156">
        <v>-9.2081031307550652E-3</v>
      </c>
      <c r="G3727" s="156"/>
    </row>
    <row r="3728" spans="2:7" x14ac:dyDescent="0.2">
      <c r="B3728" s="230">
        <v>40507</v>
      </c>
      <c r="C3728" s="124">
        <v>112.5</v>
      </c>
      <c r="D3728" s="156">
        <f t="shared" si="59"/>
        <v>1.2236818427208921E-2</v>
      </c>
      <c r="E3728" s="156">
        <v>-9.2144233933524888E-3</v>
      </c>
      <c r="G3728" s="156"/>
    </row>
    <row r="3729" spans="2:7" x14ac:dyDescent="0.2">
      <c r="B3729" s="230">
        <v>40506</v>
      </c>
      <c r="C3729" s="124">
        <v>115.16</v>
      </c>
      <c r="D3729" s="156">
        <f t="shared" si="59"/>
        <v>2.3644444444444412E-2</v>
      </c>
      <c r="E3729" s="156">
        <v>-9.215656488936257E-3</v>
      </c>
      <c r="G3729" s="156"/>
    </row>
    <row r="3730" spans="2:7" x14ac:dyDescent="0.2">
      <c r="B3730" s="230">
        <v>40505</v>
      </c>
      <c r="C3730" s="124">
        <v>114.36</v>
      </c>
      <c r="D3730" s="156">
        <f t="shared" si="59"/>
        <v>-6.9468565474122713E-3</v>
      </c>
      <c r="E3730" s="156">
        <v>-9.2436974789915482E-3</v>
      </c>
      <c r="G3730" s="156"/>
    </row>
    <row r="3731" spans="2:7" x14ac:dyDescent="0.2">
      <c r="B3731" s="230">
        <v>40504</v>
      </c>
      <c r="C3731" s="124">
        <v>116.61</v>
      </c>
      <c r="D3731" s="156">
        <f t="shared" si="59"/>
        <v>1.9674711437565582E-2</v>
      </c>
      <c r="E3731" s="156">
        <v>-9.2460881934566704E-3</v>
      </c>
      <c r="G3731" s="156"/>
    </row>
    <row r="3732" spans="2:7" x14ac:dyDescent="0.2">
      <c r="B3732" s="230">
        <v>40501</v>
      </c>
      <c r="C3732" s="124">
        <v>113.33</v>
      </c>
      <c r="D3732" s="156">
        <f t="shared" si="59"/>
        <v>-2.8127947860389343E-2</v>
      </c>
      <c r="E3732" s="156">
        <v>-9.250585480093651E-3</v>
      </c>
      <c r="G3732" s="156"/>
    </row>
    <row r="3733" spans="2:7" x14ac:dyDescent="0.2">
      <c r="B3733" s="230">
        <v>40500</v>
      </c>
      <c r="C3733" s="124">
        <v>114</v>
      </c>
      <c r="D3733" s="156">
        <f t="shared" si="59"/>
        <v>5.911938586429028E-3</v>
      </c>
      <c r="E3733" s="156">
        <v>-9.2692954587928165E-3</v>
      </c>
      <c r="G3733" s="156"/>
    </row>
    <row r="3734" spans="2:7" x14ac:dyDescent="0.2">
      <c r="B3734" s="230">
        <v>40498</v>
      </c>
      <c r="C3734" s="124">
        <v>112.67</v>
      </c>
      <c r="D3734" s="156">
        <f t="shared" si="59"/>
        <v>-1.1666666666666652E-2</v>
      </c>
      <c r="E3734" s="156">
        <v>-9.2757759543347224E-3</v>
      </c>
      <c r="G3734" s="156"/>
    </row>
    <row r="3735" spans="2:7" x14ac:dyDescent="0.2">
      <c r="B3735" s="230">
        <v>40497</v>
      </c>
      <c r="C3735" s="124">
        <v>116.12</v>
      </c>
      <c r="D3735" s="156">
        <f t="shared" si="59"/>
        <v>3.0620395846276762E-2</v>
      </c>
      <c r="E3735" s="156">
        <v>-9.2801605216954949E-3</v>
      </c>
      <c r="G3735" s="156"/>
    </row>
    <row r="3736" spans="2:7" x14ac:dyDescent="0.2">
      <c r="B3736" s="230">
        <v>40494</v>
      </c>
      <c r="C3736" s="124">
        <v>115.25</v>
      </c>
      <c r="D3736" s="156">
        <f t="shared" si="59"/>
        <v>-7.4922493971753745E-3</v>
      </c>
      <c r="E3736" s="156">
        <v>-9.2823443673045111E-3</v>
      </c>
      <c r="G3736" s="156"/>
    </row>
    <row r="3737" spans="2:7" x14ac:dyDescent="0.2">
      <c r="B3737" s="230">
        <v>40493</v>
      </c>
      <c r="C3737" s="124">
        <v>116.25</v>
      </c>
      <c r="D3737" s="156">
        <f t="shared" si="59"/>
        <v>8.6767895878524948E-3</v>
      </c>
      <c r="E3737" s="156">
        <v>-9.3005231544273769E-3</v>
      </c>
      <c r="G3737" s="156"/>
    </row>
    <row r="3738" spans="2:7" x14ac:dyDescent="0.2">
      <c r="B3738" s="230">
        <v>40492</v>
      </c>
      <c r="C3738" s="124">
        <v>117.34</v>
      </c>
      <c r="D3738" s="156">
        <f t="shared" si="59"/>
        <v>9.3763440860215354E-3</v>
      </c>
      <c r="E3738" s="156">
        <v>-9.3009300930092277E-3</v>
      </c>
      <c r="G3738" s="156"/>
    </row>
    <row r="3739" spans="2:7" x14ac:dyDescent="0.2">
      <c r="B3739" s="230">
        <v>40491</v>
      </c>
      <c r="C3739" s="124">
        <v>117.87</v>
      </c>
      <c r="D3739" s="156">
        <f t="shared" si="59"/>
        <v>4.5167888188171225E-3</v>
      </c>
      <c r="E3739" s="156">
        <v>-9.3035619351408833E-3</v>
      </c>
      <c r="G3739" s="156"/>
    </row>
    <row r="3740" spans="2:7" x14ac:dyDescent="0.2">
      <c r="B3740" s="230">
        <v>40490</v>
      </c>
      <c r="C3740" s="124">
        <v>116.45</v>
      </c>
      <c r="D3740" s="156">
        <f t="shared" si="59"/>
        <v>-1.2047170611690861E-2</v>
      </c>
      <c r="E3740" s="156">
        <v>-9.3142765376586691E-3</v>
      </c>
      <c r="G3740" s="156"/>
    </row>
    <row r="3741" spans="2:7" x14ac:dyDescent="0.2">
      <c r="B3741" s="230">
        <v>40487</v>
      </c>
      <c r="C3741" s="124">
        <v>117.44</v>
      </c>
      <c r="D3741" s="156">
        <f t="shared" si="59"/>
        <v>8.5015027908973365E-3</v>
      </c>
      <c r="E3741" s="156">
        <v>-9.3206064008983531E-3</v>
      </c>
      <c r="G3741" s="156"/>
    </row>
    <row r="3742" spans="2:7" x14ac:dyDescent="0.2">
      <c r="B3742" s="230">
        <v>40486</v>
      </c>
      <c r="C3742" s="124">
        <v>117.34</v>
      </c>
      <c r="D3742" s="156">
        <f t="shared" si="59"/>
        <v>-8.5149863760213148E-4</v>
      </c>
      <c r="E3742" s="156">
        <v>-9.3210731830204677E-3</v>
      </c>
      <c r="G3742" s="156"/>
    </row>
    <row r="3743" spans="2:7" x14ac:dyDescent="0.2">
      <c r="B3743" s="230">
        <v>40485</v>
      </c>
      <c r="C3743" s="124">
        <v>116.38</v>
      </c>
      <c r="D3743" s="156">
        <f t="shared" si="59"/>
        <v>-8.181353332197102E-3</v>
      </c>
      <c r="E3743" s="156">
        <v>-9.34880722114762E-3</v>
      </c>
      <c r="G3743" s="156"/>
    </row>
    <row r="3744" spans="2:7" x14ac:dyDescent="0.2">
      <c r="B3744" s="230">
        <v>40484</v>
      </c>
      <c r="C3744" s="124">
        <v>114.96</v>
      </c>
      <c r="D3744" s="156">
        <f t="shared" si="59"/>
        <v>-1.2201409176834523E-2</v>
      </c>
      <c r="E3744" s="156">
        <v>-9.3545788201592293E-3</v>
      </c>
      <c r="G3744" s="156"/>
    </row>
    <row r="3745" spans="2:7" x14ac:dyDescent="0.2">
      <c r="B3745" s="230">
        <v>40483</v>
      </c>
      <c r="C3745" s="124">
        <v>113.93</v>
      </c>
      <c r="D3745" s="156">
        <f t="shared" si="59"/>
        <v>-8.9596381350033668E-3</v>
      </c>
      <c r="E3745" s="156">
        <v>-9.3588490012572485E-3</v>
      </c>
      <c r="G3745" s="156"/>
    </row>
    <row r="3746" spans="2:7" x14ac:dyDescent="0.2">
      <c r="B3746" s="230">
        <v>40480</v>
      </c>
      <c r="C3746" s="124">
        <v>113.5</v>
      </c>
      <c r="D3746" s="156">
        <f t="shared" si="59"/>
        <v>-3.774247344860939E-3</v>
      </c>
      <c r="E3746" s="156">
        <v>-9.3632958801498842E-3</v>
      </c>
      <c r="G3746" s="156"/>
    </row>
    <row r="3747" spans="2:7" x14ac:dyDescent="0.2">
      <c r="B3747" s="230">
        <v>40479</v>
      </c>
      <c r="C3747" s="124">
        <v>110.75</v>
      </c>
      <c r="D3747" s="156">
        <f t="shared" si="59"/>
        <v>-2.4229074889867842E-2</v>
      </c>
      <c r="E3747" s="156">
        <v>-9.3636205999653045E-3</v>
      </c>
      <c r="G3747" s="156"/>
    </row>
    <row r="3748" spans="2:7" x14ac:dyDescent="0.2">
      <c r="B3748" s="230">
        <v>40478</v>
      </c>
      <c r="C3748" s="124">
        <v>111.28</v>
      </c>
      <c r="D3748" s="156">
        <f t="shared" si="59"/>
        <v>4.7855530474040734E-3</v>
      </c>
      <c r="E3748" s="156">
        <v>-9.3731693028705418E-3</v>
      </c>
      <c r="G3748" s="156"/>
    </row>
    <row r="3749" spans="2:7" x14ac:dyDescent="0.2">
      <c r="B3749" s="230">
        <v>40477</v>
      </c>
      <c r="C3749" s="124">
        <v>113.86</v>
      </c>
      <c r="D3749" s="156">
        <f t="shared" si="59"/>
        <v>2.3184759166067562E-2</v>
      </c>
      <c r="E3749" s="156">
        <v>-9.3754277111182394E-3</v>
      </c>
      <c r="G3749" s="156"/>
    </row>
    <row r="3750" spans="2:7" x14ac:dyDescent="0.2">
      <c r="B3750" s="230">
        <v>40476</v>
      </c>
      <c r="C3750" s="124">
        <v>112.14</v>
      </c>
      <c r="D3750" s="156">
        <f t="shared" si="59"/>
        <v>-1.5106270858949578E-2</v>
      </c>
      <c r="E3750" s="156">
        <v>-9.3915884034300179E-3</v>
      </c>
      <c r="G3750" s="156"/>
    </row>
    <row r="3751" spans="2:7" x14ac:dyDescent="0.2">
      <c r="B3751" s="230">
        <v>40473</v>
      </c>
      <c r="C3751" s="124">
        <v>113.5</v>
      </c>
      <c r="D3751" s="156">
        <f t="shared" si="59"/>
        <v>1.2127697520955943E-2</v>
      </c>
      <c r="E3751" s="156">
        <v>-9.3948946164780379E-3</v>
      </c>
      <c r="G3751" s="156"/>
    </row>
    <row r="3752" spans="2:7" x14ac:dyDescent="0.2">
      <c r="B3752" s="230">
        <v>40472</v>
      </c>
      <c r="C3752" s="124">
        <v>115.59</v>
      </c>
      <c r="D3752" s="156">
        <f t="shared" si="59"/>
        <v>1.841409691629959E-2</v>
      </c>
      <c r="E3752" s="156">
        <v>-9.3980490126100123E-3</v>
      </c>
      <c r="G3752" s="156"/>
    </row>
    <row r="3753" spans="2:7" x14ac:dyDescent="0.2">
      <c r="B3753" s="230">
        <v>40471</v>
      </c>
      <c r="C3753" s="124">
        <v>111.38</v>
      </c>
      <c r="D3753" s="156">
        <f t="shared" si="59"/>
        <v>-3.6421835798944611E-2</v>
      </c>
      <c r="E3753" s="156">
        <v>-9.4015134143545578E-3</v>
      </c>
      <c r="G3753" s="156"/>
    </row>
    <row r="3754" spans="2:7" x14ac:dyDescent="0.2">
      <c r="B3754" s="230">
        <v>40470</v>
      </c>
      <c r="C3754" s="124">
        <v>113.03</v>
      </c>
      <c r="D3754" s="156">
        <f t="shared" si="59"/>
        <v>1.4814149757586692E-2</v>
      </c>
      <c r="E3754" s="156">
        <v>-9.4304733727808981E-3</v>
      </c>
      <c r="G3754" s="156"/>
    </row>
    <row r="3755" spans="2:7" x14ac:dyDescent="0.2">
      <c r="B3755" s="230">
        <v>40469</v>
      </c>
      <c r="C3755" s="124">
        <v>113.73</v>
      </c>
      <c r="D3755" s="156">
        <f t="shared" si="59"/>
        <v>6.1930460939573816E-3</v>
      </c>
      <c r="E3755" s="156">
        <v>-9.4545454545455366E-3</v>
      </c>
      <c r="G3755" s="156"/>
    </row>
    <row r="3756" spans="2:7" x14ac:dyDescent="0.2">
      <c r="B3756" s="230">
        <v>40466</v>
      </c>
      <c r="C3756" s="124">
        <v>114</v>
      </c>
      <c r="D3756" s="156">
        <f t="shared" si="59"/>
        <v>2.37404378791872E-3</v>
      </c>
      <c r="E3756" s="156">
        <v>-9.4568209085134497E-3</v>
      </c>
      <c r="G3756" s="156"/>
    </row>
    <row r="3757" spans="2:7" x14ac:dyDescent="0.2">
      <c r="B3757" s="230">
        <v>40465</v>
      </c>
      <c r="C3757" s="124">
        <v>116.05</v>
      </c>
      <c r="D3757" s="156">
        <f t="shared" si="59"/>
        <v>1.7982456140350853E-2</v>
      </c>
      <c r="E3757" s="156">
        <v>-9.472126295017206E-3</v>
      </c>
      <c r="G3757" s="156"/>
    </row>
    <row r="3758" spans="2:7" x14ac:dyDescent="0.2">
      <c r="B3758" s="230">
        <v>40464</v>
      </c>
      <c r="C3758" s="124">
        <v>116.08</v>
      </c>
      <c r="D3758" s="156">
        <f t="shared" si="59"/>
        <v>2.5850926324860952E-4</v>
      </c>
      <c r="E3758" s="156">
        <v>-9.4913151364764917E-3</v>
      </c>
      <c r="G3758" s="156"/>
    </row>
    <row r="3759" spans="2:7" x14ac:dyDescent="0.2">
      <c r="B3759" s="230">
        <v>40463</v>
      </c>
      <c r="C3759" s="124">
        <v>113.33</v>
      </c>
      <c r="D3759" s="156">
        <f t="shared" si="59"/>
        <v>-2.3690558235699519E-2</v>
      </c>
      <c r="E3759" s="156">
        <v>-9.5098756400876592E-3</v>
      </c>
      <c r="G3759" s="156"/>
    </row>
    <row r="3760" spans="2:7" x14ac:dyDescent="0.2">
      <c r="B3760" s="230">
        <v>40462</v>
      </c>
      <c r="C3760" s="124">
        <v>114.66</v>
      </c>
      <c r="D3760" s="156">
        <f t="shared" si="59"/>
        <v>1.1735639283508324E-2</v>
      </c>
      <c r="E3760" s="156">
        <v>-9.5113151853066305E-3</v>
      </c>
      <c r="G3760" s="156"/>
    </row>
    <row r="3761" spans="2:7" x14ac:dyDescent="0.2">
      <c r="B3761" s="230">
        <v>40459</v>
      </c>
      <c r="C3761" s="124">
        <v>114.33</v>
      </c>
      <c r="D3761" s="156">
        <f t="shared" si="59"/>
        <v>-2.8780743066457205E-3</v>
      </c>
      <c r="E3761" s="156">
        <v>-9.5312196070802355E-3</v>
      </c>
      <c r="G3761" s="156"/>
    </row>
    <row r="3762" spans="2:7" x14ac:dyDescent="0.2">
      <c r="B3762" s="230">
        <v>40458</v>
      </c>
      <c r="C3762" s="124">
        <v>113.96</v>
      </c>
      <c r="D3762" s="156">
        <f t="shared" si="59"/>
        <v>-3.2362459546925963E-3</v>
      </c>
      <c r="E3762" s="156">
        <v>-9.5317346244041985E-3</v>
      </c>
      <c r="G3762" s="156"/>
    </row>
    <row r="3763" spans="2:7" x14ac:dyDescent="0.2">
      <c r="B3763" s="230">
        <v>40457</v>
      </c>
      <c r="C3763" s="124">
        <v>114.63</v>
      </c>
      <c r="D3763" s="156">
        <f t="shared" si="59"/>
        <v>5.8792558792558946E-3</v>
      </c>
      <c r="E3763" s="156">
        <v>-9.5326360386601191E-3</v>
      </c>
      <c r="G3763" s="156"/>
    </row>
    <row r="3764" spans="2:7" x14ac:dyDescent="0.2">
      <c r="B3764" s="230">
        <v>40456</v>
      </c>
      <c r="C3764" s="124">
        <v>115.22</v>
      </c>
      <c r="D3764" s="156">
        <f t="shared" si="59"/>
        <v>5.1469946785309556E-3</v>
      </c>
      <c r="E3764" s="156">
        <v>-9.5327604726102022E-3</v>
      </c>
      <c r="G3764" s="156"/>
    </row>
    <row r="3765" spans="2:7" x14ac:dyDescent="0.2">
      <c r="B3765" s="230">
        <v>40455</v>
      </c>
      <c r="C3765" s="124">
        <v>116.18</v>
      </c>
      <c r="D3765" s="156">
        <f t="shared" si="59"/>
        <v>8.3318868252040268E-3</v>
      </c>
      <c r="E3765" s="156">
        <v>-9.5338983050847065E-3</v>
      </c>
      <c r="G3765" s="156"/>
    </row>
    <row r="3766" spans="2:7" x14ac:dyDescent="0.2">
      <c r="B3766" s="230">
        <v>40452</v>
      </c>
      <c r="C3766" s="124">
        <v>118.44</v>
      </c>
      <c r="D3766" s="156">
        <f t="shared" si="59"/>
        <v>1.9452573592700903E-2</v>
      </c>
      <c r="E3766" s="156">
        <v>-9.5417599246083434E-3</v>
      </c>
      <c r="G3766" s="156"/>
    </row>
    <row r="3767" spans="2:7" x14ac:dyDescent="0.2">
      <c r="B3767" s="230">
        <v>40451</v>
      </c>
      <c r="C3767" s="124">
        <v>118.21</v>
      </c>
      <c r="D3767" s="156">
        <f t="shared" si="59"/>
        <v>-1.9419115163796352E-3</v>
      </c>
      <c r="E3767" s="156">
        <v>-9.5519277526918585E-3</v>
      </c>
      <c r="G3767" s="156"/>
    </row>
    <row r="3768" spans="2:7" x14ac:dyDescent="0.2">
      <c r="B3768" s="230">
        <v>40450</v>
      </c>
      <c r="C3768" s="124">
        <v>115.09</v>
      </c>
      <c r="D3768" s="156">
        <f t="shared" si="59"/>
        <v>-2.6393706116233741E-2</v>
      </c>
      <c r="E3768" s="156">
        <v>-9.5534325705398746E-3</v>
      </c>
      <c r="G3768" s="156"/>
    </row>
    <row r="3769" spans="2:7" x14ac:dyDescent="0.2">
      <c r="B3769" s="230">
        <v>40449</v>
      </c>
      <c r="C3769" s="124">
        <v>118.27</v>
      </c>
      <c r="D3769" s="156">
        <f t="shared" si="59"/>
        <v>2.7630550004344362E-2</v>
      </c>
      <c r="E3769" s="156">
        <v>-9.5635115252574922E-3</v>
      </c>
      <c r="G3769" s="156"/>
    </row>
    <row r="3770" spans="2:7" x14ac:dyDescent="0.2">
      <c r="B3770" s="230">
        <v>40448</v>
      </c>
      <c r="C3770" s="124">
        <v>118.27</v>
      </c>
      <c r="D3770" s="156">
        <f t="shared" si="59"/>
        <v>0</v>
      </c>
      <c r="E3770" s="156">
        <v>-9.5650604584011333E-3</v>
      </c>
      <c r="G3770" s="156"/>
    </row>
    <row r="3771" spans="2:7" x14ac:dyDescent="0.2">
      <c r="B3771" s="230">
        <v>40445</v>
      </c>
      <c r="C3771" s="124">
        <v>118.83</v>
      </c>
      <c r="D3771" s="156">
        <f t="shared" si="59"/>
        <v>4.7349285533102416E-3</v>
      </c>
      <c r="E3771" s="156">
        <v>-9.5724313975749844E-3</v>
      </c>
      <c r="G3771" s="156"/>
    </row>
    <row r="3772" spans="2:7" x14ac:dyDescent="0.2">
      <c r="B3772" s="230">
        <v>40444</v>
      </c>
      <c r="C3772" s="124">
        <v>117.01</v>
      </c>
      <c r="D3772" s="156">
        <f t="shared" si="59"/>
        <v>-1.5315997643692613E-2</v>
      </c>
      <c r="E3772" s="156">
        <v>-9.5810795258372203E-3</v>
      </c>
      <c r="G3772" s="156"/>
    </row>
    <row r="3773" spans="2:7" x14ac:dyDescent="0.2">
      <c r="B3773" s="230">
        <v>40443</v>
      </c>
      <c r="C3773" s="124">
        <v>115.82</v>
      </c>
      <c r="D3773" s="156">
        <f t="shared" si="59"/>
        <v>-1.0170070934108297E-2</v>
      </c>
      <c r="E3773" s="156">
        <v>-9.5953806309174664E-3</v>
      </c>
      <c r="G3773" s="156"/>
    </row>
    <row r="3774" spans="2:7" x14ac:dyDescent="0.2">
      <c r="B3774" s="230">
        <v>40442</v>
      </c>
      <c r="C3774" s="124">
        <v>114.46</v>
      </c>
      <c r="D3774" s="156">
        <f t="shared" ref="D3774:D3837" si="60">(C3774-C3773)/C3773</f>
        <v>-1.1742358832671383E-2</v>
      </c>
      <c r="E3774" s="156">
        <v>-9.6014731027225988E-3</v>
      </c>
      <c r="G3774" s="156"/>
    </row>
    <row r="3775" spans="2:7" x14ac:dyDescent="0.2">
      <c r="B3775" s="230">
        <v>40441</v>
      </c>
      <c r="C3775" s="124">
        <v>117.11</v>
      </c>
      <c r="D3775" s="156">
        <f t="shared" si="60"/>
        <v>2.3152192905818679E-2</v>
      </c>
      <c r="E3775" s="156">
        <v>-9.618887998251063E-3</v>
      </c>
      <c r="G3775" s="156"/>
    </row>
    <row r="3776" spans="2:7" x14ac:dyDescent="0.2">
      <c r="B3776" s="230">
        <v>40438</v>
      </c>
      <c r="C3776" s="124">
        <v>111.61</v>
      </c>
      <c r="D3776" s="156">
        <f t="shared" si="60"/>
        <v>-4.6964392451541284E-2</v>
      </c>
      <c r="E3776" s="156">
        <v>-9.6418732782368698E-3</v>
      </c>
      <c r="G3776" s="156"/>
    </row>
    <row r="3777" spans="2:7" x14ac:dyDescent="0.2">
      <c r="B3777" s="230">
        <v>40437</v>
      </c>
      <c r="C3777" s="124">
        <v>110.98</v>
      </c>
      <c r="D3777" s="156">
        <f t="shared" si="60"/>
        <v>-5.6446554968192404E-3</v>
      </c>
      <c r="E3777" s="156">
        <v>-9.6424266773804963E-3</v>
      </c>
      <c r="G3777" s="156"/>
    </row>
    <row r="3778" spans="2:7" x14ac:dyDescent="0.2">
      <c r="B3778" s="230">
        <v>40436</v>
      </c>
      <c r="C3778" s="124">
        <v>111.14</v>
      </c>
      <c r="D3778" s="156">
        <f t="shared" si="60"/>
        <v>1.4417012074247305E-3</v>
      </c>
      <c r="E3778" s="156">
        <v>-9.6425211665097984E-3</v>
      </c>
      <c r="G3778" s="156"/>
    </row>
    <row r="3779" spans="2:7" x14ac:dyDescent="0.2">
      <c r="B3779" s="230">
        <v>40435</v>
      </c>
      <c r="C3779" s="124">
        <v>109.52</v>
      </c>
      <c r="D3779" s="156">
        <f t="shared" si="60"/>
        <v>-1.4576210185351849E-2</v>
      </c>
      <c r="E3779" s="156">
        <v>-9.6554335478985648E-3</v>
      </c>
      <c r="G3779" s="156"/>
    </row>
    <row r="3780" spans="2:7" x14ac:dyDescent="0.2">
      <c r="B3780" s="230">
        <v>40434</v>
      </c>
      <c r="C3780" s="124">
        <v>108.19</v>
      </c>
      <c r="D3780" s="156">
        <f t="shared" si="60"/>
        <v>-1.2143900657414155E-2</v>
      </c>
      <c r="E3780" s="156">
        <v>-9.6723797270596417E-3</v>
      </c>
      <c r="G3780" s="156"/>
    </row>
    <row r="3781" spans="2:7" x14ac:dyDescent="0.2">
      <c r="B3781" s="230">
        <v>40430</v>
      </c>
      <c r="C3781" s="124">
        <v>107.63</v>
      </c>
      <c r="D3781" s="156">
        <f t="shared" si="60"/>
        <v>-5.1760791200665705E-3</v>
      </c>
      <c r="E3781" s="156">
        <v>-9.6745385989283027E-3</v>
      </c>
      <c r="G3781" s="156"/>
    </row>
    <row r="3782" spans="2:7" x14ac:dyDescent="0.2">
      <c r="B3782" s="230">
        <v>40429</v>
      </c>
      <c r="C3782" s="124">
        <v>108.92</v>
      </c>
      <c r="D3782" s="156">
        <f t="shared" si="60"/>
        <v>1.1985505899842109E-2</v>
      </c>
      <c r="E3782" s="156">
        <v>-9.682426273128205E-3</v>
      </c>
      <c r="G3782" s="156"/>
    </row>
    <row r="3783" spans="2:7" x14ac:dyDescent="0.2">
      <c r="B3783" s="230">
        <v>40428</v>
      </c>
      <c r="C3783" s="124">
        <v>110.18</v>
      </c>
      <c r="D3783" s="156">
        <f t="shared" si="60"/>
        <v>1.1568123393316242E-2</v>
      </c>
      <c r="E3783" s="156">
        <v>-9.6863595203469238E-3</v>
      </c>
      <c r="G3783" s="156"/>
    </row>
    <row r="3784" spans="2:7" x14ac:dyDescent="0.2">
      <c r="B3784" s="230">
        <v>40427</v>
      </c>
      <c r="C3784" s="124">
        <v>109.92</v>
      </c>
      <c r="D3784" s="156">
        <f t="shared" si="60"/>
        <v>-2.3597749137775014E-3</v>
      </c>
      <c r="E3784" s="156">
        <v>-9.6903805246987065E-3</v>
      </c>
      <c r="G3784" s="156"/>
    </row>
    <row r="3785" spans="2:7" x14ac:dyDescent="0.2">
      <c r="B3785" s="230">
        <v>40424</v>
      </c>
      <c r="C3785" s="124">
        <v>108.72</v>
      </c>
      <c r="D3785" s="156">
        <f t="shared" si="60"/>
        <v>-1.0917030567685615E-2</v>
      </c>
      <c r="E3785" s="156">
        <v>-9.709655319048438E-3</v>
      </c>
      <c r="G3785" s="156"/>
    </row>
    <row r="3786" spans="2:7" x14ac:dyDescent="0.2">
      <c r="B3786" s="230">
        <v>40423</v>
      </c>
      <c r="C3786" s="124">
        <v>109.69</v>
      </c>
      <c r="D3786" s="156">
        <f t="shared" si="60"/>
        <v>8.9220014716703353E-3</v>
      </c>
      <c r="E3786" s="156">
        <v>-9.7117311546170738E-3</v>
      </c>
      <c r="G3786" s="156"/>
    </row>
    <row r="3787" spans="2:7" x14ac:dyDescent="0.2">
      <c r="B3787" s="230">
        <v>40422</v>
      </c>
      <c r="C3787" s="124">
        <v>108.16</v>
      </c>
      <c r="D3787" s="156">
        <f t="shared" si="60"/>
        <v>-1.3948400036466416E-2</v>
      </c>
      <c r="E3787" s="156">
        <v>-9.7251790207084354E-3</v>
      </c>
      <c r="G3787" s="156"/>
    </row>
    <row r="3788" spans="2:7" x14ac:dyDescent="0.2">
      <c r="B3788" s="230">
        <v>40421</v>
      </c>
      <c r="C3788" s="124">
        <v>108.16</v>
      </c>
      <c r="D3788" s="156">
        <f t="shared" si="60"/>
        <v>0</v>
      </c>
      <c r="E3788" s="156">
        <v>-9.7314295427502646E-3</v>
      </c>
      <c r="G3788" s="156"/>
    </row>
    <row r="3789" spans="2:7" x14ac:dyDescent="0.2">
      <c r="B3789" s="230">
        <v>40420</v>
      </c>
      <c r="C3789" s="124">
        <v>105.61</v>
      </c>
      <c r="D3789" s="156">
        <f t="shared" si="60"/>
        <v>-2.3576183431952637E-2</v>
      </c>
      <c r="E3789" s="156">
        <v>-9.7388544221612625E-3</v>
      </c>
      <c r="G3789" s="156"/>
    </row>
    <row r="3790" spans="2:7" x14ac:dyDescent="0.2">
      <c r="B3790" s="230">
        <v>40417</v>
      </c>
      <c r="C3790" s="124">
        <v>106.87</v>
      </c>
      <c r="D3790" s="156">
        <f t="shared" si="60"/>
        <v>1.1930688381782076E-2</v>
      </c>
      <c r="E3790" s="156">
        <v>-9.7571150458886542E-3</v>
      </c>
      <c r="G3790" s="156"/>
    </row>
    <row r="3791" spans="2:7" x14ac:dyDescent="0.2">
      <c r="B3791" s="230">
        <v>40416</v>
      </c>
      <c r="C3791" s="124">
        <v>108.66</v>
      </c>
      <c r="D3791" s="156">
        <f t="shared" si="60"/>
        <v>1.674932160568908E-2</v>
      </c>
      <c r="E3791" s="156">
        <v>-9.7596240737393408E-3</v>
      </c>
      <c r="G3791" s="156"/>
    </row>
    <row r="3792" spans="2:7" x14ac:dyDescent="0.2">
      <c r="B3792" s="230">
        <v>40415</v>
      </c>
      <c r="C3792" s="124">
        <v>106.4</v>
      </c>
      <c r="D3792" s="156">
        <f t="shared" si="60"/>
        <v>-2.0798822013620384E-2</v>
      </c>
      <c r="E3792" s="156">
        <v>-9.7750559415851878E-3</v>
      </c>
      <c r="G3792" s="156"/>
    </row>
    <row r="3793" spans="2:7" x14ac:dyDescent="0.2">
      <c r="B3793" s="230">
        <v>40414</v>
      </c>
      <c r="C3793" s="124">
        <v>105.97</v>
      </c>
      <c r="D3793" s="156">
        <f t="shared" si="60"/>
        <v>-4.0413533834587102E-3</v>
      </c>
      <c r="E3793" s="156">
        <v>-9.8048548310328519E-3</v>
      </c>
      <c r="G3793" s="156"/>
    </row>
    <row r="3794" spans="2:7" x14ac:dyDescent="0.2">
      <c r="B3794" s="230">
        <v>40413</v>
      </c>
      <c r="C3794" s="124">
        <v>105.74</v>
      </c>
      <c r="D3794" s="156">
        <f t="shared" si="60"/>
        <v>-2.170425592148759E-3</v>
      </c>
      <c r="E3794" s="156">
        <v>-9.8062664434346389E-3</v>
      </c>
      <c r="G3794" s="156"/>
    </row>
    <row r="3795" spans="2:7" x14ac:dyDescent="0.2">
      <c r="B3795" s="230">
        <v>40410</v>
      </c>
      <c r="C3795" s="124">
        <v>107.86</v>
      </c>
      <c r="D3795" s="156">
        <f t="shared" si="60"/>
        <v>2.0049177227161003E-2</v>
      </c>
      <c r="E3795" s="156">
        <v>-9.8101940712304672E-3</v>
      </c>
      <c r="G3795" s="156"/>
    </row>
    <row r="3796" spans="2:7" x14ac:dyDescent="0.2">
      <c r="B3796" s="230">
        <v>40409</v>
      </c>
      <c r="C3796" s="124">
        <v>109.59</v>
      </c>
      <c r="D3796" s="156">
        <f t="shared" si="60"/>
        <v>1.6039310216947933E-2</v>
      </c>
      <c r="E3796" s="156">
        <v>-9.8176718092567918E-3</v>
      </c>
      <c r="G3796" s="156"/>
    </row>
    <row r="3797" spans="2:7" x14ac:dyDescent="0.2">
      <c r="B3797" s="230">
        <v>40408</v>
      </c>
      <c r="C3797" s="124">
        <v>107.73</v>
      </c>
      <c r="D3797" s="156">
        <f t="shared" si="60"/>
        <v>-1.6972351491924439E-2</v>
      </c>
      <c r="E3797" s="156">
        <v>-9.817893903404552E-3</v>
      </c>
      <c r="G3797" s="156"/>
    </row>
    <row r="3798" spans="2:7" x14ac:dyDescent="0.2">
      <c r="B3798" s="230">
        <v>40407</v>
      </c>
      <c r="C3798" s="124">
        <v>105.77</v>
      </c>
      <c r="D3798" s="156">
        <f t="shared" si="60"/>
        <v>-1.819363222872002E-2</v>
      </c>
      <c r="E3798" s="156">
        <v>-9.8196750580253518E-3</v>
      </c>
      <c r="G3798" s="156"/>
    </row>
    <row r="3799" spans="2:7" x14ac:dyDescent="0.2">
      <c r="B3799" s="230">
        <v>40406</v>
      </c>
      <c r="C3799" s="124">
        <v>104.91</v>
      </c>
      <c r="D3799" s="156">
        <f t="shared" si="60"/>
        <v>-8.1308499574548505E-3</v>
      </c>
      <c r="E3799" s="156">
        <v>-9.8218962807752747E-3</v>
      </c>
      <c r="G3799" s="156"/>
    </row>
    <row r="3800" spans="2:7" x14ac:dyDescent="0.2">
      <c r="B3800" s="230">
        <v>40403</v>
      </c>
      <c r="C3800" s="124">
        <v>103.59</v>
      </c>
      <c r="D3800" s="156">
        <f t="shared" si="60"/>
        <v>-1.2582213325707685E-2</v>
      </c>
      <c r="E3800" s="156">
        <v>-9.8241521622106486E-3</v>
      </c>
      <c r="G3800" s="156"/>
    </row>
    <row r="3801" spans="2:7" x14ac:dyDescent="0.2">
      <c r="B3801" s="230">
        <v>40402</v>
      </c>
      <c r="C3801" s="124">
        <v>101.4</v>
      </c>
      <c r="D3801" s="156">
        <f t="shared" si="60"/>
        <v>-2.1141036779611908E-2</v>
      </c>
      <c r="E3801" s="156">
        <v>-9.8492462311557324E-3</v>
      </c>
      <c r="G3801" s="156"/>
    </row>
    <row r="3802" spans="2:7" x14ac:dyDescent="0.2">
      <c r="B3802" s="230">
        <v>40401</v>
      </c>
      <c r="C3802" s="124">
        <v>102.73</v>
      </c>
      <c r="D3802" s="156">
        <f t="shared" si="60"/>
        <v>1.3116370808678484E-2</v>
      </c>
      <c r="E3802" s="156">
        <v>-9.862338196013995E-3</v>
      </c>
      <c r="G3802" s="156"/>
    </row>
    <row r="3803" spans="2:7" x14ac:dyDescent="0.2">
      <c r="B3803" s="230">
        <v>40400</v>
      </c>
      <c r="C3803" s="124">
        <v>104.25</v>
      </c>
      <c r="D3803" s="156">
        <f t="shared" si="60"/>
        <v>1.4796067361043472E-2</v>
      </c>
      <c r="E3803" s="156">
        <v>-9.8749928648894907E-3</v>
      </c>
      <c r="G3803" s="156"/>
    </row>
    <row r="3804" spans="2:7" x14ac:dyDescent="0.2">
      <c r="B3804" s="230">
        <v>40399</v>
      </c>
      <c r="C3804" s="124">
        <v>105.38</v>
      </c>
      <c r="D3804" s="156">
        <f t="shared" si="60"/>
        <v>1.083932853717022E-2</v>
      </c>
      <c r="E3804" s="156">
        <v>-9.8797958175530116E-3</v>
      </c>
      <c r="G3804" s="156"/>
    </row>
    <row r="3805" spans="2:7" x14ac:dyDescent="0.2">
      <c r="B3805" s="230">
        <v>40396</v>
      </c>
      <c r="C3805" s="124">
        <v>105.24</v>
      </c>
      <c r="D3805" s="156">
        <f t="shared" si="60"/>
        <v>-1.3285253368760729E-3</v>
      </c>
      <c r="E3805" s="156">
        <v>-9.8972066185179976E-3</v>
      </c>
      <c r="G3805" s="156"/>
    </row>
    <row r="3806" spans="2:7" x14ac:dyDescent="0.2">
      <c r="B3806" s="230">
        <v>40395</v>
      </c>
      <c r="C3806" s="124">
        <v>103.29</v>
      </c>
      <c r="D3806" s="156">
        <f t="shared" si="60"/>
        <v>-1.852907639680719E-2</v>
      </c>
      <c r="E3806" s="156">
        <v>-9.909451622749017E-3</v>
      </c>
      <c r="G3806" s="156"/>
    </row>
    <row r="3807" spans="2:7" x14ac:dyDescent="0.2">
      <c r="B3807" s="230">
        <v>40394</v>
      </c>
      <c r="C3807" s="124">
        <v>102.96</v>
      </c>
      <c r="D3807" s="156">
        <f t="shared" si="60"/>
        <v>-3.1948881789138589E-3</v>
      </c>
      <c r="E3807" s="156">
        <v>-9.9169455807611249E-3</v>
      </c>
      <c r="G3807" s="156"/>
    </row>
    <row r="3808" spans="2:7" x14ac:dyDescent="0.2">
      <c r="B3808" s="230">
        <v>40393</v>
      </c>
      <c r="C3808" s="124">
        <v>102.36</v>
      </c>
      <c r="D3808" s="156">
        <f t="shared" si="60"/>
        <v>-5.8275058275057724E-3</v>
      </c>
      <c r="E3808" s="156">
        <v>-9.9307643891182306E-3</v>
      </c>
      <c r="G3808" s="156"/>
    </row>
    <row r="3809" spans="2:7" x14ac:dyDescent="0.2">
      <c r="B3809" s="230">
        <v>40392</v>
      </c>
      <c r="C3809" s="124">
        <v>103.69</v>
      </c>
      <c r="D3809" s="156">
        <f t="shared" si="60"/>
        <v>1.2993356779992167E-2</v>
      </c>
      <c r="E3809" s="156">
        <v>-9.9317194289262421E-3</v>
      </c>
      <c r="G3809" s="156"/>
    </row>
    <row r="3810" spans="2:7" x14ac:dyDescent="0.2">
      <c r="B3810" s="230">
        <v>40389</v>
      </c>
      <c r="C3810" s="124">
        <v>102.34</v>
      </c>
      <c r="D3810" s="156">
        <f t="shared" si="60"/>
        <v>-1.3019577587038233E-2</v>
      </c>
      <c r="E3810" s="156">
        <v>-9.9373321396597977E-3</v>
      </c>
      <c r="G3810" s="156"/>
    </row>
    <row r="3811" spans="2:7" x14ac:dyDescent="0.2">
      <c r="B3811" s="230">
        <v>40388</v>
      </c>
      <c r="C3811" s="124">
        <v>102.79</v>
      </c>
      <c r="D3811" s="156">
        <f t="shared" si="60"/>
        <v>4.3971076802814422E-3</v>
      </c>
      <c r="E3811" s="156">
        <v>-9.9488403130244055E-3</v>
      </c>
      <c r="G3811" s="156"/>
    </row>
    <row r="3812" spans="2:7" x14ac:dyDescent="0.2">
      <c r="B3812" s="230">
        <v>40387</v>
      </c>
      <c r="C3812" s="124">
        <v>101.88</v>
      </c>
      <c r="D3812" s="156">
        <f t="shared" si="60"/>
        <v>-8.8530012647145707E-3</v>
      </c>
      <c r="E3812" s="156">
        <v>-9.9526839614945718E-3</v>
      </c>
      <c r="G3812" s="156"/>
    </row>
    <row r="3813" spans="2:7" x14ac:dyDescent="0.2">
      <c r="B3813" s="230">
        <v>40386</v>
      </c>
      <c r="C3813" s="124">
        <v>100.85</v>
      </c>
      <c r="D3813" s="156">
        <f t="shared" si="60"/>
        <v>-1.0109933254809592E-2</v>
      </c>
      <c r="E3813" s="156">
        <v>-9.9680096434698207E-3</v>
      </c>
      <c r="G3813" s="156"/>
    </row>
    <row r="3814" spans="2:7" x14ac:dyDescent="0.2">
      <c r="B3814" s="230">
        <v>40385</v>
      </c>
      <c r="C3814" s="124">
        <v>100.34</v>
      </c>
      <c r="D3814" s="156">
        <f t="shared" si="60"/>
        <v>-5.0570153693603468E-3</v>
      </c>
      <c r="E3814" s="156">
        <v>-9.9712368168744878E-3</v>
      </c>
      <c r="G3814" s="156"/>
    </row>
    <row r="3815" spans="2:7" x14ac:dyDescent="0.2">
      <c r="B3815" s="230">
        <v>40382</v>
      </c>
      <c r="C3815" s="124">
        <v>99.99</v>
      </c>
      <c r="D3815" s="156">
        <f t="shared" si="60"/>
        <v>-3.4881403229022178E-3</v>
      </c>
      <c r="E3815" s="156">
        <v>-9.9783601827361807E-3</v>
      </c>
      <c r="G3815" s="156"/>
    </row>
    <row r="3816" spans="2:7" x14ac:dyDescent="0.2">
      <c r="B3816" s="230">
        <v>40381</v>
      </c>
      <c r="C3816" s="124">
        <v>98.68</v>
      </c>
      <c r="D3816" s="156">
        <f t="shared" si="60"/>
        <v>-1.3101310131012983E-2</v>
      </c>
      <c r="E3816" s="156">
        <v>-9.9806680753495424E-3</v>
      </c>
      <c r="G3816" s="156"/>
    </row>
    <row r="3817" spans="2:7" x14ac:dyDescent="0.2">
      <c r="B3817" s="230">
        <v>40380</v>
      </c>
      <c r="C3817" s="124">
        <v>96.91</v>
      </c>
      <c r="D3817" s="156">
        <f t="shared" si="60"/>
        <v>-1.7936765301986322E-2</v>
      </c>
      <c r="E3817" s="156">
        <v>-9.9852071005917427E-3</v>
      </c>
      <c r="G3817" s="156"/>
    </row>
    <row r="3818" spans="2:7" x14ac:dyDescent="0.2">
      <c r="B3818" s="230">
        <v>40379</v>
      </c>
      <c r="C3818" s="124">
        <v>96.61</v>
      </c>
      <c r="D3818" s="156">
        <f t="shared" si="60"/>
        <v>-3.0956557630791165E-3</v>
      </c>
      <c r="E3818" s="156">
        <v>-9.9926882768706371E-3</v>
      </c>
      <c r="G3818" s="156"/>
    </row>
    <row r="3819" spans="2:7" x14ac:dyDescent="0.2">
      <c r="B3819" s="230">
        <v>40378</v>
      </c>
      <c r="C3819" s="124">
        <v>96.58</v>
      </c>
      <c r="D3819" s="156">
        <f t="shared" si="60"/>
        <v>-3.1052686057345136E-4</v>
      </c>
      <c r="E3819" s="156">
        <v>-1.0000754773945332E-2</v>
      </c>
      <c r="G3819" s="156"/>
    </row>
    <row r="3820" spans="2:7" x14ac:dyDescent="0.2">
      <c r="B3820" s="230">
        <v>40375</v>
      </c>
      <c r="C3820" s="124">
        <v>98.9</v>
      </c>
      <c r="D3820" s="156">
        <f t="shared" si="60"/>
        <v>2.4021536550010433E-2</v>
      </c>
      <c r="E3820" s="156">
        <v>-1.00123439857357E-2</v>
      </c>
      <c r="G3820" s="156"/>
    </row>
    <row r="3821" spans="2:7" x14ac:dyDescent="0.2">
      <c r="B3821" s="230">
        <v>40374</v>
      </c>
      <c r="C3821" s="124">
        <v>99.48</v>
      </c>
      <c r="D3821" s="156">
        <f t="shared" si="60"/>
        <v>5.8645096056622673E-3</v>
      </c>
      <c r="E3821" s="156">
        <v>-1.0021399864293627E-2</v>
      </c>
      <c r="G3821" s="156"/>
    </row>
    <row r="3822" spans="2:7" x14ac:dyDescent="0.2">
      <c r="B3822" s="230">
        <v>40373</v>
      </c>
      <c r="C3822" s="124">
        <v>98.95</v>
      </c>
      <c r="D3822" s="156">
        <f t="shared" si="60"/>
        <v>-5.3277040611178234E-3</v>
      </c>
      <c r="E3822" s="156">
        <v>-1.0034593586692449E-2</v>
      </c>
      <c r="G3822" s="156"/>
    </row>
    <row r="3823" spans="2:7" x14ac:dyDescent="0.2">
      <c r="B3823" s="230">
        <v>40372</v>
      </c>
      <c r="C3823" s="124">
        <v>99.15</v>
      </c>
      <c r="D3823" s="156">
        <f t="shared" si="60"/>
        <v>2.0212228398181187E-3</v>
      </c>
      <c r="E3823" s="156">
        <v>-1.0042036431574058E-2</v>
      </c>
      <c r="G3823" s="156"/>
    </row>
    <row r="3824" spans="2:7" x14ac:dyDescent="0.2">
      <c r="B3824" s="230">
        <v>40371</v>
      </c>
      <c r="C3824" s="124">
        <v>99.43</v>
      </c>
      <c r="D3824" s="156">
        <f t="shared" si="60"/>
        <v>2.8240040342914887E-3</v>
      </c>
      <c r="E3824" s="156">
        <v>-1.0042553191489324E-2</v>
      </c>
      <c r="G3824" s="156"/>
    </row>
    <row r="3825" spans="2:7" x14ac:dyDescent="0.2">
      <c r="B3825" s="230">
        <v>40368</v>
      </c>
      <c r="C3825" s="124">
        <v>99.56</v>
      </c>
      <c r="D3825" s="156">
        <f t="shared" si="60"/>
        <v>1.3074524791310011E-3</v>
      </c>
      <c r="E3825" s="156">
        <v>-1.0051373687737281E-2</v>
      </c>
      <c r="G3825" s="156"/>
    </row>
    <row r="3826" spans="2:7" x14ac:dyDescent="0.2">
      <c r="B3826" s="230">
        <v>40367</v>
      </c>
      <c r="C3826" s="124">
        <v>100.49</v>
      </c>
      <c r="D3826" s="156">
        <f t="shared" si="60"/>
        <v>9.3411008437122595E-3</v>
      </c>
      <c r="E3826" s="156">
        <v>-1.0056026432983808E-2</v>
      </c>
      <c r="G3826" s="156"/>
    </row>
    <row r="3827" spans="2:7" x14ac:dyDescent="0.2">
      <c r="B3827" s="230">
        <v>40366</v>
      </c>
      <c r="C3827" s="124">
        <v>100.11</v>
      </c>
      <c r="D3827" s="156">
        <f t="shared" si="60"/>
        <v>-3.7814707931136974E-3</v>
      </c>
      <c r="E3827" s="156">
        <v>-1.0081043684522567E-2</v>
      </c>
      <c r="G3827" s="156"/>
    </row>
    <row r="3828" spans="2:7" x14ac:dyDescent="0.2">
      <c r="B3828" s="230">
        <v>40365</v>
      </c>
      <c r="C3828" s="124">
        <v>100.4</v>
      </c>
      <c r="D3828" s="156">
        <f t="shared" si="60"/>
        <v>2.8968135051444036E-3</v>
      </c>
      <c r="E3828" s="156">
        <v>-1.0090817356205853E-2</v>
      </c>
      <c r="G3828" s="156"/>
    </row>
    <row r="3829" spans="2:7" x14ac:dyDescent="0.2">
      <c r="B3829" s="230">
        <v>40364</v>
      </c>
      <c r="C3829" s="124">
        <v>100.16</v>
      </c>
      <c r="D3829" s="156">
        <f t="shared" si="60"/>
        <v>-2.3904382470120427E-3</v>
      </c>
      <c r="E3829" s="156">
        <v>-1.0096153846153819E-2</v>
      </c>
      <c r="G3829" s="156"/>
    </row>
    <row r="3830" spans="2:7" x14ac:dyDescent="0.2">
      <c r="B3830" s="230">
        <v>40361</v>
      </c>
      <c r="C3830" s="124">
        <v>100.29</v>
      </c>
      <c r="D3830" s="156">
        <f t="shared" si="60"/>
        <v>1.2979233226838025E-3</v>
      </c>
      <c r="E3830" s="156">
        <v>-1.0109933254809592E-2</v>
      </c>
      <c r="G3830" s="156"/>
    </row>
    <row r="3831" spans="2:7" x14ac:dyDescent="0.2">
      <c r="B3831" s="230">
        <v>40360</v>
      </c>
      <c r="C3831" s="124">
        <v>100.44</v>
      </c>
      <c r="D3831" s="156">
        <f t="shared" si="60"/>
        <v>1.4956625785222002E-3</v>
      </c>
      <c r="E3831" s="156">
        <v>-1.0122230710466026E-2</v>
      </c>
      <c r="G3831" s="156"/>
    </row>
    <row r="3832" spans="2:7" x14ac:dyDescent="0.2">
      <c r="B3832" s="230">
        <v>40359</v>
      </c>
      <c r="C3832" s="124">
        <v>101.25</v>
      </c>
      <c r="D3832" s="156">
        <f t="shared" si="60"/>
        <v>8.0645161290322804E-3</v>
      </c>
      <c r="E3832" s="156">
        <v>-1.0135379714761498E-2</v>
      </c>
      <c r="G3832" s="156"/>
    </row>
    <row r="3833" spans="2:7" x14ac:dyDescent="0.2">
      <c r="B3833" s="230">
        <v>40358</v>
      </c>
      <c r="C3833" s="124">
        <v>98.23</v>
      </c>
      <c r="D3833" s="156">
        <f t="shared" si="60"/>
        <v>-2.982716049382712E-2</v>
      </c>
      <c r="E3833" s="156">
        <v>-1.013636695106823E-2</v>
      </c>
      <c r="G3833" s="156"/>
    </row>
    <row r="3834" spans="2:7" x14ac:dyDescent="0.2">
      <c r="B3834" s="230">
        <v>40357</v>
      </c>
      <c r="C3834" s="124">
        <v>98.66</v>
      </c>
      <c r="D3834" s="156">
        <f t="shared" si="60"/>
        <v>4.3774814211543578E-3</v>
      </c>
      <c r="E3834" s="156">
        <v>-1.0137683892870642E-2</v>
      </c>
      <c r="G3834" s="156"/>
    </row>
    <row r="3835" spans="2:7" x14ac:dyDescent="0.2">
      <c r="B3835" s="230">
        <v>40354</v>
      </c>
      <c r="C3835" s="124">
        <v>99.92</v>
      </c>
      <c r="D3835" s="156">
        <f t="shared" si="60"/>
        <v>1.2771133184674693E-2</v>
      </c>
      <c r="E3835" s="156">
        <v>-1.0138476755687355E-2</v>
      </c>
      <c r="G3835" s="156"/>
    </row>
    <row r="3836" spans="2:7" x14ac:dyDescent="0.2">
      <c r="B3836" s="230">
        <v>40353</v>
      </c>
      <c r="C3836" s="124">
        <v>101.35</v>
      </c>
      <c r="D3836" s="156">
        <f t="shared" si="60"/>
        <v>1.4311449159327388E-2</v>
      </c>
      <c r="E3836" s="156">
        <v>-1.0140585388338274E-2</v>
      </c>
      <c r="G3836" s="156"/>
    </row>
    <row r="3837" spans="2:7" x14ac:dyDescent="0.2">
      <c r="B3837" s="230">
        <v>40352</v>
      </c>
      <c r="C3837" s="124">
        <v>100.39</v>
      </c>
      <c r="D3837" s="156">
        <f t="shared" si="60"/>
        <v>-9.472126295017206E-3</v>
      </c>
      <c r="E3837" s="156">
        <v>-1.0162184356394937E-2</v>
      </c>
      <c r="G3837" s="156"/>
    </row>
    <row r="3838" spans="2:7" x14ac:dyDescent="0.2">
      <c r="B3838" s="230">
        <v>40351</v>
      </c>
      <c r="C3838" s="124">
        <v>100.04</v>
      </c>
      <c r="D3838" s="156">
        <f t="shared" ref="D3838:D3901" si="61">(C3838-C3837)/C3837</f>
        <v>-3.4864030281900023E-3</v>
      </c>
      <c r="E3838" s="156">
        <v>-1.0163694111898424E-2</v>
      </c>
      <c r="G3838" s="156"/>
    </row>
    <row r="3839" spans="2:7" x14ac:dyDescent="0.2">
      <c r="B3839" s="230">
        <v>40350</v>
      </c>
      <c r="C3839" s="124">
        <v>99.15</v>
      </c>
      <c r="D3839" s="156">
        <f t="shared" si="61"/>
        <v>-8.8964414234306323E-3</v>
      </c>
      <c r="E3839" s="156">
        <v>-1.0165662650602579E-2</v>
      </c>
      <c r="G3839" s="156"/>
    </row>
    <row r="3840" spans="2:7" x14ac:dyDescent="0.2">
      <c r="B3840" s="230">
        <v>40347</v>
      </c>
      <c r="C3840" s="124">
        <v>97.75</v>
      </c>
      <c r="D3840" s="156">
        <f t="shared" si="61"/>
        <v>-1.4120020171457444E-2</v>
      </c>
      <c r="E3840" s="156">
        <v>-1.0170070934108297E-2</v>
      </c>
      <c r="G3840" s="156"/>
    </row>
    <row r="3841" spans="2:7" x14ac:dyDescent="0.2">
      <c r="B3841" s="230">
        <v>40346</v>
      </c>
      <c r="C3841" s="124">
        <v>97.42</v>
      </c>
      <c r="D3841" s="156">
        <f t="shared" si="61"/>
        <v>-3.3759590792838698E-3</v>
      </c>
      <c r="E3841" s="156">
        <v>-1.0170640750367178E-2</v>
      </c>
      <c r="G3841" s="156"/>
    </row>
    <row r="3842" spans="2:7" x14ac:dyDescent="0.2">
      <c r="B3842" s="230">
        <v>40345</v>
      </c>
      <c r="C3842" s="124">
        <v>96.43</v>
      </c>
      <c r="D3842" s="156">
        <f t="shared" si="61"/>
        <v>-1.0162184356394937E-2</v>
      </c>
      <c r="E3842" s="156">
        <v>-1.0183572289963701E-2</v>
      </c>
      <c r="G3842" s="156"/>
    </row>
    <row r="3843" spans="2:7" x14ac:dyDescent="0.2">
      <c r="B3843" s="230">
        <v>40344</v>
      </c>
      <c r="C3843" s="124">
        <v>96.69</v>
      </c>
      <c r="D3843" s="156">
        <f t="shared" si="61"/>
        <v>2.696256351757657E-3</v>
      </c>
      <c r="E3843" s="156">
        <v>-1.0187680234482112E-2</v>
      </c>
      <c r="G3843" s="156"/>
    </row>
    <row r="3844" spans="2:7" x14ac:dyDescent="0.2">
      <c r="B3844" s="230">
        <v>40343</v>
      </c>
      <c r="C3844" s="124">
        <v>94.84</v>
      </c>
      <c r="D3844" s="156">
        <f t="shared" si="61"/>
        <v>-1.9133312648670953E-2</v>
      </c>
      <c r="E3844" s="156">
        <v>-1.0198878123406465E-2</v>
      </c>
      <c r="G3844" s="156"/>
    </row>
    <row r="3845" spans="2:7" x14ac:dyDescent="0.2">
      <c r="B3845" s="230">
        <v>40340</v>
      </c>
      <c r="C3845" s="124">
        <v>93.33</v>
      </c>
      <c r="D3845" s="156">
        <f t="shared" si="61"/>
        <v>-1.5921552087726751E-2</v>
      </c>
      <c r="E3845" s="156">
        <v>-1.0237244068898319E-2</v>
      </c>
      <c r="G3845" s="156"/>
    </row>
    <row r="3846" spans="2:7" x14ac:dyDescent="0.2">
      <c r="B3846" s="230">
        <v>40339</v>
      </c>
      <c r="C3846" s="124">
        <v>92.83</v>
      </c>
      <c r="D3846" s="156">
        <f t="shared" si="61"/>
        <v>-5.357334190506804E-3</v>
      </c>
      <c r="E3846" s="156">
        <v>-1.0241921243157433E-2</v>
      </c>
      <c r="G3846" s="156"/>
    </row>
    <row r="3847" spans="2:7" x14ac:dyDescent="0.2">
      <c r="B3847" s="230">
        <v>40338</v>
      </c>
      <c r="C3847" s="124">
        <v>92.02</v>
      </c>
      <c r="D3847" s="156">
        <f t="shared" si="61"/>
        <v>-8.7256274911128116E-3</v>
      </c>
      <c r="E3847" s="156">
        <v>-1.0250817884405647E-2</v>
      </c>
      <c r="G3847" s="156"/>
    </row>
    <row r="3848" spans="2:7" x14ac:dyDescent="0.2">
      <c r="B3848" s="230">
        <v>40337</v>
      </c>
      <c r="C3848" s="124">
        <v>96.03</v>
      </c>
      <c r="D3848" s="156">
        <f t="shared" si="61"/>
        <v>4.3577483155835747E-2</v>
      </c>
      <c r="E3848" s="156">
        <v>-1.0260223048327103E-2</v>
      </c>
      <c r="G3848" s="156"/>
    </row>
    <row r="3849" spans="2:7" x14ac:dyDescent="0.2">
      <c r="B3849" s="230">
        <v>40336</v>
      </c>
      <c r="C3849" s="124">
        <v>95.37</v>
      </c>
      <c r="D3849" s="156">
        <f t="shared" si="61"/>
        <v>-6.8728522336769403E-3</v>
      </c>
      <c r="E3849" s="156">
        <v>-1.0264721772015005E-2</v>
      </c>
      <c r="G3849" s="156"/>
    </row>
    <row r="3850" spans="2:7" x14ac:dyDescent="0.2">
      <c r="B3850" s="230">
        <v>40333</v>
      </c>
      <c r="C3850" s="124">
        <v>96.41</v>
      </c>
      <c r="D3850" s="156">
        <f t="shared" si="61"/>
        <v>1.0904896718045422E-2</v>
      </c>
      <c r="E3850" s="156">
        <v>-1.0281975385574025E-2</v>
      </c>
      <c r="G3850" s="156"/>
    </row>
    <row r="3851" spans="2:7" x14ac:dyDescent="0.2">
      <c r="B3851" s="230">
        <v>40332</v>
      </c>
      <c r="C3851" s="124">
        <v>94.64</v>
      </c>
      <c r="D3851" s="156">
        <f t="shared" si="61"/>
        <v>-1.8359091380562142E-2</v>
      </c>
      <c r="E3851" s="156">
        <v>-1.0282161645145891E-2</v>
      </c>
      <c r="G3851" s="156"/>
    </row>
    <row r="3852" spans="2:7" x14ac:dyDescent="0.2">
      <c r="B3852" s="230">
        <v>40331</v>
      </c>
      <c r="C3852" s="124">
        <v>93.24</v>
      </c>
      <c r="D3852" s="156">
        <f t="shared" si="61"/>
        <v>-1.4792899408284084E-2</v>
      </c>
      <c r="E3852" s="156">
        <v>-1.0285335102853239E-2</v>
      </c>
      <c r="G3852" s="156"/>
    </row>
    <row r="3853" spans="2:7" x14ac:dyDescent="0.2">
      <c r="B3853" s="230">
        <v>40330</v>
      </c>
      <c r="C3853" s="124">
        <v>93.81</v>
      </c>
      <c r="D3853" s="156">
        <f t="shared" si="61"/>
        <v>6.1132561132561927E-3</v>
      </c>
      <c r="E3853" s="156">
        <v>-1.028979420411587E-2</v>
      </c>
      <c r="G3853" s="156"/>
    </row>
    <row r="3854" spans="2:7" x14ac:dyDescent="0.2">
      <c r="B3854" s="230">
        <v>40329</v>
      </c>
      <c r="C3854" s="124">
        <v>93.87</v>
      </c>
      <c r="D3854" s="156">
        <f t="shared" si="61"/>
        <v>6.3959066197635936E-4</v>
      </c>
      <c r="E3854" s="156">
        <v>-1.0289830217801405E-2</v>
      </c>
      <c r="G3854" s="156"/>
    </row>
    <row r="3855" spans="2:7" x14ac:dyDescent="0.2">
      <c r="B3855" s="230">
        <v>40326</v>
      </c>
      <c r="C3855" s="124">
        <v>93.87</v>
      </c>
      <c r="D3855" s="156">
        <f t="shared" si="61"/>
        <v>0</v>
      </c>
      <c r="E3855" s="156">
        <v>-1.0297215071378502E-2</v>
      </c>
      <c r="G3855" s="156"/>
    </row>
    <row r="3856" spans="2:7" x14ac:dyDescent="0.2">
      <c r="B3856" s="230">
        <v>40325</v>
      </c>
      <c r="C3856" s="124">
        <v>91.45</v>
      </c>
      <c r="D3856" s="156">
        <f t="shared" si="61"/>
        <v>-2.5780334505166737E-2</v>
      </c>
      <c r="E3856" s="156">
        <v>-1.0299963859775808E-2</v>
      </c>
      <c r="G3856" s="156"/>
    </row>
    <row r="3857" spans="2:7" x14ac:dyDescent="0.2">
      <c r="B3857" s="230">
        <v>40324</v>
      </c>
      <c r="C3857" s="124">
        <v>89.2</v>
      </c>
      <c r="D3857" s="156">
        <f t="shared" si="61"/>
        <v>-2.4603608529250955E-2</v>
      </c>
      <c r="E3857" s="156">
        <v>-1.0304480787129259E-2</v>
      </c>
      <c r="G3857" s="156"/>
    </row>
    <row r="3858" spans="2:7" x14ac:dyDescent="0.2">
      <c r="B3858" s="230">
        <v>40323</v>
      </c>
      <c r="C3858" s="124">
        <v>86.35</v>
      </c>
      <c r="D3858" s="156">
        <f t="shared" si="61"/>
        <v>-3.1950672645740003E-2</v>
      </c>
      <c r="E3858" s="156">
        <v>-1.0311640696608617E-2</v>
      </c>
      <c r="G3858" s="156"/>
    </row>
    <row r="3859" spans="2:7" x14ac:dyDescent="0.2">
      <c r="B3859" s="230">
        <v>40322</v>
      </c>
      <c r="C3859" s="124">
        <v>88.85</v>
      </c>
      <c r="D3859" s="156">
        <f t="shared" si="61"/>
        <v>2.8951939779965258E-2</v>
      </c>
      <c r="E3859" s="156">
        <v>-1.0324729392173148E-2</v>
      </c>
      <c r="G3859" s="156"/>
    </row>
    <row r="3860" spans="2:7" x14ac:dyDescent="0.2">
      <c r="B3860" s="230">
        <v>40319</v>
      </c>
      <c r="C3860" s="124">
        <v>89.93</v>
      </c>
      <c r="D3860" s="156">
        <f t="shared" si="61"/>
        <v>1.2155317951603968E-2</v>
      </c>
      <c r="E3860" s="156">
        <v>-1.0342823939569991E-2</v>
      </c>
      <c r="G3860" s="156"/>
    </row>
    <row r="3861" spans="2:7" x14ac:dyDescent="0.2">
      <c r="B3861" s="230">
        <v>40318</v>
      </c>
      <c r="C3861" s="124">
        <v>86.98</v>
      </c>
      <c r="D3861" s="156">
        <f t="shared" si="61"/>
        <v>-3.2803291448904731E-2</v>
      </c>
      <c r="E3861" s="156">
        <v>-1.0364484366902746E-2</v>
      </c>
      <c r="G3861" s="156"/>
    </row>
    <row r="3862" spans="2:7" x14ac:dyDescent="0.2">
      <c r="B3862" s="230">
        <v>40317</v>
      </c>
      <c r="C3862" s="124">
        <v>85.92</v>
      </c>
      <c r="D3862" s="156">
        <f t="shared" si="61"/>
        <v>-1.2186709588411155E-2</v>
      </c>
      <c r="E3862" s="156">
        <v>-1.0377584417657836E-2</v>
      </c>
      <c r="G3862" s="156"/>
    </row>
    <row r="3863" spans="2:7" x14ac:dyDescent="0.2">
      <c r="B3863" s="230">
        <v>40316</v>
      </c>
      <c r="C3863" s="124">
        <v>89.05</v>
      </c>
      <c r="D3863" s="156">
        <f t="shared" si="61"/>
        <v>3.6429236499068846E-2</v>
      </c>
      <c r="E3863" s="156">
        <v>-1.0391735086496824E-2</v>
      </c>
      <c r="G3863" s="156"/>
    </row>
    <row r="3864" spans="2:7" x14ac:dyDescent="0.2">
      <c r="B3864" s="230">
        <v>40315</v>
      </c>
      <c r="C3864" s="124">
        <v>88.22</v>
      </c>
      <c r="D3864" s="156">
        <f t="shared" si="61"/>
        <v>-9.3206064008983531E-3</v>
      </c>
      <c r="E3864" s="156">
        <v>-1.039290240811159E-2</v>
      </c>
      <c r="G3864" s="156"/>
    </row>
    <row r="3865" spans="2:7" x14ac:dyDescent="0.2">
      <c r="B3865" s="230">
        <v>40312</v>
      </c>
      <c r="C3865" s="124">
        <v>88.89</v>
      </c>
      <c r="D3865" s="156">
        <f t="shared" si="61"/>
        <v>7.594649739288163E-3</v>
      </c>
      <c r="E3865" s="156">
        <v>-1.0397946084724033E-2</v>
      </c>
      <c r="G3865" s="156"/>
    </row>
    <row r="3866" spans="2:7" x14ac:dyDescent="0.2">
      <c r="B3866" s="230">
        <v>40311</v>
      </c>
      <c r="C3866" s="124">
        <v>88.34</v>
      </c>
      <c r="D3866" s="156">
        <f t="shared" si="61"/>
        <v>-6.187422657216753E-3</v>
      </c>
      <c r="E3866" s="156">
        <v>-1.0406705293356711E-2</v>
      </c>
      <c r="G3866" s="156"/>
    </row>
    <row r="3867" spans="2:7" x14ac:dyDescent="0.2">
      <c r="B3867" s="230">
        <v>40310</v>
      </c>
      <c r="C3867" s="124">
        <v>87.86</v>
      </c>
      <c r="D3867" s="156">
        <f t="shared" si="61"/>
        <v>-5.4335521847408193E-3</v>
      </c>
      <c r="E3867" s="156">
        <v>-1.0414763383884531E-2</v>
      </c>
      <c r="G3867" s="156"/>
    </row>
    <row r="3868" spans="2:7" x14ac:dyDescent="0.2">
      <c r="B3868" s="230">
        <v>40309</v>
      </c>
      <c r="C3868" s="124">
        <v>86.04</v>
      </c>
      <c r="D3868" s="156">
        <f t="shared" si="61"/>
        <v>-2.0714773503300629E-2</v>
      </c>
      <c r="E3868" s="156">
        <v>-1.0424242424242452E-2</v>
      </c>
      <c r="G3868" s="156"/>
    </row>
    <row r="3869" spans="2:7" x14ac:dyDescent="0.2">
      <c r="B3869" s="230">
        <v>40308</v>
      </c>
      <c r="C3869" s="124">
        <v>86.78</v>
      </c>
      <c r="D3869" s="156">
        <f t="shared" si="61"/>
        <v>8.6006508600650258E-3</v>
      </c>
      <c r="E3869" s="156">
        <v>-1.0430038510911423E-2</v>
      </c>
      <c r="G3869" s="156"/>
    </row>
    <row r="3870" spans="2:7" x14ac:dyDescent="0.2">
      <c r="B3870" s="230">
        <v>40305</v>
      </c>
      <c r="C3870" s="124">
        <v>85.9</v>
      </c>
      <c r="D3870" s="156">
        <f t="shared" si="61"/>
        <v>-1.0140585388338274E-2</v>
      </c>
      <c r="E3870" s="156">
        <v>-1.0439857343564216E-2</v>
      </c>
      <c r="G3870" s="156"/>
    </row>
    <row r="3871" spans="2:7" x14ac:dyDescent="0.2">
      <c r="B3871" s="230">
        <v>40304</v>
      </c>
      <c r="C3871" s="124">
        <v>85.87</v>
      </c>
      <c r="D3871" s="156">
        <f t="shared" si="61"/>
        <v>-3.4924330616997826E-4</v>
      </c>
      <c r="E3871" s="156">
        <v>-1.0443199184921096E-2</v>
      </c>
      <c r="G3871" s="156"/>
    </row>
    <row r="3872" spans="2:7" x14ac:dyDescent="0.2">
      <c r="B3872" s="230">
        <v>40303</v>
      </c>
      <c r="C3872" s="124">
        <v>86.9</v>
      </c>
      <c r="D3872" s="156">
        <f t="shared" si="61"/>
        <v>1.199487597531153E-2</v>
      </c>
      <c r="E3872" s="156">
        <v>-1.0461902881958174E-2</v>
      </c>
      <c r="G3872" s="156"/>
    </row>
    <row r="3873" spans="2:7" x14ac:dyDescent="0.2">
      <c r="B3873" s="230">
        <v>40302</v>
      </c>
      <c r="C3873" s="124">
        <v>86.95</v>
      </c>
      <c r="D3873" s="156">
        <f t="shared" si="61"/>
        <v>5.7537399309547934E-4</v>
      </c>
      <c r="E3873" s="156">
        <v>-1.0470889122912646E-2</v>
      </c>
      <c r="G3873" s="156"/>
    </row>
    <row r="3874" spans="2:7" x14ac:dyDescent="0.2">
      <c r="B3874" s="230">
        <v>40301</v>
      </c>
      <c r="C3874" s="124">
        <v>87.83</v>
      </c>
      <c r="D3874" s="156">
        <f t="shared" si="61"/>
        <v>1.0120759056929217E-2</v>
      </c>
      <c r="E3874" s="156">
        <v>-1.0523580615824377E-2</v>
      </c>
      <c r="G3874" s="156"/>
    </row>
    <row r="3875" spans="2:7" x14ac:dyDescent="0.2">
      <c r="B3875" s="230">
        <v>40298</v>
      </c>
      <c r="C3875" s="124">
        <v>88.12</v>
      </c>
      <c r="D3875" s="156">
        <f t="shared" si="61"/>
        <v>3.3018330866447258E-3</v>
      </c>
      <c r="E3875" s="156">
        <v>-1.0559533924019824E-2</v>
      </c>
      <c r="G3875" s="156"/>
    </row>
    <row r="3876" spans="2:7" x14ac:dyDescent="0.2">
      <c r="B3876" s="230">
        <v>40297</v>
      </c>
      <c r="C3876" s="124">
        <v>88.55</v>
      </c>
      <c r="D3876" s="156">
        <f t="shared" si="61"/>
        <v>4.8797094870630118E-3</v>
      </c>
      <c r="E3876" s="156">
        <v>-1.056736696439808E-2</v>
      </c>
      <c r="G3876" s="156"/>
    </row>
    <row r="3877" spans="2:7" x14ac:dyDescent="0.2">
      <c r="B3877" s="230">
        <v>40296</v>
      </c>
      <c r="C3877" s="124">
        <v>89.48</v>
      </c>
      <c r="D3877" s="156">
        <f t="shared" si="61"/>
        <v>1.0502540937323623E-2</v>
      </c>
      <c r="E3877" s="156">
        <v>-1.0574889444337626E-2</v>
      </c>
      <c r="G3877" s="156"/>
    </row>
    <row r="3878" spans="2:7" x14ac:dyDescent="0.2">
      <c r="B3878" s="230">
        <v>40295</v>
      </c>
      <c r="C3878" s="124">
        <v>89.35</v>
      </c>
      <c r="D3878" s="156">
        <f t="shared" si="61"/>
        <v>-1.4528386231561204E-3</v>
      </c>
      <c r="E3878" s="156">
        <v>-1.0593900481540876E-2</v>
      </c>
      <c r="G3878" s="156"/>
    </row>
    <row r="3879" spans="2:7" x14ac:dyDescent="0.2">
      <c r="B3879" s="230">
        <v>40294</v>
      </c>
      <c r="C3879" s="124">
        <v>88.64</v>
      </c>
      <c r="D3879" s="156">
        <f t="shared" si="61"/>
        <v>-7.9462786793507972E-3</v>
      </c>
      <c r="E3879" s="156">
        <v>-1.0603549141965735E-2</v>
      </c>
      <c r="G3879" s="156"/>
    </row>
    <row r="3880" spans="2:7" x14ac:dyDescent="0.2">
      <c r="B3880" s="230">
        <v>40291</v>
      </c>
      <c r="C3880" s="124">
        <v>88.49</v>
      </c>
      <c r="D3880" s="156">
        <f t="shared" si="61"/>
        <v>-1.6922382671480786E-3</v>
      </c>
      <c r="E3880" s="156">
        <v>-1.0625933919973398E-2</v>
      </c>
      <c r="G3880" s="156"/>
    </row>
    <row r="3881" spans="2:7" x14ac:dyDescent="0.2">
      <c r="B3881" s="230">
        <v>40290</v>
      </c>
      <c r="C3881" s="124">
        <v>87.59</v>
      </c>
      <c r="D3881" s="156">
        <f t="shared" si="61"/>
        <v>-1.0170640750367178E-2</v>
      </c>
      <c r="E3881" s="156">
        <v>-1.0648596321393998E-2</v>
      </c>
      <c r="G3881" s="156"/>
    </row>
    <row r="3882" spans="2:7" x14ac:dyDescent="0.2">
      <c r="B3882" s="230">
        <v>40289</v>
      </c>
      <c r="C3882" s="124">
        <v>87</v>
      </c>
      <c r="D3882" s="156">
        <f t="shared" si="61"/>
        <v>-6.7359287589907908E-3</v>
      </c>
      <c r="E3882" s="156">
        <v>-1.0661075921134869E-2</v>
      </c>
      <c r="G3882" s="156"/>
    </row>
    <row r="3883" spans="2:7" x14ac:dyDescent="0.2">
      <c r="B3883" s="230">
        <v>40288</v>
      </c>
      <c r="C3883" s="124">
        <v>87.25</v>
      </c>
      <c r="D3883" s="156">
        <f t="shared" si="61"/>
        <v>2.8735632183908046E-3</v>
      </c>
      <c r="E3883" s="156">
        <v>-1.0665220535068855E-2</v>
      </c>
      <c r="G3883" s="156"/>
    </row>
    <row r="3884" spans="2:7" x14ac:dyDescent="0.2">
      <c r="B3884" s="230">
        <v>40287</v>
      </c>
      <c r="C3884" s="124">
        <v>87.79</v>
      </c>
      <c r="D3884" s="156">
        <f t="shared" si="61"/>
        <v>6.1891117478510742E-3</v>
      </c>
      <c r="E3884" s="156">
        <v>-1.0673055979089597E-2</v>
      </c>
      <c r="G3884" s="156"/>
    </row>
    <row r="3885" spans="2:7" x14ac:dyDescent="0.2">
      <c r="B3885" s="230">
        <v>40284</v>
      </c>
      <c r="C3885" s="124">
        <v>89.2</v>
      </c>
      <c r="D3885" s="156">
        <f t="shared" si="61"/>
        <v>1.6061054789839348E-2</v>
      </c>
      <c r="E3885" s="156">
        <v>-1.0686782964010683E-2</v>
      </c>
      <c r="G3885" s="156"/>
    </row>
    <row r="3886" spans="2:7" x14ac:dyDescent="0.2">
      <c r="B3886" s="230">
        <v>40283</v>
      </c>
      <c r="C3886" s="124">
        <v>87.1</v>
      </c>
      <c r="D3886" s="156">
        <f t="shared" si="61"/>
        <v>-2.3542600896861082E-2</v>
      </c>
      <c r="E3886" s="156">
        <v>-1.0708619777895324E-2</v>
      </c>
      <c r="G3886" s="156"/>
    </row>
    <row r="3887" spans="2:7" x14ac:dyDescent="0.2">
      <c r="B3887" s="230">
        <v>40281</v>
      </c>
      <c r="C3887" s="124">
        <v>89.04</v>
      </c>
      <c r="D3887" s="156">
        <f t="shared" si="61"/>
        <v>2.2273249138920918E-2</v>
      </c>
      <c r="E3887" s="156">
        <v>-1.0722778051953819E-2</v>
      </c>
      <c r="G3887" s="156"/>
    </row>
    <row r="3888" spans="2:7" x14ac:dyDescent="0.2">
      <c r="B3888" s="230">
        <v>40280</v>
      </c>
      <c r="C3888" s="124">
        <v>89.96</v>
      </c>
      <c r="D3888" s="156">
        <f t="shared" si="61"/>
        <v>1.0332434860736607E-2</v>
      </c>
      <c r="E3888" s="156">
        <v>-1.0724852071005833E-2</v>
      </c>
      <c r="G3888" s="156"/>
    </row>
    <row r="3889" spans="2:7" x14ac:dyDescent="0.2">
      <c r="B3889" s="230">
        <v>40277</v>
      </c>
      <c r="C3889" s="124">
        <v>89.25</v>
      </c>
      <c r="D3889" s="156">
        <f t="shared" si="61"/>
        <v>-7.8923966207202507E-3</v>
      </c>
      <c r="E3889" s="156">
        <v>-1.0751136445631063E-2</v>
      </c>
      <c r="G3889" s="156"/>
    </row>
    <row r="3890" spans="2:7" x14ac:dyDescent="0.2">
      <c r="B3890" s="230">
        <v>40276</v>
      </c>
      <c r="C3890" s="124">
        <v>88.75</v>
      </c>
      <c r="D3890" s="156">
        <f t="shared" si="61"/>
        <v>-5.6022408963585435E-3</v>
      </c>
      <c r="E3890" s="156">
        <v>-1.0782747603833933E-2</v>
      </c>
      <c r="G3890" s="156"/>
    </row>
    <row r="3891" spans="2:7" x14ac:dyDescent="0.2">
      <c r="B3891" s="230">
        <v>40275</v>
      </c>
      <c r="C3891" s="124">
        <v>89.32</v>
      </c>
      <c r="D3891" s="156">
        <f t="shared" si="61"/>
        <v>6.4225352112675287E-3</v>
      </c>
      <c r="E3891" s="156">
        <v>-1.0793308148947653E-2</v>
      </c>
      <c r="G3891" s="156"/>
    </row>
    <row r="3892" spans="2:7" x14ac:dyDescent="0.2">
      <c r="B3892" s="230">
        <v>40274</v>
      </c>
      <c r="C3892" s="124">
        <v>88.26</v>
      </c>
      <c r="D3892" s="156">
        <f t="shared" si="61"/>
        <v>-1.1867442901925528E-2</v>
      </c>
      <c r="E3892" s="156">
        <v>-1.0793308148947677E-2</v>
      </c>
      <c r="G3892" s="156"/>
    </row>
    <row r="3893" spans="2:7" x14ac:dyDescent="0.2">
      <c r="B3893" s="230">
        <v>40273</v>
      </c>
      <c r="C3893" s="124">
        <v>87.78</v>
      </c>
      <c r="D3893" s="156">
        <f t="shared" si="61"/>
        <v>-5.4384772263766593E-3</v>
      </c>
      <c r="E3893" s="156">
        <v>-1.0805618921839356E-2</v>
      </c>
      <c r="G3893" s="156"/>
    </row>
    <row r="3894" spans="2:7" x14ac:dyDescent="0.2">
      <c r="B3894" s="230">
        <v>40269</v>
      </c>
      <c r="C3894" s="124">
        <v>87.51</v>
      </c>
      <c r="D3894" s="156">
        <f t="shared" si="61"/>
        <v>-3.075871496924083E-3</v>
      </c>
      <c r="E3894" s="156">
        <v>-1.0814766628720142E-2</v>
      </c>
      <c r="G3894" s="156"/>
    </row>
    <row r="3895" spans="2:7" x14ac:dyDescent="0.2">
      <c r="B3895" s="230">
        <v>40268</v>
      </c>
      <c r="C3895" s="124">
        <v>87.2</v>
      </c>
      <c r="D3895" s="156">
        <f t="shared" si="61"/>
        <v>-3.5424522911667498E-3</v>
      </c>
      <c r="E3895" s="156">
        <v>-1.0814842438933533E-2</v>
      </c>
      <c r="G3895" s="156"/>
    </row>
    <row r="3896" spans="2:7" x14ac:dyDescent="0.2">
      <c r="B3896" s="230">
        <v>40267</v>
      </c>
      <c r="C3896" s="124">
        <v>89.12</v>
      </c>
      <c r="D3896" s="156">
        <f t="shared" si="61"/>
        <v>2.201834862385323E-2</v>
      </c>
      <c r="E3896" s="156">
        <v>-1.0836192884233339E-2</v>
      </c>
      <c r="G3896" s="156"/>
    </row>
    <row r="3897" spans="2:7" x14ac:dyDescent="0.2">
      <c r="B3897" s="230">
        <v>40266</v>
      </c>
      <c r="C3897" s="124">
        <v>89.23</v>
      </c>
      <c r="D3897" s="156">
        <f t="shared" si="61"/>
        <v>1.2342908438060978E-3</v>
      </c>
      <c r="E3897" s="156">
        <v>-1.0836945648549494E-2</v>
      </c>
      <c r="G3897" s="156"/>
    </row>
    <row r="3898" spans="2:7" x14ac:dyDescent="0.2">
      <c r="B3898" s="230">
        <v>40263</v>
      </c>
      <c r="C3898" s="124">
        <v>87.64</v>
      </c>
      <c r="D3898" s="156">
        <f t="shared" si="61"/>
        <v>-1.7819119130337367E-2</v>
      </c>
      <c r="E3898" s="156">
        <v>-1.0851298794833722E-2</v>
      </c>
      <c r="G3898" s="156"/>
    </row>
    <row r="3899" spans="2:7" x14ac:dyDescent="0.2">
      <c r="B3899" s="230">
        <v>40262</v>
      </c>
      <c r="C3899" s="124">
        <v>87.76</v>
      </c>
      <c r="D3899" s="156">
        <f t="shared" si="61"/>
        <v>1.3692377909630825E-3</v>
      </c>
      <c r="E3899" s="156">
        <v>-1.0855608731177855E-2</v>
      </c>
      <c r="G3899" s="156"/>
    </row>
    <row r="3900" spans="2:7" x14ac:dyDescent="0.2">
      <c r="B3900" s="230">
        <v>40260</v>
      </c>
      <c r="C3900" s="124">
        <v>86.5</v>
      </c>
      <c r="D3900" s="156">
        <f t="shared" si="61"/>
        <v>-1.4357338195077542E-2</v>
      </c>
      <c r="E3900" s="156">
        <v>-1.0858189429617917E-2</v>
      </c>
      <c r="G3900" s="156"/>
    </row>
    <row r="3901" spans="2:7" x14ac:dyDescent="0.2">
      <c r="B3901" s="230">
        <v>40259</v>
      </c>
      <c r="C3901" s="124">
        <v>86.71</v>
      </c>
      <c r="D3901" s="156">
        <f t="shared" si="61"/>
        <v>2.4277456647398121E-3</v>
      </c>
      <c r="E3901" s="156">
        <v>-1.0873440285204981E-2</v>
      </c>
      <c r="G3901" s="156"/>
    </row>
    <row r="3902" spans="2:7" x14ac:dyDescent="0.2">
      <c r="B3902" s="230">
        <v>40256</v>
      </c>
      <c r="C3902" s="124">
        <v>86.62</v>
      </c>
      <c r="D3902" s="156">
        <f t="shared" ref="D3902:D3965" si="62">(C3902-C3901)/C3901</f>
        <v>-1.0379425671778249E-3</v>
      </c>
      <c r="E3902" s="156">
        <v>-1.0876132930513578E-2</v>
      </c>
      <c r="G3902" s="156"/>
    </row>
    <row r="3903" spans="2:7" x14ac:dyDescent="0.2">
      <c r="B3903" s="230">
        <v>40255</v>
      </c>
      <c r="C3903" s="124">
        <v>86.6</v>
      </c>
      <c r="D3903" s="156">
        <f t="shared" si="62"/>
        <v>-2.3089355806984796E-4</v>
      </c>
      <c r="E3903" s="156">
        <v>-1.0884505367955745E-2</v>
      </c>
      <c r="G3903" s="156"/>
    </row>
    <row r="3904" spans="2:7" x14ac:dyDescent="0.2">
      <c r="B3904" s="230">
        <v>40254</v>
      </c>
      <c r="C3904" s="124">
        <v>87.13</v>
      </c>
      <c r="D3904" s="156">
        <f t="shared" si="62"/>
        <v>6.1200923787529003E-3</v>
      </c>
      <c r="E3904" s="156">
        <v>-1.0897203051216853E-2</v>
      </c>
      <c r="G3904" s="156"/>
    </row>
    <row r="3905" spans="2:7" x14ac:dyDescent="0.2">
      <c r="B3905" s="230">
        <v>40253</v>
      </c>
      <c r="C3905" s="124">
        <v>86.12</v>
      </c>
      <c r="D3905" s="156">
        <f t="shared" si="62"/>
        <v>-1.1591874210949052E-2</v>
      </c>
      <c r="E3905" s="156">
        <v>-1.0917030567685615E-2</v>
      </c>
      <c r="G3905" s="156"/>
    </row>
    <row r="3906" spans="2:7" x14ac:dyDescent="0.2">
      <c r="B3906" s="230">
        <v>40252</v>
      </c>
      <c r="C3906" s="124">
        <v>85.97</v>
      </c>
      <c r="D3906" s="156">
        <f t="shared" si="62"/>
        <v>-1.741755689735319E-3</v>
      </c>
      <c r="E3906" s="156">
        <v>-1.093926820067909E-2</v>
      </c>
      <c r="G3906" s="156"/>
    </row>
    <row r="3907" spans="2:7" x14ac:dyDescent="0.2">
      <c r="B3907" s="230">
        <v>40249</v>
      </c>
      <c r="C3907" s="124">
        <v>85.67</v>
      </c>
      <c r="D3907" s="156">
        <f t="shared" si="62"/>
        <v>-3.4895893916482164E-3</v>
      </c>
      <c r="E3907" s="156">
        <v>-1.0944428719690506E-2</v>
      </c>
      <c r="G3907" s="156"/>
    </row>
    <row r="3908" spans="2:7" x14ac:dyDescent="0.2">
      <c r="B3908" s="230">
        <v>40248</v>
      </c>
      <c r="C3908" s="124">
        <v>84.74</v>
      </c>
      <c r="D3908" s="156">
        <f t="shared" si="62"/>
        <v>-1.0855608731177855E-2</v>
      </c>
      <c r="E3908" s="156">
        <v>-1.0947953775306326E-2</v>
      </c>
      <c r="G3908" s="156"/>
    </row>
    <row r="3909" spans="2:7" x14ac:dyDescent="0.2">
      <c r="B3909" s="230">
        <v>40247</v>
      </c>
      <c r="C3909" s="124">
        <v>84.28</v>
      </c>
      <c r="D3909" s="156">
        <f t="shared" si="62"/>
        <v>-5.4283691291007055E-3</v>
      </c>
      <c r="E3909" s="156">
        <v>-1.0962884691586357E-2</v>
      </c>
      <c r="G3909" s="156"/>
    </row>
    <row r="3910" spans="2:7" x14ac:dyDescent="0.2">
      <c r="B3910" s="230">
        <v>40246</v>
      </c>
      <c r="C3910" s="124">
        <v>83.22</v>
      </c>
      <c r="D3910" s="156">
        <f t="shared" si="62"/>
        <v>-1.2577123872804963E-2</v>
      </c>
      <c r="E3910" s="156">
        <v>-1.099608925695876E-2</v>
      </c>
      <c r="G3910" s="156"/>
    </row>
    <row r="3911" spans="2:7" x14ac:dyDescent="0.2">
      <c r="B3911" s="230">
        <v>40245</v>
      </c>
      <c r="C3911" s="124">
        <v>83.28</v>
      </c>
      <c r="D3911" s="156">
        <f t="shared" si="62"/>
        <v>7.2098053352562209E-4</v>
      </c>
      <c r="E3911" s="156">
        <v>-1.1011288704893247E-2</v>
      </c>
      <c r="G3911" s="156"/>
    </row>
    <row r="3912" spans="2:7" x14ac:dyDescent="0.2">
      <c r="B3912" s="230">
        <v>40242</v>
      </c>
      <c r="C3912" s="124">
        <v>81.13</v>
      </c>
      <c r="D3912" s="156">
        <f t="shared" si="62"/>
        <v>-2.5816522574447713E-2</v>
      </c>
      <c r="E3912" s="156">
        <v>-1.1017661900756957E-2</v>
      </c>
      <c r="G3912" s="156"/>
    </row>
    <row r="3913" spans="2:7" x14ac:dyDescent="0.2">
      <c r="B3913" s="230">
        <v>40241</v>
      </c>
      <c r="C3913" s="124">
        <v>81.56</v>
      </c>
      <c r="D3913" s="156">
        <f t="shared" si="62"/>
        <v>5.3001355848638831E-3</v>
      </c>
      <c r="E3913" s="156">
        <v>-1.1024007839294464E-2</v>
      </c>
      <c r="G3913" s="156"/>
    </row>
    <row r="3914" spans="2:7" x14ac:dyDescent="0.2">
      <c r="B3914" s="230">
        <v>40240</v>
      </c>
      <c r="C3914" s="124">
        <v>80.78</v>
      </c>
      <c r="D3914" s="156">
        <f t="shared" si="62"/>
        <v>-9.5635115252574922E-3</v>
      </c>
      <c r="E3914" s="156">
        <v>-1.1034901082493378E-2</v>
      </c>
      <c r="G3914" s="156"/>
    </row>
    <row r="3915" spans="2:7" x14ac:dyDescent="0.2">
      <c r="B3915" s="230">
        <v>40239</v>
      </c>
      <c r="C3915" s="124">
        <v>80.2</v>
      </c>
      <c r="D3915" s="156">
        <f t="shared" si="62"/>
        <v>-7.1799950482792562E-3</v>
      </c>
      <c r="E3915" s="156">
        <v>-1.1052631578947413E-2</v>
      </c>
      <c r="G3915" s="156"/>
    </row>
    <row r="3916" spans="2:7" x14ac:dyDescent="0.2">
      <c r="B3916" s="230">
        <v>40235</v>
      </c>
      <c r="C3916" s="124">
        <v>76.989999999999995</v>
      </c>
      <c r="D3916" s="156">
        <f t="shared" si="62"/>
        <v>-4.0024937655860446E-2</v>
      </c>
      <c r="E3916" s="156">
        <v>-1.1082589740455522E-2</v>
      </c>
      <c r="G3916" s="156"/>
    </row>
    <row r="3917" spans="2:7" x14ac:dyDescent="0.2">
      <c r="B3917" s="230">
        <v>40234</v>
      </c>
      <c r="C3917" s="124">
        <v>82.07</v>
      </c>
      <c r="D3917" s="156">
        <f t="shared" si="62"/>
        <v>6.598259514222625E-2</v>
      </c>
      <c r="E3917" s="156">
        <v>-1.1083530566299068E-2</v>
      </c>
      <c r="G3917" s="156"/>
    </row>
    <row r="3918" spans="2:7" x14ac:dyDescent="0.2">
      <c r="B3918" s="230">
        <v>40233</v>
      </c>
      <c r="C3918" s="124">
        <v>82.09</v>
      </c>
      <c r="D3918" s="156">
        <f t="shared" si="62"/>
        <v>2.4369440721347914E-4</v>
      </c>
      <c r="E3918" s="156">
        <v>-1.1087866108786634E-2</v>
      </c>
      <c r="G3918" s="156"/>
    </row>
    <row r="3919" spans="2:7" x14ac:dyDescent="0.2">
      <c r="B3919" s="230">
        <v>40232</v>
      </c>
      <c r="C3919" s="124">
        <v>82.62</v>
      </c>
      <c r="D3919" s="156">
        <f t="shared" si="62"/>
        <v>6.4563284200268136E-3</v>
      </c>
      <c r="E3919" s="156">
        <v>-1.1096574114454581E-2</v>
      </c>
      <c r="G3919" s="156"/>
    </row>
    <row r="3920" spans="2:7" x14ac:dyDescent="0.2">
      <c r="B3920" s="230">
        <v>40231</v>
      </c>
      <c r="C3920" s="124">
        <v>82.07</v>
      </c>
      <c r="D3920" s="156">
        <f t="shared" si="62"/>
        <v>-6.6569837811669245E-3</v>
      </c>
      <c r="E3920" s="156">
        <v>-1.1101321585903129E-2</v>
      </c>
      <c r="G3920" s="156"/>
    </row>
    <row r="3921" spans="2:7" x14ac:dyDescent="0.2">
      <c r="B3921" s="230">
        <v>40228</v>
      </c>
      <c r="C3921" s="124">
        <v>82.37</v>
      </c>
      <c r="D3921" s="156">
        <f t="shared" si="62"/>
        <v>3.6554161082004558E-3</v>
      </c>
      <c r="E3921" s="156">
        <v>-1.110719322990119E-2</v>
      </c>
      <c r="G3921" s="156"/>
    </row>
    <row r="3922" spans="2:7" x14ac:dyDescent="0.2">
      <c r="B3922" s="230">
        <v>40227</v>
      </c>
      <c r="C3922" s="124">
        <v>82.29</v>
      </c>
      <c r="D3922" s="156">
        <f t="shared" si="62"/>
        <v>-9.7122738861233813E-4</v>
      </c>
      <c r="E3922" s="156">
        <v>-1.1122994652406393E-2</v>
      </c>
      <c r="G3922" s="156"/>
    </row>
    <row r="3923" spans="2:7" x14ac:dyDescent="0.2">
      <c r="B3923" s="230">
        <v>40226</v>
      </c>
      <c r="C3923" s="124">
        <v>83.45</v>
      </c>
      <c r="D3923" s="156">
        <f t="shared" si="62"/>
        <v>1.4096488030137277E-2</v>
      </c>
      <c r="E3923" s="156">
        <v>-1.1129493156865618E-2</v>
      </c>
      <c r="G3923" s="156"/>
    </row>
    <row r="3924" spans="2:7" x14ac:dyDescent="0.2">
      <c r="B3924" s="230">
        <v>40225</v>
      </c>
      <c r="C3924" s="124">
        <v>82.92</v>
      </c>
      <c r="D3924" s="156">
        <f t="shared" si="62"/>
        <v>-6.3511084481725722E-3</v>
      </c>
      <c r="E3924" s="156">
        <v>-1.112984822934227E-2</v>
      </c>
      <c r="G3924" s="156"/>
    </row>
    <row r="3925" spans="2:7" x14ac:dyDescent="0.2">
      <c r="B3925" s="230">
        <v>40224</v>
      </c>
      <c r="C3925" s="124">
        <v>82.65</v>
      </c>
      <c r="D3925" s="156">
        <f t="shared" si="62"/>
        <v>-3.2561505065122529E-3</v>
      </c>
      <c r="E3925" s="156">
        <v>-1.1137629276054143E-2</v>
      </c>
      <c r="G3925" s="156"/>
    </row>
    <row r="3926" spans="2:7" x14ac:dyDescent="0.2">
      <c r="B3926" s="230">
        <v>40220</v>
      </c>
      <c r="C3926" s="124">
        <v>81.92</v>
      </c>
      <c r="D3926" s="156">
        <f t="shared" si="62"/>
        <v>-8.8324258923170463E-3</v>
      </c>
      <c r="E3926" s="156">
        <v>-1.117030417597523E-2</v>
      </c>
      <c r="G3926" s="156"/>
    </row>
    <row r="3927" spans="2:7" x14ac:dyDescent="0.2">
      <c r="B3927" s="230">
        <v>40219</v>
      </c>
      <c r="C3927" s="124">
        <v>80.849999999999994</v>
      </c>
      <c r="D3927" s="156">
        <f t="shared" si="62"/>
        <v>-1.306152343750009E-2</v>
      </c>
      <c r="E3927" s="156">
        <v>-1.1183048852266017E-2</v>
      </c>
      <c r="G3927" s="156"/>
    </row>
    <row r="3928" spans="2:7" x14ac:dyDescent="0.2">
      <c r="B3928" s="230">
        <v>40218</v>
      </c>
      <c r="C3928" s="124">
        <v>80.849999999999994</v>
      </c>
      <c r="D3928" s="156">
        <f t="shared" si="62"/>
        <v>0</v>
      </c>
      <c r="E3928" s="156">
        <v>-1.1198600174978087E-2</v>
      </c>
      <c r="G3928" s="156"/>
    </row>
    <row r="3929" spans="2:7" x14ac:dyDescent="0.2">
      <c r="B3929" s="230">
        <v>40217</v>
      </c>
      <c r="C3929" s="124">
        <v>81.33</v>
      </c>
      <c r="D3929" s="156">
        <f t="shared" si="62"/>
        <v>5.9369202226345584E-3</v>
      </c>
      <c r="E3929" s="156">
        <v>-1.122456548075264E-2</v>
      </c>
      <c r="G3929" s="156"/>
    </row>
    <row r="3930" spans="2:7" x14ac:dyDescent="0.2">
      <c r="B3930" s="230">
        <v>40215</v>
      </c>
      <c r="C3930" s="124">
        <v>82.22</v>
      </c>
      <c r="D3930" s="156">
        <f t="shared" si="62"/>
        <v>1.0943071437353997E-2</v>
      </c>
      <c r="E3930" s="156">
        <v>-1.1227691704255836E-2</v>
      </c>
      <c r="G3930" s="156"/>
    </row>
    <row r="3931" spans="2:7" x14ac:dyDescent="0.2">
      <c r="B3931" s="230">
        <v>40214</v>
      </c>
      <c r="C3931" s="124">
        <v>82.32</v>
      </c>
      <c r="D3931" s="156">
        <f t="shared" si="62"/>
        <v>1.216249087813115E-3</v>
      </c>
      <c r="E3931" s="156">
        <v>-1.1240310077519402E-2</v>
      </c>
      <c r="G3931" s="156"/>
    </row>
    <row r="3932" spans="2:7" x14ac:dyDescent="0.2">
      <c r="B3932" s="230">
        <v>40213</v>
      </c>
      <c r="C3932" s="124">
        <v>83.98</v>
      </c>
      <c r="D3932" s="156">
        <f t="shared" si="62"/>
        <v>2.0165208940719277E-2</v>
      </c>
      <c r="E3932" s="156">
        <v>-1.1243386243386199E-2</v>
      </c>
      <c r="G3932" s="156"/>
    </row>
    <row r="3933" spans="2:7" x14ac:dyDescent="0.2">
      <c r="B3933" s="230">
        <v>40212</v>
      </c>
      <c r="C3933" s="124">
        <v>83.73</v>
      </c>
      <c r="D3933" s="156">
        <f t="shared" si="62"/>
        <v>-2.976899261728983E-3</v>
      </c>
      <c r="E3933" s="156">
        <v>-1.1250522793810112E-2</v>
      </c>
      <c r="G3933" s="156"/>
    </row>
    <row r="3934" spans="2:7" x14ac:dyDescent="0.2">
      <c r="B3934" s="230">
        <v>40211</v>
      </c>
      <c r="C3934" s="124">
        <v>81.010000000000005</v>
      </c>
      <c r="D3934" s="156">
        <f t="shared" si="62"/>
        <v>-3.2485369640511151E-2</v>
      </c>
      <c r="E3934" s="156">
        <v>-1.1253701875616957E-2</v>
      </c>
      <c r="G3934" s="156"/>
    </row>
    <row r="3935" spans="2:7" x14ac:dyDescent="0.2">
      <c r="B3935" s="230">
        <v>40210</v>
      </c>
      <c r="C3935" s="124">
        <v>81.709999999999994</v>
      </c>
      <c r="D3935" s="156">
        <f t="shared" si="62"/>
        <v>8.6409085298109929E-3</v>
      </c>
      <c r="E3935" s="156">
        <v>-1.1297408768941012E-2</v>
      </c>
      <c r="G3935" s="156"/>
    </row>
    <row r="3936" spans="2:7" x14ac:dyDescent="0.2">
      <c r="B3936" s="230">
        <v>40207</v>
      </c>
      <c r="C3936" s="124">
        <v>82.92</v>
      </c>
      <c r="D3936" s="156">
        <f t="shared" si="62"/>
        <v>1.4808468975645674E-2</v>
      </c>
      <c r="E3936" s="156">
        <v>-1.129876308277834E-2</v>
      </c>
      <c r="G3936" s="156"/>
    </row>
    <row r="3937" spans="2:7" x14ac:dyDescent="0.2">
      <c r="B3937" s="230">
        <v>40206</v>
      </c>
      <c r="C3937" s="124">
        <v>84.28</v>
      </c>
      <c r="D3937" s="156">
        <f t="shared" si="62"/>
        <v>1.6401350699469359E-2</v>
      </c>
      <c r="E3937" s="156">
        <v>-1.1304503857886157E-2</v>
      </c>
      <c r="G3937" s="156"/>
    </row>
    <row r="3938" spans="2:7" x14ac:dyDescent="0.2">
      <c r="B3938" s="230">
        <v>40205</v>
      </c>
      <c r="C3938" s="124">
        <v>84.83</v>
      </c>
      <c r="D3938" s="156">
        <f t="shared" si="62"/>
        <v>6.5258661604176219E-3</v>
      </c>
      <c r="E3938" s="156">
        <v>-1.1309836927932698E-2</v>
      </c>
      <c r="G3938" s="156"/>
    </row>
    <row r="3939" spans="2:7" x14ac:dyDescent="0.2">
      <c r="B3939" s="230">
        <v>40203</v>
      </c>
      <c r="C3939" s="124">
        <v>84.56</v>
      </c>
      <c r="D3939" s="156">
        <f t="shared" si="62"/>
        <v>-3.1828362607567609E-3</v>
      </c>
      <c r="E3939" s="156">
        <v>-1.1326938834530266E-2</v>
      </c>
      <c r="G3939" s="156"/>
    </row>
    <row r="3940" spans="2:7" x14ac:dyDescent="0.2">
      <c r="B3940" s="230">
        <v>40200</v>
      </c>
      <c r="C3940" s="124">
        <v>82.57</v>
      </c>
      <c r="D3940" s="156">
        <f t="shared" si="62"/>
        <v>-2.3533585619678443E-2</v>
      </c>
      <c r="E3940" s="156">
        <v>-1.1336227689339231E-2</v>
      </c>
      <c r="G3940" s="156"/>
    </row>
    <row r="3941" spans="2:7" x14ac:dyDescent="0.2">
      <c r="B3941" s="230">
        <v>40199</v>
      </c>
      <c r="C3941" s="124">
        <v>81.05</v>
      </c>
      <c r="D3941" s="156">
        <f t="shared" si="62"/>
        <v>-1.8408622986556815E-2</v>
      </c>
      <c r="E3941" s="156">
        <v>-1.1344976862218107E-2</v>
      </c>
      <c r="G3941" s="156"/>
    </row>
    <row r="3942" spans="2:7" x14ac:dyDescent="0.2">
      <c r="B3942" s="230">
        <v>40198</v>
      </c>
      <c r="C3942" s="124">
        <v>81.91</v>
      </c>
      <c r="D3942" s="156">
        <f t="shared" si="62"/>
        <v>1.0610734114743978E-2</v>
      </c>
      <c r="E3942" s="156">
        <v>-1.1361054305839582E-2</v>
      </c>
      <c r="G3942" s="156"/>
    </row>
    <row r="3943" spans="2:7" x14ac:dyDescent="0.2">
      <c r="B3943" s="230">
        <v>40197</v>
      </c>
      <c r="C3943" s="124">
        <v>82.84</v>
      </c>
      <c r="D3943" s="156">
        <f t="shared" si="62"/>
        <v>1.1353925039677779E-2</v>
      </c>
      <c r="E3943" s="156">
        <v>-1.1364810414299086E-2</v>
      </c>
      <c r="G3943" s="156"/>
    </row>
    <row r="3944" spans="2:7" x14ac:dyDescent="0.2">
      <c r="B3944" s="230">
        <v>40196</v>
      </c>
      <c r="C3944" s="124">
        <v>83.05</v>
      </c>
      <c r="D3944" s="156">
        <f t="shared" si="62"/>
        <v>2.535007242877761E-3</v>
      </c>
      <c r="E3944" s="156">
        <v>-1.1376019987773515E-2</v>
      </c>
      <c r="G3944" s="156"/>
    </row>
    <row r="3945" spans="2:7" x14ac:dyDescent="0.2">
      <c r="B3945" s="230">
        <v>40193</v>
      </c>
      <c r="C3945" s="124">
        <v>83.78</v>
      </c>
      <c r="D3945" s="156">
        <f t="shared" si="62"/>
        <v>8.7898856110777118E-3</v>
      </c>
      <c r="E3945" s="156">
        <v>-1.1378580822231006E-2</v>
      </c>
      <c r="G3945" s="156"/>
    </row>
    <row r="3946" spans="2:7" x14ac:dyDescent="0.2">
      <c r="B3946" s="230">
        <v>40192</v>
      </c>
      <c r="C3946" s="124">
        <v>82.26</v>
      </c>
      <c r="D3946" s="156">
        <f t="shared" si="62"/>
        <v>-1.8142754834089232E-2</v>
      </c>
      <c r="E3946" s="156">
        <v>-1.138178913738017E-2</v>
      </c>
      <c r="G3946" s="156"/>
    </row>
    <row r="3947" spans="2:7" x14ac:dyDescent="0.2">
      <c r="B3947" s="230">
        <v>40191</v>
      </c>
      <c r="C3947" s="124">
        <v>82.52</v>
      </c>
      <c r="D3947" s="156">
        <f t="shared" si="62"/>
        <v>3.1607099440796363E-3</v>
      </c>
      <c r="E3947" s="156">
        <v>-1.1406237536890858E-2</v>
      </c>
      <c r="G3947" s="156"/>
    </row>
    <row r="3948" spans="2:7" x14ac:dyDescent="0.2">
      <c r="B3948" s="230">
        <v>40190</v>
      </c>
      <c r="C3948" s="124">
        <v>82.89</v>
      </c>
      <c r="D3948" s="156">
        <f t="shared" si="62"/>
        <v>4.4837615123606948E-3</v>
      </c>
      <c r="E3948" s="156">
        <v>-1.1413307430791619E-2</v>
      </c>
      <c r="G3948" s="156"/>
    </row>
    <row r="3949" spans="2:7" x14ac:dyDescent="0.2">
      <c r="B3949" s="230">
        <v>40189</v>
      </c>
      <c r="C3949" s="124">
        <v>85.06</v>
      </c>
      <c r="D3949" s="156">
        <f t="shared" si="62"/>
        <v>2.6179273736277014E-2</v>
      </c>
      <c r="E3949" s="156">
        <v>-1.144238517324728E-2</v>
      </c>
      <c r="G3949" s="156"/>
    </row>
    <row r="3950" spans="2:7" x14ac:dyDescent="0.2">
      <c r="B3950" s="230">
        <v>40186</v>
      </c>
      <c r="C3950" s="124">
        <v>85.02</v>
      </c>
      <c r="D3950" s="156">
        <f t="shared" si="62"/>
        <v>-4.7025628967794792E-4</v>
      </c>
      <c r="E3950" s="156">
        <v>-1.146110618160316E-2</v>
      </c>
      <c r="G3950" s="156"/>
    </row>
    <row r="3951" spans="2:7" x14ac:dyDescent="0.2">
      <c r="B3951" s="230">
        <v>40185</v>
      </c>
      <c r="C3951" s="124">
        <v>84.84</v>
      </c>
      <c r="D3951" s="156">
        <f t="shared" si="62"/>
        <v>-2.1171489061396452E-3</v>
      </c>
      <c r="E3951" s="156">
        <v>-1.1462608869756693E-2</v>
      </c>
      <c r="G3951" s="156"/>
    </row>
    <row r="3952" spans="2:7" x14ac:dyDescent="0.2">
      <c r="B3952" s="230">
        <v>40184</v>
      </c>
      <c r="C3952" s="124">
        <v>85.11</v>
      </c>
      <c r="D3952" s="156">
        <f t="shared" si="62"/>
        <v>3.1824611032531354E-3</v>
      </c>
      <c r="E3952" s="156">
        <v>-1.1466617347882457E-2</v>
      </c>
      <c r="G3952" s="156"/>
    </row>
    <row r="3953" spans="2:7" x14ac:dyDescent="0.2">
      <c r="B3953" s="230">
        <v>40183</v>
      </c>
      <c r="C3953" s="124">
        <v>84.91</v>
      </c>
      <c r="D3953" s="156">
        <f t="shared" si="62"/>
        <v>-2.3499001292445407E-3</v>
      </c>
      <c r="E3953" s="156">
        <v>-1.1483550589695836E-2</v>
      </c>
      <c r="G3953" s="156"/>
    </row>
    <row r="3954" spans="2:7" x14ac:dyDescent="0.2">
      <c r="B3954" s="230">
        <v>40182</v>
      </c>
      <c r="C3954" s="124">
        <v>84.08</v>
      </c>
      <c r="D3954" s="156">
        <f t="shared" si="62"/>
        <v>-9.7750559415851878E-3</v>
      </c>
      <c r="E3954" s="156">
        <v>-1.15086546939534E-2</v>
      </c>
      <c r="G3954" s="156"/>
    </row>
    <row r="3955" spans="2:7" x14ac:dyDescent="0.2">
      <c r="B3955" s="230">
        <v>40178</v>
      </c>
      <c r="C3955" s="124">
        <v>83.13</v>
      </c>
      <c r="D3955" s="156">
        <f t="shared" si="62"/>
        <v>-1.129876308277834E-2</v>
      </c>
      <c r="E3955" s="156">
        <v>-1.1521580102413963E-2</v>
      </c>
      <c r="G3955" s="156"/>
    </row>
    <row r="3956" spans="2:7" x14ac:dyDescent="0.2">
      <c r="B3956" s="230">
        <v>40177</v>
      </c>
      <c r="C3956" s="124">
        <v>83.1</v>
      </c>
      <c r="D3956" s="156">
        <f t="shared" si="62"/>
        <v>-3.6088054853844747E-4</v>
      </c>
      <c r="E3956" s="156">
        <v>-1.1528608027326987E-2</v>
      </c>
      <c r="G3956" s="156"/>
    </row>
    <row r="3957" spans="2:7" x14ac:dyDescent="0.2">
      <c r="B3957" s="230">
        <v>40176</v>
      </c>
      <c r="C3957" s="124">
        <v>84.92</v>
      </c>
      <c r="D3957" s="156">
        <f t="shared" si="62"/>
        <v>2.190132370637795E-2</v>
      </c>
      <c r="E3957" s="156">
        <v>-1.1543469551282085E-2</v>
      </c>
      <c r="G3957" s="156"/>
    </row>
    <row r="3958" spans="2:7" x14ac:dyDescent="0.2">
      <c r="B3958" s="230">
        <v>40171</v>
      </c>
      <c r="C3958" s="124">
        <v>84.81</v>
      </c>
      <c r="D3958" s="156">
        <f t="shared" si="62"/>
        <v>-1.2953367875647602E-3</v>
      </c>
      <c r="E3958" s="156">
        <v>-1.1546788549434715E-2</v>
      </c>
      <c r="G3958" s="156"/>
    </row>
    <row r="3959" spans="2:7" x14ac:dyDescent="0.2">
      <c r="B3959" s="230">
        <v>40170</v>
      </c>
      <c r="C3959" s="124">
        <v>84.06</v>
      </c>
      <c r="D3959" s="156">
        <f t="shared" si="62"/>
        <v>-8.843296781039971E-3</v>
      </c>
      <c r="E3959" s="156">
        <v>-1.1549357158422339E-2</v>
      </c>
      <c r="G3959" s="156"/>
    </row>
    <row r="3960" spans="2:7" x14ac:dyDescent="0.2">
      <c r="B3960" s="230">
        <v>40169</v>
      </c>
      <c r="C3960" s="124">
        <v>81.63</v>
      </c>
      <c r="D3960" s="156">
        <f t="shared" si="62"/>
        <v>-2.8907922912205647E-2</v>
      </c>
      <c r="E3960" s="156">
        <v>-1.1551448373911598E-2</v>
      </c>
      <c r="G3960" s="156"/>
    </row>
    <row r="3961" spans="2:7" x14ac:dyDescent="0.2">
      <c r="B3961" s="230">
        <v>40168</v>
      </c>
      <c r="C3961" s="124">
        <v>81.150000000000006</v>
      </c>
      <c r="D3961" s="156">
        <f t="shared" si="62"/>
        <v>-5.8801911062108265E-3</v>
      </c>
      <c r="E3961" s="156">
        <v>-1.1551483768173693E-2</v>
      </c>
      <c r="G3961" s="156"/>
    </row>
    <row r="3962" spans="2:7" x14ac:dyDescent="0.2">
      <c r="B3962" s="230">
        <v>40165</v>
      </c>
      <c r="C3962" s="124">
        <v>81.88</v>
      </c>
      <c r="D3962" s="156">
        <f t="shared" si="62"/>
        <v>8.9956869993837296E-3</v>
      </c>
      <c r="E3962" s="156">
        <v>-1.1570247933884243E-2</v>
      </c>
      <c r="G3962" s="156"/>
    </row>
    <row r="3963" spans="2:7" x14ac:dyDescent="0.2">
      <c r="B3963" s="230">
        <v>40164</v>
      </c>
      <c r="C3963" s="124">
        <v>82.62</v>
      </c>
      <c r="D3963" s="156">
        <f t="shared" si="62"/>
        <v>9.0376160234490605E-3</v>
      </c>
      <c r="E3963" s="156">
        <v>-1.1582362129039995E-2</v>
      </c>
      <c r="G3963" s="156"/>
    </row>
    <row r="3964" spans="2:7" x14ac:dyDescent="0.2">
      <c r="B3964" s="230">
        <v>40163</v>
      </c>
      <c r="C3964" s="124">
        <v>82.67</v>
      </c>
      <c r="D3964" s="156">
        <f t="shared" si="62"/>
        <v>6.0518034374240084E-4</v>
      </c>
      <c r="E3964" s="156">
        <v>-1.1583924349881742E-2</v>
      </c>
      <c r="G3964" s="156"/>
    </row>
    <row r="3965" spans="2:7" x14ac:dyDescent="0.2">
      <c r="B3965" s="230">
        <v>40162</v>
      </c>
      <c r="C3965" s="124">
        <v>83.35</v>
      </c>
      <c r="D3965" s="156">
        <f t="shared" si="62"/>
        <v>8.2254747792426825E-3</v>
      </c>
      <c r="E3965" s="156">
        <v>-1.1591874210949052E-2</v>
      </c>
      <c r="G3965" s="156"/>
    </row>
    <row r="3966" spans="2:7" x14ac:dyDescent="0.2">
      <c r="B3966" s="230">
        <v>40161</v>
      </c>
      <c r="C3966" s="124">
        <v>83.1</v>
      </c>
      <c r="D3966" s="156">
        <f t="shared" ref="D3966:D4029" si="63">(C3966-C3965)/C3965</f>
        <v>-2.999400119976005E-3</v>
      </c>
      <c r="E3966" s="156">
        <v>-1.1603053435114582E-2</v>
      </c>
      <c r="G3966" s="156"/>
    </row>
    <row r="3967" spans="2:7" x14ac:dyDescent="0.2">
      <c r="B3967" s="230">
        <v>40158</v>
      </c>
      <c r="C3967" s="124">
        <v>83.78</v>
      </c>
      <c r="D3967" s="156">
        <f t="shared" si="63"/>
        <v>8.1829121540313698E-3</v>
      </c>
      <c r="E3967" s="156">
        <v>-1.1632323615990965E-2</v>
      </c>
      <c r="G3967" s="156"/>
    </row>
    <row r="3968" spans="2:7" x14ac:dyDescent="0.2">
      <c r="B3968" s="230">
        <v>40157</v>
      </c>
      <c r="C3968" s="124">
        <v>84.26</v>
      </c>
      <c r="D3968" s="156">
        <f t="shared" si="63"/>
        <v>5.7292910002387683E-3</v>
      </c>
      <c r="E3968" s="156">
        <v>-1.163743648582201E-2</v>
      </c>
      <c r="G3968" s="156"/>
    </row>
    <row r="3969" spans="2:7" x14ac:dyDescent="0.2">
      <c r="B3969" s="230">
        <v>40156</v>
      </c>
      <c r="C3969" s="124">
        <v>85.04</v>
      </c>
      <c r="D3969" s="156">
        <f t="shared" si="63"/>
        <v>9.2570614763826387E-3</v>
      </c>
      <c r="E3969" s="156">
        <v>-1.1661058741941191E-2</v>
      </c>
      <c r="G3969" s="156"/>
    </row>
    <row r="3970" spans="2:7" x14ac:dyDescent="0.2">
      <c r="B3970" s="230">
        <v>40155</v>
      </c>
      <c r="C3970" s="124">
        <v>85.72</v>
      </c>
      <c r="D3970" s="156">
        <f t="shared" si="63"/>
        <v>7.996237064910542E-3</v>
      </c>
      <c r="E3970" s="156">
        <v>-1.1661250238960089E-2</v>
      </c>
      <c r="G3970" s="156"/>
    </row>
    <row r="3971" spans="2:7" x14ac:dyDescent="0.2">
      <c r="B3971" s="230">
        <v>40154</v>
      </c>
      <c r="C3971" s="124">
        <v>84.46</v>
      </c>
      <c r="D3971" s="156">
        <f t="shared" si="63"/>
        <v>-1.4699020065329037E-2</v>
      </c>
      <c r="E3971" s="156">
        <v>-1.1664899257688169E-2</v>
      </c>
      <c r="G3971" s="156"/>
    </row>
    <row r="3972" spans="2:7" x14ac:dyDescent="0.2">
      <c r="B3972" s="230">
        <v>40151</v>
      </c>
      <c r="C3972" s="124">
        <v>85.09</v>
      </c>
      <c r="D3972" s="156">
        <f t="shared" si="63"/>
        <v>7.4591522614256417E-3</v>
      </c>
      <c r="E3972" s="156">
        <v>-1.1665888940737284E-2</v>
      </c>
      <c r="G3972" s="156"/>
    </row>
    <row r="3973" spans="2:7" x14ac:dyDescent="0.2">
      <c r="B3973" s="230">
        <v>40150</v>
      </c>
      <c r="C3973" s="124">
        <v>84.68</v>
      </c>
      <c r="D3973" s="156">
        <f t="shared" si="63"/>
        <v>-4.8184275473028152E-3</v>
      </c>
      <c r="E3973" s="156">
        <v>-1.1666666666666652E-2</v>
      </c>
      <c r="G3973" s="156"/>
    </row>
    <row r="3974" spans="2:7" x14ac:dyDescent="0.2">
      <c r="B3974" s="230">
        <v>40149</v>
      </c>
      <c r="C3974" s="124">
        <v>85.19</v>
      </c>
      <c r="D3974" s="156">
        <f t="shared" si="63"/>
        <v>6.0226735947093869E-3</v>
      </c>
      <c r="E3974" s="156">
        <v>-1.1684106799305564E-2</v>
      </c>
      <c r="G3974" s="156"/>
    </row>
    <row r="3975" spans="2:7" x14ac:dyDescent="0.2">
      <c r="B3975" s="230">
        <v>40148</v>
      </c>
      <c r="C3975" s="124">
        <v>85.54</v>
      </c>
      <c r="D3975" s="156">
        <f t="shared" si="63"/>
        <v>4.1084634346755314E-3</v>
      </c>
      <c r="E3975" s="156">
        <v>-1.1685552407931952E-2</v>
      </c>
      <c r="G3975" s="156"/>
    </row>
    <row r="3976" spans="2:7" x14ac:dyDescent="0.2">
      <c r="B3976" s="230">
        <v>40147</v>
      </c>
      <c r="C3976" s="124">
        <v>85.22</v>
      </c>
      <c r="D3976" s="156">
        <f t="shared" si="63"/>
        <v>-3.740939911152763E-3</v>
      </c>
      <c r="E3976" s="156">
        <v>-1.169466298107591E-2</v>
      </c>
      <c r="G3976" s="156"/>
    </row>
    <row r="3977" spans="2:7" x14ac:dyDescent="0.2">
      <c r="B3977" s="230">
        <v>40144</v>
      </c>
      <c r="C3977" s="124">
        <v>84.96</v>
      </c>
      <c r="D3977" s="156">
        <f t="shared" si="63"/>
        <v>-3.0509270124384549E-3</v>
      </c>
      <c r="E3977" s="156">
        <v>-1.1702153487581619E-2</v>
      </c>
      <c r="G3977" s="156"/>
    </row>
    <row r="3978" spans="2:7" x14ac:dyDescent="0.2">
      <c r="B3978" s="230">
        <v>40143</v>
      </c>
      <c r="C3978" s="124">
        <v>86.62</v>
      </c>
      <c r="D3978" s="156">
        <f t="shared" si="63"/>
        <v>1.953860640301331E-2</v>
      </c>
      <c r="E3978" s="156">
        <v>-1.1705685618729145E-2</v>
      </c>
      <c r="G3978" s="156"/>
    </row>
    <row r="3979" spans="2:7" x14ac:dyDescent="0.2">
      <c r="B3979" s="230">
        <v>40142</v>
      </c>
      <c r="C3979" s="124">
        <v>89.13</v>
      </c>
      <c r="D3979" s="156">
        <f t="shared" si="63"/>
        <v>2.8977141537750991E-2</v>
      </c>
      <c r="E3979" s="156">
        <v>-1.1742358832671383E-2</v>
      </c>
      <c r="G3979" s="156"/>
    </row>
    <row r="3980" spans="2:7" x14ac:dyDescent="0.2">
      <c r="B3980" s="230">
        <v>40141</v>
      </c>
      <c r="C3980" s="124">
        <v>87.44</v>
      </c>
      <c r="D3980" s="156">
        <f t="shared" si="63"/>
        <v>-1.8961068102771209E-2</v>
      </c>
      <c r="E3980" s="156">
        <v>-1.1771300448430619E-2</v>
      </c>
      <c r="G3980" s="156"/>
    </row>
    <row r="3981" spans="2:7" x14ac:dyDescent="0.2">
      <c r="B3981" s="230">
        <v>40140</v>
      </c>
      <c r="C3981" s="124">
        <v>89.1</v>
      </c>
      <c r="D3981" s="156">
        <f t="shared" si="63"/>
        <v>1.8984446477584592E-2</v>
      </c>
      <c r="E3981" s="156">
        <v>-1.1785951905712336E-2</v>
      </c>
      <c r="G3981" s="156"/>
    </row>
    <row r="3982" spans="2:7" x14ac:dyDescent="0.2">
      <c r="B3982" s="230">
        <v>40137</v>
      </c>
      <c r="C3982" s="124">
        <v>86.15</v>
      </c>
      <c r="D3982" s="156">
        <f t="shared" si="63"/>
        <v>-3.3108866442199653E-2</v>
      </c>
      <c r="E3982" s="156">
        <v>-1.1807447774750202E-2</v>
      </c>
      <c r="G3982" s="156"/>
    </row>
    <row r="3983" spans="2:7" x14ac:dyDescent="0.2">
      <c r="B3983" s="230">
        <v>40136</v>
      </c>
      <c r="C3983" s="124">
        <v>85.07</v>
      </c>
      <c r="D3983" s="156">
        <f t="shared" si="63"/>
        <v>-1.2536273940801073E-2</v>
      </c>
      <c r="E3983" s="156">
        <v>-1.1809243982370909E-2</v>
      </c>
      <c r="G3983" s="156"/>
    </row>
    <row r="3984" spans="2:7" x14ac:dyDescent="0.2">
      <c r="B3984" s="230">
        <v>40135</v>
      </c>
      <c r="C3984" s="124">
        <v>85.77</v>
      </c>
      <c r="D3984" s="156">
        <f t="shared" si="63"/>
        <v>8.2285176913130705E-3</v>
      </c>
      <c r="E3984" s="156">
        <v>-1.1823899371069153E-2</v>
      </c>
      <c r="G3984" s="156"/>
    </row>
    <row r="3985" spans="2:7" x14ac:dyDescent="0.2">
      <c r="B3985" s="230">
        <v>40134</v>
      </c>
      <c r="C3985" s="124">
        <v>84.41</v>
      </c>
      <c r="D3985" s="156">
        <f t="shared" si="63"/>
        <v>-1.5856360032645442E-2</v>
      </c>
      <c r="E3985" s="156">
        <v>-1.1833804655209916E-2</v>
      </c>
      <c r="G3985" s="156"/>
    </row>
    <row r="3986" spans="2:7" x14ac:dyDescent="0.2">
      <c r="B3986" s="230">
        <v>40133</v>
      </c>
      <c r="C3986" s="124">
        <v>84.73</v>
      </c>
      <c r="D3986" s="156">
        <f t="shared" si="63"/>
        <v>3.7910200213245753E-3</v>
      </c>
      <c r="E3986" s="156">
        <v>-1.1853448275862068E-2</v>
      </c>
      <c r="G3986" s="156"/>
    </row>
    <row r="3987" spans="2:7" x14ac:dyDescent="0.2">
      <c r="B3987" s="230">
        <v>40130</v>
      </c>
      <c r="C3987" s="124">
        <v>84.36</v>
      </c>
      <c r="D3987" s="156">
        <f t="shared" si="63"/>
        <v>-4.3668122270742894E-3</v>
      </c>
      <c r="E3987" s="156">
        <v>-1.1859219586839963E-2</v>
      </c>
      <c r="G3987" s="156"/>
    </row>
    <row r="3988" spans="2:7" x14ac:dyDescent="0.2">
      <c r="B3988" s="230">
        <v>40129</v>
      </c>
      <c r="C3988" s="124">
        <v>83.85</v>
      </c>
      <c r="D3988" s="156">
        <f t="shared" si="63"/>
        <v>-6.045519203414001E-3</v>
      </c>
      <c r="E3988" s="156">
        <v>-1.1866808359900895E-2</v>
      </c>
      <c r="G3988" s="156"/>
    </row>
    <row r="3989" spans="2:7" x14ac:dyDescent="0.2">
      <c r="B3989" s="230">
        <v>40128</v>
      </c>
      <c r="C3989" s="124">
        <v>85.14</v>
      </c>
      <c r="D3989" s="156">
        <f t="shared" si="63"/>
        <v>1.538461538461546E-2</v>
      </c>
      <c r="E3989" s="156">
        <v>-1.1867442901925528E-2</v>
      </c>
      <c r="G3989" s="156"/>
    </row>
    <row r="3990" spans="2:7" x14ac:dyDescent="0.2">
      <c r="B3990" s="230">
        <v>40127</v>
      </c>
      <c r="C3990" s="124">
        <v>85.34</v>
      </c>
      <c r="D3990" s="156">
        <f t="shared" si="63"/>
        <v>2.3490721165140105E-3</v>
      </c>
      <c r="E3990" s="156">
        <v>-1.1870467865302547E-2</v>
      </c>
      <c r="G3990" s="156"/>
    </row>
    <row r="3991" spans="2:7" x14ac:dyDescent="0.2">
      <c r="B3991" s="230">
        <v>40126</v>
      </c>
      <c r="C3991" s="124">
        <v>85.87</v>
      </c>
      <c r="D3991" s="156">
        <f t="shared" si="63"/>
        <v>6.2104523084134181E-3</v>
      </c>
      <c r="E3991" s="156">
        <v>-1.1875184233797924E-2</v>
      </c>
      <c r="G3991" s="156"/>
    </row>
    <row r="3992" spans="2:7" x14ac:dyDescent="0.2">
      <c r="B3992" s="230">
        <v>40123</v>
      </c>
      <c r="C3992" s="124">
        <v>82.49</v>
      </c>
      <c r="D3992" s="156">
        <f t="shared" si="63"/>
        <v>-3.9361826016070918E-2</v>
      </c>
      <c r="E3992" s="156">
        <v>-1.1890544680409117E-2</v>
      </c>
      <c r="G3992" s="156"/>
    </row>
    <row r="3993" spans="2:7" x14ac:dyDescent="0.2">
      <c r="B3993" s="230">
        <v>40122</v>
      </c>
      <c r="C3993" s="124">
        <v>83.58</v>
      </c>
      <c r="D3993" s="156">
        <f t="shared" si="63"/>
        <v>1.3213722875500104E-2</v>
      </c>
      <c r="E3993" s="156">
        <v>-1.189712486149176E-2</v>
      </c>
      <c r="G3993" s="156"/>
    </row>
    <row r="3994" spans="2:7" x14ac:dyDescent="0.2">
      <c r="B3994" s="230">
        <v>40121</v>
      </c>
      <c r="C3994" s="124">
        <v>84.39</v>
      </c>
      <c r="D3994" s="156">
        <f t="shared" si="63"/>
        <v>9.6913137114142418E-3</v>
      </c>
      <c r="E3994" s="156">
        <v>-1.1911392947426937E-2</v>
      </c>
      <c r="G3994" s="156"/>
    </row>
    <row r="3995" spans="2:7" x14ac:dyDescent="0.2">
      <c r="B3995" s="230">
        <v>40120</v>
      </c>
      <c r="C3995" s="124">
        <v>82.39</v>
      </c>
      <c r="D3995" s="156">
        <f t="shared" si="63"/>
        <v>-2.369949046095509E-2</v>
      </c>
      <c r="E3995" s="156">
        <v>-1.1915508214479214E-2</v>
      </c>
      <c r="G3995" s="156"/>
    </row>
    <row r="3996" spans="2:7" x14ac:dyDescent="0.2">
      <c r="B3996" s="230">
        <v>40116</v>
      </c>
      <c r="C3996" s="124">
        <v>84.46</v>
      </c>
      <c r="D3996" s="156">
        <f t="shared" si="63"/>
        <v>2.5124408301978311E-2</v>
      </c>
      <c r="E3996" s="156">
        <v>-1.1918274687854802E-2</v>
      </c>
      <c r="G3996" s="156"/>
    </row>
    <row r="3997" spans="2:7" x14ac:dyDescent="0.2">
      <c r="B3997" s="230">
        <v>40115</v>
      </c>
      <c r="C3997" s="124">
        <v>85.95</v>
      </c>
      <c r="D3997" s="156">
        <f t="shared" si="63"/>
        <v>1.7641487094482704E-2</v>
      </c>
      <c r="E3997" s="156">
        <v>-1.1959805190802033E-2</v>
      </c>
      <c r="G3997" s="156"/>
    </row>
    <row r="3998" spans="2:7" x14ac:dyDescent="0.2">
      <c r="B3998" s="230">
        <v>40114</v>
      </c>
      <c r="C3998" s="124">
        <v>85.89</v>
      </c>
      <c r="D3998" s="156">
        <f t="shared" si="63"/>
        <v>-6.9808027923213807E-4</v>
      </c>
      <c r="E3998" s="156">
        <v>-1.1967213114754023E-2</v>
      </c>
      <c r="G3998" s="156"/>
    </row>
    <row r="3999" spans="2:7" x14ac:dyDescent="0.2">
      <c r="B3999" s="230">
        <v>40113</v>
      </c>
      <c r="C3999" s="124">
        <v>86.38</v>
      </c>
      <c r="D3999" s="156">
        <f t="shared" si="63"/>
        <v>5.7049714751425647E-3</v>
      </c>
      <c r="E3999" s="156">
        <v>-1.1971449222985207E-2</v>
      </c>
      <c r="G3999" s="156"/>
    </row>
    <row r="4000" spans="2:7" x14ac:dyDescent="0.2">
      <c r="B4000" s="230">
        <v>40112</v>
      </c>
      <c r="C4000" s="124">
        <v>87.74</v>
      </c>
      <c r="D4000" s="156">
        <f t="shared" si="63"/>
        <v>1.5744385274369062E-2</v>
      </c>
      <c r="E4000" s="156">
        <v>-1.1972507575197728E-2</v>
      </c>
      <c r="G4000" s="156"/>
    </row>
    <row r="4001" spans="2:7" x14ac:dyDescent="0.2">
      <c r="B4001" s="230">
        <v>40109</v>
      </c>
      <c r="C4001" s="124">
        <v>86.25</v>
      </c>
      <c r="D4001" s="156">
        <f t="shared" si="63"/>
        <v>-1.6981992249828982E-2</v>
      </c>
      <c r="E4001" s="156">
        <v>-1.1973517396816506E-2</v>
      </c>
      <c r="G4001" s="156"/>
    </row>
    <row r="4002" spans="2:7" x14ac:dyDescent="0.2">
      <c r="B4002" s="230">
        <v>40108</v>
      </c>
      <c r="C4002" s="124">
        <v>82.16</v>
      </c>
      <c r="D4002" s="156">
        <f t="shared" si="63"/>
        <v>-4.7420289855072503E-2</v>
      </c>
      <c r="E4002" s="156">
        <v>-1.1981100236247084E-2</v>
      </c>
      <c r="G4002" s="156"/>
    </row>
    <row r="4003" spans="2:7" x14ac:dyDescent="0.2">
      <c r="B4003" s="230">
        <v>40107</v>
      </c>
      <c r="C4003" s="124">
        <v>80.78</v>
      </c>
      <c r="D4003" s="156">
        <f t="shared" si="63"/>
        <v>-1.6796494644595854E-2</v>
      </c>
      <c r="E4003" s="156">
        <v>-1.1995637949836423E-2</v>
      </c>
      <c r="G4003" s="156"/>
    </row>
    <row r="4004" spans="2:7" x14ac:dyDescent="0.2">
      <c r="B4004" s="230">
        <v>40106</v>
      </c>
      <c r="C4004" s="124">
        <v>83.02</v>
      </c>
      <c r="D4004" s="156">
        <f t="shared" si="63"/>
        <v>2.7729636048526799E-2</v>
      </c>
      <c r="E4004" s="156">
        <v>-1.2024502760341855E-2</v>
      </c>
      <c r="G4004" s="156"/>
    </row>
    <row r="4005" spans="2:7" x14ac:dyDescent="0.2">
      <c r="B4005" s="230">
        <v>40103</v>
      </c>
      <c r="C4005" s="124">
        <v>83.04</v>
      </c>
      <c r="D4005" s="156">
        <f t="shared" si="63"/>
        <v>2.4090580583004375E-4</v>
      </c>
      <c r="E4005" s="156">
        <v>-1.2045753618787304E-2</v>
      </c>
      <c r="G4005" s="156"/>
    </row>
    <row r="4006" spans="2:7" x14ac:dyDescent="0.2">
      <c r="B4006" s="230">
        <v>40102</v>
      </c>
      <c r="C4006" s="124">
        <v>83.67</v>
      </c>
      <c r="D4006" s="156">
        <f t="shared" si="63"/>
        <v>7.5867052023120838E-3</v>
      </c>
      <c r="E4006" s="156">
        <v>-1.2047170611690861E-2</v>
      </c>
      <c r="G4006" s="156"/>
    </row>
    <row r="4007" spans="2:7" x14ac:dyDescent="0.2">
      <c r="B4007" s="230">
        <v>40101</v>
      </c>
      <c r="C4007" s="124">
        <v>84.99</v>
      </c>
      <c r="D4007" s="156">
        <f t="shared" si="63"/>
        <v>1.577626389386869E-2</v>
      </c>
      <c r="E4007" s="156">
        <v>-1.2059588555213918E-2</v>
      </c>
      <c r="G4007" s="156"/>
    </row>
    <row r="4008" spans="2:7" x14ac:dyDescent="0.2">
      <c r="B4008" s="230">
        <v>40100</v>
      </c>
      <c r="C4008" s="124">
        <v>85.75</v>
      </c>
      <c r="D4008" s="156">
        <f t="shared" si="63"/>
        <v>8.9422284974703514E-3</v>
      </c>
      <c r="E4008" s="156">
        <v>-1.2068600465805608E-2</v>
      </c>
      <c r="G4008" s="156"/>
    </row>
    <row r="4009" spans="2:7" x14ac:dyDescent="0.2">
      <c r="B4009" s="230">
        <v>40098</v>
      </c>
      <c r="C4009" s="124">
        <v>85.64</v>
      </c>
      <c r="D4009" s="156">
        <f t="shared" si="63"/>
        <v>-1.2827988338192354E-3</v>
      </c>
      <c r="E4009" s="156">
        <v>-1.2088007652839383E-2</v>
      </c>
      <c r="G4009" s="156"/>
    </row>
    <row r="4010" spans="2:7" x14ac:dyDescent="0.2">
      <c r="B4010" s="230">
        <v>40095</v>
      </c>
      <c r="C4010" s="124">
        <v>82.75</v>
      </c>
      <c r="D4010" s="156">
        <f t="shared" si="63"/>
        <v>-3.3745913124708087E-2</v>
      </c>
      <c r="E4010" s="156">
        <v>-1.2099644128113799E-2</v>
      </c>
      <c r="G4010" s="156"/>
    </row>
    <row r="4011" spans="2:7" x14ac:dyDescent="0.2">
      <c r="B4011" s="230">
        <v>40094</v>
      </c>
      <c r="C4011" s="124">
        <v>83.12</v>
      </c>
      <c r="D4011" s="156">
        <f t="shared" si="63"/>
        <v>4.4712990936556438E-3</v>
      </c>
      <c r="E4011" s="156">
        <v>-1.2100980596703491E-2</v>
      </c>
      <c r="G4011" s="156"/>
    </row>
    <row r="4012" spans="2:7" x14ac:dyDescent="0.2">
      <c r="B4012" s="230">
        <v>40093</v>
      </c>
      <c r="C4012" s="124">
        <v>81.2</v>
      </c>
      <c r="D4012" s="156">
        <f t="shared" si="63"/>
        <v>-2.3099133782483176E-2</v>
      </c>
      <c r="E4012" s="156">
        <v>-1.2128691803557726E-2</v>
      </c>
      <c r="G4012" s="156"/>
    </row>
    <row r="4013" spans="2:7" x14ac:dyDescent="0.2">
      <c r="B4013" s="230">
        <v>40092</v>
      </c>
      <c r="C4013" s="124">
        <v>82.06</v>
      </c>
      <c r="D4013" s="156">
        <f t="shared" si="63"/>
        <v>1.05911330049261E-2</v>
      </c>
      <c r="E4013" s="156">
        <v>-1.2143290831815421E-2</v>
      </c>
      <c r="G4013" s="156"/>
    </row>
    <row r="4014" spans="2:7" x14ac:dyDescent="0.2">
      <c r="B4014" s="230">
        <v>40091</v>
      </c>
      <c r="C4014" s="124">
        <v>79.069999999999993</v>
      </c>
      <c r="D4014" s="156">
        <f t="shared" si="63"/>
        <v>-3.6436753594930649E-2</v>
      </c>
      <c r="E4014" s="156">
        <v>-1.2143900657414155E-2</v>
      </c>
      <c r="G4014" s="156"/>
    </row>
    <row r="4015" spans="2:7" x14ac:dyDescent="0.2">
      <c r="B4015" s="230">
        <v>40087</v>
      </c>
      <c r="C4015" s="124">
        <v>77.09</v>
      </c>
      <c r="D4015" s="156">
        <f t="shared" si="63"/>
        <v>-2.5041102820285696E-2</v>
      </c>
      <c r="E4015" s="156">
        <v>-1.2154166000319815E-2</v>
      </c>
      <c r="G4015" s="156"/>
    </row>
    <row r="4016" spans="2:7" x14ac:dyDescent="0.2">
      <c r="B4016" s="230">
        <v>40086</v>
      </c>
      <c r="C4016" s="124">
        <v>77.25</v>
      </c>
      <c r="D4016" s="156">
        <f t="shared" si="63"/>
        <v>2.075496173303886E-3</v>
      </c>
      <c r="E4016" s="156">
        <v>-1.2184354582376917E-2</v>
      </c>
      <c r="G4016" s="156"/>
    </row>
    <row r="4017" spans="2:7" x14ac:dyDescent="0.2">
      <c r="B4017" s="230">
        <v>40085</v>
      </c>
      <c r="C4017" s="124">
        <v>77.650000000000006</v>
      </c>
      <c r="D4017" s="156">
        <f t="shared" si="63"/>
        <v>5.1779935275081644E-3</v>
      </c>
      <c r="E4017" s="156">
        <v>-1.2186709588411155E-2</v>
      </c>
      <c r="G4017" s="156"/>
    </row>
    <row r="4018" spans="2:7" x14ac:dyDescent="0.2">
      <c r="B4018" s="230">
        <v>40081</v>
      </c>
      <c r="C4018" s="124">
        <v>77.900000000000006</v>
      </c>
      <c r="D4018" s="156">
        <f t="shared" si="63"/>
        <v>3.2195750160978749E-3</v>
      </c>
      <c r="E4018" s="156">
        <v>-1.2201409176834523E-2</v>
      </c>
      <c r="G4018" s="156"/>
    </row>
    <row r="4019" spans="2:7" x14ac:dyDescent="0.2">
      <c r="B4019" s="230">
        <v>40080</v>
      </c>
      <c r="C4019" s="124">
        <v>77.09</v>
      </c>
      <c r="D4019" s="156">
        <f t="shared" si="63"/>
        <v>-1.0397946084724033E-2</v>
      </c>
      <c r="E4019" s="156">
        <v>-1.2219959266802444E-2</v>
      </c>
      <c r="G4019" s="156"/>
    </row>
    <row r="4020" spans="2:7" x14ac:dyDescent="0.2">
      <c r="B4020" s="230">
        <v>40079</v>
      </c>
      <c r="C4020" s="124">
        <v>76.41</v>
      </c>
      <c r="D4020" s="156">
        <f t="shared" si="63"/>
        <v>-8.820858736541792E-3</v>
      </c>
      <c r="E4020" s="156">
        <v>-1.2228547332911623E-2</v>
      </c>
      <c r="G4020" s="156"/>
    </row>
    <row r="4021" spans="2:7" x14ac:dyDescent="0.2">
      <c r="B4021" s="230">
        <v>40078</v>
      </c>
      <c r="C4021" s="124">
        <v>77.349999999999994</v>
      </c>
      <c r="D4021" s="156">
        <f t="shared" si="63"/>
        <v>1.2302054704881531E-2</v>
      </c>
      <c r="E4021" s="156">
        <v>-1.2243931320307912E-2</v>
      </c>
      <c r="G4021" s="156"/>
    </row>
    <row r="4022" spans="2:7" x14ac:dyDescent="0.2">
      <c r="B4022" s="230">
        <v>40074</v>
      </c>
      <c r="C4022" s="124">
        <v>75.209999999999994</v>
      </c>
      <c r="D4022" s="156">
        <f t="shared" si="63"/>
        <v>-2.766645119586297E-2</v>
      </c>
      <c r="E4022" s="156">
        <v>-1.2314509480626621E-2</v>
      </c>
      <c r="G4022" s="156"/>
    </row>
    <row r="4023" spans="2:7" x14ac:dyDescent="0.2">
      <c r="B4023" s="230">
        <v>40073</v>
      </c>
      <c r="C4023" s="124">
        <v>75.84</v>
      </c>
      <c r="D4023" s="156">
        <f t="shared" si="63"/>
        <v>8.3765456721181988E-3</v>
      </c>
      <c r="E4023" s="156">
        <v>-1.2317757764226046E-2</v>
      </c>
      <c r="G4023" s="156"/>
    </row>
    <row r="4024" spans="2:7" x14ac:dyDescent="0.2">
      <c r="B4024" s="230">
        <v>40072</v>
      </c>
      <c r="C4024" s="124">
        <v>76.59</v>
      </c>
      <c r="D4024" s="156">
        <f t="shared" si="63"/>
        <v>9.8892405063291128E-3</v>
      </c>
      <c r="E4024" s="156">
        <v>-1.2339150361360834E-2</v>
      </c>
      <c r="G4024" s="156"/>
    </row>
    <row r="4025" spans="2:7" x14ac:dyDescent="0.2">
      <c r="B4025" s="230">
        <v>40071</v>
      </c>
      <c r="C4025" s="124">
        <v>75.930000000000007</v>
      </c>
      <c r="D4025" s="156">
        <f t="shared" si="63"/>
        <v>-8.6173129651390071E-3</v>
      </c>
      <c r="E4025" s="156">
        <v>-1.2341493185054541E-2</v>
      </c>
      <c r="G4025" s="156"/>
    </row>
    <row r="4026" spans="2:7" x14ac:dyDescent="0.2">
      <c r="B4026" s="230">
        <v>40070</v>
      </c>
      <c r="C4026" s="124">
        <v>74.22</v>
      </c>
      <c r="D4026" s="156">
        <f t="shared" si="63"/>
        <v>-2.2520742789411404E-2</v>
      </c>
      <c r="E4026" s="156">
        <v>-1.2342631449024932E-2</v>
      </c>
      <c r="G4026" s="156"/>
    </row>
    <row r="4027" spans="2:7" x14ac:dyDescent="0.2">
      <c r="B4027" s="230">
        <v>40067</v>
      </c>
      <c r="C4027" s="124">
        <v>75.28</v>
      </c>
      <c r="D4027" s="156">
        <f t="shared" si="63"/>
        <v>1.4281864726488848E-2</v>
      </c>
      <c r="E4027" s="156">
        <v>-1.2375059495478362E-2</v>
      </c>
      <c r="G4027" s="156"/>
    </row>
    <row r="4028" spans="2:7" x14ac:dyDescent="0.2">
      <c r="B4028" s="230">
        <v>40066</v>
      </c>
      <c r="C4028" s="124">
        <v>75.930000000000007</v>
      </c>
      <c r="D4028" s="156">
        <f t="shared" si="63"/>
        <v>8.6344314558980569E-3</v>
      </c>
      <c r="E4028" s="156">
        <v>-1.2386850881372055E-2</v>
      </c>
      <c r="G4028" s="156"/>
    </row>
    <row r="4029" spans="2:7" x14ac:dyDescent="0.2">
      <c r="B4029" s="230">
        <v>40065</v>
      </c>
      <c r="C4029" s="124">
        <v>75.25</v>
      </c>
      <c r="D4029" s="156">
        <f t="shared" si="63"/>
        <v>-8.955617015672419E-3</v>
      </c>
      <c r="E4029" s="156">
        <v>-1.2396694214876056E-2</v>
      </c>
      <c r="G4029" s="156"/>
    </row>
    <row r="4030" spans="2:7" x14ac:dyDescent="0.2">
      <c r="B4030" s="230">
        <v>40064</v>
      </c>
      <c r="C4030" s="124">
        <v>75.790000000000006</v>
      </c>
      <c r="D4030" s="156">
        <f t="shared" ref="D4030:D4093" si="64">(C4030-C4029)/C4029</f>
        <v>7.1760797342193521E-3</v>
      </c>
      <c r="E4030" s="156">
        <v>-1.2412304371289887E-2</v>
      </c>
      <c r="G4030" s="156"/>
    </row>
    <row r="4031" spans="2:7" x14ac:dyDescent="0.2">
      <c r="B4031" s="230">
        <v>40063</v>
      </c>
      <c r="C4031" s="124">
        <v>76.59</v>
      </c>
      <c r="D4031" s="156">
        <f t="shared" si="64"/>
        <v>1.0555482253595422E-2</v>
      </c>
      <c r="E4031" s="156">
        <v>-1.2413481793559866E-2</v>
      </c>
      <c r="G4031" s="156"/>
    </row>
    <row r="4032" spans="2:7" x14ac:dyDescent="0.2">
      <c r="B4032" s="230">
        <v>40060</v>
      </c>
      <c r="C4032" s="124">
        <v>77.319999999999993</v>
      </c>
      <c r="D4032" s="156">
        <f t="shared" si="64"/>
        <v>9.5312704008354843E-3</v>
      </c>
      <c r="E4032" s="156">
        <v>-1.242943213624937E-2</v>
      </c>
      <c r="G4032" s="156"/>
    </row>
    <row r="4033" spans="2:7" x14ac:dyDescent="0.2">
      <c r="B4033" s="230">
        <v>40059</v>
      </c>
      <c r="C4033" s="124">
        <v>75.180000000000007</v>
      </c>
      <c r="D4033" s="156">
        <f t="shared" si="64"/>
        <v>-2.7677185721675976E-2</v>
      </c>
      <c r="E4033" s="156">
        <v>-1.2451696006869925E-2</v>
      </c>
      <c r="G4033" s="156"/>
    </row>
    <row r="4034" spans="2:7" x14ac:dyDescent="0.2">
      <c r="B4034" s="230">
        <v>40058</v>
      </c>
      <c r="C4034" s="124">
        <v>75.59</v>
      </c>
      <c r="D4034" s="156">
        <f t="shared" si="64"/>
        <v>5.4535780792763578E-3</v>
      </c>
      <c r="E4034" s="156">
        <v>-1.2452299658565955E-2</v>
      </c>
      <c r="G4034" s="156"/>
    </row>
    <row r="4035" spans="2:7" x14ac:dyDescent="0.2">
      <c r="B4035" s="230">
        <v>40057</v>
      </c>
      <c r="C4035" s="124">
        <v>76.290000000000006</v>
      </c>
      <c r="D4035" s="156">
        <f t="shared" si="64"/>
        <v>9.260484191030597E-3</v>
      </c>
      <c r="E4035" s="156">
        <v>-1.2454038666824813E-2</v>
      </c>
      <c r="G4035" s="156"/>
    </row>
    <row r="4036" spans="2:7" x14ac:dyDescent="0.2">
      <c r="B4036" s="230">
        <v>40056</v>
      </c>
      <c r="C4036" s="124">
        <v>76.55</v>
      </c>
      <c r="D4036" s="156">
        <f t="shared" si="64"/>
        <v>3.4080482369903118E-3</v>
      </c>
      <c r="E4036" s="156">
        <v>-1.2463176977113074E-2</v>
      </c>
      <c r="G4036" s="156"/>
    </row>
    <row r="4037" spans="2:7" x14ac:dyDescent="0.2">
      <c r="B4037" s="230">
        <v>40053</v>
      </c>
      <c r="C4037" s="124">
        <v>78.430000000000007</v>
      </c>
      <c r="D4037" s="156">
        <f t="shared" si="64"/>
        <v>2.4559111691704896E-2</v>
      </c>
      <c r="E4037" s="156">
        <v>-1.2476530797650064E-2</v>
      </c>
      <c r="G4037" s="156"/>
    </row>
    <row r="4038" spans="2:7" x14ac:dyDescent="0.2">
      <c r="B4038" s="230">
        <v>40052</v>
      </c>
      <c r="C4038" s="124">
        <v>79.52</v>
      </c>
      <c r="D4038" s="156">
        <f t="shared" si="64"/>
        <v>1.3897743210506045E-2</v>
      </c>
      <c r="E4038" s="156">
        <v>-1.2484394506866416E-2</v>
      </c>
      <c r="G4038" s="156"/>
    </row>
    <row r="4039" spans="2:7" x14ac:dyDescent="0.2">
      <c r="B4039" s="230">
        <v>40051</v>
      </c>
      <c r="C4039" s="124">
        <v>79.22</v>
      </c>
      <c r="D4039" s="156">
        <f t="shared" si="64"/>
        <v>-3.7726358148893004E-3</v>
      </c>
      <c r="E4039" s="156">
        <v>-1.2502385951517486E-2</v>
      </c>
      <c r="G4039" s="156"/>
    </row>
    <row r="4040" spans="2:7" x14ac:dyDescent="0.2">
      <c r="B4040" s="230">
        <v>40050</v>
      </c>
      <c r="C4040" s="124">
        <v>79.72</v>
      </c>
      <c r="D4040" s="156">
        <f t="shared" si="64"/>
        <v>6.3115374905326942E-3</v>
      </c>
      <c r="E4040" s="156">
        <v>-1.2502480650922713E-2</v>
      </c>
      <c r="G4040" s="156"/>
    </row>
    <row r="4041" spans="2:7" x14ac:dyDescent="0.2">
      <c r="B4041" s="230">
        <v>40049</v>
      </c>
      <c r="C4041" s="124">
        <v>79.540000000000006</v>
      </c>
      <c r="D4041" s="156">
        <f t="shared" si="64"/>
        <v>-2.257902659307484E-3</v>
      </c>
      <c r="E4041" s="156">
        <v>-1.2505484861781491E-2</v>
      </c>
      <c r="G4041" s="156"/>
    </row>
    <row r="4042" spans="2:7" x14ac:dyDescent="0.2">
      <c r="B4042" s="230">
        <v>40046</v>
      </c>
      <c r="C4042" s="124">
        <v>75.89</v>
      </c>
      <c r="D4042" s="156">
        <f t="shared" si="64"/>
        <v>-4.5888860950465245E-2</v>
      </c>
      <c r="E4042" s="156">
        <v>-1.2511663415047877E-2</v>
      </c>
      <c r="G4042" s="156"/>
    </row>
    <row r="4043" spans="2:7" x14ac:dyDescent="0.2">
      <c r="B4043" s="230">
        <v>40045</v>
      </c>
      <c r="C4043" s="124">
        <v>74.63</v>
      </c>
      <c r="D4043" s="156">
        <f t="shared" si="64"/>
        <v>-1.660297799446574E-2</v>
      </c>
      <c r="E4043" s="156">
        <v>-1.2529247490376606E-2</v>
      </c>
      <c r="G4043" s="156"/>
    </row>
    <row r="4044" spans="2:7" x14ac:dyDescent="0.2">
      <c r="B4044" s="230">
        <v>40044</v>
      </c>
      <c r="C4044" s="124">
        <v>73.87</v>
      </c>
      <c r="D4044" s="156">
        <f t="shared" si="64"/>
        <v>-1.0183572289963701E-2</v>
      </c>
      <c r="E4044" s="156">
        <v>-1.2536273940801073E-2</v>
      </c>
      <c r="G4044" s="156"/>
    </row>
    <row r="4045" spans="2:7" x14ac:dyDescent="0.2">
      <c r="B4045" s="230">
        <v>40043</v>
      </c>
      <c r="C4045" s="124">
        <v>74.48</v>
      </c>
      <c r="D4045" s="156">
        <f t="shared" si="64"/>
        <v>8.257750101529706E-3</v>
      </c>
      <c r="E4045" s="156">
        <v>-1.2569700406388794E-2</v>
      </c>
      <c r="G4045" s="156"/>
    </row>
    <row r="4046" spans="2:7" x14ac:dyDescent="0.2">
      <c r="B4046" s="230">
        <v>40042</v>
      </c>
      <c r="C4046" s="124">
        <v>73.77</v>
      </c>
      <c r="D4046" s="156">
        <f t="shared" si="64"/>
        <v>-9.5327604726102022E-3</v>
      </c>
      <c r="E4046" s="156">
        <v>-1.2569832402234563E-2</v>
      </c>
      <c r="G4046" s="156"/>
    </row>
    <row r="4047" spans="2:7" x14ac:dyDescent="0.2">
      <c r="B4047" s="230">
        <v>40039</v>
      </c>
      <c r="C4047" s="124">
        <v>77.88</v>
      </c>
      <c r="D4047" s="156">
        <f t="shared" si="64"/>
        <v>5.5713704758031717E-2</v>
      </c>
      <c r="E4047" s="156">
        <v>-1.2577123872804963E-2</v>
      </c>
      <c r="G4047" s="156"/>
    </row>
    <row r="4048" spans="2:7" x14ac:dyDescent="0.2">
      <c r="B4048" s="230">
        <v>40038</v>
      </c>
      <c r="C4048" s="124">
        <v>79.34</v>
      </c>
      <c r="D4048" s="156">
        <f t="shared" si="64"/>
        <v>1.8746789933230715E-2</v>
      </c>
      <c r="E4048" s="156">
        <v>-1.2582213325707685E-2</v>
      </c>
      <c r="G4048" s="156"/>
    </row>
    <row r="4049" spans="2:7" x14ac:dyDescent="0.2">
      <c r="B4049" s="230">
        <v>40037</v>
      </c>
      <c r="C4049" s="124">
        <v>75.53</v>
      </c>
      <c r="D4049" s="156">
        <f t="shared" si="64"/>
        <v>-4.8021174691202449E-2</v>
      </c>
      <c r="E4049" s="156">
        <v>-1.2589368977308085E-2</v>
      </c>
      <c r="G4049" s="156"/>
    </row>
    <row r="4050" spans="2:7" x14ac:dyDescent="0.2">
      <c r="B4050" s="230">
        <v>40036</v>
      </c>
      <c r="C4050" s="124">
        <v>74.81</v>
      </c>
      <c r="D4050" s="156">
        <f t="shared" si="64"/>
        <v>-9.5326360386601191E-3</v>
      </c>
      <c r="E4050" s="156">
        <v>-1.2595035266098745E-2</v>
      </c>
      <c r="G4050" s="156"/>
    </row>
    <row r="4051" spans="2:7" x14ac:dyDescent="0.2">
      <c r="B4051" s="230">
        <v>40035</v>
      </c>
      <c r="C4051" s="124">
        <v>74.37</v>
      </c>
      <c r="D4051" s="156">
        <f t="shared" si="64"/>
        <v>-5.8815666354765104E-3</v>
      </c>
      <c r="E4051" s="156">
        <v>-1.2603765944523228E-2</v>
      </c>
      <c r="G4051" s="156"/>
    </row>
    <row r="4052" spans="2:7" x14ac:dyDescent="0.2">
      <c r="B4052" s="230">
        <v>40032</v>
      </c>
      <c r="C4052" s="124">
        <v>76.11</v>
      </c>
      <c r="D4052" s="156">
        <f t="shared" si="64"/>
        <v>2.3396530859217356E-2</v>
      </c>
      <c r="E4052" s="156">
        <v>-1.2618296529968433E-2</v>
      </c>
      <c r="G4052" s="156"/>
    </row>
    <row r="4053" spans="2:7" x14ac:dyDescent="0.2">
      <c r="B4053" s="230">
        <v>40031</v>
      </c>
      <c r="C4053" s="124">
        <v>77.599999999999994</v>
      </c>
      <c r="D4053" s="156">
        <f t="shared" si="64"/>
        <v>1.9576928130337602E-2</v>
      </c>
      <c r="E4053" s="156">
        <v>-1.2624172185430393E-2</v>
      </c>
      <c r="G4053" s="156"/>
    </row>
    <row r="4054" spans="2:7" x14ac:dyDescent="0.2">
      <c r="B4054" s="230">
        <v>40030</v>
      </c>
      <c r="C4054" s="124">
        <v>80.8</v>
      </c>
      <c r="D4054" s="156">
        <f t="shared" si="64"/>
        <v>4.1237113402061897E-2</v>
      </c>
      <c r="E4054" s="156">
        <v>-1.2625764450581925E-2</v>
      </c>
      <c r="G4054" s="156"/>
    </row>
    <row r="4055" spans="2:7" x14ac:dyDescent="0.2">
      <c r="B4055" s="230">
        <v>40029</v>
      </c>
      <c r="C4055" s="124">
        <v>81.709999999999994</v>
      </c>
      <c r="D4055" s="156">
        <f t="shared" si="64"/>
        <v>1.126237623762372E-2</v>
      </c>
      <c r="E4055" s="156">
        <v>-1.2643733002528773E-2</v>
      </c>
      <c r="G4055" s="156"/>
    </row>
    <row r="4056" spans="2:7" x14ac:dyDescent="0.2">
      <c r="B4056" s="230">
        <v>40028</v>
      </c>
      <c r="C4056" s="124">
        <v>82.26</v>
      </c>
      <c r="D4056" s="156">
        <f t="shared" si="64"/>
        <v>6.7311222616572193E-3</v>
      </c>
      <c r="E4056" s="156">
        <v>-1.2648776845711255E-2</v>
      </c>
      <c r="G4056" s="156"/>
    </row>
    <row r="4057" spans="2:7" x14ac:dyDescent="0.2">
      <c r="B4057" s="230">
        <v>40025</v>
      </c>
      <c r="C4057" s="124">
        <v>82.6</v>
      </c>
      <c r="D4057" s="156">
        <f t="shared" si="64"/>
        <v>4.133236080719538E-3</v>
      </c>
      <c r="E4057" s="156">
        <v>-1.2661309958607229E-2</v>
      </c>
      <c r="G4057" s="156"/>
    </row>
    <row r="4058" spans="2:7" x14ac:dyDescent="0.2">
      <c r="B4058" s="230">
        <v>40024</v>
      </c>
      <c r="C4058" s="124">
        <v>80.45</v>
      </c>
      <c r="D4058" s="156">
        <f t="shared" si="64"/>
        <v>-2.6029055690072536E-2</v>
      </c>
      <c r="E4058" s="156">
        <v>-1.2684051800603093E-2</v>
      </c>
      <c r="G4058" s="156"/>
    </row>
    <row r="4059" spans="2:7" x14ac:dyDescent="0.2">
      <c r="B4059" s="230">
        <v>40023</v>
      </c>
      <c r="C4059" s="124">
        <v>78.790000000000006</v>
      </c>
      <c r="D4059" s="156">
        <f t="shared" si="64"/>
        <v>-2.063393412057174E-2</v>
      </c>
      <c r="E4059" s="156">
        <v>-1.2684071065548915E-2</v>
      </c>
      <c r="G4059" s="156"/>
    </row>
    <row r="4060" spans="2:7" x14ac:dyDescent="0.2">
      <c r="B4060" s="230">
        <v>40022</v>
      </c>
      <c r="C4060" s="124">
        <v>79.89</v>
      </c>
      <c r="D4060" s="156">
        <f t="shared" si="64"/>
        <v>1.3961162584084202E-2</v>
      </c>
      <c r="E4060" s="156">
        <v>-1.2691697514542601E-2</v>
      </c>
      <c r="G4060" s="156"/>
    </row>
    <row r="4061" spans="2:7" x14ac:dyDescent="0.2">
      <c r="B4061" s="230">
        <v>40021</v>
      </c>
      <c r="C4061" s="124">
        <v>79.17</v>
      </c>
      <c r="D4061" s="156">
        <f t="shared" si="64"/>
        <v>-9.0123920390536849E-3</v>
      </c>
      <c r="E4061" s="156">
        <v>-1.2715118117349464E-2</v>
      </c>
      <c r="G4061" s="156"/>
    </row>
    <row r="4062" spans="2:7" x14ac:dyDescent="0.2">
      <c r="B4062" s="230">
        <v>40018</v>
      </c>
      <c r="C4062" s="124">
        <v>76.97</v>
      </c>
      <c r="D4062" s="156">
        <f t="shared" si="64"/>
        <v>-2.7788303650372652E-2</v>
      </c>
      <c r="E4062" s="156">
        <v>-1.2722646310432597E-2</v>
      </c>
      <c r="G4062" s="156"/>
    </row>
    <row r="4063" spans="2:7" x14ac:dyDescent="0.2">
      <c r="B4063" s="230">
        <v>40017</v>
      </c>
      <c r="C4063" s="124">
        <v>76.16</v>
      </c>
      <c r="D4063" s="156">
        <f t="shared" si="64"/>
        <v>-1.0523580615824377E-2</v>
      </c>
      <c r="E4063" s="156">
        <v>-1.2729498164014707E-2</v>
      </c>
      <c r="G4063" s="156"/>
    </row>
    <row r="4064" spans="2:7" x14ac:dyDescent="0.2">
      <c r="B4064" s="230">
        <v>40016</v>
      </c>
      <c r="C4064" s="124">
        <v>72.260000000000005</v>
      </c>
      <c r="D4064" s="156">
        <f t="shared" si="64"/>
        <v>-5.1207983193277198E-2</v>
      </c>
      <c r="E4064" s="156">
        <v>-1.2733998430669222E-2</v>
      </c>
      <c r="G4064" s="156"/>
    </row>
    <row r="4065" spans="2:7" x14ac:dyDescent="0.2">
      <c r="B4065" s="230">
        <v>40015</v>
      </c>
      <c r="C4065" s="124">
        <v>72.81</v>
      </c>
      <c r="D4065" s="156">
        <f t="shared" si="64"/>
        <v>7.6114032659839069E-3</v>
      </c>
      <c r="E4065" s="156">
        <v>-1.273885350318475E-2</v>
      </c>
      <c r="G4065" s="156"/>
    </row>
    <row r="4066" spans="2:7" x14ac:dyDescent="0.2">
      <c r="B4066" s="230">
        <v>40014</v>
      </c>
      <c r="C4066" s="124">
        <v>74.73</v>
      </c>
      <c r="D4066" s="156">
        <f t="shared" si="64"/>
        <v>2.6370004120313168E-2</v>
      </c>
      <c r="E4066" s="156">
        <v>-1.2751708637218482E-2</v>
      </c>
      <c r="G4066" s="156"/>
    </row>
    <row r="4067" spans="2:7" x14ac:dyDescent="0.2">
      <c r="B4067" s="230">
        <v>40011</v>
      </c>
      <c r="C4067" s="124">
        <v>75.989999999999995</v>
      </c>
      <c r="D4067" s="156">
        <f t="shared" si="64"/>
        <v>1.6860698514652626E-2</v>
      </c>
      <c r="E4067" s="156">
        <v>-1.2768976117285356E-2</v>
      </c>
      <c r="G4067" s="156"/>
    </row>
    <row r="4068" spans="2:7" x14ac:dyDescent="0.2">
      <c r="B4068" s="230">
        <v>40010</v>
      </c>
      <c r="C4068" s="124">
        <v>72.05</v>
      </c>
      <c r="D4068" s="156">
        <f t="shared" si="64"/>
        <v>-5.1848927490459246E-2</v>
      </c>
      <c r="E4068" s="156">
        <v>-1.2783579402232667E-2</v>
      </c>
      <c r="G4068" s="156"/>
    </row>
    <row r="4069" spans="2:7" x14ac:dyDescent="0.2">
      <c r="B4069" s="230">
        <v>40009</v>
      </c>
      <c r="C4069" s="124">
        <v>72.010000000000005</v>
      </c>
      <c r="D4069" s="156">
        <f t="shared" si="64"/>
        <v>-5.5517002081876534E-4</v>
      </c>
      <c r="E4069" s="156">
        <v>-1.2812690665039681E-2</v>
      </c>
      <c r="G4069" s="156"/>
    </row>
    <row r="4070" spans="2:7" x14ac:dyDescent="0.2">
      <c r="B4070" s="230">
        <v>40008</v>
      </c>
      <c r="C4070" s="124">
        <v>70.41</v>
      </c>
      <c r="D4070" s="156">
        <f t="shared" si="64"/>
        <v>-2.2219136231079132E-2</v>
      </c>
      <c r="E4070" s="156">
        <v>-1.2828875842574423E-2</v>
      </c>
      <c r="G4070" s="156"/>
    </row>
    <row r="4071" spans="2:7" x14ac:dyDescent="0.2">
      <c r="B4071" s="230">
        <v>40007</v>
      </c>
      <c r="C4071" s="124">
        <v>69.89</v>
      </c>
      <c r="D4071" s="156">
        <f t="shared" si="64"/>
        <v>-7.3853145859962511E-3</v>
      </c>
      <c r="E4071" s="156">
        <v>-1.2831659421376193E-2</v>
      </c>
      <c r="G4071" s="156"/>
    </row>
    <row r="4072" spans="2:7" x14ac:dyDescent="0.2">
      <c r="B4072" s="230">
        <v>40004</v>
      </c>
      <c r="C4072" s="124">
        <v>69.81</v>
      </c>
      <c r="D4072" s="156">
        <f t="shared" si="64"/>
        <v>-1.1446558878236985E-3</v>
      </c>
      <c r="E4072" s="156">
        <v>-1.2835570469798666E-2</v>
      </c>
      <c r="G4072" s="156"/>
    </row>
    <row r="4073" spans="2:7" x14ac:dyDescent="0.2">
      <c r="B4073" s="230">
        <v>40003</v>
      </c>
      <c r="C4073" s="124">
        <v>70.739999999999995</v>
      </c>
      <c r="D4073" s="156">
        <f t="shared" si="64"/>
        <v>1.3321873657069081E-2</v>
      </c>
      <c r="E4073" s="156">
        <v>-1.284189459639765E-2</v>
      </c>
      <c r="G4073" s="156"/>
    </row>
    <row r="4074" spans="2:7" x14ac:dyDescent="0.2">
      <c r="B4074" s="230">
        <v>40002</v>
      </c>
      <c r="C4074" s="124">
        <v>69.430000000000007</v>
      </c>
      <c r="D4074" s="156">
        <f t="shared" si="64"/>
        <v>-1.8518518518518351E-2</v>
      </c>
      <c r="E4074" s="156">
        <v>-1.2874155133569359E-2</v>
      </c>
      <c r="G4074" s="156"/>
    </row>
    <row r="4075" spans="2:7" x14ac:dyDescent="0.2">
      <c r="B4075" s="230">
        <v>40001</v>
      </c>
      <c r="C4075" s="124">
        <v>70.010000000000005</v>
      </c>
      <c r="D4075" s="156">
        <f t="shared" si="64"/>
        <v>8.3537375774160767E-3</v>
      </c>
      <c r="E4075" s="156">
        <v>-1.2884333821376215E-2</v>
      </c>
      <c r="G4075" s="156"/>
    </row>
    <row r="4076" spans="2:7" x14ac:dyDescent="0.2">
      <c r="B4076" s="230">
        <v>40000</v>
      </c>
      <c r="C4076" s="124">
        <v>65.53</v>
      </c>
      <c r="D4076" s="156">
        <f t="shared" si="64"/>
        <v>-6.3990858448793084E-2</v>
      </c>
      <c r="E4076" s="156">
        <v>-1.2886172146043302E-2</v>
      </c>
      <c r="G4076" s="156"/>
    </row>
    <row r="4077" spans="2:7" x14ac:dyDescent="0.2">
      <c r="B4077" s="230">
        <v>39997</v>
      </c>
      <c r="C4077" s="124">
        <v>63.54</v>
      </c>
      <c r="D4077" s="156">
        <f t="shared" si="64"/>
        <v>-3.0367770486799967E-2</v>
      </c>
      <c r="E4077" s="156">
        <v>-1.2900049236829171E-2</v>
      </c>
      <c r="G4077" s="156"/>
    </row>
    <row r="4078" spans="2:7" x14ac:dyDescent="0.2">
      <c r="B4078" s="230">
        <v>39996</v>
      </c>
      <c r="C4078" s="124">
        <v>63.54</v>
      </c>
      <c r="D4078" s="156">
        <f t="shared" si="64"/>
        <v>0</v>
      </c>
      <c r="E4078" s="156">
        <v>-1.2909154559776023E-2</v>
      </c>
      <c r="G4078" s="156"/>
    </row>
    <row r="4079" spans="2:7" x14ac:dyDescent="0.2">
      <c r="B4079" s="230">
        <v>39995</v>
      </c>
      <c r="C4079" s="124">
        <v>63.41</v>
      </c>
      <c r="D4079" s="156">
        <f t="shared" si="64"/>
        <v>-2.0459553037457125E-3</v>
      </c>
      <c r="E4079" s="156">
        <v>-1.291567695962002E-2</v>
      </c>
      <c r="G4079" s="156"/>
    </row>
    <row r="4080" spans="2:7" x14ac:dyDescent="0.2">
      <c r="B4080" s="230">
        <v>39994</v>
      </c>
      <c r="C4080" s="124">
        <v>63.23</v>
      </c>
      <c r="D4080" s="156">
        <f t="shared" si="64"/>
        <v>-2.8386689796562011E-3</v>
      </c>
      <c r="E4080" s="156">
        <v>-1.2931034482758733E-2</v>
      </c>
      <c r="G4080" s="156"/>
    </row>
    <row r="4081" spans="2:7" x14ac:dyDescent="0.2">
      <c r="B4081" s="230">
        <v>39993</v>
      </c>
      <c r="C4081" s="124">
        <v>64.209999999999994</v>
      </c>
      <c r="D4081" s="156">
        <f t="shared" si="64"/>
        <v>1.5498972006958673E-2</v>
      </c>
      <c r="E4081" s="156">
        <v>-1.2936423968452427E-2</v>
      </c>
      <c r="G4081" s="156"/>
    </row>
    <row r="4082" spans="2:7" x14ac:dyDescent="0.2">
      <c r="B4082" s="230">
        <v>39990</v>
      </c>
      <c r="C4082" s="124">
        <v>65.2</v>
      </c>
      <c r="D4082" s="156">
        <f t="shared" si="64"/>
        <v>1.5418159165239203E-2</v>
      </c>
      <c r="E4082" s="156">
        <v>-1.2942779291553099E-2</v>
      </c>
      <c r="G4082" s="156"/>
    </row>
    <row r="4083" spans="2:7" x14ac:dyDescent="0.2">
      <c r="B4083" s="230">
        <v>39989</v>
      </c>
      <c r="C4083" s="124">
        <v>64.03</v>
      </c>
      <c r="D4083" s="156">
        <f t="shared" si="64"/>
        <v>-1.7944785276073644E-2</v>
      </c>
      <c r="E4083" s="156">
        <v>-1.295816364309515E-2</v>
      </c>
      <c r="G4083" s="156"/>
    </row>
    <row r="4084" spans="2:7" x14ac:dyDescent="0.2">
      <c r="B4084" s="230">
        <v>39988</v>
      </c>
      <c r="C4084" s="124">
        <v>65.88</v>
      </c>
      <c r="D4084" s="156">
        <f t="shared" si="64"/>
        <v>2.88927065438075E-2</v>
      </c>
      <c r="E4084" s="156">
        <v>-1.2984457997245765E-2</v>
      </c>
      <c r="G4084" s="156"/>
    </row>
    <row r="4085" spans="2:7" x14ac:dyDescent="0.2">
      <c r="B4085" s="230">
        <v>39987</v>
      </c>
      <c r="C4085" s="124">
        <v>65.430000000000007</v>
      </c>
      <c r="D4085" s="156">
        <f t="shared" si="64"/>
        <v>-6.8306010928960029E-3</v>
      </c>
      <c r="E4085" s="156">
        <v>-1.3019577587038233E-2</v>
      </c>
      <c r="G4085" s="156"/>
    </row>
    <row r="4086" spans="2:7" x14ac:dyDescent="0.2">
      <c r="B4086" s="230">
        <v>39986</v>
      </c>
      <c r="C4086" s="124">
        <v>67.36</v>
      </c>
      <c r="D4086" s="156">
        <f t="shared" si="64"/>
        <v>2.9497172550817553E-2</v>
      </c>
      <c r="E4086" s="156">
        <v>-1.3020199561937128E-2</v>
      </c>
      <c r="G4086" s="156"/>
    </row>
    <row r="4087" spans="2:7" x14ac:dyDescent="0.2">
      <c r="B4087" s="230">
        <v>39983</v>
      </c>
      <c r="C4087" s="124">
        <v>66.489999999999995</v>
      </c>
      <c r="D4087" s="156">
        <f t="shared" si="64"/>
        <v>-1.291567695962002E-2</v>
      </c>
      <c r="E4087" s="156">
        <v>-1.3035019455252952E-2</v>
      </c>
      <c r="G4087" s="156"/>
    </row>
    <row r="4088" spans="2:7" x14ac:dyDescent="0.2">
      <c r="B4088" s="230">
        <v>39982</v>
      </c>
      <c r="C4088" s="124">
        <v>64.09</v>
      </c>
      <c r="D4088" s="156">
        <f t="shared" si="64"/>
        <v>-3.6095653481726449E-2</v>
      </c>
      <c r="E4088" s="156">
        <v>-1.304141296368261E-2</v>
      </c>
      <c r="G4088" s="156"/>
    </row>
    <row r="4089" spans="2:7" x14ac:dyDescent="0.2">
      <c r="B4089" s="230">
        <v>39981</v>
      </c>
      <c r="C4089" s="124">
        <v>64.239999999999995</v>
      </c>
      <c r="D4089" s="156">
        <f t="shared" si="64"/>
        <v>2.3404587299109296E-3</v>
      </c>
      <c r="E4089" s="156">
        <v>-1.304713804713801E-2</v>
      </c>
      <c r="G4089" s="156"/>
    </row>
    <row r="4090" spans="2:7" x14ac:dyDescent="0.2">
      <c r="B4090" s="230">
        <v>39980</v>
      </c>
      <c r="C4090" s="124">
        <v>65.86</v>
      </c>
      <c r="D4090" s="156">
        <f t="shared" si="64"/>
        <v>2.5217932752179401E-2</v>
      </c>
      <c r="E4090" s="156">
        <v>-1.3051389847524648E-2</v>
      </c>
      <c r="G4090" s="156"/>
    </row>
    <row r="4091" spans="2:7" x14ac:dyDescent="0.2">
      <c r="B4091" s="230">
        <v>39979</v>
      </c>
      <c r="C4091" s="124">
        <v>65.47</v>
      </c>
      <c r="D4091" s="156">
        <f t="shared" si="64"/>
        <v>-5.9216519890677279E-3</v>
      </c>
      <c r="E4091" s="156">
        <v>-1.3052666473293853E-2</v>
      </c>
      <c r="G4091" s="156"/>
    </row>
    <row r="4092" spans="2:7" x14ac:dyDescent="0.2">
      <c r="B4092" s="230">
        <v>39976</v>
      </c>
      <c r="C4092" s="124">
        <v>65.19</v>
      </c>
      <c r="D4092" s="156">
        <f t="shared" si="64"/>
        <v>-4.2767679853368129E-3</v>
      </c>
      <c r="E4092" s="156">
        <v>-1.3053493729203907E-2</v>
      </c>
      <c r="G4092" s="156"/>
    </row>
    <row r="4093" spans="2:7" x14ac:dyDescent="0.2">
      <c r="B4093" s="230">
        <v>39975</v>
      </c>
      <c r="C4093" s="124">
        <v>65.5</v>
      </c>
      <c r="D4093" s="156">
        <f t="shared" si="64"/>
        <v>4.7553305721736812E-3</v>
      </c>
      <c r="E4093" s="156">
        <v>-1.3057929724596391E-2</v>
      </c>
      <c r="G4093" s="156"/>
    </row>
    <row r="4094" spans="2:7" x14ac:dyDescent="0.2">
      <c r="B4094" s="230">
        <v>39974</v>
      </c>
      <c r="C4094" s="124">
        <v>64.739999999999995</v>
      </c>
      <c r="D4094" s="156">
        <f t="shared" ref="D4094:D4157" si="65">(C4094-C4093)/C4093</f>
        <v>-1.1603053435114582E-2</v>
      </c>
      <c r="E4094" s="156">
        <v>-1.306152343750009E-2</v>
      </c>
      <c r="G4094" s="156"/>
    </row>
    <row r="4095" spans="2:7" x14ac:dyDescent="0.2">
      <c r="B4095" s="230">
        <v>39973</v>
      </c>
      <c r="C4095" s="124">
        <v>63.25</v>
      </c>
      <c r="D4095" s="156">
        <f t="shared" si="65"/>
        <v>-2.3015137472968721E-2</v>
      </c>
      <c r="E4095" s="156">
        <v>-1.3081954597922191E-2</v>
      </c>
      <c r="G4095" s="156"/>
    </row>
    <row r="4096" spans="2:7" x14ac:dyDescent="0.2">
      <c r="B4096" s="230">
        <v>39972</v>
      </c>
      <c r="C4096" s="124">
        <v>60.86</v>
      </c>
      <c r="D4096" s="156">
        <f t="shared" si="65"/>
        <v>-3.7786561264822147E-2</v>
      </c>
      <c r="E4096" s="156">
        <v>-1.3101310131012983E-2</v>
      </c>
      <c r="G4096" s="156"/>
    </row>
    <row r="4097" spans="2:7" x14ac:dyDescent="0.2">
      <c r="B4097" s="230">
        <v>39969</v>
      </c>
      <c r="C4097" s="124">
        <v>63.43</v>
      </c>
      <c r="D4097" s="156">
        <f t="shared" si="65"/>
        <v>4.2228064410121599E-2</v>
      </c>
      <c r="E4097" s="156">
        <v>-1.311827069840356E-2</v>
      </c>
      <c r="G4097" s="156"/>
    </row>
    <row r="4098" spans="2:7" x14ac:dyDescent="0.2">
      <c r="B4098" s="230">
        <v>39968</v>
      </c>
      <c r="C4098" s="124">
        <v>67.16</v>
      </c>
      <c r="D4098" s="156">
        <f t="shared" si="65"/>
        <v>5.8804981869777659E-2</v>
      </c>
      <c r="E4098" s="156">
        <v>-1.3174073423502547E-2</v>
      </c>
      <c r="G4098" s="156"/>
    </row>
    <row r="4099" spans="2:7" x14ac:dyDescent="0.2">
      <c r="B4099" s="230">
        <v>39967</v>
      </c>
      <c r="C4099" s="124">
        <v>67.31</v>
      </c>
      <c r="D4099" s="156">
        <f t="shared" si="65"/>
        <v>2.2334723049435034E-3</v>
      </c>
      <c r="E4099" s="156">
        <v>-1.3182950051266904E-2</v>
      </c>
      <c r="G4099" s="156"/>
    </row>
    <row r="4100" spans="2:7" x14ac:dyDescent="0.2">
      <c r="B4100" s="230">
        <v>39966</v>
      </c>
      <c r="C4100" s="124">
        <v>63.71</v>
      </c>
      <c r="D4100" s="156">
        <f t="shared" si="65"/>
        <v>-5.3483880552666785E-2</v>
      </c>
      <c r="E4100" s="156">
        <v>-1.3187520102926878E-2</v>
      </c>
      <c r="G4100" s="156"/>
    </row>
    <row r="4101" spans="2:7" x14ac:dyDescent="0.2">
      <c r="B4101" s="230">
        <v>39965</v>
      </c>
      <c r="C4101" s="124">
        <v>63.78</v>
      </c>
      <c r="D4101" s="156">
        <f t="shared" si="65"/>
        <v>1.0987286140323384E-3</v>
      </c>
      <c r="E4101" s="156">
        <v>-1.3187550951901404E-2</v>
      </c>
      <c r="G4101" s="156"/>
    </row>
    <row r="4102" spans="2:7" x14ac:dyDescent="0.2">
      <c r="B4102" s="230">
        <v>39962</v>
      </c>
      <c r="C4102" s="124">
        <v>60.88</v>
      </c>
      <c r="D4102" s="156">
        <f t="shared" si="65"/>
        <v>-4.5468798996550618E-2</v>
      </c>
      <c r="E4102" s="156">
        <v>-1.3221854948473648E-2</v>
      </c>
      <c r="G4102" s="156"/>
    </row>
    <row r="4103" spans="2:7" x14ac:dyDescent="0.2">
      <c r="B4103" s="230">
        <v>39961</v>
      </c>
      <c r="C4103" s="124">
        <v>60.96</v>
      </c>
      <c r="D4103" s="156">
        <f t="shared" si="65"/>
        <v>1.3140604467805237E-3</v>
      </c>
      <c r="E4103" s="156">
        <v>-1.3245033112582827E-2</v>
      </c>
      <c r="G4103" s="156"/>
    </row>
    <row r="4104" spans="2:7" x14ac:dyDescent="0.2">
      <c r="B4104" s="230">
        <v>39960</v>
      </c>
      <c r="C4104" s="124">
        <v>61.03</v>
      </c>
      <c r="D4104" s="156">
        <f t="shared" si="65"/>
        <v>1.1482939632545979E-3</v>
      </c>
      <c r="E4104" s="156">
        <v>-1.3259534091600309E-2</v>
      </c>
      <c r="G4104" s="156"/>
    </row>
    <row r="4105" spans="2:7" x14ac:dyDescent="0.2">
      <c r="B4105" s="230">
        <v>39959</v>
      </c>
      <c r="C4105" s="124">
        <v>61.01</v>
      </c>
      <c r="D4105" s="156">
        <f t="shared" si="65"/>
        <v>-3.2770768474525849E-4</v>
      </c>
      <c r="E4105" s="156">
        <v>-1.3265840460813446E-2</v>
      </c>
      <c r="G4105" s="156"/>
    </row>
    <row r="4106" spans="2:7" x14ac:dyDescent="0.2">
      <c r="B4106" s="230">
        <v>39958</v>
      </c>
      <c r="C4106" s="124">
        <v>62.91</v>
      </c>
      <c r="D4106" s="156">
        <f t="shared" si="65"/>
        <v>3.1142435666284194E-2</v>
      </c>
      <c r="E4106" s="156">
        <v>-1.32671081677704E-2</v>
      </c>
      <c r="G4106" s="156"/>
    </row>
    <row r="4107" spans="2:7" x14ac:dyDescent="0.2">
      <c r="B4107" s="230">
        <v>39955</v>
      </c>
      <c r="C4107" s="124">
        <v>60.86</v>
      </c>
      <c r="D4107" s="156">
        <f t="shared" si="65"/>
        <v>-3.2586234302972458E-2</v>
      </c>
      <c r="E4107" s="156">
        <v>-1.3287843418926158E-2</v>
      </c>
      <c r="G4107" s="156"/>
    </row>
    <row r="4108" spans="2:7" x14ac:dyDescent="0.2">
      <c r="B4108" s="230">
        <v>39954</v>
      </c>
      <c r="C4108" s="124">
        <v>60.38</v>
      </c>
      <c r="D4108" s="156">
        <f t="shared" si="65"/>
        <v>-7.8869536641471717E-3</v>
      </c>
      <c r="E4108" s="156">
        <v>-1.3319313003855679E-2</v>
      </c>
      <c r="G4108" s="156"/>
    </row>
    <row r="4109" spans="2:7" x14ac:dyDescent="0.2">
      <c r="B4109" s="230">
        <v>39953</v>
      </c>
      <c r="C4109" s="124">
        <v>61.8</v>
      </c>
      <c r="D4109" s="156">
        <f t="shared" si="65"/>
        <v>2.3517721099701797E-2</v>
      </c>
      <c r="E4109" s="156">
        <v>-1.3337567481740177E-2</v>
      </c>
      <c r="G4109" s="156"/>
    </row>
    <row r="4110" spans="2:7" x14ac:dyDescent="0.2">
      <c r="B4110" s="230">
        <v>39952</v>
      </c>
      <c r="C4110" s="124">
        <v>63.13</v>
      </c>
      <c r="D4110" s="156">
        <f t="shared" si="65"/>
        <v>2.1521035598705589E-2</v>
      </c>
      <c r="E4110" s="156">
        <v>-1.3348011559102778E-2</v>
      </c>
      <c r="G4110" s="156"/>
    </row>
    <row r="4111" spans="2:7" x14ac:dyDescent="0.2">
      <c r="B4111" s="230">
        <v>39951</v>
      </c>
      <c r="C4111" s="124">
        <v>68.53</v>
      </c>
      <c r="D4111" s="156">
        <f t="shared" si="65"/>
        <v>8.5537779185807045E-2</v>
      </c>
      <c r="E4111" s="156">
        <v>-1.3353394771487696E-2</v>
      </c>
      <c r="G4111" s="156"/>
    </row>
    <row r="4112" spans="2:7" x14ac:dyDescent="0.2">
      <c r="B4112" s="230">
        <v>39948</v>
      </c>
      <c r="C4112" s="124">
        <v>61.67</v>
      </c>
      <c r="D4112" s="156">
        <f t="shared" si="65"/>
        <v>-0.10010214504596526</v>
      </c>
      <c r="E4112" s="156">
        <v>-1.3395457192778003E-2</v>
      </c>
      <c r="G4112" s="156"/>
    </row>
    <row r="4113" spans="2:7" x14ac:dyDescent="0.2">
      <c r="B4113" s="230">
        <v>39947</v>
      </c>
      <c r="C4113" s="124">
        <v>61.92</v>
      </c>
      <c r="D4113" s="156">
        <f t="shared" si="65"/>
        <v>4.0538349278417384E-3</v>
      </c>
      <c r="E4113" s="156">
        <v>-1.34056487924683E-2</v>
      </c>
      <c r="G4113" s="156"/>
    </row>
    <row r="4114" spans="2:7" x14ac:dyDescent="0.2">
      <c r="B4114" s="230">
        <v>39946</v>
      </c>
      <c r="C4114" s="124">
        <v>62.33</v>
      </c>
      <c r="D4114" s="156">
        <f t="shared" si="65"/>
        <v>6.6214470284237173E-3</v>
      </c>
      <c r="E4114" s="156">
        <v>-1.3443935926773424E-2</v>
      </c>
      <c r="G4114" s="156"/>
    </row>
    <row r="4115" spans="2:7" x14ac:dyDescent="0.2">
      <c r="B4115" s="230">
        <v>39945</v>
      </c>
      <c r="C4115" s="124">
        <v>63.43</v>
      </c>
      <c r="D4115" s="156">
        <f t="shared" si="65"/>
        <v>1.7648002566982214E-2</v>
      </c>
      <c r="E4115" s="156">
        <v>-1.346600014350976E-2</v>
      </c>
      <c r="G4115" s="156"/>
    </row>
    <row r="4116" spans="2:7" x14ac:dyDescent="0.2">
      <c r="B4116" s="230">
        <v>39944</v>
      </c>
      <c r="C4116" s="124">
        <v>62.3</v>
      </c>
      <c r="D4116" s="156">
        <f t="shared" si="65"/>
        <v>-1.7814914078511785E-2</v>
      </c>
      <c r="E4116" s="156">
        <v>-1.3468711147948611E-2</v>
      </c>
      <c r="G4116" s="156"/>
    </row>
    <row r="4117" spans="2:7" x14ac:dyDescent="0.2">
      <c r="B4117" s="230">
        <v>39941</v>
      </c>
      <c r="C4117" s="124">
        <v>62.45</v>
      </c>
      <c r="D4117" s="156">
        <f t="shared" si="65"/>
        <v>2.4077046548957575E-3</v>
      </c>
      <c r="E4117" s="156">
        <v>-1.3478728880984675E-2</v>
      </c>
      <c r="G4117" s="156"/>
    </row>
    <row r="4118" spans="2:7" x14ac:dyDescent="0.2">
      <c r="B4118" s="230">
        <v>39940</v>
      </c>
      <c r="C4118" s="124">
        <v>63.13</v>
      </c>
      <c r="D4118" s="156">
        <f t="shared" si="65"/>
        <v>1.0888710968775014E-2</v>
      </c>
      <c r="E4118" s="156">
        <v>-1.3495575221238988E-2</v>
      </c>
      <c r="G4118" s="156"/>
    </row>
    <row r="4119" spans="2:7" x14ac:dyDescent="0.2">
      <c r="B4119" s="230">
        <v>39939</v>
      </c>
      <c r="C4119" s="124">
        <v>63.83</v>
      </c>
      <c r="D4119" s="156">
        <f t="shared" si="65"/>
        <v>1.1088230635197144E-2</v>
      </c>
      <c r="E4119" s="156">
        <v>-1.3497701629753523E-2</v>
      </c>
      <c r="G4119" s="156"/>
    </row>
    <row r="4120" spans="2:7" x14ac:dyDescent="0.2">
      <c r="B4120" s="230">
        <v>39938</v>
      </c>
      <c r="C4120" s="124">
        <v>65.569999999999993</v>
      </c>
      <c r="D4120" s="156">
        <f t="shared" si="65"/>
        <v>2.7259909133636143E-2</v>
      </c>
      <c r="E4120" s="156">
        <v>-1.3519097939665815E-2</v>
      </c>
      <c r="G4120" s="156"/>
    </row>
    <row r="4121" spans="2:7" x14ac:dyDescent="0.2">
      <c r="B4121" s="230">
        <v>39937</v>
      </c>
      <c r="C4121" s="124">
        <v>68.17</v>
      </c>
      <c r="D4121" s="156">
        <f t="shared" si="65"/>
        <v>3.9652280006100486E-2</v>
      </c>
      <c r="E4121" s="156">
        <v>-1.3529551388559194E-2</v>
      </c>
      <c r="G4121" s="156"/>
    </row>
    <row r="4122" spans="2:7" x14ac:dyDescent="0.2">
      <c r="B4122" s="230">
        <v>39932</v>
      </c>
      <c r="C4122" s="124">
        <v>62.62</v>
      </c>
      <c r="D4122" s="156">
        <f t="shared" si="65"/>
        <v>-8.1414111779375159E-2</v>
      </c>
      <c r="E4122" s="156">
        <v>-1.3530899250255015E-2</v>
      </c>
      <c r="G4122" s="156"/>
    </row>
    <row r="4123" spans="2:7" x14ac:dyDescent="0.2">
      <c r="B4123" s="230">
        <v>39931</v>
      </c>
      <c r="C4123" s="124">
        <v>62.17</v>
      </c>
      <c r="D4123" s="156">
        <f t="shared" si="65"/>
        <v>-7.1862024912167956E-3</v>
      </c>
      <c r="E4123" s="156">
        <v>-1.3531130591144037E-2</v>
      </c>
      <c r="G4123" s="156"/>
    </row>
    <row r="4124" spans="2:7" x14ac:dyDescent="0.2">
      <c r="B4124" s="230">
        <v>39930</v>
      </c>
      <c r="C4124" s="124">
        <v>64.14</v>
      </c>
      <c r="D4124" s="156">
        <f t="shared" si="65"/>
        <v>3.1687308991474969E-2</v>
      </c>
      <c r="E4124" s="156">
        <v>-1.3541909876254988E-2</v>
      </c>
      <c r="G4124" s="156"/>
    </row>
    <row r="4125" spans="2:7" x14ac:dyDescent="0.2">
      <c r="B4125" s="230">
        <v>39927</v>
      </c>
      <c r="C4125" s="124">
        <v>63.16</v>
      </c>
      <c r="D4125" s="156">
        <f t="shared" si="65"/>
        <v>-1.5279077019020953E-2</v>
      </c>
      <c r="E4125" s="156">
        <v>-1.3547687861271676E-2</v>
      </c>
      <c r="G4125" s="156"/>
    </row>
    <row r="4126" spans="2:7" x14ac:dyDescent="0.2">
      <c r="B4126" s="230">
        <v>39926</v>
      </c>
      <c r="C4126" s="124">
        <v>62.98</v>
      </c>
      <c r="D4126" s="156">
        <f t="shared" si="65"/>
        <v>-2.8499050031665567E-3</v>
      </c>
      <c r="E4126" s="156">
        <v>-1.3591509960901122E-2</v>
      </c>
      <c r="G4126" s="156"/>
    </row>
    <row r="4127" spans="2:7" x14ac:dyDescent="0.2">
      <c r="B4127" s="230">
        <v>39925</v>
      </c>
      <c r="C4127" s="124">
        <v>63.15</v>
      </c>
      <c r="D4127" s="156">
        <f t="shared" si="65"/>
        <v>2.6992696093998368E-3</v>
      </c>
      <c r="E4127" s="156">
        <v>-1.3604569081691616E-2</v>
      </c>
      <c r="G4127" s="156"/>
    </row>
    <row r="4128" spans="2:7" x14ac:dyDescent="0.2">
      <c r="B4128" s="230">
        <v>39924</v>
      </c>
      <c r="C4128" s="124">
        <v>62.53</v>
      </c>
      <c r="D4128" s="156">
        <f t="shared" si="65"/>
        <v>-9.817893903404552E-3</v>
      </c>
      <c r="E4128" s="156">
        <v>-1.3625483336402093E-2</v>
      </c>
      <c r="G4128" s="156"/>
    </row>
    <row r="4129" spans="2:7" x14ac:dyDescent="0.2">
      <c r="B4129" s="230">
        <v>39923</v>
      </c>
      <c r="C4129" s="124">
        <v>61.22</v>
      </c>
      <c r="D4129" s="156">
        <f t="shared" si="65"/>
        <v>-2.0949944026867139E-2</v>
      </c>
      <c r="E4129" s="156">
        <v>-1.3637913399249867E-2</v>
      </c>
      <c r="G4129" s="156"/>
    </row>
    <row r="4130" spans="2:7" x14ac:dyDescent="0.2">
      <c r="B4130" s="230">
        <v>39920</v>
      </c>
      <c r="C4130" s="124">
        <v>62.47</v>
      </c>
      <c r="D4130" s="156">
        <f t="shared" si="65"/>
        <v>2.0418163998693239E-2</v>
      </c>
      <c r="E4130" s="156">
        <v>-1.3665293897416825E-2</v>
      </c>
      <c r="G4130" s="156"/>
    </row>
    <row r="4131" spans="2:7" x14ac:dyDescent="0.2">
      <c r="B4131" s="230">
        <v>39919</v>
      </c>
      <c r="C4131" s="124">
        <v>63.54</v>
      </c>
      <c r="D4131" s="156">
        <f t="shared" si="65"/>
        <v>1.7128221546342248E-2</v>
      </c>
      <c r="E4131" s="156">
        <v>-1.368041041231224E-2</v>
      </c>
      <c r="G4131" s="156"/>
    </row>
    <row r="4132" spans="2:7" x14ac:dyDescent="0.2">
      <c r="B4132" s="230">
        <v>39918</v>
      </c>
      <c r="C4132" s="124">
        <v>61.37</v>
      </c>
      <c r="D4132" s="156">
        <f t="shared" si="65"/>
        <v>-3.415171545483163E-2</v>
      </c>
      <c r="E4132" s="156">
        <v>-1.3712255772646585E-2</v>
      </c>
      <c r="G4132" s="156"/>
    </row>
    <row r="4133" spans="2:7" x14ac:dyDescent="0.2">
      <c r="B4133" s="230">
        <v>39916</v>
      </c>
      <c r="C4133" s="124">
        <v>61.99</v>
      </c>
      <c r="D4133" s="156">
        <f t="shared" si="65"/>
        <v>1.0102656020857172E-2</v>
      </c>
      <c r="E4133" s="156">
        <v>-1.3736200419461107E-2</v>
      </c>
      <c r="G4133" s="156"/>
    </row>
    <row r="4134" spans="2:7" x14ac:dyDescent="0.2">
      <c r="B4134" s="230">
        <v>39912</v>
      </c>
      <c r="C4134" s="124">
        <v>62.04</v>
      </c>
      <c r="D4134" s="156">
        <f t="shared" si="65"/>
        <v>8.0658170672684556E-4</v>
      </c>
      <c r="E4134" s="156">
        <v>-1.3738403795765157E-2</v>
      </c>
      <c r="G4134" s="156"/>
    </row>
    <row r="4135" spans="2:7" x14ac:dyDescent="0.2">
      <c r="B4135" s="230">
        <v>39911</v>
      </c>
      <c r="C4135" s="124">
        <v>62.93</v>
      </c>
      <c r="D4135" s="156">
        <f t="shared" si="65"/>
        <v>1.4345583494519674E-2</v>
      </c>
      <c r="E4135" s="156">
        <v>-1.374743191852083E-2</v>
      </c>
      <c r="G4135" s="156"/>
    </row>
    <row r="4136" spans="2:7" x14ac:dyDescent="0.2">
      <c r="B4136" s="230">
        <v>39909</v>
      </c>
      <c r="C4136" s="124">
        <v>59.6</v>
      </c>
      <c r="D4136" s="156">
        <f t="shared" si="65"/>
        <v>-5.2915938344191935E-2</v>
      </c>
      <c r="E4136" s="156">
        <v>-1.3755731554814554E-2</v>
      </c>
      <c r="G4136" s="156"/>
    </row>
    <row r="4137" spans="2:7" x14ac:dyDescent="0.2">
      <c r="B4137" s="230">
        <v>39905</v>
      </c>
      <c r="C4137" s="124">
        <v>61.42</v>
      </c>
      <c r="D4137" s="156">
        <f t="shared" si="65"/>
        <v>3.0536912751677855E-2</v>
      </c>
      <c r="E4137" s="156">
        <v>-1.3761293027865502E-2</v>
      </c>
      <c r="G4137" s="156"/>
    </row>
    <row r="4138" spans="2:7" x14ac:dyDescent="0.2">
      <c r="B4138" s="230">
        <v>39904</v>
      </c>
      <c r="C4138" s="124">
        <v>61.11</v>
      </c>
      <c r="D4138" s="156">
        <f t="shared" si="65"/>
        <v>-5.0472158905894215E-3</v>
      </c>
      <c r="E4138" s="156">
        <v>-1.3765477057538344E-2</v>
      </c>
      <c r="G4138" s="156"/>
    </row>
    <row r="4139" spans="2:7" x14ac:dyDescent="0.2">
      <c r="B4139" s="230">
        <v>39903</v>
      </c>
      <c r="C4139" s="124">
        <v>61.27</v>
      </c>
      <c r="D4139" s="156">
        <f t="shared" si="65"/>
        <v>2.6182294223531942E-3</v>
      </c>
      <c r="E4139" s="156">
        <v>-1.3775428479897477E-2</v>
      </c>
      <c r="G4139" s="156"/>
    </row>
    <row r="4140" spans="2:7" x14ac:dyDescent="0.2">
      <c r="B4140" s="230">
        <v>39902</v>
      </c>
      <c r="C4140" s="124">
        <v>59.28</v>
      </c>
      <c r="D4140" s="156">
        <f t="shared" si="65"/>
        <v>-3.2479190468418503E-2</v>
      </c>
      <c r="E4140" s="156">
        <v>-1.3777414242625742E-2</v>
      </c>
      <c r="G4140" s="156"/>
    </row>
    <row r="4141" spans="2:7" x14ac:dyDescent="0.2">
      <c r="B4141" s="230">
        <v>39899</v>
      </c>
      <c r="C4141" s="124">
        <v>61.75</v>
      </c>
      <c r="D4141" s="156">
        <f t="shared" si="65"/>
        <v>4.1666666666666644E-2</v>
      </c>
      <c r="E4141" s="156">
        <v>-1.3786764705882353E-2</v>
      </c>
      <c r="G4141" s="156"/>
    </row>
    <row r="4142" spans="2:7" x14ac:dyDescent="0.2">
      <c r="B4142" s="230">
        <v>39898</v>
      </c>
      <c r="C4142" s="124">
        <v>61.36</v>
      </c>
      <c r="D4142" s="156">
        <f t="shared" si="65"/>
        <v>-6.3157894736842199E-3</v>
      </c>
      <c r="E4142" s="156">
        <v>-1.3787820758330228E-2</v>
      </c>
      <c r="G4142" s="156"/>
    </row>
    <row r="4143" spans="2:7" x14ac:dyDescent="0.2">
      <c r="B4143" s="230">
        <v>39897</v>
      </c>
      <c r="C4143" s="124">
        <v>58.92</v>
      </c>
      <c r="D4143" s="156">
        <f t="shared" si="65"/>
        <v>-3.9765319426336342E-2</v>
      </c>
      <c r="E4143" s="156">
        <v>-1.3788098693759044E-2</v>
      </c>
      <c r="G4143" s="156"/>
    </row>
    <row r="4144" spans="2:7" x14ac:dyDescent="0.2">
      <c r="B4144" s="230">
        <v>39896</v>
      </c>
      <c r="C4144" s="124">
        <v>57.99</v>
      </c>
      <c r="D4144" s="156">
        <f t="shared" si="65"/>
        <v>-1.5784114052953151E-2</v>
      </c>
      <c r="E4144" s="156">
        <v>-1.3794587357750746E-2</v>
      </c>
      <c r="G4144" s="156"/>
    </row>
    <row r="4145" spans="2:7" x14ac:dyDescent="0.2">
      <c r="B4145" s="230">
        <v>39895</v>
      </c>
      <c r="C4145" s="124">
        <v>57.81</v>
      </c>
      <c r="D4145" s="156">
        <f t="shared" si="65"/>
        <v>-3.1039834454216196E-3</v>
      </c>
      <c r="E4145" s="156">
        <v>-1.3794940079893493E-2</v>
      </c>
      <c r="G4145" s="156"/>
    </row>
    <row r="4146" spans="2:7" x14ac:dyDescent="0.2">
      <c r="B4146" s="230">
        <v>39892</v>
      </c>
      <c r="C4146" s="124">
        <v>56.09</v>
      </c>
      <c r="D4146" s="156">
        <f t="shared" si="65"/>
        <v>-2.9752637951911413E-2</v>
      </c>
      <c r="E4146" s="156">
        <v>-1.3805697589481481E-2</v>
      </c>
      <c r="G4146" s="156"/>
    </row>
    <row r="4147" spans="2:7" x14ac:dyDescent="0.2">
      <c r="B4147" s="230">
        <v>39891</v>
      </c>
      <c r="C4147" s="124">
        <v>56.27</v>
      </c>
      <c r="D4147" s="156">
        <f t="shared" si="65"/>
        <v>3.2091281868425691E-3</v>
      </c>
      <c r="E4147" s="156">
        <v>-1.381796335235806E-2</v>
      </c>
      <c r="G4147" s="156"/>
    </row>
    <row r="4148" spans="2:7" x14ac:dyDescent="0.2">
      <c r="B4148" s="230">
        <v>39890</v>
      </c>
      <c r="C4148" s="124">
        <v>56.22</v>
      </c>
      <c r="D4148" s="156">
        <f t="shared" si="65"/>
        <v>-8.8857295183942175E-4</v>
      </c>
      <c r="E4148" s="156">
        <v>-1.3826875990206076E-2</v>
      </c>
      <c r="G4148" s="156"/>
    </row>
    <row r="4149" spans="2:7" x14ac:dyDescent="0.2">
      <c r="B4149" s="230">
        <v>39889</v>
      </c>
      <c r="C4149" s="124">
        <v>57.48</v>
      </c>
      <c r="D4149" s="156">
        <f t="shared" si="65"/>
        <v>2.2411953041622162E-2</v>
      </c>
      <c r="E4149" s="156">
        <v>-1.3841486537732347E-2</v>
      </c>
      <c r="G4149" s="156"/>
    </row>
    <row r="4150" spans="2:7" x14ac:dyDescent="0.2">
      <c r="B4150" s="230">
        <v>39888</v>
      </c>
      <c r="C4150" s="124">
        <v>56.38</v>
      </c>
      <c r="D4150" s="156">
        <f t="shared" si="65"/>
        <v>-1.9137091162143256E-2</v>
      </c>
      <c r="E4150" s="156">
        <v>-1.3886814991787328E-2</v>
      </c>
      <c r="G4150" s="156"/>
    </row>
    <row r="4151" spans="2:7" x14ac:dyDescent="0.2">
      <c r="B4151" s="230">
        <v>39885</v>
      </c>
      <c r="C4151" s="124">
        <v>54.81</v>
      </c>
      <c r="D4151" s="156">
        <f t="shared" si="65"/>
        <v>-2.7846754168144736E-2</v>
      </c>
      <c r="E4151" s="156">
        <v>-1.3886920787870056E-2</v>
      </c>
      <c r="G4151" s="156"/>
    </row>
    <row r="4152" spans="2:7" x14ac:dyDescent="0.2">
      <c r="B4152" s="230">
        <v>39884</v>
      </c>
      <c r="C4152" s="124">
        <v>53.65</v>
      </c>
      <c r="D4152" s="156">
        <f t="shared" si="65"/>
        <v>-2.1164021164021232E-2</v>
      </c>
      <c r="E4152" s="156">
        <v>-1.3888888888888781E-2</v>
      </c>
      <c r="G4152" s="156"/>
    </row>
    <row r="4153" spans="2:7" x14ac:dyDescent="0.2">
      <c r="B4153" s="230">
        <v>39881</v>
      </c>
      <c r="C4153" s="124">
        <v>52.49</v>
      </c>
      <c r="D4153" s="156">
        <f t="shared" si="65"/>
        <v>-2.1621621621621557E-2</v>
      </c>
      <c r="E4153" s="156">
        <v>-1.3896384241770117E-2</v>
      </c>
      <c r="G4153" s="156"/>
    </row>
    <row r="4154" spans="2:7" x14ac:dyDescent="0.2">
      <c r="B4154" s="230">
        <v>39878</v>
      </c>
      <c r="C4154" s="124">
        <v>54.54</v>
      </c>
      <c r="D4154" s="156">
        <f t="shared" si="65"/>
        <v>3.9055058106305905E-2</v>
      </c>
      <c r="E4154" s="156">
        <v>-1.3925570228091195E-2</v>
      </c>
      <c r="G4154" s="156"/>
    </row>
    <row r="4155" spans="2:7" x14ac:dyDescent="0.2">
      <c r="B4155" s="230">
        <v>39877</v>
      </c>
      <c r="C4155" s="124">
        <v>55.37</v>
      </c>
      <c r="D4155" s="156">
        <f t="shared" si="65"/>
        <v>1.5218188485515188E-2</v>
      </c>
      <c r="E4155" s="156">
        <v>-1.3941698352344668E-2</v>
      </c>
      <c r="G4155" s="156"/>
    </row>
    <row r="4156" spans="2:7" x14ac:dyDescent="0.2">
      <c r="B4156" s="230">
        <v>39876</v>
      </c>
      <c r="C4156" s="124">
        <v>57.58</v>
      </c>
      <c r="D4156" s="156">
        <f t="shared" si="65"/>
        <v>3.991331045692615E-2</v>
      </c>
      <c r="E4156" s="156">
        <v>-1.3948400036466416E-2</v>
      </c>
      <c r="G4156" s="156"/>
    </row>
    <row r="4157" spans="2:7" x14ac:dyDescent="0.2">
      <c r="B4157" s="230">
        <v>39875</v>
      </c>
      <c r="C4157" s="124">
        <v>57.03</v>
      </c>
      <c r="D4157" s="156">
        <f t="shared" si="65"/>
        <v>-9.5519277526918585E-3</v>
      </c>
      <c r="E4157" s="156">
        <v>-1.3956259041783683E-2</v>
      </c>
      <c r="G4157" s="156"/>
    </row>
    <row r="4158" spans="2:7" x14ac:dyDescent="0.2">
      <c r="B4158" s="230">
        <v>39874</v>
      </c>
      <c r="C4158" s="124">
        <v>59.32</v>
      </c>
      <c r="D4158" s="156">
        <f t="shared" ref="D4158:D4221" si="66">(C4158-C4157)/C4157</f>
        <v>4.0154304751884959E-2</v>
      </c>
      <c r="E4158" s="156">
        <v>-1.3965980304386668E-2</v>
      </c>
      <c r="G4158" s="156"/>
    </row>
    <row r="4159" spans="2:7" x14ac:dyDescent="0.2">
      <c r="B4159" s="230">
        <v>39871</v>
      </c>
      <c r="C4159" s="124">
        <v>60.68</v>
      </c>
      <c r="D4159" s="156">
        <f t="shared" si="66"/>
        <v>2.2926500337154408E-2</v>
      </c>
      <c r="E4159" s="156">
        <v>-1.3967611336032342E-2</v>
      </c>
      <c r="G4159" s="156"/>
    </row>
    <row r="4160" spans="2:7" x14ac:dyDescent="0.2">
      <c r="B4160" s="230">
        <v>39870</v>
      </c>
      <c r="C4160" s="124">
        <v>61.01</v>
      </c>
      <c r="D4160" s="156">
        <f t="shared" si="66"/>
        <v>5.4383651944627277E-3</v>
      </c>
      <c r="E4160" s="156">
        <v>-1.3968618446230516E-2</v>
      </c>
      <c r="G4160" s="156"/>
    </row>
    <row r="4161" spans="2:7" x14ac:dyDescent="0.2">
      <c r="B4161" s="230">
        <v>39869</v>
      </c>
      <c r="C4161" s="124">
        <v>60.3</v>
      </c>
      <c r="D4161" s="156">
        <f t="shared" si="66"/>
        <v>-1.163743648582201E-2</v>
      </c>
      <c r="E4161" s="156">
        <v>-1.3978656245302973E-2</v>
      </c>
      <c r="G4161" s="156"/>
    </row>
    <row r="4162" spans="2:7" x14ac:dyDescent="0.2">
      <c r="B4162" s="230">
        <v>39868</v>
      </c>
      <c r="C4162" s="124">
        <v>59.86</v>
      </c>
      <c r="D4162" s="156">
        <f t="shared" si="66"/>
        <v>-7.296849087893827E-3</v>
      </c>
      <c r="E4162" s="156">
        <v>-1.3991302703724669E-2</v>
      </c>
      <c r="G4162" s="156"/>
    </row>
    <row r="4163" spans="2:7" x14ac:dyDescent="0.2">
      <c r="B4163" s="230">
        <v>39864</v>
      </c>
      <c r="C4163" s="124">
        <v>59.73</v>
      </c>
      <c r="D4163" s="156">
        <f t="shared" si="66"/>
        <v>-2.1717340461076271E-3</v>
      </c>
      <c r="E4163" s="156">
        <v>-1.3993353157250305E-2</v>
      </c>
      <c r="G4163" s="156"/>
    </row>
    <row r="4164" spans="2:7" x14ac:dyDescent="0.2">
      <c r="B4164" s="230">
        <v>39863</v>
      </c>
      <c r="C4164" s="124">
        <v>60.01</v>
      </c>
      <c r="D4164" s="156">
        <f t="shared" si="66"/>
        <v>4.687761593838961E-3</v>
      </c>
      <c r="E4164" s="156">
        <v>-1.4021109271523219E-2</v>
      </c>
      <c r="G4164" s="156"/>
    </row>
    <row r="4165" spans="2:7" x14ac:dyDescent="0.2">
      <c r="B4165" s="230">
        <v>39862</v>
      </c>
      <c r="C4165" s="124">
        <v>59.68</v>
      </c>
      <c r="D4165" s="156">
        <f t="shared" si="66"/>
        <v>-5.4990834860856241E-3</v>
      </c>
      <c r="E4165" s="156">
        <v>-1.4024787997390728E-2</v>
      </c>
      <c r="G4165" s="156"/>
    </row>
    <row r="4166" spans="2:7" x14ac:dyDescent="0.2">
      <c r="B4166" s="230">
        <v>39861</v>
      </c>
      <c r="C4166" s="124">
        <v>59.85</v>
      </c>
      <c r="D4166" s="156">
        <f t="shared" si="66"/>
        <v>2.8485254691689296E-3</v>
      </c>
      <c r="E4166" s="156">
        <v>-1.4026939154667952E-2</v>
      </c>
      <c r="G4166" s="156"/>
    </row>
    <row r="4167" spans="2:7" x14ac:dyDescent="0.2">
      <c r="B4167" s="230">
        <v>39860</v>
      </c>
      <c r="C4167" s="124">
        <v>60.05</v>
      </c>
      <c r="D4167" s="156">
        <f t="shared" si="66"/>
        <v>3.3416875522137967E-3</v>
      </c>
      <c r="E4167" s="156">
        <v>-1.4028680858644366E-2</v>
      </c>
      <c r="G4167" s="156"/>
    </row>
    <row r="4168" spans="2:7" x14ac:dyDescent="0.2">
      <c r="B4168" s="230">
        <v>39857</v>
      </c>
      <c r="C4168" s="124">
        <v>59.43</v>
      </c>
      <c r="D4168" s="156">
        <f t="shared" si="66"/>
        <v>-1.0324729392173148E-2</v>
      </c>
      <c r="E4168" s="156">
        <v>-1.4046941678520585E-2</v>
      </c>
      <c r="G4168" s="156"/>
    </row>
    <row r="4169" spans="2:7" x14ac:dyDescent="0.2">
      <c r="B4169" s="230">
        <v>39856</v>
      </c>
      <c r="C4169" s="124">
        <v>59.1</v>
      </c>
      <c r="D4169" s="156">
        <f t="shared" si="66"/>
        <v>-5.5527511357899764E-3</v>
      </c>
      <c r="E4169" s="156">
        <v>-1.4051522248243581E-2</v>
      </c>
      <c r="G4169" s="156"/>
    </row>
    <row r="4170" spans="2:7" x14ac:dyDescent="0.2">
      <c r="B4170" s="230">
        <v>39855</v>
      </c>
      <c r="C4170" s="124">
        <v>59.73</v>
      </c>
      <c r="D4170" s="156">
        <f t="shared" si="66"/>
        <v>1.0659898477157283E-2</v>
      </c>
      <c r="E4170" s="156">
        <v>-1.4065738821439189E-2</v>
      </c>
      <c r="G4170" s="156"/>
    </row>
    <row r="4171" spans="2:7" x14ac:dyDescent="0.2">
      <c r="B4171" s="230">
        <v>39854</v>
      </c>
      <c r="C4171" s="124">
        <v>59.78</v>
      </c>
      <c r="D4171" s="156">
        <f t="shared" si="66"/>
        <v>8.3710028461416819E-4</v>
      </c>
      <c r="E4171" s="156">
        <v>-1.4080965551923475E-2</v>
      </c>
      <c r="G4171" s="156"/>
    </row>
    <row r="4172" spans="2:7" x14ac:dyDescent="0.2">
      <c r="B4172" s="230">
        <v>39853</v>
      </c>
      <c r="C4172" s="124">
        <v>60.71</v>
      </c>
      <c r="D4172" s="156">
        <f t="shared" si="66"/>
        <v>1.5557042489126793E-2</v>
      </c>
      <c r="E4172" s="156">
        <v>-1.4091595369904293E-2</v>
      </c>
      <c r="G4172" s="156"/>
    </row>
    <row r="4173" spans="2:7" x14ac:dyDescent="0.2">
      <c r="B4173" s="230">
        <v>39850</v>
      </c>
      <c r="C4173" s="124">
        <v>60.51</v>
      </c>
      <c r="D4173" s="156">
        <f t="shared" si="66"/>
        <v>-3.2943501894251827E-3</v>
      </c>
      <c r="E4173" s="156">
        <v>-1.4096062052506075E-2</v>
      </c>
      <c r="G4173" s="156"/>
    </row>
    <row r="4174" spans="2:7" x14ac:dyDescent="0.2">
      <c r="B4174" s="230">
        <v>39849</v>
      </c>
      <c r="C4174" s="124">
        <v>60.1</v>
      </c>
      <c r="D4174" s="156">
        <f t="shared" si="66"/>
        <v>-6.7757395471822277E-3</v>
      </c>
      <c r="E4174" s="156">
        <v>-1.4109347442680796E-2</v>
      </c>
      <c r="G4174" s="156"/>
    </row>
    <row r="4175" spans="2:7" x14ac:dyDescent="0.2">
      <c r="B4175" s="230">
        <v>39848</v>
      </c>
      <c r="C4175" s="124">
        <v>59.96</v>
      </c>
      <c r="D4175" s="156">
        <f t="shared" si="66"/>
        <v>-2.3294509151414403E-3</v>
      </c>
      <c r="E4175" s="156">
        <v>-1.4120020171457444E-2</v>
      </c>
      <c r="G4175" s="156"/>
    </row>
    <row r="4176" spans="2:7" x14ac:dyDescent="0.2">
      <c r="B4176" s="230">
        <v>39847</v>
      </c>
      <c r="C4176" s="124">
        <v>59.96</v>
      </c>
      <c r="D4176" s="156">
        <f t="shared" si="66"/>
        <v>0</v>
      </c>
      <c r="E4176" s="156">
        <v>-1.4135702746365105E-2</v>
      </c>
      <c r="G4176" s="156"/>
    </row>
    <row r="4177" spans="2:7" x14ac:dyDescent="0.2">
      <c r="B4177" s="230">
        <v>39846</v>
      </c>
      <c r="C4177" s="124">
        <v>59.07</v>
      </c>
      <c r="D4177" s="156">
        <f t="shared" si="66"/>
        <v>-1.4843228819212817E-2</v>
      </c>
      <c r="E4177" s="156">
        <v>-1.4137688795223037E-2</v>
      </c>
      <c r="G4177" s="156"/>
    </row>
    <row r="4178" spans="2:7" x14ac:dyDescent="0.2">
      <c r="B4178" s="230">
        <v>39843</v>
      </c>
      <c r="C4178" s="124">
        <v>59.7</v>
      </c>
      <c r="D4178" s="156">
        <f t="shared" si="66"/>
        <v>1.0665312341290038E-2</v>
      </c>
      <c r="E4178" s="156">
        <v>-1.4138817480719835E-2</v>
      </c>
      <c r="G4178" s="156"/>
    </row>
    <row r="4179" spans="2:7" x14ac:dyDescent="0.2">
      <c r="B4179" s="230">
        <v>39842</v>
      </c>
      <c r="C4179" s="124">
        <v>58.16</v>
      </c>
      <c r="D4179" s="156">
        <f t="shared" si="66"/>
        <v>-2.579564489112238E-2</v>
      </c>
      <c r="E4179" s="156">
        <v>-1.4142732811140122E-2</v>
      </c>
      <c r="G4179" s="156"/>
    </row>
    <row r="4180" spans="2:7" x14ac:dyDescent="0.2">
      <c r="B4180" s="230">
        <v>39841</v>
      </c>
      <c r="C4180" s="124">
        <v>58.22</v>
      </c>
      <c r="D4180" s="156">
        <f t="shared" si="66"/>
        <v>1.0316368638239731E-3</v>
      </c>
      <c r="E4180" s="156">
        <v>-1.4147063661786516E-2</v>
      </c>
      <c r="G4180" s="156"/>
    </row>
    <row r="4181" spans="2:7" x14ac:dyDescent="0.2">
      <c r="B4181" s="230">
        <v>39840</v>
      </c>
      <c r="C4181" s="124">
        <v>56.62</v>
      </c>
      <c r="D4181" s="156">
        <f t="shared" si="66"/>
        <v>-2.7481964960494699E-2</v>
      </c>
      <c r="E4181" s="156">
        <v>-1.4152655134873557E-2</v>
      </c>
      <c r="G4181" s="156"/>
    </row>
    <row r="4182" spans="2:7" x14ac:dyDescent="0.2">
      <c r="B4182" s="230">
        <v>39836</v>
      </c>
      <c r="C4182" s="124">
        <v>56.48</v>
      </c>
      <c r="D4182" s="156">
        <f t="shared" si="66"/>
        <v>-2.4726245143059091E-3</v>
      </c>
      <c r="E4182" s="156">
        <v>-1.4160360276707289E-2</v>
      </c>
      <c r="G4182" s="156"/>
    </row>
    <row r="4183" spans="2:7" x14ac:dyDescent="0.2">
      <c r="B4183" s="230">
        <v>39835</v>
      </c>
      <c r="C4183" s="124">
        <v>56.55</v>
      </c>
      <c r="D4183" s="156">
        <f t="shared" si="66"/>
        <v>1.2393767705382488E-3</v>
      </c>
      <c r="E4183" s="156">
        <v>-1.4166363966582034E-2</v>
      </c>
      <c r="G4183" s="156"/>
    </row>
    <row r="4184" spans="2:7" x14ac:dyDescent="0.2">
      <c r="B4184" s="230">
        <v>39834</v>
      </c>
      <c r="C4184" s="124">
        <v>56.77</v>
      </c>
      <c r="D4184" s="156">
        <f t="shared" si="66"/>
        <v>3.8903625110522718E-3</v>
      </c>
      <c r="E4184" s="156">
        <v>-1.4194959625811609E-2</v>
      </c>
      <c r="G4184" s="156"/>
    </row>
    <row r="4185" spans="2:7" x14ac:dyDescent="0.2">
      <c r="B4185" s="230">
        <v>39833</v>
      </c>
      <c r="C4185" s="124">
        <v>56.57</v>
      </c>
      <c r="D4185" s="156">
        <f t="shared" si="66"/>
        <v>-3.5229874933944481E-3</v>
      </c>
      <c r="E4185" s="156">
        <v>-1.4215998302567343E-2</v>
      </c>
      <c r="G4185" s="156"/>
    </row>
    <row r="4186" spans="2:7" x14ac:dyDescent="0.2">
      <c r="B4186" s="230">
        <v>39832</v>
      </c>
      <c r="C4186" s="124">
        <v>56.57</v>
      </c>
      <c r="D4186" s="156">
        <f t="shared" si="66"/>
        <v>0</v>
      </c>
      <c r="E4186" s="156">
        <v>-1.4285714285714138E-2</v>
      </c>
      <c r="G4186" s="156"/>
    </row>
    <row r="4187" spans="2:7" x14ac:dyDescent="0.2">
      <c r="B4187" s="230">
        <v>39829</v>
      </c>
      <c r="C4187" s="124">
        <v>56.93</v>
      </c>
      <c r="D4187" s="156">
        <f t="shared" si="66"/>
        <v>6.3637970655824544E-3</v>
      </c>
      <c r="E4187" s="156">
        <v>-1.4288472678123146E-2</v>
      </c>
      <c r="G4187" s="156"/>
    </row>
    <row r="4188" spans="2:7" x14ac:dyDescent="0.2">
      <c r="B4188" s="230">
        <v>39828</v>
      </c>
      <c r="C4188" s="124">
        <v>55.85</v>
      </c>
      <c r="D4188" s="156">
        <f t="shared" si="66"/>
        <v>-1.8970665729843638E-2</v>
      </c>
      <c r="E4188" s="156">
        <v>-1.4292520247737018E-2</v>
      </c>
      <c r="G4188" s="156"/>
    </row>
    <row r="4189" spans="2:7" x14ac:dyDescent="0.2">
      <c r="B4189" s="230">
        <v>39827</v>
      </c>
      <c r="C4189" s="124">
        <v>56.58</v>
      </c>
      <c r="D4189" s="156">
        <f t="shared" si="66"/>
        <v>1.3070725156669594E-2</v>
      </c>
      <c r="E4189" s="156">
        <v>-1.4322087842138792E-2</v>
      </c>
      <c r="G4189" s="156"/>
    </row>
    <row r="4190" spans="2:7" x14ac:dyDescent="0.2">
      <c r="B4190" s="230">
        <v>39826</v>
      </c>
      <c r="C4190" s="124">
        <v>55.92</v>
      </c>
      <c r="D4190" s="156">
        <f t="shared" si="66"/>
        <v>-1.1664899257688169E-2</v>
      </c>
      <c r="E4190" s="156">
        <v>-1.4330110497237458E-2</v>
      </c>
      <c r="G4190" s="156"/>
    </row>
    <row r="4191" spans="2:7" x14ac:dyDescent="0.2">
      <c r="B4191" s="230">
        <v>39825</v>
      </c>
      <c r="C4191" s="124">
        <v>54.73</v>
      </c>
      <c r="D4191" s="156">
        <f t="shared" si="66"/>
        <v>-2.1280400572246151E-2</v>
      </c>
      <c r="E4191" s="156">
        <v>-1.4330823415108034E-2</v>
      </c>
      <c r="G4191" s="156"/>
    </row>
    <row r="4192" spans="2:7" x14ac:dyDescent="0.2">
      <c r="B4192" s="230">
        <v>39822</v>
      </c>
      <c r="C4192" s="124">
        <v>56.24</v>
      </c>
      <c r="D4192" s="156">
        <f t="shared" si="66"/>
        <v>2.7589987209939798E-2</v>
      </c>
      <c r="E4192" s="156">
        <v>-1.4331723027375211E-2</v>
      </c>
      <c r="G4192" s="156"/>
    </row>
    <row r="4193" spans="2:7" x14ac:dyDescent="0.2">
      <c r="B4193" s="230">
        <v>39820</v>
      </c>
      <c r="C4193" s="124">
        <v>55.72</v>
      </c>
      <c r="D4193" s="156">
        <f t="shared" si="66"/>
        <v>-9.2460881934566704E-3</v>
      </c>
      <c r="E4193" s="156">
        <v>-1.4357338195077542E-2</v>
      </c>
      <c r="G4193" s="156"/>
    </row>
    <row r="4194" spans="2:7" x14ac:dyDescent="0.2">
      <c r="B4194" s="230">
        <v>39819</v>
      </c>
      <c r="C4194" s="124">
        <v>57.81</v>
      </c>
      <c r="D4194" s="156">
        <f t="shared" si="66"/>
        <v>3.7508973438621744E-2</v>
      </c>
      <c r="E4194" s="156">
        <v>-1.4361702127659514E-2</v>
      </c>
      <c r="G4194" s="156"/>
    </row>
    <row r="4195" spans="2:7" x14ac:dyDescent="0.2">
      <c r="B4195" s="230">
        <v>39818</v>
      </c>
      <c r="C4195" s="124">
        <v>57.33</v>
      </c>
      <c r="D4195" s="156">
        <f t="shared" si="66"/>
        <v>-8.3030617540218645E-3</v>
      </c>
      <c r="E4195" s="156">
        <v>-1.4362220058422673E-2</v>
      </c>
      <c r="G4195" s="156"/>
    </row>
    <row r="4196" spans="2:7" x14ac:dyDescent="0.2">
      <c r="B4196" s="230">
        <v>39815</v>
      </c>
      <c r="C4196" s="124">
        <v>57.84</v>
      </c>
      <c r="D4196" s="156">
        <f t="shared" si="66"/>
        <v>8.8958660387232717E-3</v>
      </c>
      <c r="E4196" s="156">
        <v>-1.4383890043151647E-2</v>
      </c>
      <c r="G4196" s="156"/>
    </row>
    <row r="4197" spans="2:7" x14ac:dyDescent="0.2">
      <c r="B4197" s="230">
        <v>39814</v>
      </c>
      <c r="C4197" s="124">
        <v>56.9</v>
      </c>
      <c r="D4197" s="156">
        <f t="shared" si="66"/>
        <v>-1.6251728907330648E-2</v>
      </c>
      <c r="E4197" s="156">
        <v>-1.4393353941267339E-2</v>
      </c>
      <c r="G4197" s="156"/>
    </row>
    <row r="4198" spans="2:7" x14ac:dyDescent="0.2">
      <c r="B4198" s="230">
        <v>39813</v>
      </c>
      <c r="C4198" s="124">
        <v>56.91</v>
      </c>
      <c r="D4198" s="156">
        <f t="shared" si="66"/>
        <v>1.7574692442878754E-4</v>
      </c>
      <c r="E4198" s="156">
        <v>-1.4394086753549959E-2</v>
      </c>
      <c r="G4198" s="156"/>
    </row>
    <row r="4199" spans="2:7" x14ac:dyDescent="0.2">
      <c r="B4199" s="230">
        <v>39812</v>
      </c>
      <c r="C4199" s="124">
        <v>57</v>
      </c>
      <c r="D4199" s="156">
        <f t="shared" si="66"/>
        <v>1.5814443858724902E-3</v>
      </c>
      <c r="E4199" s="156">
        <v>-1.4434008897676796E-2</v>
      </c>
      <c r="G4199" s="156"/>
    </row>
    <row r="4200" spans="2:7" x14ac:dyDescent="0.2">
      <c r="B4200" s="230">
        <v>39811</v>
      </c>
      <c r="C4200" s="124">
        <v>56.75</v>
      </c>
      <c r="D4200" s="156">
        <f t="shared" si="66"/>
        <v>-4.3859649122807015E-3</v>
      </c>
      <c r="E4200" s="156">
        <v>-1.4441392752724458E-2</v>
      </c>
      <c r="G4200" s="156"/>
    </row>
    <row r="4201" spans="2:7" x14ac:dyDescent="0.2">
      <c r="B4201" s="230">
        <v>39808</v>
      </c>
      <c r="C4201" s="124">
        <v>56.57</v>
      </c>
      <c r="D4201" s="156">
        <f t="shared" si="66"/>
        <v>-3.1718061674008763E-3</v>
      </c>
      <c r="E4201" s="156">
        <v>-1.4443374564846964E-2</v>
      </c>
      <c r="G4201" s="156"/>
    </row>
    <row r="4202" spans="2:7" x14ac:dyDescent="0.2">
      <c r="B4202" s="230">
        <v>39806</v>
      </c>
      <c r="C4202" s="124">
        <v>57.13</v>
      </c>
      <c r="D4202" s="156">
        <f t="shared" si="66"/>
        <v>9.899239879794984E-3</v>
      </c>
      <c r="E4202" s="156">
        <v>-1.4495124664616213E-2</v>
      </c>
      <c r="G4202" s="156"/>
    </row>
    <row r="4203" spans="2:7" x14ac:dyDescent="0.2">
      <c r="B4203" s="230">
        <v>39805</v>
      </c>
      <c r="C4203" s="124">
        <v>58.94</v>
      </c>
      <c r="D4203" s="156">
        <f t="shared" si="66"/>
        <v>3.1682128478907667E-2</v>
      </c>
      <c r="E4203" s="156">
        <v>-1.4513924885726462E-2</v>
      </c>
      <c r="G4203" s="156"/>
    </row>
    <row r="4204" spans="2:7" x14ac:dyDescent="0.2">
      <c r="B4204" s="230">
        <v>39804</v>
      </c>
      <c r="C4204" s="124">
        <v>59.65</v>
      </c>
      <c r="D4204" s="156">
        <f t="shared" si="66"/>
        <v>1.2046148625721087E-2</v>
      </c>
      <c r="E4204" s="156">
        <v>-1.45192704951898E-2</v>
      </c>
      <c r="G4204" s="156"/>
    </row>
    <row r="4205" spans="2:7" x14ac:dyDescent="0.2">
      <c r="B4205" s="230">
        <v>39801</v>
      </c>
      <c r="C4205" s="124">
        <v>59.35</v>
      </c>
      <c r="D4205" s="156">
        <f t="shared" si="66"/>
        <v>-5.029337803855778E-3</v>
      </c>
      <c r="E4205" s="156">
        <v>-1.4525646845211088E-2</v>
      </c>
      <c r="G4205" s="156"/>
    </row>
    <row r="4206" spans="2:7" x14ac:dyDescent="0.2">
      <c r="B4206" s="230">
        <v>39800</v>
      </c>
      <c r="C4206" s="124">
        <v>59.68</v>
      </c>
      <c r="D4206" s="156">
        <f t="shared" si="66"/>
        <v>5.5602358887952537E-3</v>
      </c>
      <c r="E4206" s="156">
        <v>-1.4537524986371148E-2</v>
      </c>
      <c r="G4206" s="156"/>
    </row>
    <row r="4207" spans="2:7" x14ac:dyDescent="0.2">
      <c r="B4207" s="230">
        <v>39799</v>
      </c>
      <c r="C4207" s="124">
        <v>57.13</v>
      </c>
      <c r="D4207" s="156">
        <f t="shared" si="66"/>
        <v>-4.2727882037533464E-2</v>
      </c>
      <c r="E4207" s="156">
        <v>-1.4537954625484111E-2</v>
      </c>
      <c r="G4207" s="156"/>
    </row>
    <row r="4208" spans="2:7" x14ac:dyDescent="0.2">
      <c r="B4208" s="230">
        <v>39798</v>
      </c>
      <c r="C4208" s="124">
        <v>58.52</v>
      </c>
      <c r="D4208" s="156">
        <f t="shared" si="66"/>
        <v>2.4330474356730272E-2</v>
      </c>
      <c r="E4208" s="156">
        <v>-1.4540466392318275E-2</v>
      </c>
      <c r="G4208" s="156"/>
    </row>
    <row r="4209" spans="2:7" x14ac:dyDescent="0.2">
      <c r="B4209" s="230">
        <v>39797</v>
      </c>
      <c r="C4209" s="124">
        <v>57.51</v>
      </c>
      <c r="D4209" s="156">
        <f t="shared" si="66"/>
        <v>-1.7259056732741029E-2</v>
      </c>
      <c r="E4209" s="156">
        <v>-1.4576210185351849E-2</v>
      </c>
      <c r="G4209" s="156"/>
    </row>
    <row r="4210" spans="2:7" x14ac:dyDescent="0.2">
      <c r="B4210" s="230">
        <v>39794</v>
      </c>
      <c r="C4210" s="124">
        <v>57.15</v>
      </c>
      <c r="D4210" s="156">
        <f t="shared" si="66"/>
        <v>-6.2597809076682222E-3</v>
      </c>
      <c r="E4210" s="156">
        <v>-1.4585865601667015E-2</v>
      </c>
      <c r="G4210" s="156"/>
    </row>
    <row r="4211" spans="2:7" x14ac:dyDescent="0.2">
      <c r="B4211" s="230">
        <v>39793</v>
      </c>
      <c r="C4211" s="124">
        <v>56.73</v>
      </c>
      <c r="D4211" s="156">
        <f t="shared" si="66"/>
        <v>-7.3490813648294266E-3</v>
      </c>
      <c r="E4211" s="156">
        <v>-1.4586709886547649E-2</v>
      </c>
      <c r="G4211" s="156"/>
    </row>
    <row r="4212" spans="2:7" x14ac:dyDescent="0.2">
      <c r="B4212" s="230">
        <v>39792</v>
      </c>
      <c r="C4212" s="124">
        <v>56.47</v>
      </c>
      <c r="D4212" s="156">
        <f t="shared" si="66"/>
        <v>-4.58311299136256E-3</v>
      </c>
      <c r="E4212" s="156">
        <v>-1.4603739982190642E-2</v>
      </c>
      <c r="G4212" s="156"/>
    </row>
    <row r="4213" spans="2:7" x14ac:dyDescent="0.2">
      <c r="B4213" s="230">
        <v>39790</v>
      </c>
      <c r="C4213" s="124">
        <v>56.32</v>
      </c>
      <c r="D4213" s="156">
        <f t="shared" si="66"/>
        <v>-2.6562776695590326E-3</v>
      </c>
      <c r="E4213" s="156">
        <v>-1.4604936468526362E-2</v>
      </c>
      <c r="G4213" s="156"/>
    </row>
    <row r="4214" spans="2:7" x14ac:dyDescent="0.2">
      <c r="B4214" s="230">
        <v>39787</v>
      </c>
      <c r="C4214" s="124">
        <v>56.14</v>
      </c>
      <c r="D4214" s="156">
        <f t="shared" si="66"/>
        <v>-3.1960227272727223E-3</v>
      </c>
      <c r="E4214" s="156">
        <v>-1.4614630960156812E-2</v>
      </c>
      <c r="G4214" s="156"/>
    </row>
    <row r="4215" spans="2:7" x14ac:dyDescent="0.2">
      <c r="B4215" s="230">
        <v>39786</v>
      </c>
      <c r="C4215" s="124">
        <v>57.69</v>
      </c>
      <c r="D4215" s="156">
        <f t="shared" si="66"/>
        <v>2.7609547559672196E-2</v>
      </c>
      <c r="E4215" s="156">
        <v>-1.4650705735215375E-2</v>
      </c>
      <c r="G4215" s="156"/>
    </row>
    <row r="4216" spans="2:7" x14ac:dyDescent="0.2">
      <c r="B4216" s="230">
        <v>39785</v>
      </c>
      <c r="C4216" s="124">
        <v>55.92</v>
      </c>
      <c r="D4216" s="156">
        <f t="shared" si="66"/>
        <v>-3.0681227249089896E-2</v>
      </c>
      <c r="E4216" s="156">
        <v>-1.4689517026485568E-2</v>
      </c>
      <c r="G4216" s="156"/>
    </row>
    <row r="4217" spans="2:7" x14ac:dyDescent="0.2">
      <c r="B4217" s="230">
        <v>39784</v>
      </c>
      <c r="C4217" s="124">
        <v>56.22</v>
      </c>
      <c r="D4217" s="156">
        <f t="shared" si="66"/>
        <v>5.3648068669527385E-3</v>
      </c>
      <c r="E4217" s="156">
        <v>-1.4699020065329037E-2</v>
      </c>
      <c r="G4217" s="156"/>
    </row>
    <row r="4218" spans="2:7" x14ac:dyDescent="0.2">
      <c r="B4218" s="230">
        <v>39783</v>
      </c>
      <c r="C4218" s="124">
        <v>54.78</v>
      </c>
      <c r="D4218" s="156">
        <f t="shared" si="66"/>
        <v>-2.561366061899676E-2</v>
      </c>
      <c r="E4218" s="156">
        <v>-1.471436814772078E-2</v>
      </c>
      <c r="G4218" s="156"/>
    </row>
    <row r="4219" spans="2:7" x14ac:dyDescent="0.2">
      <c r="B4219" s="230">
        <v>39780</v>
      </c>
      <c r="C4219" s="124">
        <v>57.54</v>
      </c>
      <c r="D4219" s="156">
        <f t="shared" si="66"/>
        <v>5.0383351588170831E-2</v>
      </c>
      <c r="E4219" s="156">
        <v>-1.4741420976317116E-2</v>
      </c>
      <c r="G4219" s="156"/>
    </row>
    <row r="4220" spans="2:7" x14ac:dyDescent="0.2">
      <c r="B4220" s="230">
        <v>39778</v>
      </c>
      <c r="C4220" s="124">
        <v>57.15</v>
      </c>
      <c r="D4220" s="156">
        <f t="shared" si="66"/>
        <v>-6.7778936392075178E-3</v>
      </c>
      <c r="E4220" s="156">
        <v>-1.4749262536873184E-2</v>
      </c>
      <c r="G4220" s="156"/>
    </row>
    <row r="4221" spans="2:7" x14ac:dyDescent="0.2">
      <c r="B4221" s="230">
        <v>39777</v>
      </c>
      <c r="C4221" s="124">
        <v>55.9</v>
      </c>
      <c r="D4221" s="156">
        <f t="shared" si="66"/>
        <v>-2.1872265966754158E-2</v>
      </c>
      <c r="E4221" s="156">
        <v>-1.4751936706774405E-2</v>
      </c>
      <c r="G4221" s="156"/>
    </row>
    <row r="4222" spans="2:7" x14ac:dyDescent="0.2">
      <c r="B4222" s="230">
        <v>39776</v>
      </c>
      <c r="C4222" s="124">
        <v>57.06</v>
      </c>
      <c r="D4222" s="156">
        <f t="shared" ref="D4222:D4285" si="67">(C4222-C4221)/C4221</f>
        <v>2.0751341681574307E-2</v>
      </c>
      <c r="E4222" s="156">
        <v>-1.4776392642315346E-2</v>
      </c>
      <c r="G4222" s="156"/>
    </row>
    <row r="4223" spans="2:7" x14ac:dyDescent="0.2">
      <c r="B4223" s="230">
        <v>39773</v>
      </c>
      <c r="C4223" s="124">
        <v>56.3</v>
      </c>
      <c r="D4223" s="156">
        <f t="shared" si="67"/>
        <v>-1.3319313003855679E-2</v>
      </c>
      <c r="E4223" s="156">
        <v>-1.4792899408284084E-2</v>
      </c>
      <c r="G4223" s="156"/>
    </row>
    <row r="4224" spans="2:7" x14ac:dyDescent="0.2">
      <c r="B4224" s="230">
        <v>39772</v>
      </c>
      <c r="C4224" s="124">
        <v>54.58</v>
      </c>
      <c r="D4224" s="156">
        <f t="shared" si="67"/>
        <v>-3.0550621669626979E-2</v>
      </c>
      <c r="E4224" s="156">
        <v>-1.4799369373951059E-2</v>
      </c>
      <c r="G4224" s="156"/>
    </row>
    <row r="4225" spans="2:7" x14ac:dyDescent="0.2">
      <c r="B4225" s="230">
        <v>39771</v>
      </c>
      <c r="C4225" s="124">
        <v>54.73</v>
      </c>
      <c r="D4225" s="156">
        <f t="shared" si="67"/>
        <v>2.7482594356907034E-3</v>
      </c>
      <c r="E4225" s="156">
        <v>-1.4813826237822148E-2</v>
      </c>
      <c r="G4225" s="156"/>
    </row>
    <row r="4226" spans="2:7" x14ac:dyDescent="0.2">
      <c r="B4226" s="230">
        <v>39770</v>
      </c>
      <c r="C4226" s="124">
        <v>53.27</v>
      </c>
      <c r="D4226" s="156">
        <f t="shared" si="67"/>
        <v>-2.6676411474511125E-2</v>
      </c>
      <c r="E4226" s="156">
        <v>-1.4822948119681675E-2</v>
      </c>
      <c r="G4226" s="156"/>
    </row>
    <row r="4227" spans="2:7" x14ac:dyDescent="0.2">
      <c r="B4227" s="230">
        <v>39769</v>
      </c>
      <c r="C4227" s="124">
        <v>54.76</v>
      </c>
      <c r="D4227" s="156">
        <f t="shared" si="67"/>
        <v>2.7970715224328792E-2</v>
      </c>
      <c r="E4227" s="156">
        <v>-1.4833759590792917E-2</v>
      </c>
      <c r="G4227" s="156"/>
    </row>
    <row r="4228" spans="2:7" x14ac:dyDescent="0.2">
      <c r="B4228" s="230">
        <v>39766</v>
      </c>
      <c r="C4228" s="124">
        <v>56.2</v>
      </c>
      <c r="D4228" s="156">
        <f t="shared" si="67"/>
        <v>2.6296566837107467E-2</v>
      </c>
      <c r="E4228" s="156">
        <v>-1.4843228819212817E-2</v>
      </c>
      <c r="G4228" s="156"/>
    </row>
    <row r="4229" spans="2:7" x14ac:dyDescent="0.2">
      <c r="B4229" s="230">
        <v>39764</v>
      </c>
      <c r="C4229" s="124">
        <v>56.35</v>
      </c>
      <c r="D4229" s="156">
        <f t="shared" si="67"/>
        <v>2.6690391459074478E-3</v>
      </c>
      <c r="E4229" s="156">
        <v>-1.485325697924115E-2</v>
      </c>
      <c r="G4229" s="156"/>
    </row>
    <row r="4230" spans="2:7" x14ac:dyDescent="0.2">
      <c r="B4230" s="230">
        <v>39763</v>
      </c>
      <c r="C4230" s="124">
        <v>57.2</v>
      </c>
      <c r="D4230" s="156">
        <f t="shared" si="67"/>
        <v>1.5084294587400203E-2</v>
      </c>
      <c r="E4230" s="156">
        <v>-1.4900286194521425E-2</v>
      </c>
      <c r="G4230" s="156"/>
    </row>
    <row r="4231" spans="2:7" x14ac:dyDescent="0.2">
      <c r="B4231" s="230">
        <v>39762</v>
      </c>
      <c r="C4231" s="124">
        <v>57.11</v>
      </c>
      <c r="D4231" s="156">
        <f t="shared" si="67"/>
        <v>-1.5734265734266329E-3</v>
      </c>
      <c r="E4231" s="156">
        <v>-1.4901783698351696E-2</v>
      </c>
      <c r="G4231" s="156"/>
    </row>
    <row r="4232" spans="2:7" x14ac:dyDescent="0.2">
      <c r="B4232" s="230">
        <v>39759</v>
      </c>
      <c r="C4232" s="124">
        <v>57.89</v>
      </c>
      <c r="D4232" s="156">
        <f t="shared" si="67"/>
        <v>1.3657853265627755E-2</v>
      </c>
      <c r="E4232" s="156">
        <v>-1.4914645103324266E-2</v>
      </c>
      <c r="G4232" s="156"/>
    </row>
    <row r="4233" spans="2:7" x14ac:dyDescent="0.2">
      <c r="B4233" s="230">
        <v>39758</v>
      </c>
      <c r="C4233" s="124">
        <v>55.92</v>
      </c>
      <c r="D4233" s="156">
        <f t="shared" si="67"/>
        <v>-3.4030057004664001E-2</v>
      </c>
      <c r="E4233" s="156">
        <v>-1.4921157919510415E-2</v>
      </c>
      <c r="G4233" s="156"/>
    </row>
    <row r="4234" spans="2:7" x14ac:dyDescent="0.2">
      <c r="B4234" s="230">
        <v>39757</v>
      </c>
      <c r="C4234" s="124">
        <v>56.28</v>
      </c>
      <c r="D4234" s="156">
        <f t="shared" si="67"/>
        <v>6.4377682403433372E-3</v>
      </c>
      <c r="E4234" s="156">
        <v>-1.4945424013434051E-2</v>
      </c>
      <c r="G4234" s="156"/>
    </row>
    <row r="4235" spans="2:7" x14ac:dyDescent="0.2">
      <c r="B4235" s="230">
        <v>39756</v>
      </c>
      <c r="C4235" s="124">
        <v>56.6</v>
      </c>
      <c r="D4235" s="156">
        <f t="shared" si="67"/>
        <v>5.6858564321250939E-3</v>
      </c>
      <c r="E4235" s="156">
        <v>-1.4959006568538163E-2</v>
      </c>
      <c r="G4235" s="156"/>
    </row>
    <row r="4236" spans="2:7" x14ac:dyDescent="0.2">
      <c r="B4236" s="230">
        <v>39755</v>
      </c>
      <c r="C4236" s="124">
        <v>52.97</v>
      </c>
      <c r="D4236" s="156">
        <f t="shared" si="67"/>
        <v>-6.4134275618374606E-2</v>
      </c>
      <c r="E4236" s="156">
        <v>-1.4994829369183118E-2</v>
      </c>
      <c r="G4236" s="156"/>
    </row>
    <row r="4237" spans="2:7" x14ac:dyDescent="0.2">
      <c r="B4237" s="230">
        <v>39752</v>
      </c>
      <c r="C4237" s="124">
        <v>51.43</v>
      </c>
      <c r="D4237" s="156">
        <f t="shared" si="67"/>
        <v>-2.907306022276759E-2</v>
      </c>
      <c r="E4237" s="156">
        <v>-1.5033947623666317E-2</v>
      </c>
      <c r="G4237" s="156"/>
    </row>
    <row r="4238" spans="2:7" x14ac:dyDescent="0.2">
      <c r="B4238" s="230">
        <v>39750</v>
      </c>
      <c r="C4238" s="124">
        <v>50.75</v>
      </c>
      <c r="D4238" s="156">
        <f t="shared" si="67"/>
        <v>-1.3221854948473648E-2</v>
      </c>
      <c r="E4238" s="156">
        <v>-1.5049199305421593E-2</v>
      </c>
      <c r="G4238" s="156"/>
    </row>
    <row r="4239" spans="2:7" x14ac:dyDescent="0.2">
      <c r="B4239" s="230">
        <v>39749</v>
      </c>
      <c r="C4239" s="124">
        <v>51.48</v>
      </c>
      <c r="D4239" s="156">
        <f t="shared" si="67"/>
        <v>1.4384236453201908E-2</v>
      </c>
      <c r="E4239" s="156">
        <v>-1.5100785787495718E-2</v>
      </c>
      <c r="G4239" s="156"/>
    </row>
    <row r="4240" spans="2:7" x14ac:dyDescent="0.2">
      <c r="B4240" s="230">
        <v>39748</v>
      </c>
      <c r="C4240" s="124">
        <v>49.39</v>
      </c>
      <c r="D4240" s="156">
        <f t="shared" si="67"/>
        <v>-4.059829059829053E-2</v>
      </c>
      <c r="E4240" s="156">
        <v>-1.5106270858949578E-2</v>
      </c>
      <c r="G4240" s="156"/>
    </row>
    <row r="4241" spans="2:7" x14ac:dyDescent="0.2">
      <c r="B4241" s="230">
        <v>39745</v>
      </c>
      <c r="C4241" s="124">
        <v>52.67</v>
      </c>
      <c r="D4241" s="156">
        <f t="shared" si="67"/>
        <v>6.6410204494837033E-2</v>
      </c>
      <c r="E4241" s="156">
        <v>-1.514004542013626E-2</v>
      </c>
      <c r="G4241" s="156"/>
    </row>
    <row r="4242" spans="2:7" x14ac:dyDescent="0.2">
      <c r="B4242" s="230">
        <v>39744</v>
      </c>
      <c r="C4242" s="124">
        <v>55.9</v>
      </c>
      <c r="D4242" s="156">
        <f t="shared" si="67"/>
        <v>6.1325232580216382E-2</v>
      </c>
      <c r="E4242" s="156">
        <v>-1.515601783060928E-2</v>
      </c>
      <c r="G4242" s="156"/>
    </row>
    <row r="4243" spans="2:7" x14ac:dyDescent="0.2">
      <c r="B4243" s="230">
        <v>39743</v>
      </c>
      <c r="C4243" s="124">
        <v>56.63</v>
      </c>
      <c r="D4243" s="156">
        <f t="shared" si="67"/>
        <v>1.3059033989266619E-2</v>
      </c>
      <c r="E4243" s="156">
        <v>-1.5173916426737131E-2</v>
      </c>
      <c r="G4243" s="156"/>
    </row>
    <row r="4244" spans="2:7" x14ac:dyDescent="0.2">
      <c r="B4244" s="230">
        <v>39742</v>
      </c>
      <c r="C4244" s="124">
        <v>56.05</v>
      </c>
      <c r="D4244" s="156">
        <f t="shared" si="67"/>
        <v>-1.0241921243157433E-2</v>
      </c>
      <c r="E4244" s="156">
        <v>-1.5195993783457011E-2</v>
      </c>
      <c r="G4244" s="156"/>
    </row>
    <row r="4245" spans="2:7" x14ac:dyDescent="0.2">
      <c r="B4245" s="230">
        <v>39741</v>
      </c>
      <c r="C4245" s="124">
        <v>54.76</v>
      </c>
      <c r="D4245" s="156">
        <f t="shared" si="67"/>
        <v>-2.3015165031222109E-2</v>
      </c>
      <c r="E4245" s="156">
        <v>-1.52068579947819E-2</v>
      </c>
      <c r="G4245" s="156"/>
    </row>
    <row r="4246" spans="2:7" x14ac:dyDescent="0.2">
      <c r="B4246" s="230">
        <v>39738</v>
      </c>
      <c r="C4246" s="124">
        <v>52.67</v>
      </c>
      <c r="D4246" s="156">
        <f t="shared" si="67"/>
        <v>-3.8166544923301612E-2</v>
      </c>
      <c r="E4246" s="156">
        <v>-1.5211267605633846E-2</v>
      </c>
      <c r="G4246" s="156"/>
    </row>
    <row r="4247" spans="2:7" x14ac:dyDescent="0.2">
      <c r="B4247" s="230">
        <v>39737</v>
      </c>
      <c r="C4247" s="124">
        <v>53.6</v>
      </c>
      <c r="D4247" s="156">
        <f t="shared" si="67"/>
        <v>1.7657110309474078E-2</v>
      </c>
      <c r="E4247" s="156">
        <v>-1.5212033653437632E-2</v>
      </c>
      <c r="G4247" s="156"/>
    </row>
    <row r="4248" spans="2:7" x14ac:dyDescent="0.2">
      <c r="B4248" s="230">
        <v>39736</v>
      </c>
      <c r="C4248" s="124">
        <v>53.25</v>
      </c>
      <c r="D4248" s="156">
        <f t="shared" si="67"/>
        <v>-6.5298507462686834E-3</v>
      </c>
      <c r="E4248" s="156">
        <v>-1.5220354384370778E-2</v>
      </c>
      <c r="G4248" s="156"/>
    </row>
    <row r="4249" spans="2:7" x14ac:dyDescent="0.2">
      <c r="B4249" s="230">
        <v>39735</v>
      </c>
      <c r="C4249" s="124">
        <v>56</v>
      </c>
      <c r="D4249" s="156">
        <f t="shared" si="67"/>
        <v>5.1643192488262914E-2</v>
      </c>
      <c r="E4249" s="156">
        <v>-1.5231316725978685E-2</v>
      </c>
      <c r="G4249" s="156"/>
    </row>
    <row r="4250" spans="2:7" x14ac:dyDescent="0.2">
      <c r="B4250" s="230">
        <v>39734</v>
      </c>
      <c r="C4250" s="124">
        <v>56.37</v>
      </c>
      <c r="D4250" s="156">
        <f t="shared" si="67"/>
        <v>6.6071428571428115E-3</v>
      </c>
      <c r="E4250" s="156">
        <v>-1.5235559500036995E-2</v>
      </c>
      <c r="G4250" s="156"/>
    </row>
    <row r="4251" spans="2:7" x14ac:dyDescent="0.2">
      <c r="B4251" s="230">
        <v>39731</v>
      </c>
      <c r="C4251" s="124">
        <v>54.15</v>
      </c>
      <c r="D4251" s="156">
        <f t="shared" si="67"/>
        <v>-3.9382650345928666E-2</v>
      </c>
      <c r="E4251" s="156">
        <v>-1.5268307144974607E-2</v>
      </c>
      <c r="G4251" s="156"/>
    </row>
    <row r="4252" spans="2:7" x14ac:dyDescent="0.2">
      <c r="B4252" s="230">
        <v>39729</v>
      </c>
      <c r="C4252" s="124">
        <v>54.96</v>
      </c>
      <c r="D4252" s="156">
        <f t="shared" si="67"/>
        <v>1.4958448753462646E-2</v>
      </c>
      <c r="E4252" s="156">
        <v>-1.5279077019020953E-2</v>
      </c>
      <c r="G4252" s="156"/>
    </row>
    <row r="4253" spans="2:7" x14ac:dyDescent="0.2">
      <c r="B4253" s="230">
        <v>39728</v>
      </c>
      <c r="C4253" s="124">
        <v>57.84</v>
      </c>
      <c r="D4253" s="156">
        <f t="shared" si="67"/>
        <v>5.2401746724890876E-2</v>
      </c>
      <c r="E4253" s="156">
        <v>-1.5315997643692613E-2</v>
      </c>
      <c r="G4253" s="156"/>
    </row>
    <row r="4254" spans="2:7" x14ac:dyDescent="0.2">
      <c r="B4254" s="230">
        <v>39727</v>
      </c>
      <c r="C4254" s="124">
        <v>59.67</v>
      </c>
      <c r="D4254" s="156">
        <f t="shared" si="67"/>
        <v>3.1639004149377564E-2</v>
      </c>
      <c r="E4254" s="156">
        <v>-1.5322735108216898E-2</v>
      </c>
      <c r="G4254" s="156"/>
    </row>
    <row r="4255" spans="2:7" x14ac:dyDescent="0.2">
      <c r="B4255" s="230">
        <v>39724</v>
      </c>
      <c r="C4255" s="124">
        <v>63.13</v>
      </c>
      <c r="D4255" s="156">
        <f t="shared" si="67"/>
        <v>5.7985587397352115E-2</v>
      </c>
      <c r="E4255" s="156">
        <v>-1.5328620424161809E-2</v>
      </c>
      <c r="G4255" s="156"/>
    </row>
    <row r="4256" spans="2:7" x14ac:dyDescent="0.2">
      <c r="B4256" s="230">
        <v>39722</v>
      </c>
      <c r="C4256" s="124">
        <v>63.78</v>
      </c>
      <c r="D4256" s="156">
        <f t="shared" si="67"/>
        <v>1.0296214161254532E-2</v>
      </c>
      <c r="E4256" s="156">
        <v>-1.5333562192470509E-2</v>
      </c>
      <c r="G4256" s="156"/>
    </row>
    <row r="4257" spans="2:7" x14ac:dyDescent="0.2">
      <c r="B4257" s="230">
        <v>39721</v>
      </c>
      <c r="C4257" s="124">
        <v>62.33</v>
      </c>
      <c r="D4257" s="156">
        <f t="shared" si="67"/>
        <v>-2.2734399498275364E-2</v>
      </c>
      <c r="E4257" s="156">
        <v>-1.5337198209437171E-2</v>
      </c>
      <c r="G4257" s="156"/>
    </row>
    <row r="4258" spans="2:7" x14ac:dyDescent="0.2">
      <c r="B4258" s="230">
        <v>39720</v>
      </c>
      <c r="C4258" s="124">
        <v>63.43</v>
      </c>
      <c r="D4258" s="156">
        <f t="shared" si="67"/>
        <v>1.7648002566982214E-2</v>
      </c>
      <c r="E4258" s="156">
        <v>-1.536651716785533E-2</v>
      </c>
      <c r="G4258" s="156"/>
    </row>
    <row r="4259" spans="2:7" x14ac:dyDescent="0.2">
      <c r="B4259" s="230">
        <v>39717</v>
      </c>
      <c r="C4259" s="124">
        <v>63.76</v>
      </c>
      <c r="D4259" s="156">
        <f t="shared" si="67"/>
        <v>5.2025855273529608E-3</v>
      </c>
      <c r="E4259" s="156">
        <v>-1.5378914211599162E-2</v>
      </c>
      <c r="G4259" s="156"/>
    </row>
    <row r="4260" spans="2:7" x14ac:dyDescent="0.2">
      <c r="B4260" s="230">
        <v>39716</v>
      </c>
      <c r="C4260" s="124">
        <v>62.33</v>
      </c>
      <c r="D4260" s="156">
        <f t="shared" si="67"/>
        <v>-2.2427854454203259E-2</v>
      </c>
      <c r="E4260" s="156">
        <v>-1.5387730309779239E-2</v>
      </c>
      <c r="G4260" s="156"/>
    </row>
    <row r="4261" spans="2:7" x14ac:dyDescent="0.2">
      <c r="B4261" s="230">
        <v>39715</v>
      </c>
      <c r="C4261" s="124">
        <v>63.98</v>
      </c>
      <c r="D4261" s="156">
        <f t="shared" si="67"/>
        <v>2.6472003850473266E-2</v>
      </c>
      <c r="E4261" s="156">
        <v>-1.5395505220315069E-2</v>
      </c>
      <c r="G4261" s="156"/>
    </row>
    <row r="4262" spans="2:7" x14ac:dyDescent="0.2">
      <c r="B4262" s="230">
        <v>39714</v>
      </c>
      <c r="C4262" s="124">
        <v>64.22</v>
      </c>
      <c r="D4262" s="156">
        <f t="shared" si="67"/>
        <v>3.7511722413254454E-3</v>
      </c>
      <c r="E4262" s="156">
        <v>-1.5405754257400961E-2</v>
      </c>
      <c r="G4262" s="156"/>
    </row>
    <row r="4263" spans="2:7" x14ac:dyDescent="0.2">
      <c r="B4263" s="230">
        <v>39713</v>
      </c>
      <c r="C4263" s="124">
        <v>64.64</v>
      </c>
      <c r="D4263" s="156">
        <f t="shared" si="67"/>
        <v>6.5400186857677003E-3</v>
      </c>
      <c r="E4263" s="156">
        <v>-1.5417228753131625E-2</v>
      </c>
      <c r="G4263" s="156"/>
    </row>
    <row r="4264" spans="2:7" x14ac:dyDescent="0.2">
      <c r="B4264" s="230">
        <v>39710</v>
      </c>
      <c r="C4264" s="124">
        <v>63.33</v>
      </c>
      <c r="D4264" s="156">
        <f t="shared" si="67"/>
        <v>-2.0266089108910926E-2</v>
      </c>
      <c r="E4264" s="156">
        <v>-1.543754607805908E-2</v>
      </c>
      <c r="G4264" s="156"/>
    </row>
    <row r="4265" spans="2:7" x14ac:dyDescent="0.2">
      <c r="B4265" s="230">
        <v>39709</v>
      </c>
      <c r="C4265" s="124">
        <v>61.54</v>
      </c>
      <c r="D4265" s="156">
        <f t="shared" si="67"/>
        <v>-2.8264645507658285E-2</v>
      </c>
      <c r="E4265" s="156">
        <v>-1.5444823472783198E-2</v>
      </c>
      <c r="G4265" s="156"/>
    </row>
    <row r="4266" spans="2:7" x14ac:dyDescent="0.2">
      <c r="B4266" s="230">
        <v>39708</v>
      </c>
      <c r="C4266" s="124">
        <v>61.24</v>
      </c>
      <c r="D4266" s="156">
        <f t="shared" si="67"/>
        <v>-4.8748781280467529E-3</v>
      </c>
      <c r="E4266" s="156">
        <v>-1.5446224256292815E-2</v>
      </c>
      <c r="G4266" s="156"/>
    </row>
    <row r="4267" spans="2:7" x14ac:dyDescent="0.2">
      <c r="B4267" s="230">
        <v>39707</v>
      </c>
      <c r="C4267" s="124">
        <v>64.44</v>
      </c>
      <c r="D4267" s="156">
        <f t="shared" si="67"/>
        <v>5.2253429131286666E-2</v>
      </c>
      <c r="E4267" s="156">
        <v>-1.544979885303426E-2</v>
      </c>
      <c r="G4267" s="156"/>
    </row>
    <row r="4268" spans="2:7" x14ac:dyDescent="0.2">
      <c r="B4268" s="230">
        <v>39706</v>
      </c>
      <c r="C4268" s="124">
        <v>63.03</v>
      </c>
      <c r="D4268" s="156">
        <f t="shared" si="67"/>
        <v>-2.1880819366852836E-2</v>
      </c>
      <c r="E4268" s="156">
        <v>-1.5471423370950128E-2</v>
      </c>
      <c r="G4268" s="156"/>
    </row>
    <row r="4269" spans="2:7" x14ac:dyDescent="0.2">
      <c r="B4269" s="230">
        <v>39703</v>
      </c>
      <c r="C4269" s="124">
        <v>63.44</v>
      </c>
      <c r="D4269" s="156">
        <f t="shared" si="67"/>
        <v>6.5048389655718956E-3</v>
      </c>
      <c r="E4269" s="156">
        <v>-1.5559308634877433E-2</v>
      </c>
      <c r="G4269" s="156"/>
    </row>
    <row r="4270" spans="2:7" x14ac:dyDescent="0.2">
      <c r="B4270" s="230">
        <v>39702</v>
      </c>
      <c r="C4270" s="124">
        <v>63.53</v>
      </c>
      <c r="D4270" s="156">
        <f t="shared" si="67"/>
        <v>1.4186633039092594E-3</v>
      </c>
      <c r="E4270" s="156">
        <v>-1.5564202334630448E-2</v>
      </c>
      <c r="G4270" s="156"/>
    </row>
    <row r="4271" spans="2:7" x14ac:dyDescent="0.2">
      <c r="B4271" s="230">
        <v>39701</v>
      </c>
      <c r="C4271" s="124">
        <v>64.650000000000006</v>
      </c>
      <c r="D4271" s="156">
        <f t="shared" si="67"/>
        <v>1.7629466393829757E-2</v>
      </c>
      <c r="E4271" s="156">
        <v>-1.5592151366503163E-2</v>
      </c>
      <c r="G4271" s="156"/>
    </row>
    <row r="4272" spans="2:7" x14ac:dyDescent="0.2">
      <c r="B4272" s="230">
        <v>39700</v>
      </c>
      <c r="C4272" s="124">
        <v>64.510000000000005</v>
      </c>
      <c r="D4272" s="156">
        <f t="shared" si="67"/>
        <v>-2.1655065738592507E-3</v>
      </c>
      <c r="E4272" s="156">
        <v>-1.5609198434683249E-2</v>
      </c>
      <c r="G4272" s="156"/>
    </row>
    <row r="4273" spans="2:7" x14ac:dyDescent="0.2">
      <c r="B4273" s="230">
        <v>39699</v>
      </c>
      <c r="C4273" s="124">
        <v>65.14</v>
      </c>
      <c r="D4273" s="156">
        <f t="shared" si="67"/>
        <v>9.7659277631374272E-3</v>
      </c>
      <c r="E4273" s="156">
        <v>-1.5617605300520639E-2</v>
      </c>
      <c r="G4273" s="156"/>
    </row>
    <row r="4274" spans="2:7" x14ac:dyDescent="0.2">
      <c r="B4274" s="230">
        <v>39696</v>
      </c>
      <c r="C4274" s="124">
        <v>62.95</v>
      </c>
      <c r="D4274" s="156">
        <f t="shared" si="67"/>
        <v>-3.3619895609456517E-2</v>
      </c>
      <c r="E4274" s="156">
        <v>-1.5619324373410813E-2</v>
      </c>
      <c r="G4274" s="156"/>
    </row>
    <row r="4275" spans="2:7" x14ac:dyDescent="0.2">
      <c r="B4275" s="230">
        <v>39695</v>
      </c>
      <c r="C4275" s="124">
        <v>62.7</v>
      </c>
      <c r="D4275" s="156">
        <f t="shared" si="67"/>
        <v>-3.9714058776806989E-3</v>
      </c>
      <c r="E4275" s="156">
        <v>-1.5622877326450287E-2</v>
      </c>
      <c r="G4275" s="156"/>
    </row>
    <row r="4276" spans="2:7" x14ac:dyDescent="0.2">
      <c r="B4276" s="230">
        <v>39693</v>
      </c>
      <c r="C4276" s="124">
        <v>64.44</v>
      </c>
      <c r="D4276" s="156">
        <f t="shared" si="67"/>
        <v>2.7751196172248721E-2</v>
      </c>
      <c r="E4276" s="156">
        <v>-1.5627570324066458E-2</v>
      </c>
      <c r="G4276" s="156"/>
    </row>
    <row r="4277" spans="2:7" x14ac:dyDescent="0.2">
      <c r="B4277" s="230">
        <v>39692</v>
      </c>
      <c r="C4277" s="124">
        <v>63.63</v>
      </c>
      <c r="D4277" s="156">
        <f t="shared" si="67"/>
        <v>-1.2569832402234563E-2</v>
      </c>
      <c r="E4277" s="156">
        <v>-1.5664160401002505E-2</v>
      </c>
      <c r="G4277" s="156"/>
    </row>
    <row r="4278" spans="2:7" x14ac:dyDescent="0.2">
      <c r="B4278" s="230">
        <v>39689</v>
      </c>
      <c r="C4278" s="124">
        <v>62.55</v>
      </c>
      <c r="D4278" s="156">
        <f t="shared" si="67"/>
        <v>-1.6973125884017056E-2</v>
      </c>
      <c r="E4278" s="156">
        <v>-1.5695222291364178E-2</v>
      </c>
      <c r="G4278" s="156"/>
    </row>
    <row r="4279" spans="2:7" x14ac:dyDescent="0.2">
      <c r="B4279" s="230">
        <v>39688</v>
      </c>
      <c r="C4279" s="124">
        <v>60.83</v>
      </c>
      <c r="D4279" s="156">
        <f t="shared" si="67"/>
        <v>-2.7498001598721008E-2</v>
      </c>
      <c r="E4279" s="156">
        <v>-1.5746285207362976E-2</v>
      </c>
      <c r="G4279" s="156"/>
    </row>
    <row r="4280" spans="2:7" x14ac:dyDescent="0.2">
      <c r="B4280" s="230">
        <v>39687</v>
      </c>
      <c r="C4280" s="124">
        <v>60.98</v>
      </c>
      <c r="D4280" s="156">
        <f t="shared" si="67"/>
        <v>2.4658885418378856E-3</v>
      </c>
      <c r="E4280" s="156">
        <v>-1.5755665979881227E-2</v>
      </c>
      <c r="G4280" s="156"/>
    </row>
    <row r="4281" spans="2:7" x14ac:dyDescent="0.2">
      <c r="B4281" s="230">
        <v>39686</v>
      </c>
      <c r="C4281" s="124">
        <v>61.29</v>
      </c>
      <c r="D4281" s="156">
        <f t="shared" si="67"/>
        <v>5.0836339783535958E-3</v>
      </c>
      <c r="E4281" s="156">
        <v>-1.5765231017617138E-2</v>
      </c>
      <c r="G4281" s="156"/>
    </row>
    <row r="4282" spans="2:7" x14ac:dyDescent="0.2">
      <c r="B4282" s="230">
        <v>39685</v>
      </c>
      <c r="C4282" s="124">
        <v>60.98</v>
      </c>
      <c r="D4282" s="156">
        <f t="shared" si="67"/>
        <v>-5.057921357480866E-3</v>
      </c>
      <c r="E4282" s="156">
        <v>-1.577881399839854E-2</v>
      </c>
      <c r="G4282" s="156"/>
    </row>
    <row r="4283" spans="2:7" x14ac:dyDescent="0.2">
      <c r="B4283" s="230">
        <v>39682</v>
      </c>
      <c r="C4283" s="124">
        <v>60.4</v>
      </c>
      <c r="D4283" s="156">
        <f t="shared" si="67"/>
        <v>-9.5113151853066305E-3</v>
      </c>
      <c r="E4283" s="156">
        <v>-1.5784114052953151E-2</v>
      </c>
      <c r="G4283" s="156"/>
    </row>
    <row r="4284" spans="2:7" x14ac:dyDescent="0.2">
      <c r="B4284" s="230">
        <v>39681</v>
      </c>
      <c r="C4284" s="124">
        <v>60.41</v>
      </c>
      <c r="D4284" s="156">
        <f t="shared" si="67"/>
        <v>1.6556291390725184E-4</v>
      </c>
      <c r="E4284" s="156">
        <v>-1.5821501014198661E-2</v>
      </c>
      <c r="G4284" s="156"/>
    </row>
    <row r="4285" spans="2:7" x14ac:dyDescent="0.2">
      <c r="B4285" s="230">
        <v>39680</v>
      </c>
      <c r="C4285" s="124">
        <v>60.66</v>
      </c>
      <c r="D4285" s="156">
        <f t="shared" si="67"/>
        <v>4.1383876841582521E-3</v>
      </c>
      <c r="E4285" s="156">
        <v>-1.5826494724501802E-2</v>
      </c>
      <c r="G4285" s="156"/>
    </row>
    <row r="4286" spans="2:7" x14ac:dyDescent="0.2">
      <c r="B4286" s="230">
        <v>39679</v>
      </c>
      <c r="C4286" s="124">
        <v>60.83</v>
      </c>
      <c r="D4286" s="156">
        <f t="shared" ref="D4286:D4349" si="68">(C4286-C4285)/C4285</f>
        <v>2.8025057698648488E-3</v>
      </c>
      <c r="E4286" s="156">
        <v>-1.5827534452176432E-2</v>
      </c>
      <c r="G4286" s="156"/>
    </row>
    <row r="4287" spans="2:7" x14ac:dyDescent="0.2">
      <c r="B4287" s="230">
        <v>39678</v>
      </c>
      <c r="C4287" s="124">
        <v>62.14</v>
      </c>
      <c r="D4287" s="156">
        <f t="shared" si="68"/>
        <v>2.1535426598717777E-2</v>
      </c>
      <c r="E4287" s="156">
        <v>-1.5856360032645442E-2</v>
      </c>
      <c r="G4287" s="156"/>
    </row>
    <row r="4288" spans="2:7" x14ac:dyDescent="0.2">
      <c r="B4288" s="230">
        <v>39674</v>
      </c>
      <c r="C4288" s="124">
        <v>63.36</v>
      </c>
      <c r="D4288" s="156">
        <f t="shared" si="68"/>
        <v>1.9633086578693254E-2</v>
      </c>
      <c r="E4288" s="156">
        <v>-1.5867346938775579E-2</v>
      </c>
      <c r="G4288" s="156"/>
    </row>
    <row r="4289" spans="2:7" x14ac:dyDescent="0.2">
      <c r="B4289" s="230">
        <v>39673</v>
      </c>
      <c r="C4289" s="124">
        <v>64.62</v>
      </c>
      <c r="D4289" s="156">
        <f t="shared" si="68"/>
        <v>1.9886363636363716E-2</v>
      </c>
      <c r="E4289" s="156">
        <v>-1.5881458966565377E-2</v>
      </c>
      <c r="G4289" s="156"/>
    </row>
    <row r="4290" spans="2:7" x14ac:dyDescent="0.2">
      <c r="B4290" s="230">
        <v>39672</v>
      </c>
      <c r="C4290" s="124">
        <v>64.87</v>
      </c>
      <c r="D4290" s="156">
        <f t="shared" si="68"/>
        <v>3.8687712782420301E-3</v>
      </c>
      <c r="E4290" s="156">
        <v>-1.5891726697227743E-2</v>
      </c>
      <c r="G4290" s="156"/>
    </row>
    <row r="4291" spans="2:7" x14ac:dyDescent="0.2">
      <c r="B4291" s="230">
        <v>39671</v>
      </c>
      <c r="C4291" s="124">
        <v>64.239999999999995</v>
      </c>
      <c r="D4291" s="156">
        <f t="shared" si="68"/>
        <v>-9.7117311546170738E-3</v>
      </c>
      <c r="E4291" s="156">
        <v>-1.5906886517943721E-2</v>
      </c>
      <c r="G4291" s="156"/>
    </row>
    <row r="4292" spans="2:7" x14ac:dyDescent="0.2">
      <c r="B4292" s="230">
        <v>39668</v>
      </c>
      <c r="C4292" s="124">
        <v>63.01</v>
      </c>
      <c r="D4292" s="156">
        <f t="shared" si="68"/>
        <v>-1.9146948941469441E-2</v>
      </c>
      <c r="E4292" s="156">
        <v>-1.5919282511210813E-2</v>
      </c>
      <c r="G4292" s="156"/>
    </row>
    <row r="4293" spans="2:7" x14ac:dyDescent="0.2">
      <c r="B4293" s="230">
        <v>39667</v>
      </c>
      <c r="C4293" s="124">
        <v>63.63</v>
      </c>
      <c r="D4293" s="156">
        <f t="shared" si="68"/>
        <v>9.8397079828599354E-3</v>
      </c>
      <c r="E4293" s="156">
        <v>-1.5921552087726751E-2</v>
      </c>
      <c r="G4293" s="156"/>
    </row>
    <row r="4294" spans="2:7" x14ac:dyDescent="0.2">
      <c r="B4294" s="230">
        <v>39666</v>
      </c>
      <c r="C4294" s="124">
        <v>62.95</v>
      </c>
      <c r="D4294" s="156">
        <f t="shared" si="68"/>
        <v>-1.0686782964010683E-2</v>
      </c>
      <c r="E4294" s="156">
        <v>-1.5922330097087385E-2</v>
      </c>
      <c r="G4294" s="156"/>
    </row>
    <row r="4295" spans="2:7" x14ac:dyDescent="0.2">
      <c r="B4295" s="230">
        <v>39665</v>
      </c>
      <c r="C4295" s="124">
        <v>63.03</v>
      </c>
      <c r="D4295" s="156">
        <f t="shared" si="68"/>
        <v>1.2708498808577965E-3</v>
      </c>
      <c r="E4295" s="156">
        <v>-1.5956120668162637E-2</v>
      </c>
      <c r="G4295" s="156"/>
    </row>
    <row r="4296" spans="2:7" x14ac:dyDescent="0.2">
      <c r="B4296" s="230">
        <v>39664</v>
      </c>
      <c r="C4296" s="124">
        <v>62.25</v>
      </c>
      <c r="D4296" s="156">
        <f t="shared" si="68"/>
        <v>-1.2375059495478362E-2</v>
      </c>
      <c r="E4296" s="156">
        <v>-1.5971316818774558E-2</v>
      </c>
      <c r="G4296" s="156"/>
    </row>
    <row r="4297" spans="2:7" x14ac:dyDescent="0.2">
      <c r="B4297" s="230">
        <v>39661</v>
      </c>
      <c r="C4297" s="124">
        <v>62.02</v>
      </c>
      <c r="D4297" s="156">
        <f t="shared" si="68"/>
        <v>-3.6947791164658132E-3</v>
      </c>
      <c r="E4297" s="156">
        <v>-1.5978943441586662E-2</v>
      </c>
      <c r="G4297" s="156"/>
    </row>
    <row r="4298" spans="2:7" x14ac:dyDescent="0.2">
      <c r="B4298" s="230">
        <v>39660</v>
      </c>
      <c r="C4298" s="124">
        <v>61.92</v>
      </c>
      <c r="D4298" s="156">
        <f t="shared" si="68"/>
        <v>-1.6123831022251114E-3</v>
      </c>
      <c r="E4298" s="156">
        <v>-1.6029684601113148E-2</v>
      </c>
      <c r="G4298" s="156"/>
    </row>
    <row r="4299" spans="2:7" x14ac:dyDescent="0.2">
      <c r="B4299" s="230">
        <v>39659</v>
      </c>
      <c r="C4299" s="124">
        <v>62.42</v>
      </c>
      <c r="D4299" s="156">
        <f t="shared" si="68"/>
        <v>8.0749354005167952E-3</v>
      </c>
      <c r="E4299" s="156">
        <v>-1.604917193102267E-2</v>
      </c>
      <c r="G4299" s="156"/>
    </row>
    <row r="4300" spans="2:7" x14ac:dyDescent="0.2">
      <c r="B4300" s="230">
        <v>39658</v>
      </c>
      <c r="C4300" s="124">
        <v>62.85</v>
      </c>
      <c r="D4300" s="156">
        <f t="shared" si="68"/>
        <v>6.8888176866388926E-3</v>
      </c>
      <c r="E4300" s="156">
        <v>-1.6089927264712391E-2</v>
      </c>
      <c r="G4300" s="156"/>
    </row>
    <row r="4301" spans="2:7" x14ac:dyDescent="0.2">
      <c r="B4301" s="230">
        <v>39657</v>
      </c>
      <c r="C4301" s="124">
        <v>63.2</v>
      </c>
      <c r="D4301" s="156">
        <f t="shared" si="68"/>
        <v>5.5688146380270713E-3</v>
      </c>
      <c r="E4301" s="156">
        <v>-1.6098206409879433E-2</v>
      </c>
      <c r="G4301" s="156"/>
    </row>
    <row r="4302" spans="2:7" x14ac:dyDescent="0.2">
      <c r="B4302" s="230">
        <v>39654</v>
      </c>
      <c r="C4302" s="124">
        <v>62.7</v>
      </c>
      <c r="D4302" s="156">
        <f t="shared" si="68"/>
        <v>-7.9113924050632899E-3</v>
      </c>
      <c r="E4302" s="156">
        <v>-1.6118086189345026E-2</v>
      </c>
      <c r="G4302" s="156"/>
    </row>
    <row r="4303" spans="2:7" x14ac:dyDescent="0.2">
      <c r="B4303" s="230">
        <v>39653</v>
      </c>
      <c r="C4303" s="124">
        <v>63.15</v>
      </c>
      <c r="D4303" s="156">
        <f t="shared" si="68"/>
        <v>7.1770334928228981E-3</v>
      </c>
      <c r="E4303" s="156">
        <v>-1.6145679740489517E-2</v>
      </c>
      <c r="G4303" s="156"/>
    </row>
    <row r="4304" spans="2:7" x14ac:dyDescent="0.2">
      <c r="B4304" s="230">
        <v>39652</v>
      </c>
      <c r="C4304" s="124">
        <v>63.51</v>
      </c>
      <c r="D4304" s="156">
        <f t="shared" si="68"/>
        <v>5.7007125890736251E-3</v>
      </c>
      <c r="E4304" s="156">
        <v>-1.6151297625621227E-2</v>
      </c>
      <c r="G4304" s="156"/>
    </row>
    <row r="4305" spans="2:7" x14ac:dyDescent="0.2">
      <c r="B4305" s="230">
        <v>39651</v>
      </c>
      <c r="C4305" s="124">
        <v>62.93</v>
      </c>
      <c r="D4305" s="156">
        <f t="shared" si="68"/>
        <v>-9.1324200913241744E-3</v>
      </c>
      <c r="E4305" s="156">
        <v>-1.6174902239601888E-2</v>
      </c>
      <c r="G4305" s="156"/>
    </row>
    <row r="4306" spans="2:7" x14ac:dyDescent="0.2">
      <c r="B4306" s="230">
        <v>39650</v>
      </c>
      <c r="C4306" s="124">
        <v>59.4</v>
      </c>
      <c r="D4306" s="156">
        <f t="shared" si="68"/>
        <v>-5.6094072779278581E-2</v>
      </c>
      <c r="E4306" s="156">
        <v>-1.6191415137266942E-2</v>
      </c>
      <c r="G4306" s="156"/>
    </row>
    <row r="4307" spans="2:7" x14ac:dyDescent="0.2">
      <c r="B4307" s="230">
        <v>39647</v>
      </c>
      <c r="C4307" s="124">
        <v>58.42</v>
      </c>
      <c r="D4307" s="156">
        <f t="shared" si="68"/>
        <v>-1.6498316498316446E-2</v>
      </c>
      <c r="E4307" s="156">
        <v>-1.6193807488016583E-2</v>
      </c>
      <c r="G4307" s="156"/>
    </row>
    <row r="4308" spans="2:7" x14ac:dyDescent="0.2">
      <c r="B4308" s="230">
        <v>39646</v>
      </c>
      <c r="C4308" s="124">
        <v>55.44</v>
      </c>
      <c r="D4308" s="156">
        <f t="shared" si="68"/>
        <v>-5.1009928106812805E-2</v>
      </c>
      <c r="E4308" s="156">
        <v>-1.6196422703159425E-2</v>
      </c>
      <c r="G4308" s="156"/>
    </row>
    <row r="4309" spans="2:7" x14ac:dyDescent="0.2">
      <c r="B4309" s="230">
        <v>39645</v>
      </c>
      <c r="C4309" s="124">
        <v>53.82</v>
      </c>
      <c r="D4309" s="156">
        <f t="shared" si="68"/>
        <v>-2.9220779220779175E-2</v>
      </c>
      <c r="E4309" s="156">
        <v>-1.619843077701856E-2</v>
      </c>
      <c r="G4309" s="156"/>
    </row>
    <row r="4310" spans="2:7" x14ac:dyDescent="0.2">
      <c r="B4310" s="230">
        <v>39644</v>
      </c>
      <c r="C4310" s="124">
        <v>53.19</v>
      </c>
      <c r="D4310" s="156">
        <f t="shared" si="68"/>
        <v>-1.1705685618729145E-2</v>
      </c>
      <c r="E4310" s="156">
        <v>-1.6200826081725916E-2</v>
      </c>
      <c r="G4310" s="156"/>
    </row>
    <row r="4311" spans="2:7" x14ac:dyDescent="0.2">
      <c r="B4311" s="230">
        <v>39643</v>
      </c>
      <c r="C4311" s="124">
        <v>55.89</v>
      </c>
      <c r="D4311" s="156">
        <f t="shared" si="68"/>
        <v>5.0761421319797009E-2</v>
      </c>
      <c r="E4311" s="156">
        <v>-1.6201878270843927E-2</v>
      </c>
      <c r="G4311" s="156"/>
    </row>
    <row r="4312" spans="2:7" x14ac:dyDescent="0.2">
      <c r="B4312" s="230">
        <v>39640</v>
      </c>
      <c r="C4312" s="124">
        <v>57.86</v>
      </c>
      <c r="D4312" s="156">
        <f t="shared" si="68"/>
        <v>3.5247808194668079E-2</v>
      </c>
      <c r="E4312" s="156">
        <v>-1.6216710063496335E-2</v>
      </c>
      <c r="G4312" s="156"/>
    </row>
    <row r="4313" spans="2:7" x14ac:dyDescent="0.2">
      <c r="B4313" s="230">
        <v>39639</v>
      </c>
      <c r="C4313" s="124">
        <v>59.38</v>
      </c>
      <c r="D4313" s="156">
        <f t="shared" si="68"/>
        <v>2.6270307639128986E-2</v>
      </c>
      <c r="E4313" s="156">
        <v>-1.6217235527059986E-2</v>
      </c>
      <c r="G4313" s="156"/>
    </row>
    <row r="4314" spans="2:7" x14ac:dyDescent="0.2">
      <c r="B4314" s="230">
        <v>39638</v>
      </c>
      <c r="C4314" s="124">
        <v>60.94</v>
      </c>
      <c r="D4314" s="156">
        <f t="shared" si="68"/>
        <v>2.6271471876052461E-2</v>
      </c>
      <c r="E4314" s="156">
        <v>-1.6228831958315291E-2</v>
      </c>
      <c r="G4314" s="156"/>
    </row>
    <row r="4315" spans="2:7" x14ac:dyDescent="0.2">
      <c r="B4315" s="230">
        <v>39637</v>
      </c>
      <c r="C4315" s="124">
        <v>56.95</v>
      </c>
      <c r="D4315" s="156">
        <f t="shared" si="68"/>
        <v>-6.5474236954381274E-2</v>
      </c>
      <c r="E4315" s="156">
        <v>-1.6232722597235585E-2</v>
      </c>
      <c r="G4315" s="156"/>
    </row>
    <row r="4316" spans="2:7" x14ac:dyDescent="0.2">
      <c r="B4316" s="230">
        <v>39636</v>
      </c>
      <c r="C4316" s="124">
        <v>58.95</v>
      </c>
      <c r="D4316" s="156">
        <f t="shared" si="68"/>
        <v>3.5118525021949079E-2</v>
      </c>
      <c r="E4316" s="156">
        <v>-1.6251728907330648E-2</v>
      </c>
      <c r="G4316" s="156"/>
    </row>
    <row r="4317" spans="2:7" x14ac:dyDescent="0.2">
      <c r="B4317" s="230">
        <v>39633</v>
      </c>
      <c r="C4317" s="124">
        <v>56.75</v>
      </c>
      <c r="D4317" s="156">
        <f t="shared" si="68"/>
        <v>-3.7319762510602254E-2</v>
      </c>
      <c r="E4317" s="156">
        <v>-1.6254968767745542E-2</v>
      </c>
      <c r="G4317" s="156"/>
    </row>
    <row r="4318" spans="2:7" x14ac:dyDescent="0.2">
      <c r="B4318" s="230">
        <v>39632</v>
      </c>
      <c r="C4318" s="124">
        <v>56.12</v>
      </c>
      <c r="D4318" s="156">
        <f t="shared" si="68"/>
        <v>-1.1101321585903129E-2</v>
      </c>
      <c r="E4318" s="156">
        <v>-1.6258741258741254E-2</v>
      </c>
      <c r="G4318" s="156"/>
    </row>
    <row r="4319" spans="2:7" x14ac:dyDescent="0.2">
      <c r="B4319" s="230">
        <v>39631</v>
      </c>
      <c r="C4319" s="124">
        <v>59.63</v>
      </c>
      <c r="D4319" s="156">
        <f t="shared" si="68"/>
        <v>6.2544547398432029E-2</v>
      </c>
      <c r="E4319" s="156">
        <v>-1.6288458861200145E-2</v>
      </c>
      <c r="G4319" s="156"/>
    </row>
    <row r="4320" spans="2:7" x14ac:dyDescent="0.2">
      <c r="B4320" s="230">
        <v>39630</v>
      </c>
      <c r="C4320" s="124">
        <v>60.66</v>
      </c>
      <c r="D4320" s="156">
        <f t="shared" si="68"/>
        <v>1.7273184638604628E-2</v>
      </c>
      <c r="E4320" s="156">
        <v>-1.6291327264015224E-2</v>
      </c>
      <c r="G4320" s="156"/>
    </row>
    <row r="4321" spans="2:7" x14ac:dyDescent="0.2">
      <c r="B4321" s="230">
        <v>39629</v>
      </c>
      <c r="C4321" s="124">
        <v>62.25</v>
      </c>
      <c r="D4321" s="156">
        <f t="shared" si="68"/>
        <v>2.621167161226514E-2</v>
      </c>
      <c r="E4321" s="156">
        <v>-1.6302627413738544E-2</v>
      </c>
      <c r="G4321" s="156"/>
    </row>
    <row r="4322" spans="2:7" x14ac:dyDescent="0.2">
      <c r="B4322" s="230">
        <v>39626</v>
      </c>
      <c r="C4322" s="124">
        <v>60.89</v>
      </c>
      <c r="D4322" s="156">
        <f t="shared" si="68"/>
        <v>-2.1847389558232923E-2</v>
      </c>
      <c r="E4322" s="156">
        <v>-1.6330551091295439E-2</v>
      </c>
      <c r="G4322" s="156"/>
    </row>
    <row r="4323" spans="2:7" x14ac:dyDescent="0.2">
      <c r="B4323" s="230">
        <v>39625</v>
      </c>
      <c r="C4323" s="124">
        <v>63.56</v>
      </c>
      <c r="D4323" s="156">
        <f t="shared" si="68"/>
        <v>4.3849564788963735E-2</v>
      </c>
      <c r="E4323" s="156">
        <v>-1.6336310172075801E-2</v>
      </c>
      <c r="G4323" s="156"/>
    </row>
    <row r="4324" spans="2:7" x14ac:dyDescent="0.2">
      <c r="B4324" s="230">
        <v>39624</v>
      </c>
      <c r="C4324" s="124">
        <v>61.8</v>
      </c>
      <c r="D4324" s="156">
        <f t="shared" si="68"/>
        <v>-2.7690371302706185E-2</v>
      </c>
      <c r="E4324" s="156">
        <v>-1.6350310092088038E-2</v>
      </c>
      <c r="G4324" s="156"/>
    </row>
    <row r="4325" spans="2:7" x14ac:dyDescent="0.2">
      <c r="B4325" s="230">
        <v>39623</v>
      </c>
      <c r="C4325" s="124">
        <v>63.48</v>
      </c>
      <c r="D4325" s="156">
        <f t="shared" si="68"/>
        <v>2.7184466019417472E-2</v>
      </c>
      <c r="E4325" s="156">
        <v>-1.6368187945310888E-2</v>
      </c>
      <c r="G4325" s="156"/>
    </row>
    <row r="4326" spans="2:7" x14ac:dyDescent="0.2">
      <c r="B4326" s="230">
        <v>39622</v>
      </c>
      <c r="C4326" s="124">
        <v>64.77</v>
      </c>
      <c r="D4326" s="156">
        <f t="shared" si="68"/>
        <v>2.032136105860112E-2</v>
      </c>
      <c r="E4326" s="156">
        <v>-1.6428192898781117E-2</v>
      </c>
      <c r="G4326" s="156"/>
    </row>
    <row r="4327" spans="2:7" x14ac:dyDescent="0.2">
      <c r="B4327" s="230">
        <v>39619</v>
      </c>
      <c r="C4327" s="124">
        <v>65.77</v>
      </c>
      <c r="D4327" s="156">
        <f t="shared" si="68"/>
        <v>1.5439246564767641E-2</v>
      </c>
      <c r="E4327" s="156">
        <v>-1.644398766700925E-2</v>
      </c>
      <c r="G4327" s="156"/>
    </row>
    <row r="4328" spans="2:7" x14ac:dyDescent="0.2">
      <c r="B4328" s="230">
        <v>39618</v>
      </c>
      <c r="C4328" s="124">
        <v>68.22</v>
      </c>
      <c r="D4328" s="156">
        <f t="shared" si="68"/>
        <v>3.7251026303785968E-2</v>
      </c>
      <c r="E4328" s="156">
        <v>-1.6469776666379207E-2</v>
      </c>
      <c r="G4328" s="156"/>
    </row>
    <row r="4329" spans="2:7" x14ac:dyDescent="0.2">
      <c r="B4329" s="230">
        <v>39617</v>
      </c>
      <c r="C4329" s="124">
        <v>68.27</v>
      </c>
      <c r="D4329" s="156">
        <f t="shared" si="68"/>
        <v>7.3292289651124534E-4</v>
      </c>
      <c r="E4329" s="156">
        <v>-1.6498316498316446E-2</v>
      </c>
      <c r="G4329" s="156"/>
    </row>
    <row r="4330" spans="2:7" x14ac:dyDescent="0.2">
      <c r="B4330" s="230">
        <v>39616</v>
      </c>
      <c r="C4330" s="124">
        <v>67.37</v>
      </c>
      <c r="D4330" s="156">
        <f t="shared" si="68"/>
        <v>-1.3182950051266904E-2</v>
      </c>
      <c r="E4330" s="156">
        <v>-1.6512707605418165E-2</v>
      </c>
      <c r="G4330" s="156"/>
    </row>
    <row r="4331" spans="2:7" x14ac:dyDescent="0.2">
      <c r="B4331" s="230">
        <v>39615</v>
      </c>
      <c r="C4331" s="124">
        <v>66.790000000000006</v>
      </c>
      <c r="D4331" s="156">
        <f t="shared" si="68"/>
        <v>-8.6091732225025714E-3</v>
      </c>
      <c r="E4331" s="156">
        <v>-1.655457837558201E-2</v>
      </c>
      <c r="G4331" s="156"/>
    </row>
    <row r="4332" spans="2:7" x14ac:dyDescent="0.2">
      <c r="B4332" s="230">
        <v>39612</v>
      </c>
      <c r="C4332" s="124">
        <v>65.680000000000007</v>
      </c>
      <c r="D4332" s="156">
        <f t="shared" si="68"/>
        <v>-1.6619254379398103E-2</v>
      </c>
      <c r="E4332" s="156">
        <v>-1.6601517590250567E-2</v>
      </c>
      <c r="G4332" s="156"/>
    </row>
    <row r="4333" spans="2:7" x14ac:dyDescent="0.2">
      <c r="B4333" s="230">
        <v>39611</v>
      </c>
      <c r="C4333" s="124">
        <v>66.28</v>
      </c>
      <c r="D4333" s="156">
        <f t="shared" si="68"/>
        <v>9.1352009744213505E-3</v>
      </c>
      <c r="E4333" s="156">
        <v>-1.660297799446574E-2</v>
      </c>
      <c r="G4333" s="156"/>
    </row>
    <row r="4334" spans="2:7" x14ac:dyDescent="0.2">
      <c r="B4334" s="230">
        <v>39610</v>
      </c>
      <c r="C4334" s="124">
        <v>66.13</v>
      </c>
      <c r="D4334" s="156">
        <f t="shared" si="68"/>
        <v>-2.2631261315631517E-3</v>
      </c>
      <c r="E4334" s="156">
        <v>-1.6607690493040728E-2</v>
      </c>
      <c r="G4334" s="156"/>
    </row>
    <row r="4335" spans="2:7" x14ac:dyDescent="0.2">
      <c r="B4335" s="230">
        <v>39609</v>
      </c>
      <c r="C4335" s="124">
        <v>66.81</v>
      </c>
      <c r="D4335" s="156">
        <f t="shared" si="68"/>
        <v>1.0282776349614499E-2</v>
      </c>
      <c r="E4335" s="156">
        <v>-1.6619254379398103E-2</v>
      </c>
      <c r="G4335" s="156"/>
    </row>
    <row r="4336" spans="2:7" x14ac:dyDescent="0.2">
      <c r="B4336" s="230">
        <v>39608</v>
      </c>
      <c r="C4336" s="124">
        <v>68.73</v>
      </c>
      <c r="D4336" s="156">
        <f t="shared" si="68"/>
        <v>2.8738212842388887E-2</v>
      </c>
      <c r="E4336" s="156">
        <v>-1.6643550624133252E-2</v>
      </c>
      <c r="G4336" s="156"/>
    </row>
    <row r="4337" spans="2:7" x14ac:dyDescent="0.2">
      <c r="B4337" s="230">
        <v>39605</v>
      </c>
      <c r="C4337" s="124">
        <v>70.75</v>
      </c>
      <c r="D4337" s="156">
        <f t="shared" si="68"/>
        <v>2.9390368107085639E-2</v>
      </c>
      <c r="E4337" s="156">
        <v>-1.6665905666407823E-2</v>
      </c>
      <c r="G4337" s="156"/>
    </row>
    <row r="4338" spans="2:7" x14ac:dyDescent="0.2">
      <c r="B4338" s="230">
        <v>39604</v>
      </c>
      <c r="C4338" s="124">
        <v>73.75</v>
      </c>
      <c r="D4338" s="156">
        <f t="shared" si="68"/>
        <v>4.2402826855123678E-2</v>
      </c>
      <c r="E4338" s="156">
        <v>-1.6696113074204953E-2</v>
      </c>
      <c r="G4338" s="156"/>
    </row>
    <row r="4339" spans="2:7" x14ac:dyDescent="0.2">
      <c r="B4339" s="230">
        <v>39603</v>
      </c>
      <c r="C4339" s="124">
        <v>71.53</v>
      </c>
      <c r="D4339" s="156">
        <f t="shared" si="68"/>
        <v>-3.0101694915254221E-2</v>
      </c>
      <c r="E4339" s="156">
        <v>-1.6696955929123049E-2</v>
      </c>
      <c r="G4339" s="156"/>
    </row>
    <row r="4340" spans="2:7" x14ac:dyDescent="0.2">
      <c r="B4340" s="230">
        <v>39602</v>
      </c>
      <c r="C4340" s="124">
        <v>72.89</v>
      </c>
      <c r="D4340" s="156">
        <f t="shared" si="68"/>
        <v>1.9013001537816293E-2</v>
      </c>
      <c r="E4340" s="156">
        <v>-1.6724454415663857E-2</v>
      </c>
      <c r="G4340" s="156"/>
    </row>
    <row r="4341" spans="2:7" x14ac:dyDescent="0.2">
      <c r="B4341" s="230">
        <v>39601</v>
      </c>
      <c r="C4341" s="124">
        <v>72.91</v>
      </c>
      <c r="D4341" s="156">
        <f t="shared" si="68"/>
        <v>2.7438606118803706E-4</v>
      </c>
      <c r="E4341" s="156">
        <v>-1.6742493175614225E-2</v>
      </c>
      <c r="G4341" s="156"/>
    </row>
    <row r="4342" spans="2:7" x14ac:dyDescent="0.2">
      <c r="B4342" s="230">
        <v>39598</v>
      </c>
      <c r="C4342" s="124">
        <v>72.180000000000007</v>
      </c>
      <c r="D4342" s="156">
        <f t="shared" si="68"/>
        <v>-1.00123439857357E-2</v>
      </c>
      <c r="E4342" s="156">
        <v>-1.6746912288046978E-2</v>
      </c>
      <c r="G4342" s="156"/>
    </row>
    <row r="4343" spans="2:7" x14ac:dyDescent="0.2">
      <c r="B4343" s="230">
        <v>39597</v>
      </c>
      <c r="C4343" s="124">
        <v>71.58</v>
      </c>
      <c r="D4343" s="156">
        <f t="shared" si="68"/>
        <v>-8.3125519534498257E-3</v>
      </c>
      <c r="E4343" s="156">
        <v>-1.6758811333794157E-2</v>
      </c>
      <c r="G4343" s="156"/>
    </row>
    <row r="4344" spans="2:7" x14ac:dyDescent="0.2">
      <c r="B4344" s="230">
        <v>39596</v>
      </c>
      <c r="C4344" s="124">
        <v>73.569999999999993</v>
      </c>
      <c r="D4344" s="156">
        <f t="shared" si="68"/>
        <v>2.7801061749091853E-2</v>
      </c>
      <c r="E4344" s="156">
        <v>-1.6769959897922064E-2</v>
      </c>
      <c r="G4344" s="156"/>
    </row>
    <row r="4345" spans="2:7" x14ac:dyDescent="0.2">
      <c r="B4345" s="230">
        <v>39595</v>
      </c>
      <c r="C4345" s="124">
        <v>69.31</v>
      </c>
      <c r="D4345" s="156">
        <f t="shared" si="68"/>
        <v>-5.7904036971591563E-2</v>
      </c>
      <c r="E4345" s="156">
        <v>-1.6796494644595854E-2</v>
      </c>
      <c r="G4345" s="156"/>
    </row>
    <row r="4346" spans="2:7" x14ac:dyDescent="0.2">
      <c r="B4346" s="230">
        <v>39594</v>
      </c>
      <c r="C4346" s="124">
        <v>68.12</v>
      </c>
      <c r="D4346" s="156">
        <f t="shared" si="68"/>
        <v>-1.7169239647958415E-2</v>
      </c>
      <c r="E4346" s="156">
        <v>-1.6796729840208243E-2</v>
      </c>
      <c r="G4346" s="156"/>
    </row>
    <row r="4347" spans="2:7" x14ac:dyDescent="0.2">
      <c r="B4347" s="230">
        <v>39591</v>
      </c>
      <c r="C4347" s="124">
        <v>70.8</v>
      </c>
      <c r="D4347" s="156">
        <f t="shared" si="68"/>
        <v>3.9342337052260604E-2</v>
      </c>
      <c r="E4347" s="156">
        <v>-1.6798418972332016E-2</v>
      </c>
      <c r="G4347" s="156"/>
    </row>
    <row r="4348" spans="2:7" x14ac:dyDescent="0.2">
      <c r="B4348" s="230">
        <v>39590</v>
      </c>
      <c r="C4348" s="124">
        <v>74.05</v>
      </c>
      <c r="D4348" s="156">
        <f t="shared" si="68"/>
        <v>4.5903954802259887E-2</v>
      </c>
      <c r="E4348" s="156">
        <v>-1.6819837003641386E-2</v>
      </c>
      <c r="G4348" s="156"/>
    </row>
    <row r="4349" spans="2:7" x14ac:dyDescent="0.2">
      <c r="B4349" s="230">
        <v>39589</v>
      </c>
      <c r="C4349" s="124">
        <v>75.64</v>
      </c>
      <c r="D4349" s="156">
        <f t="shared" si="68"/>
        <v>2.1471978392977764E-2</v>
      </c>
      <c r="E4349" s="156">
        <v>-1.6910229645093994E-2</v>
      </c>
      <c r="G4349" s="156"/>
    </row>
    <row r="4350" spans="2:7" x14ac:dyDescent="0.2">
      <c r="B4350" s="230">
        <v>39588</v>
      </c>
      <c r="C4350" s="124">
        <v>74.83</v>
      </c>
      <c r="D4350" s="156">
        <f t="shared" ref="D4350:D4413" si="69">(C4350-C4349)/C4349</f>
        <v>-1.0708619777895324E-2</v>
      </c>
      <c r="E4350" s="156">
        <v>-1.6926838442730862E-2</v>
      </c>
      <c r="G4350" s="156"/>
    </row>
    <row r="4351" spans="2:7" x14ac:dyDescent="0.2">
      <c r="B4351" s="230">
        <v>39584</v>
      </c>
      <c r="C4351" s="124">
        <v>75.28</v>
      </c>
      <c r="D4351" s="156">
        <f t="shared" si="69"/>
        <v>6.0136308966992225E-3</v>
      </c>
      <c r="E4351" s="156">
        <v>-1.6972351491924439E-2</v>
      </c>
      <c r="G4351" s="156"/>
    </row>
    <row r="4352" spans="2:7" x14ac:dyDescent="0.2">
      <c r="B4352" s="230">
        <v>39583</v>
      </c>
      <c r="C4352" s="124">
        <v>74.98</v>
      </c>
      <c r="D4352" s="156">
        <f t="shared" si="69"/>
        <v>-3.9851222104144149E-3</v>
      </c>
      <c r="E4352" s="156">
        <v>-1.6973125884017056E-2</v>
      </c>
      <c r="G4352" s="156"/>
    </row>
    <row r="4353" spans="2:7" x14ac:dyDescent="0.2">
      <c r="B4353" s="230">
        <v>39582</v>
      </c>
      <c r="C4353" s="124">
        <v>75.010000000000005</v>
      </c>
      <c r="D4353" s="156">
        <f t="shared" si="69"/>
        <v>4.0010669511871347E-4</v>
      </c>
      <c r="E4353" s="156">
        <v>-1.6981992249828982E-2</v>
      </c>
      <c r="G4353" s="156"/>
    </row>
    <row r="4354" spans="2:7" x14ac:dyDescent="0.2">
      <c r="B4354" s="230">
        <v>39581</v>
      </c>
      <c r="C4354" s="124">
        <v>74.7</v>
      </c>
      <c r="D4354" s="156">
        <f t="shared" si="69"/>
        <v>-4.1327822956939379E-3</v>
      </c>
      <c r="E4354" s="156">
        <v>-1.6984107727769017E-2</v>
      </c>
      <c r="G4354" s="156"/>
    </row>
    <row r="4355" spans="2:7" x14ac:dyDescent="0.2">
      <c r="B4355" s="230">
        <v>39580</v>
      </c>
      <c r="C4355" s="124">
        <v>74.180000000000007</v>
      </c>
      <c r="D4355" s="156">
        <f t="shared" si="69"/>
        <v>-6.9611780455153417E-3</v>
      </c>
      <c r="E4355" s="156">
        <v>-1.698416341519389E-2</v>
      </c>
      <c r="G4355" s="156"/>
    </row>
    <row r="4356" spans="2:7" x14ac:dyDescent="0.2">
      <c r="B4356" s="230">
        <v>39577</v>
      </c>
      <c r="C4356" s="124">
        <v>72.44</v>
      </c>
      <c r="D4356" s="156">
        <f t="shared" si="69"/>
        <v>-2.3456457266109582E-2</v>
      </c>
      <c r="E4356" s="156">
        <v>-1.6995241332426921E-2</v>
      </c>
      <c r="G4356" s="156"/>
    </row>
    <row r="4357" spans="2:7" x14ac:dyDescent="0.2">
      <c r="B4357" s="230">
        <v>39576</v>
      </c>
      <c r="C4357" s="124">
        <v>71.27</v>
      </c>
      <c r="D4357" s="156">
        <f t="shared" si="69"/>
        <v>-1.6151297625621227E-2</v>
      </c>
      <c r="E4357" s="156">
        <v>-1.7012351433232372E-2</v>
      </c>
      <c r="G4357" s="156"/>
    </row>
    <row r="4358" spans="2:7" x14ac:dyDescent="0.2">
      <c r="B4358" s="230">
        <v>39575</v>
      </c>
      <c r="C4358" s="124">
        <v>75.13</v>
      </c>
      <c r="D4358" s="156">
        <f t="shared" si="69"/>
        <v>5.4160235723305736E-2</v>
      </c>
      <c r="E4358" s="156">
        <v>-1.7071992269286556E-2</v>
      </c>
      <c r="G4358" s="156"/>
    </row>
    <row r="4359" spans="2:7" x14ac:dyDescent="0.2">
      <c r="B4359" s="230">
        <v>39574</v>
      </c>
      <c r="C4359" s="124">
        <v>74.53</v>
      </c>
      <c r="D4359" s="156">
        <f t="shared" si="69"/>
        <v>-7.9861573272992734E-3</v>
      </c>
      <c r="E4359" s="156">
        <v>-1.7082179132040576E-2</v>
      </c>
      <c r="G4359" s="156"/>
    </row>
    <row r="4360" spans="2:7" x14ac:dyDescent="0.2">
      <c r="B4360" s="230">
        <v>39573</v>
      </c>
      <c r="C4360" s="124">
        <v>73.17</v>
      </c>
      <c r="D4360" s="156">
        <f t="shared" si="69"/>
        <v>-1.8247685495773505E-2</v>
      </c>
      <c r="E4360" s="156">
        <v>-1.7092375648165993E-2</v>
      </c>
      <c r="G4360" s="156"/>
    </row>
    <row r="4361" spans="2:7" x14ac:dyDescent="0.2">
      <c r="B4361" s="230">
        <v>39570</v>
      </c>
      <c r="C4361" s="124">
        <v>73.239999999999995</v>
      </c>
      <c r="D4361" s="156">
        <f t="shared" si="69"/>
        <v>9.5667623342890766E-4</v>
      </c>
      <c r="E4361" s="156">
        <v>-1.7120201838169091E-2</v>
      </c>
      <c r="G4361" s="156"/>
    </row>
    <row r="4362" spans="2:7" x14ac:dyDescent="0.2">
      <c r="B4362" s="230">
        <v>39568</v>
      </c>
      <c r="C4362" s="124">
        <v>72.89</v>
      </c>
      <c r="D4362" s="156">
        <f t="shared" si="69"/>
        <v>-4.7788093937738167E-3</v>
      </c>
      <c r="E4362" s="156">
        <v>-1.7138939670932357E-2</v>
      </c>
      <c r="G4362" s="156"/>
    </row>
    <row r="4363" spans="2:7" x14ac:dyDescent="0.2">
      <c r="B4363" s="230">
        <v>39567</v>
      </c>
      <c r="C4363" s="124">
        <v>70.37</v>
      </c>
      <c r="D4363" s="156">
        <f t="shared" si="69"/>
        <v>-3.4572643709699494E-2</v>
      </c>
      <c r="E4363" s="156">
        <v>-1.7141025008632144E-2</v>
      </c>
      <c r="G4363" s="156"/>
    </row>
    <row r="4364" spans="2:7" x14ac:dyDescent="0.2">
      <c r="B4364" s="230">
        <v>39566</v>
      </c>
      <c r="C4364" s="124">
        <v>70.14</v>
      </c>
      <c r="D4364" s="156">
        <f t="shared" si="69"/>
        <v>-3.26843825493824E-3</v>
      </c>
      <c r="E4364" s="156">
        <v>-1.7156446407338242E-2</v>
      </c>
      <c r="G4364" s="156"/>
    </row>
    <row r="4365" spans="2:7" x14ac:dyDescent="0.2">
      <c r="B4365" s="230">
        <v>39563</v>
      </c>
      <c r="C4365" s="124">
        <v>70.569999999999993</v>
      </c>
      <c r="D4365" s="156">
        <f t="shared" si="69"/>
        <v>6.1305959509551271E-3</v>
      </c>
      <c r="E4365" s="156">
        <v>-1.7169239647958415E-2</v>
      </c>
      <c r="G4365" s="156"/>
    </row>
    <row r="4366" spans="2:7" x14ac:dyDescent="0.2">
      <c r="B4366" s="230">
        <v>39562</v>
      </c>
      <c r="C4366" s="124">
        <v>69.59</v>
      </c>
      <c r="D4366" s="156">
        <f t="shared" si="69"/>
        <v>-1.3886920787870056E-2</v>
      </c>
      <c r="E4366" s="156">
        <v>-1.7179225816075443E-2</v>
      </c>
      <c r="G4366" s="156"/>
    </row>
    <row r="4367" spans="2:7" x14ac:dyDescent="0.2">
      <c r="B4367" s="230">
        <v>39561</v>
      </c>
      <c r="C4367" s="124">
        <v>70.239999999999995</v>
      </c>
      <c r="D4367" s="156">
        <f t="shared" si="69"/>
        <v>9.340422474493338E-3</v>
      </c>
      <c r="E4367" s="156">
        <v>-1.7184516576983198E-2</v>
      </c>
      <c r="G4367" s="156"/>
    </row>
    <row r="4368" spans="2:7" x14ac:dyDescent="0.2">
      <c r="B4368" s="230">
        <v>39560</v>
      </c>
      <c r="C4368" s="124">
        <v>70.7</v>
      </c>
      <c r="D4368" s="156">
        <f t="shared" si="69"/>
        <v>6.5489749430525058E-3</v>
      </c>
      <c r="E4368" s="156">
        <v>-1.7187159448267392E-2</v>
      </c>
      <c r="G4368" s="156"/>
    </row>
    <row r="4369" spans="2:7" x14ac:dyDescent="0.2">
      <c r="B4369" s="230">
        <v>39559</v>
      </c>
      <c r="C4369" s="124">
        <v>69.010000000000005</v>
      </c>
      <c r="D4369" s="156">
        <f t="shared" si="69"/>
        <v>-2.3903818953323872E-2</v>
      </c>
      <c r="E4369" s="156">
        <v>-1.7216345156606534E-2</v>
      </c>
      <c r="G4369" s="156"/>
    </row>
    <row r="4370" spans="2:7" x14ac:dyDescent="0.2">
      <c r="B4370" s="230">
        <v>39555</v>
      </c>
      <c r="C4370" s="124">
        <v>70.09</v>
      </c>
      <c r="D4370" s="156">
        <f t="shared" si="69"/>
        <v>1.5649905810752041E-2</v>
      </c>
      <c r="E4370" s="156">
        <v>-1.7230929084769201E-2</v>
      </c>
      <c r="G4370" s="156"/>
    </row>
    <row r="4371" spans="2:7" x14ac:dyDescent="0.2">
      <c r="B4371" s="230">
        <v>39554</v>
      </c>
      <c r="C4371" s="124">
        <v>69.61</v>
      </c>
      <c r="D4371" s="156">
        <f t="shared" si="69"/>
        <v>-6.8483378513340557E-3</v>
      </c>
      <c r="E4371" s="156">
        <v>-1.7232190442351986E-2</v>
      </c>
      <c r="G4371" s="156"/>
    </row>
    <row r="4372" spans="2:7" x14ac:dyDescent="0.2">
      <c r="B4372" s="230">
        <v>39553</v>
      </c>
      <c r="C4372" s="124">
        <v>68.91</v>
      </c>
      <c r="D4372" s="156">
        <f t="shared" si="69"/>
        <v>-1.0056026432983808E-2</v>
      </c>
      <c r="E4372" s="156">
        <v>-1.7235726663856393E-2</v>
      </c>
      <c r="G4372" s="156"/>
    </row>
    <row r="4373" spans="2:7" x14ac:dyDescent="0.2">
      <c r="B4373" s="230">
        <v>39549</v>
      </c>
      <c r="C4373" s="124">
        <v>67.64</v>
      </c>
      <c r="D4373" s="156">
        <f t="shared" si="69"/>
        <v>-1.842983601799443E-2</v>
      </c>
      <c r="E4373" s="156">
        <v>-1.7237072195853194E-2</v>
      </c>
      <c r="G4373" s="156"/>
    </row>
    <row r="4374" spans="2:7" x14ac:dyDescent="0.2">
      <c r="B4374" s="230">
        <v>39548</v>
      </c>
      <c r="C4374" s="124">
        <v>68.5</v>
      </c>
      <c r="D4374" s="156">
        <f t="shared" si="69"/>
        <v>1.2714370195150791E-2</v>
      </c>
      <c r="E4374" s="156">
        <v>-1.7242981966908384E-2</v>
      </c>
      <c r="G4374" s="156"/>
    </row>
    <row r="4375" spans="2:7" x14ac:dyDescent="0.2">
      <c r="B4375" s="230">
        <v>39547</v>
      </c>
      <c r="C4375" s="124">
        <v>68.75</v>
      </c>
      <c r="D4375" s="156">
        <f t="shared" si="69"/>
        <v>3.6496350364963502E-3</v>
      </c>
      <c r="E4375" s="156">
        <v>-1.7246944892782941E-2</v>
      </c>
      <c r="G4375" s="156"/>
    </row>
    <row r="4376" spans="2:7" x14ac:dyDescent="0.2">
      <c r="B4376" s="230">
        <v>39546</v>
      </c>
      <c r="C4376" s="124">
        <v>69.13</v>
      </c>
      <c r="D4376" s="156">
        <f t="shared" si="69"/>
        <v>5.5272727272726611E-3</v>
      </c>
      <c r="E4376" s="156">
        <v>-1.7251078192386898E-2</v>
      </c>
      <c r="G4376" s="156"/>
    </row>
    <row r="4377" spans="2:7" x14ac:dyDescent="0.2">
      <c r="B4377" s="230">
        <v>39545</v>
      </c>
      <c r="C4377" s="124">
        <v>69.73</v>
      </c>
      <c r="D4377" s="156">
        <f t="shared" si="69"/>
        <v>8.679299869810626E-3</v>
      </c>
      <c r="E4377" s="156">
        <v>-1.7259056732741029E-2</v>
      </c>
      <c r="G4377" s="156"/>
    </row>
    <row r="4378" spans="2:7" x14ac:dyDescent="0.2">
      <c r="B4378" s="230">
        <v>39542</v>
      </c>
      <c r="C4378" s="124">
        <v>66.489999999999995</v>
      </c>
      <c r="D4378" s="156">
        <f t="shared" si="69"/>
        <v>-4.6464936182418023E-2</v>
      </c>
      <c r="E4378" s="156">
        <v>-1.7314654493939895E-2</v>
      </c>
      <c r="G4378" s="156"/>
    </row>
    <row r="4379" spans="2:7" x14ac:dyDescent="0.2">
      <c r="B4379" s="230">
        <v>39541</v>
      </c>
      <c r="C4379" s="124">
        <v>68.959999999999994</v>
      </c>
      <c r="D4379" s="156">
        <f t="shared" si="69"/>
        <v>3.7148443374943586E-2</v>
      </c>
      <c r="E4379" s="156">
        <v>-1.7319277108433635E-2</v>
      </c>
      <c r="G4379" s="156"/>
    </row>
    <row r="4380" spans="2:7" x14ac:dyDescent="0.2">
      <c r="B4380" s="230">
        <v>39540</v>
      </c>
      <c r="C4380" s="124">
        <v>68.95</v>
      </c>
      <c r="D4380" s="156">
        <f t="shared" si="69"/>
        <v>-1.4501160092794237E-4</v>
      </c>
      <c r="E4380" s="156">
        <v>-1.7334490573315972E-2</v>
      </c>
      <c r="G4380" s="156"/>
    </row>
    <row r="4381" spans="2:7" x14ac:dyDescent="0.2">
      <c r="B4381" s="230">
        <v>39539</v>
      </c>
      <c r="C4381" s="124">
        <v>69.81</v>
      </c>
      <c r="D4381" s="156">
        <f t="shared" si="69"/>
        <v>1.2472806381435815E-2</v>
      </c>
      <c r="E4381" s="156">
        <v>-1.7347937828906985E-2</v>
      </c>
      <c r="G4381" s="156"/>
    </row>
    <row r="4382" spans="2:7" x14ac:dyDescent="0.2">
      <c r="B4382" s="230">
        <v>39538</v>
      </c>
      <c r="C4382" s="124">
        <v>68.37</v>
      </c>
      <c r="D4382" s="156">
        <f t="shared" si="69"/>
        <v>-2.0627417275461937E-2</v>
      </c>
      <c r="E4382" s="156">
        <v>-1.7380168313208925E-2</v>
      </c>
      <c r="G4382" s="156"/>
    </row>
    <row r="4383" spans="2:7" x14ac:dyDescent="0.2">
      <c r="B4383" s="230">
        <v>39535</v>
      </c>
      <c r="C4383" s="124">
        <v>68.45</v>
      </c>
      <c r="D4383" s="156">
        <f t="shared" si="69"/>
        <v>1.1701038467163711E-3</v>
      </c>
      <c r="E4383" s="156">
        <v>-1.7396745932415469E-2</v>
      </c>
      <c r="G4383" s="156"/>
    </row>
    <row r="4384" spans="2:7" x14ac:dyDescent="0.2">
      <c r="B4384" s="230">
        <v>39534</v>
      </c>
      <c r="C4384" s="124">
        <v>66.33</v>
      </c>
      <c r="D4384" s="156">
        <f t="shared" si="69"/>
        <v>-3.09715120525932E-2</v>
      </c>
      <c r="E4384" s="156">
        <v>-1.7397220332393878E-2</v>
      </c>
      <c r="G4384" s="156"/>
    </row>
    <row r="4385" spans="2:7" x14ac:dyDescent="0.2">
      <c r="B4385" s="230">
        <v>39533</v>
      </c>
      <c r="C4385" s="124">
        <v>64.739999999999995</v>
      </c>
      <c r="D4385" s="156">
        <f t="shared" si="69"/>
        <v>-2.3971053821800141E-2</v>
      </c>
      <c r="E4385" s="156">
        <v>-1.7415609546334171E-2</v>
      </c>
      <c r="G4385" s="156"/>
    </row>
    <row r="4386" spans="2:7" x14ac:dyDescent="0.2">
      <c r="B4386" s="230">
        <v>39532</v>
      </c>
      <c r="C4386" s="124">
        <v>63.49</v>
      </c>
      <c r="D4386" s="156">
        <f t="shared" si="69"/>
        <v>-1.9308001235711972E-2</v>
      </c>
      <c r="E4386" s="156">
        <v>-1.7459256892194144E-2</v>
      </c>
      <c r="G4386" s="156"/>
    </row>
    <row r="4387" spans="2:7" x14ac:dyDescent="0.2">
      <c r="B4387" s="230">
        <v>39531</v>
      </c>
      <c r="C4387" s="124">
        <v>63.36</v>
      </c>
      <c r="D4387" s="156">
        <f t="shared" si="69"/>
        <v>-2.0475665459127822E-3</v>
      </c>
      <c r="E4387" s="156">
        <v>-1.746699034874764E-2</v>
      </c>
      <c r="G4387" s="156"/>
    </row>
    <row r="4388" spans="2:7" x14ac:dyDescent="0.2">
      <c r="B4388" s="230">
        <v>39526</v>
      </c>
      <c r="C4388" s="124">
        <v>62.09</v>
      </c>
      <c r="D4388" s="156">
        <f t="shared" si="69"/>
        <v>-2.0044191919191857E-2</v>
      </c>
      <c r="E4388" s="156">
        <v>-1.7489312087057909E-2</v>
      </c>
      <c r="G4388" s="156"/>
    </row>
    <row r="4389" spans="2:7" x14ac:dyDescent="0.2">
      <c r="B4389" s="230">
        <v>39525</v>
      </c>
      <c r="C4389" s="124">
        <v>60.68</v>
      </c>
      <c r="D4389" s="156">
        <f t="shared" si="69"/>
        <v>-2.2708970848767975E-2</v>
      </c>
      <c r="E4389" s="156">
        <v>-1.7563291139240496E-2</v>
      </c>
      <c r="G4389" s="156"/>
    </row>
    <row r="4390" spans="2:7" x14ac:dyDescent="0.2">
      <c r="B4390" s="230">
        <v>39524</v>
      </c>
      <c r="C4390" s="124">
        <v>61.57</v>
      </c>
      <c r="D4390" s="156">
        <f t="shared" si="69"/>
        <v>1.4667106130520774E-2</v>
      </c>
      <c r="E4390" s="156">
        <v>-1.7564176799845659E-2</v>
      </c>
      <c r="G4390" s="156"/>
    </row>
    <row r="4391" spans="2:7" x14ac:dyDescent="0.2">
      <c r="B4391" s="230">
        <v>39521</v>
      </c>
      <c r="C4391" s="124">
        <v>63.54</v>
      </c>
      <c r="D4391" s="156">
        <f t="shared" si="69"/>
        <v>3.1996101997726144E-2</v>
      </c>
      <c r="E4391" s="156">
        <v>-1.7567951510559749E-2</v>
      </c>
      <c r="G4391" s="156"/>
    </row>
    <row r="4392" spans="2:7" x14ac:dyDescent="0.2">
      <c r="B4392" s="230">
        <v>39520</v>
      </c>
      <c r="C4392" s="124">
        <v>61.52</v>
      </c>
      <c r="D4392" s="156">
        <f t="shared" si="69"/>
        <v>-3.1790997796663459E-2</v>
      </c>
      <c r="E4392" s="156">
        <v>-1.7612524461839592E-2</v>
      </c>
      <c r="G4392" s="156"/>
    </row>
    <row r="4393" spans="2:7" x14ac:dyDescent="0.2">
      <c r="B4393" s="230">
        <v>39519</v>
      </c>
      <c r="C4393" s="124">
        <v>63.15</v>
      </c>
      <c r="D4393" s="156">
        <f t="shared" si="69"/>
        <v>2.6495448634590302E-2</v>
      </c>
      <c r="E4393" s="156">
        <v>-1.7626217891939848E-2</v>
      </c>
      <c r="G4393" s="156"/>
    </row>
    <row r="4394" spans="2:7" x14ac:dyDescent="0.2">
      <c r="B4394" s="230">
        <v>39518</v>
      </c>
      <c r="C4394" s="124">
        <v>63.73</v>
      </c>
      <c r="D4394" s="156">
        <f t="shared" si="69"/>
        <v>9.1844813935074952E-3</v>
      </c>
      <c r="E4394" s="156">
        <v>-1.7645345207873739E-2</v>
      </c>
      <c r="G4394" s="156"/>
    </row>
    <row r="4395" spans="2:7" x14ac:dyDescent="0.2">
      <c r="B4395" s="230">
        <v>39517</v>
      </c>
      <c r="C4395" s="124">
        <v>63.31</v>
      </c>
      <c r="D4395" s="156">
        <f t="shared" si="69"/>
        <v>-6.5903028401066155E-3</v>
      </c>
      <c r="E4395" s="156">
        <v>-1.7666903409090863E-2</v>
      </c>
      <c r="G4395" s="156"/>
    </row>
    <row r="4396" spans="2:7" x14ac:dyDescent="0.2">
      <c r="B4396" s="230">
        <v>39514</v>
      </c>
      <c r="C4396" s="124">
        <v>63.23</v>
      </c>
      <c r="D4396" s="156">
        <f t="shared" si="69"/>
        <v>-1.2636234402149012E-3</v>
      </c>
      <c r="E4396" s="156">
        <v>-1.7697798929208773E-2</v>
      </c>
      <c r="G4396" s="156"/>
    </row>
    <row r="4397" spans="2:7" x14ac:dyDescent="0.2">
      <c r="B4397" s="230">
        <v>39512</v>
      </c>
      <c r="C4397" s="124">
        <v>64.489999999999995</v>
      </c>
      <c r="D4397" s="156">
        <f t="shared" si="69"/>
        <v>1.9927249723232614E-2</v>
      </c>
      <c r="E4397" s="156">
        <v>-1.7701993216559041E-2</v>
      </c>
      <c r="G4397" s="156"/>
    </row>
    <row r="4398" spans="2:7" x14ac:dyDescent="0.2">
      <c r="B4398" s="230">
        <v>39511</v>
      </c>
      <c r="C4398" s="124">
        <v>61.29</v>
      </c>
      <c r="D4398" s="156">
        <f t="shared" si="69"/>
        <v>-4.9620096138936205E-2</v>
      </c>
      <c r="E4398" s="156">
        <v>-1.7756109305405013E-2</v>
      </c>
      <c r="G4398" s="156"/>
    </row>
    <row r="4399" spans="2:7" x14ac:dyDescent="0.2">
      <c r="B4399" s="230">
        <v>39510</v>
      </c>
      <c r="C4399" s="124">
        <v>63.83</v>
      </c>
      <c r="D4399" s="156">
        <f t="shared" si="69"/>
        <v>4.1442323380649355E-2</v>
      </c>
      <c r="E4399" s="156">
        <v>-1.7756680731364365E-2</v>
      </c>
      <c r="G4399" s="156"/>
    </row>
    <row r="4400" spans="2:7" x14ac:dyDescent="0.2">
      <c r="B4400" s="230">
        <v>39507</v>
      </c>
      <c r="C4400" s="124">
        <v>67.209999999999994</v>
      </c>
      <c r="D4400" s="156">
        <f t="shared" si="69"/>
        <v>5.2953156822810522E-2</v>
      </c>
      <c r="E4400" s="156">
        <v>-1.7814914078511785E-2</v>
      </c>
      <c r="G4400" s="156"/>
    </row>
    <row r="4401" spans="2:7" x14ac:dyDescent="0.2">
      <c r="B4401" s="230">
        <v>39506</v>
      </c>
      <c r="C4401" s="124">
        <v>67.040000000000006</v>
      </c>
      <c r="D4401" s="156">
        <f t="shared" si="69"/>
        <v>-2.5293855081087264E-3</v>
      </c>
      <c r="E4401" s="156">
        <v>-1.7819119130337367E-2</v>
      </c>
      <c r="G4401" s="156"/>
    </row>
    <row r="4402" spans="2:7" x14ac:dyDescent="0.2">
      <c r="B4402" s="230">
        <v>39505</v>
      </c>
      <c r="C4402" s="124">
        <v>67.069999999999993</v>
      </c>
      <c r="D4402" s="156">
        <f t="shared" si="69"/>
        <v>4.4749403341269275E-4</v>
      </c>
      <c r="E4402" s="156">
        <v>-1.7893870835047284E-2</v>
      </c>
      <c r="G4402" s="156"/>
    </row>
    <row r="4403" spans="2:7" x14ac:dyDescent="0.2">
      <c r="B4403" s="230">
        <v>39504</v>
      </c>
      <c r="C4403" s="124">
        <v>66.78</v>
      </c>
      <c r="D4403" s="156">
        <f t="shared" si="69"/>
        <v>-4.3238407633814238E-3</v>
      </c>
      <c r="E4403" s="156">
        <v>-1.7936765301986322E-2</v>
      </c>
      <c r="G4403" s="156"/>
    </row>
    <row r="4404" spans="2:7" x14ac:dyDescent="0.2">
      <c r="B4404" s="230">
        <v>39503</v>
      </c>
      <c r="C4404" s="124">
        <v>66.91</v>
      </c>
      <c r="D4404" s="156">
        <f t="shared" si="69"/>
        <v>1.9466906259358408E-3</v>
      </c>
      <c r="E4404" s="156">
        <v>-1.7936765301986322E-2</v>
      </c>
      <c r="G4404" s="156"/>
    </row>
    <row r="4405" spans="2:7" x14ac:dyDescent="0.2">
      <c r="B4405" s="230">
        <v>39500</v>
      </c>
      <c r="C4405" s="124">
        <v>66.349999999999994</v>
      </c>
      <c r="D4405" s="156">
        <f t="shared" si="69"/>
        <v>-8.3694515020176705E-3</v>
      </c>
      <c r="E4405" s="156">
        <v>-1.7944785276073644E-2</v>
      </c>
      <c r="G4405" s="156"/>
    </row>
    <row r="4406" spans="2:7" x14ac:dyDescent="0.2">
      <c r="B4406" s="230">
        <v>39499</v>
      </c>
      <c r="C4406" s="124">
        <v>66.739999999999995</v>
      </c>
      <c r="D4406" s="156">
        <f t="shared" si="69"/>
        <v>5.8779201205727298E-3</v>
      </c>
      <c r="E4406" s="156">
        <v>-1.7947196677543787E-2</v>
      </c>
      <c r="G4406" s="156"/>
    </row>
    <row r="4407" spans="2:7" x14ac:dyDescent="0.2">
      <c r="B4407" s="230">
        <v>39498</v>
      </c>
      <c r="C4407" s="124">
        <v>66.94</v>
      </c>
      <c r="D4407" s="156">
        <f t="shared" si="69"/>
        <v>2.9967036260114305E-3</v>
      </c>
      <c r="E4407" s="156">
        <v>-1.7967259660174716E-2</v>
      </c>
      <c r="G4407" s="156"/>
    </row>
    <row r="4408" spans="2:7" x14ac:dyDescent="0.2">
      <c r="B4408" s="230">
        <v>39497</v>
      </c>
      <c r="C4408" s="124">
        <v>68.09</v>
      </c>
      <c r="D4408" s="156">
        <f t="shared" si="69"/>
        <v>1.717956378846737E-2</v>
      </c>
      <c r="E4408" s="156">
        <v>-1.8028496656004579E-2</v>
      </c>
      <c r="G4408" s="156"/>
    </row>
    <row r="4409" spans="2:7" x14ac:dyDescent="0.2">
      <c r="B4409" s="230">
        <v>39496</v>
      </c>
      <c r="C4409" s="124">
        <v>69.540000000000006</v>
      </c>
      <c r="D4409" s="156">
        <f t="shared" si="69"/>
        <v>2.1295344397121496E-2</v>
      </c>
      <c r="E4409" s="156">
        <v>-1.8029056537720908E-2</v>
      </c>
      <c r="G4409" s="156"/>
    </row>
    <row r="4410" spans="2:7" x14ac:dyDescent="0.2">
      <c r="B4410" s="230">
        <v>39493</v>
      </c>
      <c r="C4410" s="124">
        <v>67.239999999999995</v>
      </c>
      <c r="D4410" s="156">
        <f t="shared" si="69"/>
        <v>-3.30744895024448E-2</v>
      </c>
      <c r="E4410" s="156">
        <v>-1.8069087688219743E-2</v>
      </c>
      <c r="G4410" s="156"/>
    </row>
    <row r="4411" spans="2:7" x14ac:dyDescent="0.2">
      <c r="B4411" s="230">
        <v>39492</v>
      </c>
      <c r="C4411" s="124">
        <v>66.05</v>
      </c>
      <c r="D4411" s="156">
        <f t="shared" si="69"/>
        <v>-1.7697798929208773E-2</v>
      </c>
      <c r="E4411" s="156">
        <v>-1.8077803203661275E-2</v>
      </c>
      <c r="G4411" s="156"/>
    </row>
    <row r="4412" spans="2:7" x14ac:dyDescent="0.2">
      <c r="B4412" s="230">
        <v>39491</v>
      </c>
      <c r="C4412" s="124">
        <v>65.05</v>
      </c>
      <c r="D4412" s="156">
        <f t="shared" si="69"/>
        <v>-1.514004542013626E-2</v>
      </c>
      <c r="E4412" s="156">
        <v>-1.8082110567659685E-2</v>
      </c>
      <c r="G4412" s="156"/>
    </row>
    <row r="4413" spans="2:7" x14ac:dyDescent="0.2">
      <c r="B4413" s="230">
        <v>39490</v>
      </c>
      <c r="C4413" s="124">
        <v>61.51</v>
      </c>
      <c r="D4413" s="156">
        <f t="shared" si="69"/>
        <v>-5.4419677171406597E-2</v>
      </c>
      <c r="E4413" s="156">
        <v>-1.8095464260270731E-2</v>
      </c>
      <c r="G4413" s="156"/>
    </row>
    <row r="4414" spans="2:7" x14ac:dyDescent="0.2">
      <c r="B4414" s="230">
        <v>39489</v>
      </c>
      <c r="C4414" s="124">
        <v>61.46</v>
      </c>
      <c r="D4414" s="156">
        <f t="shared" ref="D4414:D4477" si="70">(C4414-C4413)/C4413</f>
        <v>-8.1287595512920111E-4</v>
      </c>
      <c r="E4414" s="156">
        <v>-1.809755020966684E-2</v>
      </c>
      <c r="G4414" s="156"/>
    </row>
    <row r="4415" spans="2:7" x14ac:dyDescent="0.2">
      <c r="B4415" s="230">
        <v>39486</v>
      </c>
      <c r="C4415" s="124">
        <v>65.63</v>
      </c>
      <c r="D4415" s="156">
        <f t="shared" si="70"/>
        <v>6.78490074845427E-2</v>
      </c>
      <c r="E4415" s="156">
        <v>-1.8115204559332451E-2</v>
      </c>
      <c r="G4415" s="156"/>
    </row>
    <row r="4416" spans="2:7" x14ac:dyDescent="0.2">
      <c r="B4416" s="230">
        <v>39485</v>
      </c>
      <c r="C4416" s="124">
        <v>63.68</v>
      </c>
      <c r="D4416" s="156">
        <f t="shared" si="70"/>
        <v>-2.9712021941185371E-2</v>
      </c>
      <c r="E4416" s="156">
        <v>-1.8135725429017154E-2</v>
      </c>
      <c r="G4416" s="156"/>
    </row>
    <row r="4417" spans="2:7" x14ac:dyDescent="0.2">
      <c r="B4417" s="230">
        <v>39484</v>
      </c>
      <c r="C4417" s="124">
        <v>66.3</v>
      </c>
      <c r="D4417" s="156">
        <f t="shared" si="70"/>
        <v>4.1143216080401973E-2</v>
      </c>
      <c r="E4417" s="156">
        <v>-1.8140284869658806E-2</v>
      </c>
      <c r="G4417" s="156"/>
    </row>
    <row r="4418" spans="2:7" x14ac:dyDescent="0.2">
      <c r="B4418" s="230">
        <v>39483</v>
      </c>
      <c r="C4418" s="124">
        <v>68.27</v>
      </c>
      <c r="D4418" s="156">
        <f t="shared" si="70"/>
        <v>2.9713423831070875E-2</v>
      </c>
      <c r="E4418" s="156">
        <v>-1.8142754834089232E-2</v>
      </c>
      <c r="G4418" s="156"/>
    </row>
    <row r="4419" spans="2:7" x14ac:dyDescent="0.2">
      <c r="B4419" s="230">
        <v>39482</v>
      </c>
      <c r="C4419" s="124">
        <v>67.89</v>
      </c>
      <c r="D4419" s="156">
        <f t="shared" si="70"/>
        <v>-5.5661344660904565E-3</v>
      </c>
      <c r="E4419" s="156">
        <v>-1.8159806295399629E-2</v>
      </c>
      <c r="G4419" s="156"/>
    </row>
    <row r="4420" spans="2:7" x14ac:dyDescent="0.2">
      <c r="B4420" s="230">
        <v>39479</v>
      </c>
      <c r="C4420" s="124">
        <v>68</v>
      </c>
      <c r="D4420" s="156">
        <f t="shared" si="70"/>
        <v>1.6202680807188014E-3</v>
      </c>
      <c r="E4420" s="156">
        <v>-1.8161180476730893E-2</v>
      </c>
      <c r="G4420" s="156"/>
    </row>
    <row r="4421" spans="2:7" x14ac:dyDescent="0.2">
      <c r="B4421" s="230">
        <v>39478</v>
      </c>
      <c r="C4421" s="124">
        <v>64.819999999999993</v>
      </c>
      <c r="D4421" s="156">
        <f t="shared" si="70"/>
        <v>-4.6764705882353041E-2</v>
      </c>
      <c r="E4421" s="156">
        <v>-1.8161362905817994E-2</v>
      </c>
      <c r="G4421" s="156"/>
    </row>
    <row r="4422" spans="2:7" x14ac:dyDescent="0.2">
      <c r="B4422" s="230">
        <v>39477</v>
      </c>
      <c r="C4422" s="124">
        <v>66.08</v>
      </c>
      <c r="D4422" s="156">
        <f t="shared" si="70"/>
        <v>1.9438444924406127E-2</v>
      </c>
      <c r="E4422" s="156">
        <v>-1.819363222872002E-2</v>
      </c>
      <c r="G4422" s="156"/>
    </row>
    <row r="4423" spans="2:7" x14ac:dyDescent="0.2">
      <c r="B4423" s="230">
        <v>39476</v>
      </c>
      <c r="C4423" s="124">
        <v>66.69</v>
      </c>
      <c r="D4423" s="156">
        <f t="shared" si="70"/>
        <v>9.2312348668280794E-3</v>
      </c>
      <c r="E4423" s="156">
        <v>-1.8241042345276948E-2</v>
      </c>
      <c r="G4423" s="156"/>
    </row>
    <row r="4424" spans="2:7" x14ac:dyDescent="0.2">
      <c r="B4424" s="230">
        <v>39475</v>
      </c>
      <c r="C4424" s="124">
        <v>65.05</v>
      </c>
      <c r="D4424" s="156">
        <f t="shared" si="70"/>
        <v>-2.4591393012445652E-2</v>
      </c>
      <c r="E4424" s="156">
        <v>-1.8245484703280409E-2</v>
      </c>
      <c r="G4424" s="156"/>
    </row>
    <row r="4425" spans="2:7" x14ac:dyDescent="0.2">
      <c r="B4425" s="230">
        <v>39472</v>
      </c>
      <c r="C4425" s="124">
        <v>65.78</v>
      </c>
      <c r="D4425" s="156">
        <f t="shared" si="70"/>
        <v>1.1222136817832499E-2</v>
      </c>
      <c r="E4425" s="156">
        <v>-1.8247685495773505E-2</v>
      </c>
      <c r="G4425" s="156"/>
    </row>
    <row r="4426" spans="2:7" x14ac:dyDescent="0.2">
      <c r="B4426" s="230">
        <v>39471</v>
      </c>
      <c r="C4426" s="124">
        <v>62.15</v>
      </c>
      <c r="D4426" s="156">
        <f t="shared" si="70"/>
        <v>-5.5183946488294354E-2</v>
      </c>
      <c r="E4426" s="156">
        <v>-1.8296063574200661E-2</v>
      </c>
      <c r="G4426" s="156"/>
    </row>
    <row r="4427" spans="2:7" x14ac:dyDescent="0.2">
      <c r="B4427" s="230">
        <v>39470</v>
      </c>
      <c r="C4427" s="124">
        <v>64.59</v>
      </c>
      <c r="D4427" s="156">
        <f t="shared" si="70"/>
        <v>3.9259855189058807E-2</v>
      </c>
      <c r="E4427" s="156">
        <v>-1.8320987654321028E-2</v>
      </c>
      <c r="G4427" s="156"/>
    </row>
    <row r="4428" spans="2:7" x14ac:dyDescent="0.2">
      <c r="B4428" s="230">
        <v>39469</v>
      </c>
      <c r="C4428" s="124">
        <v>60.63</v>
      </c>
      <c r="D4428" s="156">
        <f t="shared" si="70"/>
        <v>-6.1309800278680923E-2</v>
      </c>
      <c r="E4428" s="156">
        <v>-1.8355158621445371E-2</v>
      </c>
      <c r="G4428" s="156"/>
    </row>
    <row r="4429" spans="2:7" x14ac:dyDescent="0.2">
      <c r="B4429" s="230">
        <v>39468</v>
      </c>
      <c r="C4429" s="124">
        <v>66.91</v>
      </c>
      <c r="D4429" s="156">
        <f t="shared" si="70"/>
        <v>0.10357908626092684</v>
      </c>
      <c r="E4429" s="156">
        <v>-1.8359091380562142E-2</v>
      </c>
      <c r="G4429" s="156"/>
    </row>
    <row r="4430" spans="2:7" x14ac:dyDescent="0.2">
      <c r="B4430" s="230">
        <v>39465</v>
      </c>
      <c r="C4430" s="124">
        <v>70.489999999999995</v>
      </c>
      <c r="D4430" s="156">
        <f t="shared" si="70"/>
        <v>5.3504707816469863E-2</v>
      </c>
      <c r="E4430" s="156">
        <v>-1.838859759249693E-2</v>
      </c>
      <c r="G4430" s="156"/>
    </row>
    <row r="4431" spans="2:7" x14ac:dyDescent="0.2">
      <c r="B4431" s="230">
        <v>39464</v>
      </c>
      <c r="C4431" s="124">
        <v>72.180000000000007</v>
      </c>
      <c r="D4431" s="156">
        <f t="shared" si="70"/>
        <v>2.3975031919421366E-2</v>
      </c>
      <c r="E4431" s="156">
        <v>-1.84049079754601E-2</v>
      </c>
      <c r="G4431" s="156"/>
    </row>
    <row r="4432" spans="2:7" x14ac:dyDescent="0.2">
      <c r="B4432" s="230">
        <v>39463</v>
      </c>
      <c r="C4432" s="124">
        <v>69.260000000000005</v>
      </c>
      <c r="D4432" s="156">
        <f t="shared" si="70"/>
        <v>-4.0454419506788603E-2</v>
      </c>
      <c r="E4432" s="156">
        <v>-1.8408622986556815E-2</v>
      </c>
      <c r="G4432" s="156"/>
    </row>
    <row r="4433" spans="2:7" x14ac:dyDescent="0.2">
      <c r="B4433" s="230">
        <v>39462</v>
      </c>
      <c r="C4433" s="124">
        <v>71.72</v>
      </c>
      <c r="D4433" s="156">
        <f t="shared" si="70"/>
        <v>3.5518336702281168E-2</v>
      </c>
      <c r="E4433" s="156">
        <v>-1.8422516408944205E-2</v>
      </c>
      <c r="G4433" s="156"/>
    </row>
    <row r="4434" spans="2:7" x14ac:dyDescent="0.2">
      <c r="B4434" s="230">
        <v>39461</v>
      </c>
      <c r="C4434" s="124">
        <v>74.42</v>
      </c>
      <c r="D4434" s="156">
        <f t="shared" si="70"/>
        <v>3.7646402677077563E-2</v>
      </c>
      <c r="E4434" s="156">
        <v>-1.842983601799443E-2</v>
      </c>
      <c r="G4434" s="156"/>
    </row>
    <row r="4435" spans="2:7" x14ac:dyDescent="0.2">
      <c r="B4435" s="230">
        <v>39458</v>
      </c>
      <c r="C4435" s="124">
        <v>73.069999999999993</v>
      </c>
      <c r="D4435" s="156">
        <f t="shared" si="70"/>
        <v>-1.8140284869658806E-2</v>
      </c>
      <c r="E4435" s="156">
        <v>-1.8450685117351713E-2</v>
      </c>
      <c r="G4435" s="156"/>
    </row>
    <row r="4436" spans="2:7" x14ac:dyDescent="0.2">
      <c r="B4436" s="230">
        <v>39457</v>
      </c>
      <c r="C4436" s="124">
        <v>72.86</v>
      </c>
      <c r="D4436" s="156">
        <f t="shared" si="70"/>
        <v>-2.8739564800875019E-3</v>
      </c>
      <c r="E4436" s="156">
        <v>-1.8456375838926134E-2</v>
      </c>
      <c r="G4436" s="156"/>
    </row>
    <row r="4437" spans="2:7" x14ac:dyDescent="0.2">
      <c r="B4437" s="230">
        <v>39456</v>
      </c>
      <c r="C4437" s="124">
        <v>75.59</v>
      </c>
      <c r="D4437" s="156">
        <f t="shared" si="70"/>
        <v>3.7469118858084051E-2</v>
      </c>
      <c r="E4437" s="156">
        <v>-1.8483521548743911E-2</v>
      </c>
      <c r="G4437" s="156"/>
    </row>
    <row r="4438" spans="2:7" x14ac:dyDescent="0.2">
      <c r="B4438" s="230">
        <v>39455</v>
      </c>
      <c r="C4438" s="124">
        <v>76.569999999999993</v>
      </c>
      <c r="D4438" s="156">
        <f t="shared" si="70"/>
        <v>1.2964677867442648E-2</v>
      </c>
      <c r="E4438" s="156">
        <v>-1.8505880936132688E-2</v>
      </c>
      <c r="G4438" s="156"/>
    </row>
    <row r="4439" spans="2:7" x14ac:dyDescent="0.2">
      <c r="B4439" s="230">
        <v>39454</v>
      </c>
      <c r="C4439" s="124">
        <v>76.67</v>
      </c>
      <c r="D4439" s="156">
        <f t="shared" si="70"/>
        <v>1.3059945148231492E-3</v>
      </c>
      <c r="E4439" s="156">
        <v>-1.8518518518518351E-2</v>
      </c>
      <c r="G4439" s="156"/>
    </row>
    <row r="4440" spans="2:7" x14ac:dyDescent="0.2">
      <c r="B4440" s="230">
        <v>39451</v>
      </c>
      <c r="C4440" s="124">
        <v>72.709999999999994</v>
      </c>
      <c r="D4440" s="156">
        <f t="shared" si="70"/>
        <v>-5.1649928263988627E-2</v>
      </c>
      <c r="E4440" s="156">
        <v>-1.8519935715925522E-2</v>
      </c>
      <c r="G4440" s="156"/>
    </row>
    <row r="4441" spans="2:7" x14ac:dyDescent="0.2">
      <c r="B4441" s="230">
        <v>39450</v>
      </c>
      <c r="C4441" s="124">
        <v>71.09</v>
      </c>
      <c r="D4441" s="156">
        <f t="shared" si="70"/>
        <v>-2.2280291569247566E-2</v>
      </c>
      <c r="E4441" s="156">
        <v>-1.852907639680719E-2</v>
      </c>
      <c r="G4441" s="156"/>
    </row>
    <row r="4442" spans="2:7" x14ac:dyDescent="0.2">
      <c r="B4442" s="230">
        <v>39449</v>
      </c>
      <c r="C4442" s="124">
        <v>73.290000000000006</v>
      </c>
      <c r="D4442" s="156">
        <f t="shared" si="70"/>
        <v>3.094668729779157E-2</v>
      </c>
      <c r="E4442" s="156">
        <v>-1.8584220307484276E-2</v>
      </c>
      <c r="G4442" s="156"/>
    </row>
    <row r="4443" spans="2:7" x14ac:dyDescent="0.2">
      <c r="B4443" s="230">
        <v>39448</v>
      </c>
      <c r="C4443" s="124">
        <v>72.13</v>
      </c>
      <c r="D4443" s="156">
        <f t="shared" si="70"/>
        <v>-1.5827534452176432E-2</v>
      </c>
      <c r="E4443" s="156">
        <v>-1.860545992001399E-2</v>
      </c>
      <c r="G4443" s="156"/>
    </row>
    <row r="4444" spans="2:7" x14ac:dyDescent="0.2">
      <c r="B4444" s="230">
        <v>39447</v>
      </c>
      <c r="C4444" s="124">
        <v>69.430000000000007</v>
      </c>
      <c r="D4444" s="156">
        <f t="shared" si="70"/>
        <v>-3.7432413697490487E-2</v>
      </c>
      <c r="E4444" s="156">
        <v>-1.862302483069973E-2</v>
      </c>
      <c r="G4444" s="156"/>
    </row>
    <row r="4445" spans="2:7" x14ac:dyDescent="0.2">
      <c r="B4445" s="230">
        <v>39444</v>
      </c>
      <c r="C4445" s="124">
        <v>68.47</v>
      </c>
      <c r="D4445" s="156">
        <f t="shared" si="70"/>
        <v>-1.3826875990206076E-2</v>
      </c>
      <c r="E4445" s="156">
        <v>-1.8687329079307174E-2</v>
      </c>
      <c r="G4445" s="156"/>
    </row>
    <row r="4446" spans="2:7" x14ac:dyDescent="0.2">
      <c r="B4446" s="230">
        <v>39443</v>
      </c>
      <c r="C4446" s="124">
        <v>67.47</v>
      </c>
      <c r="D4446" s="156">
        <f t="shared" si="70"/>
        <v>-1.4604936468526362E-2</v>
      </c>
      <c r="E4446" s="156">
        <v>-1.8698183101076068E-2</v>
      </c>
      <c r="G4446" s="156"/>
    </row>
    <row r="4447" spans="2:7" x14ac:dyDescent="0.2">
      <c r="B4447" s="230">
        <v>39442</v>
      </c>
      <c r="C4447" s="124">
        <v>66.25</v>
      </c>
      <c r="D4447" s="156">
        <f t="shared" si="70"/>
        <v>-1.8082110567659685E-2</v>
      </c>
      <c r="E4447" s="156">
        <v>-1.8710375753827134E-2</v>
      </c>
      <c r="G4447" s="156"/>
    </row>
    <row r="4448" spans="2:7" x14ac:dyDescent="0.2">
      <c r="B4448" s="230">
        <v>39440</v>
      </c>
      <c r="C4448" s="124">
        <v>65.650000000000006</v>
      </c>
      <c r="D4448" s="156">
        <f t="shared" si="70"/>
        <v>-9.0566037735848193E-3</v>
      </c>
      <c r="E4448" s="156">
        <v>-1.8712070128118669E-2</v>
      </c>
      <c r="G4448" s="156"/>
    </row>
    <row r="4449" spans="2:7" x14ac:dyDescent="0.2">
      <c r="B4449" s="230">
        <v>39436</v>
      </c>
      <c r="C4449" s="124">
        <v>65.14</v>
      </c>
      <c r="D4449" s="156">
        <f t="shared" si="70"/>
        <v>-7.7684691546078457E-3</v>
      </c>
      <c r="E4449" s="156">
        <v>-1.8775336035843849E-2</v>
      </c>
      <c r="G4449" s="156"/>
    </row>
    <row r="4450" spans="2:7" x14ac:dyDescent="0.2">
      <c r="B4450" s="230">
        <v>39435</v>
      </c>
      <c r="C4450" s="124">
        <v>66.2</v>
      </c>
      <c r="D4450" s="156">
        <f t="shared" si="70"/>
        <v>1.6272643536997273E-2</v>
      </c>
      <c r="E4450" s="156">
        <v>-1.8796574352129881E-2</v>
      </c>
      <c r="G4450" s="156"/>
    </row>
    <row r="4451" spans="2:7" x14ac:dyDescent="0.2">
      <c r="B4451" s="230">
        <v>39434</v>
      </c>
      <c r="C4451" s="124">
        <v>65.48</v>
      </c>
      <c r="D4451" s="156">
        <f t="shared" si="70"/>
        <v>-1.0876132930513578E-2</v>
      </c>
      <c r="E4451" s="156">
        <v>-1.8827384309617789E-2</v>
      </c>
      <c r="G4451" s="156"/>
    </row>
    <row r="4452" spans="2:7" x14ac:dyDescent="0.2">
      <c r="B4452" s="230">
        <v>39433</v>
      </c>
      <c r="C4452" s="124">
        <v>64.14</v>
      </c>
      <c r="D4452" s="156">
        <f t="shared" si="70"/>
        <v>-2.0464263897373294E-2</v>
      </c>
      <c r="E4452" s="156">
        <v>-1.8864966555184017E-2</v>
      </c>
      <c r="G4452" s="156"/>
    </row>
    <row r="4453" spans="2:7" x14ac:dyDescent="0.2">
      <c r="B4453" s="230">
        <v>39430</v>
      </c>
      <c r="C4453" s="124">
        <v>66.53</v>
      </c>
      <c r="D4453" s="156">
        <f t="shared" si="70"/>
        <v>3.7262238852510142E-2</v>
      </c>
      <c r="E4453" s="156">
        <v>-1.8895966029724005E-2</v>
      </c>
      <c r="G4453" s="156"/>
    </row>
    <row r="4454" spans="2:7" x14ac:dyDescent="0.2">
      <c r="B4454" s="230">
        <v>39429</v>
      </c>
      <c r="C4454" s="124">
        <v>65.09</v>
      </c>
      <c r="D4454" s="156">
        <f t="shared" si="70"/>
        <v>-2.1644370960468926E-2</v>
      </c>
      <c r="E4454" s="156">
        <v>-1.8953262976523822E-2</v>
      </c>
      <c r="G4454" s="156"/>
    </row>
    <row r="4455" spans="2:7" x14ac:dyDescent="0.2">
      <c r="B4455" s="230">
        <v>39428</v>
      </c>
      <c r="C4455" s="124">
        <v>62.85</v>
      </c>
      <c r="D4455" s="156">
        <f t="shared" si="70"/>
        <v>-3.4413888462129387E-2</v>
      </c>
      <c r="E4455" s="156">
        <v>-1.8961068102771209E-2</v>
      </c>
      <c r="G4455" s="156"/>
    </row>
    <row r="4456" spans="2:7" x14ac:dyDescent="0.2">
      <c r="B4456" s="230">
        <v>39427</v>
      </c>
      <c r="C4456" s="124">
        <v>62.15</v>
      </c>
      <c r="D4456" s="156">
        <f t="shared" si="70"/>
        <v>-1.1137629276054143E-2</v>
      </c>
      <c r="E4456" s="156">
        <v>-1.8962857481903427E-2</v>
      </c>
      <c r="G4456" s="156"/>
    </row>
    <row r="4457" spans="2:7" x14ac:dyDescent="0.2">
      <c r="B4457" s="230">
        <v>39426</v>
      </c>
      <c r="C4457" s="124">
        <v>61.89</v>
      </c>
      <c r="D4457" s="156">
        <f t="shared" si="70"/>
        <v>-4.183427192276718E-3</v>
      </c>
      <c r="E4457" s="156">
        <v>-1.8970503181029504E-2</v>
      </c>
      <c r="G4457" s="156"/>
    </row>
    <row r="4458" spans="2:7" x14ac:dyDescent="0.2">
      <c r="B4458" s="230">
        <v>39423</v>
      </c>
      <c r="C4458" s="124">
        <v>62.37</v>
      </c>
      <c r="D4458" s="156">
        <f t="shared" si="70"/>
        <v>7.755695588948083E-3</v>
      </c>
      <c r="E4458" s="156">
        <v>-1.8970665729843638E-2</v>
      </c>
      <c r="G4458" s="156"/>
    </row>
    <row r="4459" spans="2:7" x14ac:dyDescent="0.2">
      <c r="B4459" s="230">
        <v>39422</v>
      </c>
      <c r="C4459" s="124">
        <v>64.010000000000005</v>
      </c>
      <c r="D4459" s="156">
        <f t="shared" si="70"/>
        <v>2.6294692961359754E-2</v>
      </c>
      <c r="E4459" s="156">
        <v>-1.9026710574460329E-2</v>
      </c>
      <c r="G4459" s="156"/>
    </row>
    <row r="4460" spans="2:7" x14ac:dyDescent="0.2">
      <c r="B4460" s="230">
        <v>39421</v>
      </c>
      <c r="C4460" s="124">
        <v>63.88</v>
      </c>
      <c r="D4460" s="156">
        <f t="shared" si="70"/>
        <v>-2.0309326667708569E-3</v>
      </c>
      <c r="E4460" s="156">
        <v>-1.9034897311738148E-2</v>
      </c>
      <c r="G4460" s="156"/>
    </row>
    <row r="4461" spans="2:7" x14ac:dyDescent="0.2">
      <c r="B4461" s="230">
        <v>39420</v>
      </c>
      <c r="C4461" s="124">
        <v>63.73</v>
      </c>
      <c r="D4461" s="156">
        <f t="shared" si="70"/>
        <v>-2.3481527864747287E-3</v>
      </c>
      <c r="E4461" s="156">
        <v>-1.9109367002218009E-2</v>
      </c>
      <c r="G4461" s="156"/>
    </row>
    <row r="4462" spans="2:7" x14ac:dyDescent="0.2">
      <c r="B4462" s="230">
        <v>39419</v>
      </c>
      <c r="C4462" s="124">
        <v>63.53</v>
      </c>
      <c r="D4462" s="156">
        <f t="shared" si="70"/>
        <v>-3.1382394476697903E-3</v>
      </c>
      <c r="E4462" s="156">
        <v>-1.9115358968659627E-2</v>
      </c>
      <c r="G4462" s="156"/>
    </row>
    <row r="4463" spans="2:7" x14ac:dyDescent="0.2">
      <c r="B4463" s="230">
        <v>39416</v>
      </c>
      <c r="C4463" s="124">
        <v>62.43</v>
      </c>
      <c r="D4463" s="156">
        <f t="shared" si="70"/>
        <v>-1.7314654493939895E-2</v>
      </c>
      <c r="E4463" s="156">
        <v>-1.9125683060109252E-2</v>
      </c>
      <c r="G4463" s="156"/>
    </row>
    <row r="4464" spans="2:7" x14ac:dyDescent="0.2">
      <c r="B4464" s="230">
        <v>39415</v>
      </c>
      <c r="C4464" s="124">
        <v>61.57</v>
      </c>
      <c r="D4464" s="156">
        <f t="shared" si="70"/>
        <v>-1.3775428479897477E-2</v>
      </c>
      <c r="E4464" s="156">
        <v>-1.9131975199291502E-2</v>
      </c>
      <c r="G4464" s="156"/>
    </row>
    <row r="4465" spans="2:7" x14ac:dyDescent="0.2">
      <c r="B4465" s="230">
        <v>39414</v>
      </c>
      <c r="C4465" s="124">
        <v>62.02</v>
      </c>
      <c r="D4465" s="156">
        <f t="shared" si="70"/>
        <v>7.3087542634400334E-3</v>
      </c>
      <c r="E4465" s="156">
        <v>-1.9132961976265385E-2</v>
      </c>
      <c r="G4465" s="156"/>
    </row>
    <row r="4466" spans="2:7" x14ac:dyDescent="0.2">
      <c r="B4466" s="230">
        <v>39413</v>
      </c>
      <c r="C4466" s="124">
        <v>61.64</v>
      </c>
      <c r="D4466" s="156">
        <f t="shared" si="70"/>
        <v>-6.1270557884553776E-3</v>
      </c>
      <c r="E4466" s="156">
        <v>-1.9133312648670953E-2</v>
      </c>
      <c r="G4466" s="156"/>
    </row>
    <row r="4467" spans="2:7" x14ac:dyDescent="0.2">
      <c r="B4467" s="230">
        <v>39412</v>
      </c>
      <c r="C4467" s="124">
        <v>62.22</v>
      </c>
      <c r="D4467" s="156">
        <f t="shared" si="70"/>
        <v>9.4094743672939376E-3</v>
      </c>
      <c r="E4467" s="156">
        <v>-1.9137091162143256E-2</v>
      </c>
      <c r="G4467" s="156"/>
    </row>
    <row r="4468" spans="2:7" x14ac:dyDescent="0.2">
      <c r="B4468" s="230">
        <v>39409</v>
      </c>
      <c r="C4468" s="124">
        <v>61.21</v>
      </c>
      <c r="D4468" s="156">
        <f t="shared" si="70"/>
        <v>-1.6232722597235585E-2</v>
      </c>
      <c r="E4468" s="156">
        <v>-1.9146948941469441E-2</v>
      </c>
      <c r="G4468" s="156"/>
    </row>
    <row r="4469" spans="2:7" x14ac:dyDescent="0.2">
      <c r="B4469" s="230">
        <v>39408</v>
      </c>
      <c r="C4469" s="124">
        <v>61.36</v>
      </c>
      <c r="D4469" s="156">
        <f t="shared" si="70"/>
        <v>2.450579970593017E-3</v>
      </c>
      <c r="E4469" s="156">
        <v>-1.9192640177650898E-2</v>
      </c>
      <c r="G4469" s="156"/>
    </row>
    <row r="4470" spans="2:7" x14ac:dyDescent="0.2">
      <c r="B4470" s="230">
        <v>39407</v>
      </c>
      <c r="C4470" s="124">
        <v>61.46</v>
      </c>
      <c r="D4470" s="156">
        <f t="shared" si="70"/>
        <v>1.6297262059974157E-3</v>
      </c>
      <c r="E4470" s="156">
        <v>-1.9217269217269198E-2</v>
      </c>
      <c r="G4470" s="156"/>
    </row>
    <row r="4471" spans="2:7" x14ac:dyDescent="0.2">
      <c r="B4471" s="230">
        <v>39406</v>
      </c>
      <c r="C4471" s="124">
        <v>65.19</v>
      </c>
      <c r="D4471" s="156">
        <f t="shared" si="70"/>
        <v>6.0689879596485467E-2</v>
      </c>
      <c r="E4471" s="156">
        <v>-1.9222086047861638E-2</v>
      </c>
      <c r="G4471" s="156"/>
    </row>
    <row r="4472" spans="2:7" x14ac:dyDescent="0.2">
      <c r="B4472" s="230">
        <v>39405</v>
      </c>
      <c r="C4472" s="124">
        <v>65.900000000000006</v>
      </c>
      <c r="D4472" s="156">
        <f t="shared" si="70"/>
        <v>1.08912409878817E-2</v>
      </c>
      <c r="E4472" s="156">
        <v>-1.9292604501607698E-2</v>
      </c>
      <c r="G4472" s="156"/>
    </row>
    <row r="4473" spans="2:7" x14ac:dyDescent="0.2">
      <c r="B4473" s="230">
        <v>39402</v>
      </c>
      <c r="C4473" s="124">
        <v>67.989999999999995</v>
      </c>
      <c r="D4473" s="156">
        <f t="shared" si="70"/>
        <v>3.1714719271623504E-2</v>
      </c>
      <c r="E4473" s="156">
        <v>-1.9308001235711972E-2</v>
      </c>
      <c r="G4473" s="156"/>
    </row>
    <row r="4474" spans="2:7" x14ac:dyDescent="0.2">
      <c r="B4474" s="230">
        <v>39401</v>
      </c>
      <c r="C4474" s="124">
        <v>62.8</v>
      </c>
      <c r="D4474" s="156">
        <f t="shared" si="70"/>
        <v>-7.6334755111045718E-2</v>
      </c>
      <c r="E4474" s="156">
        <v>-1.9315356664754216E-2</v>
      </c>
      <c r="G4474" s="156"/>
    </row>
    <row r="4475" spans="2:7" x14ac:dyDescent="0.2">
      <c r="B4475" s="230">
        <v>39400</v>
      </c>
      <c r="C4475" s="124">
        <v>60.56</v>
      </c>
      <c r="D4475" s="156">
        <f t="shared" si="70"/>
        <v>-3.566878980891712E-2</v>
      </c>
      <c r="E4475" s="156">
        <v>-1.9360806328144915E-2</v>
      </c>
      <c r="G4475" s="156"/>
    </row>
    <row r="4476" spans="2:7" x14ac:dyDescent="0.2">
      <c r="B4476" s="230">
        <v>39399</v>
      </c>
      <c r="C4476" s="124">
        <v>58.99</v>
      </c>
      <c r="D4476" s="156">
        <f t="shared" si="70"/>
        <v>-2.5924702774108327E-2</v>
      </c>
      <c r="E4476" s="156">
        <v>-1.9402119470659455E-2</v>
      </c>
      <c r="G4476" s="156"/>
    </row>
    <row r="4477" spans="2:7" x14ac:dyDescent="0.2">
      <c r="B4477" s="230">
        <v>39398</v>
      </c>
      <c r="C4477" s="124">
        <v>59.27</v>
      </c>
      <c r="D4477" s="156">
        <f t="shared" si="70"/>
        <v>4.7465672147821852E-3</v>
      </c>
      <c r="E4477" s="156">
        <v>-1.9403774916210974E-2</v>
      </c>
      <c r="G4477" s="156"/>
    </row>
    <row r="4478" spans="2:7" x14ac:dyDescent="0.2">
      <c r="B4478" s="230">
        <v>39395</v>
      </c>
      <c r="C4478" s="124">
        <v>55.95</v>
      </c>
      <c r="D4478" s="156">
        <f t="shared" ref="D4478:D4541" si="71">(C4478-C4477)/C4477</f>
        <v>-5.601484730892526E-2</v>
      </c>
      <c r="E4478" s="156">
        <v>-1.9405450041288221E-2</v>
      </c>
      <c r="G4478" s="156"/>
    </row>
    <row r="4479" spans="2:7" x14ac:dyDescent="0.2">
      <c r="B4479" s="230">
        <v>39394</v>
      </c>
      <c r="C4479" s="124">
        <v>56.42</v>
      </c>
      <c r="D4479" s="156">
        <f t="shared" si="71"/>
        <v>8.4003574620196402E-3</v>
      </c>
      <c r="E4479" s="156">
        <v>-1.9412472083834436E-2</v>
      </c>
      <c r="G4479" s="156"/>
    </row>
    <row r="4480" spans="2:7" x14ac:dyDescent="0.2">
      <c r="B4480" s="230">
        <v>39393</v>
      </c>
      <c r="C4480" s="124">
        <v>56.58</v>
      </c>
      <c r="D4480" s="156">
        <f t="shared" si="71"/>
        <v>2.8358738036156784E-3</v>
      </c>
      <c r="E4480" s="156">
        <v>-1.94396798170383E-2</v>
      </c>
      <c r="G4480" s="156"/>
    </row>
    <row r="4481" spans="2:7" x14ac:dyDescent="0.2">
      <c r="B4481" s="230">
        <v>39392</v>
      </c>
      <c r="C4481" s="124">
        <v>57.59</v>
      </c>
      <c r="D4481" s="156">
        <f t="shared" si="71"/>
        <v>1.7850830682219956E-2</v>
      </c>
      <c r="E4481" s="156">
        <v>-1.9454904070288701E-2</v>
      </c>
      <c r="G4481" s="156"/>
    </row>
    <row r="4482" spans="2:7" x14ac:dyDescent="0.2">
      <c r="B4482" s="230">
        <v>39391</v>
      </c>
      <c r="C4482" s="124">
        <v>56.75</v>
      </c>
      <c r="D4482" s="156">
        <f t="shared" si="71"/>
        <v>-1.4585865601667015E-2</v>
      </c>
      <c r="E4482" s="156">
        <v>-1.9468427289656337E-2</v>
      </c>
      <c r="G4482" s="156"/>
    </row>
    <row r="4483" spans="2:7" x14ac:dyDescent="0.2">
      <c r="B4483" s="230">
        <v>39388</v>
      </c>
      <c r="C4483" s="124">
        <v>58.04</v>
      </c>
      <c r="D4483" s="156">
        <f t="shared" si="71"/>
        <v>2.2731277533039631E-2</v>
      </c>
      <c r="E4483" s="156">
        <v>-1.9469331495520374E-2</v>
      </c>
      <c r="G4483" s="156"/>
    </row>
    <row r="4484" spans="2:7" x14ac:dyDescent="0.2">
      <c r="B4484" s="230">
        <v>39387</v>
      </c>
      <c r="C4484" s="124">
        <v>56.91</v>
      </c>
      <c r="D4484" s="156">
        <f t="shared" si="71"/>
        <v>-1.9469331495520374E-2</v>
      </c>
      <c r="E4484" s="156">
        <v>-1.9486778689592334E-2</v>
      </c>
      <c r="G4484" s="156"/>
    </row>
    <row r="4485" spans="2:7" x14ac:dyDescent="0.2">
      <c r="B4485" s="230">
        <v>39386</v>
      </c>
      <c r="C4485" s="124">
        <v>59.3</v>
      </c>
      <c r="D4485" s="156">
        <f t="shared" si="71"/>
        <v>4.1996134247056768E-2</v>
      </c>
      <c r="E4485" s="156">
        <v>-1.9513706055443565E-2</v>
      </c>
      <c r="G4485" s="156"/>
    </row>
    <row r="4486" spans="2:7" x14ac:dyDescent="0.2">
      <c r="B4486" s="230">
        <v>39385</v>
      </c>
      <c r="C4486" s="124">
        <v>59.52</v>
      </c>
      <c r="D4486" s="156">
        <f t="shared" si="71"/>
        <v>3.7099494097808765E-3</v>
      </c>
      <c r="E4486" s="156">
        <v>-1.9519242591909399E-2</v>
      </c>
      <c r="G4486" s="156"/>
    </row>
    <row r="4487" spans="2:7" x14ac:dyDescent="0.2">
      <c r="B4487" s="230">
        <v>39384</v>
      </c>
      <c r="C4487" s="124">
        <v>60.53</v>
      </c>
      <c r="D4487" s="156">
        <f t="shared" si="71"/>
        <v>1.696908602150534E-2</v>
      </c>
      <c r="E4487" s="156">
        <v>-1.9579554822753503E-2</v>
      </c>
      <c r="G4487" s="156"/>
    </row>
    <row r="4488" spans="2:7" x14ac:dyDescent="0.2">
      <c r="B4488" s="230">
        <v>39381</v>
      </c>
      <c r="C4488" s="124">
        <v>59.75</v>
      </c>
      <c r="D4488" s="156">
        <f t="shared" si="71"/>
        <v>-1.2886172146043302E-2</v>
      </c>
      <c r="E4488" s="156">
        <v>-1.9643889944641807E-2</v>
      </c>
      <c r="G4488" s="156"/>
    </row>
    <row r="4489" spans="2:7" x14ac:dyDescent="0.2">
      <c r="B4489" s="230">
        <v>39380</v>
      </c>
      <c r="C4489" s="124">
        <v>60.63</v>
      </c>
      <c r="D4489" s="156">
        <f t="shared" si="71"/>
        <v>1.472803347280339E-2</v>
      </c>
      <c r="E4489" s="156">
        <v>-1.9662111514732149E-2</v>
      </c>
      <c r="G4489" s="156"/>
    </row>
    <row r="4490" spans="2:7" x14ac:dyDescent="0.2">
      <c r="B4490" s="230">
        <v>39379</v>
      </c>
      <c r="C4490" s="124">
        <v>61.09</v>
      </c>
      <c r="D4490" s="156">
        <f t="shared" si="71"/>
        <v>7.5870031337621777E-3</v>
      </c>
      <c r="E4490" s="156">
        <v>-1.967288643169781E-2</v>
      </c>
      <c r="G4490" s="156"/>
    </row>
    <row r="4491" spans="2:7" x14ac:dyDescent="0.2">
      <c r="B4491" s="230">
        <v>39378</v>
      </c>
      <c r="C4491" s="124">
        <v>61.42</v>
      </c>
      <c r="D4491" s="156">
        <f t="shared" si="71"/>
        <v>5.4018660991978764E-3</v>
      </c>
      <c r="E4491" s="156">
        <v>-1.9683248563040229E-2</v>
      </c>
      <c r="G4491" s="156"/>
    </row>
    <row r="4492" spans="2:7" x14ac:dyDescent="0.2">
      <c r="B4492" s="230">
        <v>39377</v>
      </c>
      <c r="C4492" s="124">
        <v>58.79</v>
      </c>
      <c r="D4492" s="156">
        <f t="shared" si="71"/>
        <v>-4.2819928362097075E-2</v>
      </c>
      <c r="E4492" s="156">
        <v>-1.9694297472075219E-2</v>
      </c>
      <c r="G4492" s="156"/>
    </row>
    <row r="4493" spans="2:7" x14ac:dyDescent="0.2">
      <c r="B4493" s="230">
        <v>39374</v>
      </c>
      <c r="C4493" s="124">
        <v>58.39</v>
      </c>
      <c r="D4493" s="156">
        <f t="shared" si="71"/>
        <v>-6.8038782105800067E-3</v>
      </c>
      <c r="E4493" s="156">
        <v>-1.9701737583800762E-2</v>
      </c>
      <c r="G4493" s="156"/>
    </row>
    <row r="4494" spans="2:7" x14ac:dyDescent="0.2">
      <c r="B4494" s="230">
        <v>39373</v>
      </c>
      <c r="C4494" s="124">
        <v>60.74</v>
      </c>
      <c r="D4494" s="156">
        <f t="shared" si="71"/>
        <v>4.0246617571501997E-2</v>
      </c>
      <c r="E4494" s="156">
        <v>-1.9785954146836416E-2</v>
      </c>
      <c r="G4494" s="156"/>
    </row>
    <row r="4495" spans="2:7" x14ac:dyDescent="0.2">
      <c r="B4495" s="230">
        <v>39372</v>
      </c>
      <c r="C4495" s="124">
        <v>61.16</v>
      </c>
      <c r="D4495" s="156">
        <f t="shared" si="71"/>
        <v>6.9147184721764007E-3</v>
      </c>
      <c r="E4495" s="156">
        <v>-1.9795252763181757E-2</v>
      </c>
      <c r="G4495" s="156"/>
    </row>
    <row r="4496" spans="2:7" x14ac:dyDescent="0.2">
      <c r="B4496" s="230">
        <v>39371</v>
      </c>
      <c r="C4496" s="124">
        <v>61.7</v>
      </c>
      <c r="D4496" s="156">
        <f t="shared" si="71"/>
        <v>8.829300196206773E-3</v>
      </c>
      <c r="E4496" s="156">
        <v>-1.9822639540949313E-2</v>
      </c>
      <c r="G4496" s="156"/>
    </row>
    <row r="4497" spans="2:7" x14ac:dyDescent="0.2">
      <c r="B4497" s="230">
        <v>39370</v>
      </c>
      <c r="C4497" s="124">
        <v>62.04</v>
      </c>
      <c r="D4497" s="156">
        <f t="shared" si="71"/>
        <v>5.5105348460291132E-3</v>
      </c>
      <c r="E4497" s="156">
        <v>-1.9824570298636095E-2</v>
      </c>
      <c r="G4497" s="156"/>
    </row>
    <row r="4498" spans="2:7" x14ac:dyDescent="0.2">
      <c r="B4498" s="230">
        <v>39367</v>
      </c>
      <c r="C4498" s="124">
        <v>61.46</v>
      </c>
      <c r="D4498" s="156">
        <f t="shared" si="71"/>
        <v>-9.34880722114762E-3</v>
      </c>
      <c r="E4498" s="156">
        <v>-1.9867549668874173E-2</v>
      </c>
      <c r="G4498" s="156"/>
    </row>
    <row r="4499" spans="2:7" x14ac:dyDescent="0.2">
      <c r="B4499" s="230">
        <v>39366</v>
      </c>
      <c r="C4499" s="124">
        <v>62.83</v>
      </c>
      <c r="D4499" s="156">
        <f t="shared" si="71"/>
        <v>2.2290920924178285E-2</v>
      </c>
      <c r="E4499" s="156">
        <v>-1.9872958257713229E-2</v>
      </c>
      <c r="G4499" s="156"/>
    </row>
    <row r="4500" spans="2:7" x14ac:dyDescent="0.2">
      <c r="B4500" s="230">
        <v>39365</v>
      </c>
      <c r="C4500" s="124">
        <v>61.03</v>
      </c>
      <c r="D4500" s="156">
        <f t="shared" si="71"/>
        <v>-2.8648734680884882E-2</v>
      </c>
      <c r="E4500" s="156">
        <v>-1.9898638391293268E-2</v>
      </c>
      <c r="G4500" s="156"/>
    </row>
    <row r="4501" spans="2:7" x14ac:dyDescent="0.2">
      <c r="B4501" s="230">
        <v>39364</v>
      </c>
      <c r="C4501" s="124">
        <v>61.29</v>
      </c>
      <c r="D4501" s="156">
        <f t="shared" si="71"/>
        <v>4.2601999016876621E-3</v>
      </c>
      <c r="E4501" s="156">
        <v>-1.9944768333844832E-2</v>
      </c>
      <c r="G4501" s="156"/>
    </row>
    <row r="4502" spans="2:7" x14ac:dyDescent="0.2">
      <c r="B4502" s="230">
        <v>39363</v>
      </c>
      <c r="C4502" s="124">
        <v>59.05</v>
      </c>
      <c r="D4502" s="156">
        <f t="shared" si="71"/>
        <v>-3.65475607766357E-2</v>
      </c>
      <c r="E4502" s="156">
        <v>-1.9961203929666466E-2</v>
      </c>
      <c r="G4502" s="156"/>
    </row>
    <row r="4503" spans="2:7" x14ac:dyDescent="0.2">
      <c r="B4503" s="230">
        <v>39360</v>
      </c>
      <c r="C4503" s="124">
        <v>59.25</v>
      </c>
      <c r="D4503" s="156">
        <f t="shared" si="71"/>
        <v>3.3869602032176606E-3</v>
      </c>
      <c r="E4503" s="156">
        <v>-1.9990032670690591E-2</v>
      </c>
      <c r="G4503" s="156"/>
    </row>
    <row r="4504" spans="2:7" x14ac:dyDescent="0.2">
      <c r="B4504" s="230">
        <v>39359</v>
      </c>
      <c r="C4504" s="124">
        <v>61.47</v>
      </c>
      <c r="D4504" s="156">
        <f t="shared" si="71"/>
        <v>3.7468354430379727E-2</v>
      </c>
      <c r="E4504" s="156">
        <v>-2.001496445940891E-2</v>
      </c>
      <c r="G4504" s="156"/>
    </row>
    <row r="4505" spans="2:7" x14ac:dyDescent="0.2">
      <c r="B4505" s="230">
        <v>39358</v>
      </c>
      <c r="C4505" s="124">
        <v>62.12</v>
      </c>
      <c r="D4505" s="156">
        <f t="shared" si="71"/>
        <v>1.0574263868553743E-2</v>
      </c>
      <c r="E4505" s="156">
        <v>-2.0016643051525937E-2</v>
      </c>
      <c r="G4505" s="156"/>
    </row>
    <row r="4506" spans="2:7" x14ac:dyDescent="0.2">
      <c r="B4506" s="230">
        <v>39356</v>
      </c>
      <c r="C4506" s="124">
        <v>61.62</v>
      </c>
      <c r="D4506" s="156">
        <f t="shared" si="71"/>
        <v>-8.0489375402446883E-3</v>
      </c>
      <c r="E4506" s="156">
        <v>-2.0023927964234033E-2</v>
      </c>
      <c r="G4506" s="156"/>
    </row>
    <row r="4507" spans="2:7" x14ac:dyDescent="0.2">
      <c r="B4507" s="230">
        <v>39353</v>
      </c>
      <c r="C4507" s="124">
        <v>62.91</v>
      </c>
      <c r="D4507" s="156">
        <f t="shared" si="71"/>
        <v>2.0934761441090542E-2</v>
      </c>
      <c r="E4507" s="156">
        <v>-2.0028039254956938E-2</v>
      </c>
      <c r="G4507" s="156"/>
    </row>
    <row r="4508" spans="2:7" x14ac:dyDescent="0.2">
      <c r="B4508" s="230">
        <v>39352</v>
      </c>
      <c r="C4508" s="124">
        <v>61.47</v>
      </c>
      <c r="D4508" s="156">
        <f t="shared" si="71"/>
        <v>-2.2889842632331868E-2</v>
      </c>
      <c r="E4508" s="156">
        <v>-2.0044191919191857E-2</v>
      </c>
      <c r="G4508" s="156"/>
    </row>
    <row r="4509" spans="2:7" x14ac:dyDescent="0.2">
      <c r="B4509" s="230">
        <v>39351</v>
      </c>
      <c r="C4509" s="124">
        <v>61.17</v>
      </c>
      <c r="D4509" s="156">
        <f t="shared" si="71"/>
        <v>-4.880429477794E-3</v>
      </c>
      <c r="E4509" s="156">
        <v>-2.0079681274900434E-2</v>
      </c>
      <c r="G4509" s="156"/>
    </row>
    <row r="4510" spans="2:7" x14ac:dyDescent="0.2">
      <c r="B4510" s="230">
        <v>39350</v>
      </c>
      <c r="C4510" s="124">
        <v>62.04</v>
      </c>
      <c r="D4510" s="156">
        <f t="shared" si="71"/>
        <v>1.4222658165767491E-2</v>
      </c>
      <c r="E4510" s="156">
        <v>-2.0104654365188684E-2</v>
      </c>
      <c r="G4510" s="156"/>
    </row>
    <row r="4511" spans="2:7" x14ac:dyDescent="0.2">
      <c r="B4511" s="230">
        <v>39349</v>
      </c>
      <c r="C4511" s="124">
        <v>62.2</v>
      </c>
      <c r="D4511" s="156">
        <f t="shared" si="71"/>
        <v>2.5789813023856171E-3</v>
      </c>
      <c r="E4511" s="156">
        <v>-2.0109126111062189E-2</v>
      </c>
      <c r="G4511" s="156"/>
    </row>
    <row r="4512" spans="2:7" x14ac:dyDescent="0.2">
      <c r="B4512" s="230">
        <v>39346</v>
      </c>
      <c r="C4512" s="124">
        <v>63.28</v>
      </c>
      <c r="D4512" s="156">
        <f t="shared" si="71"/>
        <v>1.7363344051446915E-2</v>
      </c>
      <c r="E4512" s="156">
        <v>-2.0191470844212397E-2</v>
      </c>
      <c r="G4512" s="156"/>
    </row>
    <row r="4513" spans="2:7" x14ac:dyDescent="0.2">
      <c r="B4513" s="230">
        <v>39345</v>
      </c>
      <c r="C4513" s="124">
        <v>64.34</v>
      </c>
      <c r="D4513" s="156">
        <f t="shared" si="71"/>
        <v>1.6750948166877406E-2</v>
      </c>
      <c r="E4513" s="156">
        <v>-2.0205697642668597E-2</v>
      </c>
      <c r="G4513" s="156"/>
    </row>
    <row r="4514" spans="2:7" x14ac:dyDescent="0.2">
      <c r="B4514" s="230">
        <v>39344</v>
      </c>
      <c r="C4514" s="124">
        <v>62.1</v>
      </c>
      <c r="D4514" s="156">
        <f t="shared" si="71"/>
        <v>-3.4815045073049451E-2</v>
      </c>
      <c r="E4514" s="156">
        <v>-2.0229022862386759E-2</v>
      </c>
      <c r="G4514" s="156"/>
    </row>
    <row r="4515" spans="2:7" x14ac:dyDescent="0.2">
      <c r="B4515" s="230">
        <v>39343</v>
      </c>
      <c r="C4515" s="124">
        <v>59.75</v>
      </c>
      <c r="D4515" s="156">
        <f t="shared" si="71"/>
        <v>-3.7842190016103082E-2</v>
      </c>
      <c r="E4515" s="156">
        <v>-2.0238493257550394E-2</v>
      </c>
      <c r="G4515" s="156"/>
    </row>
    <row r="4516" spans="2:7" x14ac:dyDescent="0.2">
      <c r="B4516" s="230">
        <v>39342</v>
      </c>
      <c r="C4516" s="124">
        <v>59.95</v>
      </c>
      <c r="D4516" s="156">
        <f t="shared" si="71"/>
        <v>3.347280334728081E-3</v>
      </c>
      <c r="E4516" s="156">
        <v>-2.0266089108910926E-2</v>
      </c>
      <c r="G4516" s="156"/>
    </row>
    <row r="4517" spans="2:7" x14ac:dyDescent="0.2">
      <c r="B4517" s="230">
        <v>39339</v>
      </c>
      <c r="C4517" s="124">
        <v>59.98</v>
      </c>
      <c r="D4517" s="156">
        <f t="shared" si="71"/>
        <v>5.004170141783825E-4</v>
      </c>
      <c r="E4517" s="156">
        <v>-2.0368077202271705E-2</v>
      </c>
      <c r="G4517" s="156"/>
    </row>
    <row r="4518" spans="2:7" x14ac:dyDescent="0.2">
      <c r="B4518" s="230">
        <v>39338</v>
      </c>
      <c r="C4518" s="124">
        <v>59.33</v>
      </c>
      <c r="D4518" s="156">
        <f t="shared" si="71"/>
        <v>-1.0836945648549494E-2</v>
      </c>
      <c r="E4518" s="156">
        <v>-2.0464263897373294E-2</v>
      </c>
      <c r="G4518" s="156"/>
    </row>
    <row r="4519" spans="2:7" x14ac:dyDescent="0.2">
      <c r="B4519" s="230">
        <v>39337</v>
      </c>
      <c r="C4519" s="124">
        <v>59.63</v>
      </c>
      <c r="D4519" s="156">
        <f t="shared" si="71"/>
        <v>5.0564638462835708E-3</v>
      </c>
      <c r="E4519" s="156">
        <v>-2.0464931452414091E-2</v>
      </c>
      <c r="G4519" s="156"/>
    </row>
    <row r="4520" spans="2:7" x14ac:dyDescent="0.2">
      <c r="B4520" s="230">
        <v>39336</v>
      </c>
      <c r="C4520" s="124">
        <v>60.94</v>
      </c>
      <c r="D4520" s="156">
        <f t="shared" si="71"/>
        <v>2.196880764715739E-2</v>
      </c>
      <c r="E4520" s="156">
        <v>-2.048962213943584E-2</v>
      </c>
      <c r="G4520" s="156"/>
    </row>
    <row r="4521" spans="2:7" x14ac:dyDescent="0.2">
      <c r="B4521" s="230">
        <v>39335</v>
      </c>
      <c r="C4521" s="124">
        <v>61.22</v>
      </c>
      <c r="D4521" s="156">
        <f t="shared" si="71"/>
        <v>4.5946832950443245E-3</v>
      </c>
      <c r="E4521" s="156">
        <v>-2.0504731861198694E-2</v>
      </c>
      <c r="G4521" s="156"/>
    </row>
    <row r="4522" spans="2:7" x14ac:dyDescent="0.2">
      <c r="B4522" s="230">
        <v>39332</v>
      </c>
      <c r="C4522" s="124">
        <v>58.94</v>
      </c>
      <c r="D4522" s="156">
        <f t="shared" si="71"/>
        <v>-3.7242731133616487E-2</v>
      </c>
      <c r="E4522" s="156">
        <v>-2.0524616269297059E-2</v>
      </c>
      <c r="G4522" s="156"/>
    </row>
    <row r="4523" spans="2:7" x14ac:dyDescent="0.2">
      <c r="B4523" s="230">
        <v>39331</v>
      </c>
      <c r="C4523" s="124">
        <v>57.99</v>
      </c>
      <c r="D4523" s="156">
        <f t="shared" si="71"/>
        <v>-1.6118086189345026E-2</v>
      </c>
      <c r="E4523" s="156">
        <v>-2.0590461771385307E-2</v>
      </c>
      <c r="G4523" s="156"/>
    </row>
    <row r="4524" spans="2:7" x14ac:dyDescent="0.2">
      <c r="B4524" s="230">
        <v>39330</v>
      </c>
      <c r="C4524" s="124">
        <v>57.03</v>
      </c>
      <c r="D4524" s="156">
        <f t="shared" si="71"/>
        <v>-1.655457837558201E-2</v>
      </c>
      <c r="E4524" s="156">
        <v>-2.0627417275461937E-2</v>
      </c>
      <c r="G4524" s="156"/>
    </row>
    <row r="4525" spans="2:7" x14ac:dyDescent="0.2">
      <c r="B4525" s="230">
        <v>39329</v>
      </c>
      <c r="C4525" s="124">
        <v>57.26</v>
      </c>
      <c r="D4525" s="156">
        <f t="shared" si="71"/>
        <v>4.0329651060844619E-3</v>
      </c>
      <c r="E4525" s="156">
        <v>-2.063393412057174E-2</v>
      </c>
      <c r="G4525" s="156"/>
    </row>
    <row r="4526" spans="2:7" x14ac:dyDescent="0.2">
      <c r="B4526" s="230">
        <v>39328</v>
      </c>
      <c r="C4526" s="124">
        <v>57.61</v>
      </c>
      <c r="D4526" s="156">
        <f t="shared" si="71"/>
        <v>6.1124694376528364E-3</v>
      </c>
      <c r="E4526" s="156">
        <v>-2.0642201834862414E-2</v>
      </c>
      <c r="G4526" s="156"/>
    </row>
    <row r="4527" spans="2:7" x14ac:dyDescent="0.2">
      <c r="B4527" s="230">
        <v>39325</v>
      </c>
      <c r="C4527" s="124">
        <v>56.62</v>
      </c>
      <c r="D4527" s="156">
        <f t="shared" si="71"/>
        <v>-1.7184516576983198E-2</v>
      </c>
      <c r="E4527" s="156">
        <v>-2.0653133274492579E-2</v>
      </c>
      <c r="G4527" s="156"/>
    </row>
    <row r="4528" spans="2:7" x14ac:dyDescent="0.2">
      <c r="B4528" s="230">
        <v>39324</v>
      </c>
      <c r="C4528" s="124">
        <v>56.88</v>
      </c>
      <c r="D4528" s="156">
        <f t="shared" si="71"/>
        <v>4.5920169551396176E-3</v>
      </c>
      <c r="E4528" s="156">
        <v>-2.0677628300946573E-2</v>
      </c>
      <c r="G4528" s="156"/>
    </row>
    <row r="4529" spans="2:7" x14ac:dyDescent="0.2">
      <c r="B4529" s="230">
        <v>39323</v>
      </c>
      <c r="C4529" s="124">
        <v>55.87</v>
      </c>
      <c r="D4529" s="156">
        <f t="shared" si="71"/>
        <v>-1.7756680731364365E-2</v>
      </c>
      <c r="E4529" s="156">
        <v>-2.0684560453090455E-2</v>
      </c>
      <c r="G4529" s="156"/>
    </row>
    <row r="4530" spans="2:7" x14ac:dyDescent="0.2">
      <c r="B4530" s="230">
        <v>39322</v>
      </c>
      <c r="C4530" s="124">
        <v>55.51</v>
      </c>
      <c r="D4530" s="156">
        <f t="shared" si="71"/>
        <v>-6.4435296223375599E-3</v>
      </c>
      <c r="E4530" s="156">
        <v>-2.069281945400317E-2</v>
      </c>
      <c r="G4530" s="156"/>
    </row>
    <row r="4531" spans="2:7" x14ac:dyDescent="0.2">
      <c r="B4531" s="230">
        <v>39321</v>
      </c>
      <c r="C4531" s="124">
        <v>54.73</v>
      </c>
      <c r="D4531" s="156">
        <f t="shared" si="71"/>
        <v>-1.4051522248243581E-2</v>
      </c>
      <c r="E4531" s="156">
        <v>-2.0695433598659396E-2</v>
      </c>
      <c r="G4531" s="156"/>
    </row>
    <row r="4532" spans="2:7" x14ac:dyDescent="0.2">
      <c r="B4532" s="230">
        <v>39318</v>
      </c>
      <c r="C4532" s="124">
        <v>53.58</v>
      </c>
      <c r="D4532" s="156">
        <f t="shared" si="71"/>
        <v>-2.1012241914854717E-2</v>
      </c>
      <c r="E4532" s="156">
        <v>-2.0714773503300629E-2</v>
      </c>
      <c r="G4532" s="156"/>
    </row>
    <row r="4533" spans="2:7" x14ac:dyDescent="0.2">
      <c r="B4533" s="230">
        <v>39317</v>
      </c>
      <c r="C4533" s="124">
        <v>53.17</v>
      </c>
      <c r="D4533" s="156">
        <f t="shared" si="71"/>
        <v>-7.6521089958939267E-3</v>
      </c>
      <c r="E4533" s="156">
        <v>-2.0777691320897552E-2</v>
      </c>
      <c r="G4533" s="156"/>
    </row>
    <row r="4534" spans="2:7" x14ac:dyDescent="0.2">
      <c r="B4534" s="230">
        <v>39316</v>
      </c>
      <c r="C4534" s="124">
        <v>52.46</v>
      </c>
      <c r="D4534" s="156">
        <f t="shared" si="71"/>
        <v>-1.3353394771487696E-2</v>
      </c>
      <c r="E4534" s="156">
        <v>-2.0798822013620384E-2</v>
      </c>
      <c r="G4534" s="156"/>
    </row>
    <row r="4535" spans="2:7" x14ac:dyDescent="0.2">
      <c r="B4535" s="230">
        <v>39315</v>
      </c>
      <c r="C4535" s="124">
        <v>50.45</v>
      </c>
      <c r="D4535" s="156">
        <f t="shared" si="71"/>
        <v>-3.8314906595501297E-2</v>
      </c>
      <c r="E4535" s="156">
        <v>-2.0840569642236888E-2</v>
      </c>
      <c r="G4535" s="156"/>
    </row>
    <row r="4536" spans="2:7" x14ac:dyDescent="0.2">
      <c r="B4536" s="230">
        <v>39314</v>
      </c>
      <c r="C4536" s="124">
        <v>51.81</v>
      </c>
      <c r="D4536" s="156">
        <f t="shared" si="71"/>
        <v>2.6957383548067381E-2</v>
      </c>
      <c r="E4536" s="156">
        <v>-2.0872865275142358E-2</v>
      </c>
      <c r="G4536" s="156"/>
    </row>
    <row r="4537" spans="2:7" x14ac:dyDescent="0.2">
      <c r="B4537" s="230">
        <v>39311</v>
      </c>
      <c r="C4537" s="124">
        <v>50.9</v>
      </c>
      <c r="D4537" s="156">
        <f t="shared" si="71"/>
        <v>-1.7564176799845659E-2</v>
      </c>
      <c r="E4537" s="156">
        <v>-2.0892047543193216E-2</v>
      </c>
      <c r="G4537" s="156"/>
    </row>
    <row r="4538" spans="2:7" x14ac:dyDescent="0.2">
      <c r="B4538" s="230">
        <v>39310</v>
      </c>
      <c r="C4538" s="124">
        <v>52.24</v>
      </c>
      <c r="D4538" s="156">
        <f t="shared" si="71"/>
        <v>2.6326129666011857E-2</v>
      </c>
      <c r="E4538" s="156">
        <v>-2.0938628158844737E-2</v>
      </c>
      <c r="G4538" s="156"/>
    </row>
    <row r="4539" spans="2:7" x14ac:dyDescent="0.2">
      <c r="B4539" s="230">
        <v>39308</v>
      </c>
      <c r="C4539" s="124">
        <v>54.69</v>
      </c>
      <c r="D4539" s="156">
        <f t="shared" si="71"/>
        <v>4.6898928024502212E-2</v>
      </c>
      <c r="E4539" s="156">
        <v>-2.0949944026867139E-2</v>
      </c>
      <c r="G4539" s="156"/>
    </row>
    <row r="4540" spans="2:7" x14ac:dyDescent="0.2">
      <c r="B4540" s="230">
        <v>39307</v>
      </c>
      <c r="C4540" s="124">
        <v>54.63</v>
      </c>
      <c r="D4540" s="156">
        <f t="shared" si="71"/>
        <v>-1.097092704333428E-3</v>
      </c>
      <c r="E4540" s="156">
        <v>-2.0967051775780818E-2</v>
      </c>
      <c r="G4540" s="156"/>
    </row>
    <row r="4541" spans="2:7" x14ac:dyDescent="0.2">
      <c r="B4541" s="230">
        <v>39304</v>
      </c>
      <c r="C4541" s="124">
        <v>54.16</v>
      </c>
      <c r="D4541" s="156">
        <f t="shared" si="71"/>
        <v>-8.6033315028373782E-3</v>
      </c>
      <c r="E4541" s="156">
        <v>-2.0967431104259002E-2</v>
      </c>
      <c r="G4541" s="156"/>
    </row>
    <row r="4542" spans="2:7" x14ac:dyDescent="0.2">
      <c r="B4542" s="230">
        <v>39303</v>
      </c>
      <c r="C4542" s="124">
        <v>54.35</v>
      </c>
      <c r="D4542" s="156">
        <f t="shared" ref="D4542:D4605" si="72">(C4542-C4541)/C4541</f>
        <v>3.5081240768095427E-3</v>
      </c>
      <c r="E4542" s="156">
        <v>-2.1008768122232849E-2</v>
      </c>
      <c r="G4542" s="156"/>
    </row>
    <row r="4543" spans="2:7" x14ac:dyDescent="0.2">
      <c r="B4543" s="230">
        <v>39302</v>
      </c>
      <c r="C4543" s="124">
        <v>55.49</v>
      </c>
      <c r="D4543" s="156">
        <f t="shared" si="72"/>
        <v>2.0975160993560268E-2</v>
      </c>
      <c r="E4543" s="156">
        <v>-2.1012241914854717E-2</v>
      </c>
      <c r="G4543" s="156"/>
    </row>
    <row r="4544" spans="2:7" x14ac:dyDescent="0.2">
      <c r="B4544" s="230">
        <v>39301</v>
      </c>
      <c r="C4544" s="124">
        <v>55.34</v>
      </c>
      <c r="D4544" s="156">
        <f t="shared" si="72"/>
        <v>-2.7031897639214018E-3</v>
      </c>
      <c r="E4544" s="156">
        <v>-2.1021021021021023E-2</v>
      </c>
      <c r="G4544" s="156"/>
    </row>
    <row r="4545" spans="2:7" x14ac:dyDescent="0.2">
      <c r="B4545" s="230">
        <v>39300</v>
      </c>
      <c r="C4545" s="124">
        <v>57.2</v>
      </c>
      <c r="D4545" s="156">
        <f t="shared" si="72"/>
        <v>3.361040838453197E-2</v>
      </c>
      <c r="E4545" s="156">
        <v>-2.1085146387322087E-2</v>
      </c>
      <c r="G4545" s="156"/>
    </row>
    <row r="4546" spans="2:7" x14ac:dyDescent="0.2">
      <c r="B4546" s="230">
        <v>39297</v>
      </c>
      <c r="C4546" s="124">
        <v>56.27</v>
      </c>
      <c r="D4546" s="156">
        <f t="shared" si="72"/>
        <v>-1.6258741258741254E-2</v>
      </c>
      <c r="E4546" s="156">
        <v>-2.110462505612927E-2</v>
      </c>
      <c r="G4546" s="156"/>
    </row>
    <row r="4547" spans="2:7" x14ac:dyDescent="0.2">
      <c r="B4547" s="230">
        <v>39296</v>
      </c>
      <c r="C4547" s="124">
        <v>55.62</v>
      </c>
      <c r="D4547" s="156">
        <f t="shared" si="72"/>
        <v>-1.1551448373911598E-2</v>
      </c>
      <c r="E4547" s="156">
        <v>-2.1141036779611908E-2</v>
      </c>
      <c r="G4547" s="156"/>
    </row>
    <row r="4548" spans="2:7" x14ac:dyDescent="0.2">
      <c r="B4548" s="230">
        <v>39295</v>
      </c>
      <c r="C4548" s="124">
        <v>55.37</v>
      </c>
      <c r="D4548" s="156">
        <f t="shared" si="72"/>
        <v>-4.4947860481841066E-3</v>
      </c>
      <c r="E4548" s="156">
        <v>-2.1164021164021232E-2</v>
      </c>
      <c r="G4548" s="156"/>
    </row>
    <row r="4549" spans="2:7" x14ac:dyDescent="0.2">
      <c r="B4549" s="230">
        <v>39294</v>
      </c>
      <c r="C4549" s="124">
        <v>56.68</v>
      </c>
      <c r="D4549" s="156">
        <f t="shared" si="72"/>
        <v>2.3659021130576167E-2</v>
      </c>
      <c r="E4549" s="156">
        <v>-2.1177685950413146E-2</v>
      </c>
      <c r="G4549" s="156"/>
    </row>
    <row r="4550" spans="2:7" x14ac:dyDescent="0.2">
      <c r="B4550" s="230">
        <v>39293</v>
      </c>
      <c r="C4550" s="124">
        <v>55.51</v>
      </c>
      <c r="D4550" s="156">
        <f t="shared" si="72"/>
        <v>-2.0642201834862414E-2</v>
      </c>
      <c r="E4550" s="156">
        <v>-2.1263289555972474E-2</v>
      </c>
      <c r="G4550" s="156"/>
    </row>
    <row r="4551" spans="2:7" x14ac:dyDescent="0.2">
      <c r="B4551" s="230">
        <v>39290</v>
      </c>
      <c r="C4551" s="124">
        <v>57.15</v>
      </c>
      <c r="D4551" s="156">
        <f t="shared" si="72"/>
        <v>2.9544226265537751E-2</v>
      </c>
      <c r="E4551" s="156">
        <v>-2.1280400572246151E-2</v>
      </c>
      <c r="G4551" s="156"/>
    </row>
    <row r="4552" spans="2:7" x14ac:dyDescent="0.2">
      <c r="B4552" s="230">
        <v>39289</v>
      </c>
      <c r="C4552" s="124">
        <v>55.59</v>
      </c>
      <c r="D4552" s="156">
        <f t="shared" si="72"/>
        <v>-2.7296587926509103E-2</v>
      </c>
      <c r="E4552" s="156">
        <v>-2.1280602636534755E-2</v>
      </c>
      <c r="G4552" s="156"/>
    </row>
    <row r="4553" spans="2:7" x14ac:dyDescent="0.2">
      <c r="B4553" s="230">
        <v>39288</v>
      </c>
      <c r="C4553" s="124">
        <v>54.99</v>
      </c>
      <c r="D4553" s="156">
        <f t="shared" si="72"/>
        <v>-1.0793308148947677E-2</v>
      </c>
      <c r="E4553" s="156">
        <v>-2.1299574008519728E-2</v>
      </c>
      <c r="G4553" s="156"/>
    </row>
    <row r="4554" spans="2:7" x14ac:dyDescent="0.2">
      <c r="B4554" s="230">
        <v>39287</v>
      </c>
      <c r="C4554" s="124">
        <v>50.45</v>
      </c>
      <c r="D4554" s="156">
        <f t="shared" si="72"/>
        <v>-8.2560465539188929E-2</v>
      </c>
      <c r="E4554" s="156">
        <v>-2.1332647947053866E-2</v>
      </c>
      <c r="G4554" s="156"/>
    </row>
    <row r="4555" spans="2:7" x14ac:dyDescent="0.2">
      <c r="B4555" s="230">
        <v>39286</v>
      </c>
      <c r="C4555" s="124">
        <v>50.92</v>
      </c>
      <c r="D4555" s="156">
        <f t="shared" si="72"/>
        <v>9.3161546085232666E-3</v>
      </c>
      <c r="E4555" s="156">
        <v>-2.1350283176465833E-2</v>
      </c>
      <c r="G4555" s="156"/>
    </row>
    <row r="4556" spans="2:7" x14ac:dyDescent="0.2">
      <c r="B4556" s="230">
        <v>39283</v>
      </c>
      <c r="C4556" s="124">
        <v>51.18</v>
      </c>
      <c r="D4556" s="156">
        <f t="shared" si="72"/>
        <v>5.1060487038491363E-3</v>
      </c>
      <c r="E4556" s="156">
        <v>-2.1368359145265563E-2</v>
      </c>
      <c r="G4556" s="156"/>
    </row>
    <row r="4557" spans="2:7" x14ac:dyDescent="0.2">
      <c r="B4557" s="230">
        <v>39282</v>
      </c>
      <c r="C4557" s="124">
        <v>51.03</v>
      </c>
      <c r="D4557" s="156">
        <f t="shared" si="72"/>
        <v>-2.9308323563891868E-3</v>
      </c>
      <c r="E4557" s="156">
        <v>-2.1370903910083901E-2</v>
      </c>
      <c r="G4557" s="156"/>
    </row>
    <row r="4558" spans="2:7" x14ac:dyDescent="0.2">
      <c r="B4558" s="230">
        <v>39281</v>
      </c>
      <c r="C4558" s="124">
        <v>51.08</v>
      </c>
      <c r="D4558" s="156">
        <f t="shared" si="72"/>
        <v>9.7981579463055383E-4</v>
      </c>
      <c r="E4558" s="156">
        <v>-2.1412471825694925E-2</v>
      </c>
      <c r="G4558" s="156"/>
    </row>
    <row r="4559" spans="2:7" x14ac:dyDescent="0.2">
      <c r="B4559" s="230">
        <v>39280</v>
      </c>
      <c r="C4559" s="124">
        <v>51.61</v>
      </c>
      <c r="D4559" s="156">
        <f t="shared" si="72"/>
        <v>1.0375880971025864E-2</v>
      </c>
      <c r="E4559" s="156">
        <v>-2.1421990171990219E-2</v>
      </c>
      <c r="G4559" s="156"/>
    </row>
    <row r="4560" spans="2:7" x14ac:dyDescent="0.2">
      <c r="B4560" s="230">
        <v>39279</v>
      </c>
      <c r="C4560" s="124">
        <v>51.13</v>
      </c>
      <c r="D4560" s="156">
        <f t="shared" si="72"/>
        <v>-9.3005231544273769E-3</v>
      </c>
      <c r="E4560" s="156">
        <v>-2.1431374324609925E-2</v>
      </c>
      <c r="G4560" s="156"/>
    </row>
    <row r="4561" spans="2:7" x14ac:dyDescent="0.2">
      <c r="B4561" s="230">
        <v>39276</v>
      </c>
      <c r="C4561" s="124">
        <v>51.5</v>
      </c>
      <c r="D4561" s="156">
        <f t="shared" si="72"/>
        <v>7.2364560923136598E-3</v>
      </c>
      <c r="E4561" s="156">
        <v>-2.1509785647716613E-2</v>
      </c>
      <c r="G4561" s="156"/>
    </row>
    <row r="4562" spans="2:7" x14ac:dyDescent="0.2">
      <c r="B4562" s="230">
        <v>39275</v>
      </c>
      <c r="C4562" s="124">
        <v>50.68</v>
      </c>
      <c r="D4562" s="156">
        <f t="shared" si="72"/>
        <v>-1.5922330097087385E-2</v>
      </c>
      <c r="E4562" s="156">
        <v>-2.1514994585942249E-2</v>
      </c>
      <c r="G4562" s="156"/>
    </row>
    <row r="4563" spans="2:7" x14ac:dyDescent="0.2">
      <c r="B4563" s="230">
        <v>39274</v>
      </c>
      <c r="C4563" s="124">
        <v>50.57</v>
      </c>
      <c r="D4563" s="156">
        <f t="shared" si="72"/>
        <v>-2.1704814522493969E-3</v>
      </c>
      <c r="E4563" s="156">
        <v>-2.1595077505620668E-2</v>
      </c>
      <c r="G4563" s="156"/>
    </row>
    <row r="4564" spans="2:7" x14ac:dyDescent="0.2">
      <c r="B4564" s="230">
        <v>39273</v>
      </c>
      <c r="C4564" s="124">
        <v>50.95</v>
      </c>
      <c r="D4564" s="156">
        <f t="shared" si="72"/>
        <v>7.5143365631798013E-3</v>
      </c>
      <c r="E4564" s="156">
        <v>-2.159853569249548E-2</v>
      </c>
      <c r="G4564" s="156"/>
    </row>
    <row r="4565" spans="2:7" x14ac:dyDescent="0.2">
      <c r="B4565" s="230">
        <v>39272</v>
      </c>
      <c r="C4565" s="124">
        <v>51.59</v>
      </c>
      <c r="D4565" s="156">
        <f t="shared" si="72"/>
        <v>1.2561334641805703E-2</v>
      </c>
      <c r="E4565" s="156">
        <v>-2.1621621621621557E-2</v>
      </c>
      <c r="G4565" s="156"/>
    </row>
    <row r="4566" spans="2:7" x14ac:dyDescent="0.2">
      <c r="B4566" s="230">
        <v>39269</v>
      </c>
      <c r="C4566" s="124">
        <v>51.54</v>
      </c>
      <c r="D4566" s="156">
        <f t="shared" si="72"/>
        <v>-9.6918007365776819E-4</v>
      </c>
      <c r="E4566" s="156">
        <v>-2.1644370960468926E-2</v>
      </c>
      <c r="G4566" s="156"/>
    </row>
    <row r="4567" spans="2:7" x14ac:dyDescent="0.2">
      <c r="B4567" s="230">
        <v>39268</v>
      </c>
      <c r="C4567" s="124">
        <v>51.59</v>
      </c>
      <c r="D4567" s="156">
        <f t="shared" si="72"/>
        <v>9.7012029491665239E-4</v>
      </c>
      <c r="E4567" s="156">
        <v>-2.1692723048910734E-2</v>
      </c>
      <c r="G4567" s="156"/>
    </row>
    <row r="4568" spans="2:7" x14ac:dyDescent="0.2">
      <c r="B4568" s="230">
        <v>39267</v>
      </c>
      <c r="C4568" s="124">
        <v>52.36</v>
      </c>
      <c r="D4568" s="156">
        <f t="shared" si="72"/>
        <v>1.492537313432828E-2</v>
      </c>
      <c r="E4568" s="156">
        <v>-2.1695422452892011E-2</v>
      </c>
      <c r="G4568" s="156"/>
    </row>
    <row r="4569" spans="2:7" x14ac:dyDescent="0.2">
      <c r="B4569" s="230">
        <v>39266</v>
      </c>
      <c r="C4569" s="124">
        <v>51.83</v>
      </c>
      <c r="D4569" s="156">
        <f t="shared" si="72"/>
        <v>-1.0122230710466026E-2</v>
      </c>
      <c r="E4569" s="156">
        <v>-2.1739130434782539E-2</v>
      </c>
      <c r="G4569" s="156"/>
    </row>
    <row r="4570" spans="2:7" x14ac:dyDescent="0.2">
      <c r="B4570" s="230">
        <v>39265</v>
      </c>
      <c r="C4570" s="124">
        <v>51.05</v>
      </c>
      <c r="D4570" s="156">
        <f t="shared" si="72"/>
        <v>-1.5049199305421593E-2</v>
      </c>
      <c r="E4570" s="156">
        <v>-2.1752388696889589E-2</v>
      </c>
      <c r="G4570" s="156"/>
    </row>
    <row r="4571" spans="2:7" x14ac:dyDescent="0.2">
      <c r="B4571" s="230">
        <v>39262</v>
      </c>
      <c r="C4571" s="124">
        <v>51.28</v>
      </c>
      <c r="D4571" s="156">
        <f t="shared" si="72"/>
        <v>4.5053868756122235E-3</v>
      </c>
      <c r="E4571" s="156">
        <v>-2.1813073055309204E-2</v>
      </c>
      <c r="G4571" s="156"/>
    </row>
    <row r="4572" spans="2:7" x14ac:dyDescent="0.2">
      <c r="B4572" s="230">
        <v>39261</v>
      </c>
      <c r="C4572" s="124">
        <v>51.41</v>
      </c>
      <c r="D4572" s="156">
        <f t="shared" si="72"/>
        <v>2.5351014040560734E-3</v>
      </c>
      <c r="E4572" s="156">
        <v>-2.1821077780727293E-2</v>
      </c>
      <c r="G4572" s="156"/>
    </row>
    <row r="4573" spans="2:7" x14ac:dyDescent="0.2">
      <c r="B4573" s="230">
        <v>39260</v>
      </c>
      <c r="C4573" s="124">
        <v>50.92</v>
      </c>
      <c r="D4573" s="156">
        <f t="shared" si="72"/>
        <v>-9.5312196070802355E-3</v>
      </c>
      <c r="E4573" s="156">
        <v>-2.1839563208735778E-2</v>
      </c>
      <c r="G4573" s="156"/>
    </row>
    <row r="4574" spans="2:7" x14ac:dyDescent="0.2">
      <c r="B4574" s="230">
        <v>39259</v>
      </c>
      <c r="C4574" s="124">
        <v>51.1</v>
      </c>
      <c r="D4574" s="156">
        <f t="shared" si="72"/>
        <v>3.5349567949725003E-3</v>
      </c>
      <c r="E4574" s="156">
        <v>-2.1847389558232923E-2</v>
      </c>
      <c r="G4574" s="156"/>
    </row>
    <row r="4575" spans="2:7" x14ac:dyDescent="0.2">
      <c r="B4575" s="230">
        <v>39258</v>
      </c>
      <c r="C4575" s="124">
        <v>51.1</v>
      </c>
      <c r="D4575" s="156">
        <f t="shared" si="72"/>
        <v>0</v>
      </c>
      <c r="E4575" s="156">
        <v>-2.1867407150295004E-2</v>
      </c>
      <c r="G4575" s="156"/>
    </row>
    <row r="4576" spans="2:7" x14ac:dyDescent="0.2">
      <c r="B4576" s="230">
        <v>39255</v>
      </c>
      <c r="C4576" s="124">
        <v>51.05</v>
      </c>
      <c r="D4576" s="156">
        <f t="shared" si="72"/>
        <v>-9.7847358121339067E-4</v>
      </c>
      <c r="E4576" s="156">
        <v>-2.1869224676581884E-2</v>
      </c>
      <c r="G4576" s="156"/>
    </row>
    <row r="4577" spans="2:7" x14ac:dyDescent="0.2">
      <c r="B4577" s="230">
        <v>39254</v>
      </c>
      <c r="C4577" s="124">
        <v>51.18</v>
      </c>
      <c r="D4577" s="156">
        <f t="shared" si="72"/>
        <v>2.5465230166503931E-3</v>
      </c>
      <c r="E4577" s="156">
        <v>-2.1872265966754158E-2</v>
      </c>
      <c r="G4577" s="156"/>
    </row>
    <row r="4578" spans="2:7" x14ac:dyDescent="0.2">
      <c r="B4578" s="230">
        <v>39253</v>
      </c>
      <c r="C4578" s="124">
        <v>51.4</v>
      </c>
      <c r="D4578" s="156">
        <f t="shared" si="72"/>
        <v>4.2985541227041589E-3</v>
      </c>
      <c r="E4578" s="156">
        <v>-2.1873403613059061E-2</v>
      </c>
      <c r="G4578" s="156"/>
    </row>
    <row r="4579" spans="2:7" x14ac:dyDescent="0.2">
      <c r="B4579" s="230">
        <v>39252</v>
      </c>
      <c r="C4579" s="124">
        <v>50.73</v>
      </c>
      <c r="D4579" s="156">
        <f t="shared" si="72"/>
        <v>-1.3035019455252952E-2</v>
      </c>
      <c r="E4579" s="156">
        <v>-2.1877384889341191E-2</v>
      </c>
      <c r="G4579" s="156"/>
    </row>
    <row r="4580" spans="2:7" x14ac:dyDescent="0.2">
      <c r="B4580" s="230">
        <v>39251</v>
      </c>
      <c r="C4580" s="124">
        <v>50.72</v>
      </c>
      <c r="D4580" s="156">
        <f t="shared" si="72"/>
        <v>-1.9712201852943053E-4</v>
      </c>
      <c r="E4580" s="156">
        <v>-2.1880819366852836E-2</v>
      </c>
      <c r="G4580" s="156"/>
    </row>
    <row r="4581" spans="2:7" x14ac:dyDescent="0.2">
      <c r="B4581" s="230">
        <v>39248</v>
      </c>
      <c r="C4581" s="124">
        <v>50.52</v>
      </c>
      <c r="D4581" s="156">
        <f t="shared" si="72"/>
        <v>-3.9432176656150576E-3</v>
      </c>
      <c r="E4581" s="156">
        <v>-2.1896521278474339E-2</v>
      </c>
      <c r="G4581" s="156"/>
    </row>
    <row r="4582" spans="2:7" x14ac:dyDescent="0.2">
      <c r="B4582" s="230">
        <v>39247</v>
      </c>
      <c r="C4582" s="124">
        <v>50.25</v>
      </c>
      <c r="D4582" s="156">
        <f t="shared" si="72"/>
        <v>-5.3444180522565932E-3</v>
      </c>
      <c r="E4582" s="156">
        <v>-2.1943573667711623E-2</v>
      </c>
      <c r="G4582" s="156"/>
    </row>
    <row r="4583" spans="2:7" x14ac:dyDescent="0.2">
      <c r="B4583" s="230">
        <v>39246</v>
      </c>
      <c r="C4583" s="124">
        <v>50.4</v>
      </c>
      <c r="D4583" s="156">
        <f t="shared" si="72"/>
        <v>2.9850746268656435E-3</v>
      </c>
      <c r="E4583" s="156">
        <v>-2.1975922033250418E-2</v>
      </c>
      <c r="G4583" s="156"/>
    </row>
    <row r="4584" spans="2:7" x14ac:dyDescent="0.2">
      <c r="B4584" s="230">
        <v>39245</v>
      </c>
      <c r="C4584" s="124">
        <v>51</v>
      </c>
      <c r="D4584" s="156">
        <f t="shared" si="72"/>
        <v>1.1904761904761934E-2</v>
      </c>
      <c r="E4584" s="156">
        <v>-2.1983079822907932E-2</v>
      </c>
      <c r="G4584" s="156"/>
    </row>
    <row r="4585" spans="2:7" x14ac:dyDescent="0.2">
      <c r="B4585" s="230">
        <v>39244</v>
      </c>
      <c r="C4585" s="124">
        <v>51.01</v>
      </c>
      <c r="D4585" s="156">
        <f t="shared" si="72"/>
        <v>1.9607843137251001E-4</v>
      </c>
      <c r="E4585" s="156">
        <v>-2.2040511373069793E-2</v>
      </c>
      <c r="G4585" s="156"/>
    </row>
    <row r="4586" spans="2:7" x14ac:dyDescent="0.2">
      <c r="B4586" s="230">
        <v>39241</v>
      </c>
      <c r="C4586" s="124">
        <v>49.92</v>
      </c>
      <c r="D4586" s="156">
        <f t="shared" si="72"/>
        <v>-2.1368359145265563E-2</v>
      </c>
      <c r="E4586" s="156">
        <v>-2.2041581991558576E-2</v>
      </c>
      <c r="G4586" s="156"/>
    </row>
    <row r="4587" spans="2:7" x14ac:dyDescent="0.2">
      <c r="B4587" s="230">
        <v>39240</v>
      </c>
      <c r="C4587" s="124">
        <v>51.35</v>
      </c>
      <c r="D4587" s="156">
        <f t="shared" si="72"/>
        <v>2.8645833333333325E-2</v>
      </c>
      <c r="E4587" s="156">
        <v>-2.2063702720636954E-2</v>
      </c>
      <c r="G4587" s="156"/>
    </row>
    <row r="4588" spans="2:7" x14ac:dyDescent="0.2">
      <c r="B4588" s="230">
        <v>39239</v>
      </c>
      <c r="C4588" s="124">
        <v>52.32</v>
      </c>
      <c r="D4588" s="156">
        <f t="shared" si="72"/>
        <v>1.8889970788704944E-2</v>
      </c>
      <c r="E4588" s="156">
        <v>-2.2219136231079132E-2</v>
      </c>
      <c r="G4588" s="156"/>
    </row>
    <row r="4589" spans="2:7" x14ac:dyDescent="0.2">
      <c r="B4589" s="230">
        <v>39238</v>
      </c>
      <c r="C4589" s="124">
        <v>53.65</v>
      </c>
      <c r="D4589" s="156">
        <f t="shared" si="72"/>
        <v>2.5420489296636054E-2</v>
      </c>
      <c r="E4589" s="156">
        <v>-2.2237398096376201E-2</v>
      </c>
      <c r="G4589" s="156"/>
    </row>
    <row r="4590" spans="2:7" x14ac:dyDescent="0.2">
      <c r="B4590" s="230">
        <v>39237</v>
      </c>
      <c r="C4590" s="124">
        <v>54.66</v>
      </c>
      <c r="D4590" s="156">
        <f t="shared" si="72"/>
        <v>1.8825722273998098E-2</v>
      </c>
      <c r="E4590" s="156">
        <v>-2.2280291569247566E-2</v>
      </c>
      <c r="G4590" s="156"/>
    </row>
    <row r="4591" spans="2:7" x14ac:dyDescent="0.2">
      <c r="B4591" s="230">
        <v>39234</v>
      </c>
      <c r="C4591" s="124">
        <v>53.38</v>
      </c>
      <c r="D4591" s="156">
        <f t="shared" si="72"/>
        <v>-2.3417489937797183E-2</v>
      </c>
      <c r="E4591" s="156">
        <v>-2.2416812609457111E-2</v>
      </c>
      <c r="G4591" s="156"/>
    </row>
    <row r="4592" spans="2:7" x14ac:dyDescent="0.2">
      <c r="B4592" s="230">
        <v>39233</v>
      </c>
      <c r="C4592" s="124">
        <v>54.3</v>
      </c>
      <c r="D4592" s="156">
        <f t="shared" si="72"/>
        <v>1.7234919445485098E-2</v>
      </c>
      <c r="E4592" s="156">
        <v>-2.2423448111521433E-2</v>
      </c>
      <c r="G4592" s="156"/>
    </row>
    <row r="4593" spans="2:7" x14ac:dyDescent="0.2">
      <c r="B4593" s="230">
        <v>39232</v>
      </c>
      <c r="C4593" s="124">
        <v>53.8</v>
      </c>
      <c r="D4593" s="156">
        <f t="shared" si="72"/>
        <v>-9.2081031307550652E-3</v>
      </c>
      <c r="E4593" s="156">
        <v>-2.2427854454203259E-2</v>
      </c>
      <c r="G4593" s="156"/>
    </row>
    <row r="4594" spans="2:7" x14ac:dyDescent="0.2">
      <c r="B4594" s="230">
        <v>39231</v>
      </c>
      <c r="C4594" s="124">
        <v>54.69</v>
      </c>
      <c r="D4594" s="156">
        <f t="shared" si="72"/>
        <v>1.6542750929368043E-2</v>
      </c>
      <c r="E4594" s="156">
        <v>-2.243829468960359E-2</v>
      </c>
      <c r="G4594" s="156"/>
    </row>
    <row r="4595" spans="2:7" x14ac:dyDescent="0.2">
      <c r="B4595" s="230">
        <v>39230</v>
      </c>
      <c r="C4595" s="124">
        <v>55.16</v>
      </c>
      <c r="D4595" s="156">
        <f t="shared" si="72"/>
        <v>8.5938928506125237E-3</v>
      </c>
      <c r="E4595" s="156">
        <v>-2.2440328080361276E-2</v>
      </c>
      <c r="G4595" s="156"/>
    </row>
    <row r="4596" spans="2:7" x14ac:dyDescent="0.2">
      <c r="B4596" s="230">
        <v>39227</v>
      </c>
      <c r="C4596" s="124">
        <v>55.29</v>
      </c>
      <c r="D4596" s="156">
        <f t="shared" si="72"/>
        <v>2.3567802755620482E-3</v>
      </c>
      <c r="E4596" s="156">
        <v>-2.2443827947314532E-2</v>
      </c>
      <c r="G4596" s="156"/>
    </row>
    <row r="4597" spans="2:7" x14ac:dyDescent="0.2">
      <c r="B4597" s="230">
        <v>39226</v>
      </c>
      <c r="C4597" s="124">
        <v>55.06</v>
      </c>
      <c r="D4597" s="156">
        <f t="shared" si="72"/>
        <v>-4.1598842466991654E-3</v>
      </c>
      <c r="E4597" s="156">
        <v>-2.2495234060580394E-2</v>
      </c>
      <c r="G4597" s="156"/>
    </row>
    <row r="4598" spans="2:7" x14ac:dyDescent="0.2">
      <c r="B4598" s="230">
        <v>39225</v>
      </c>
      <c r="C4598" s="124">
        <v>55.11</v>
      </c>
      <c r="D4598" s="156">
        <f t="shared" si="72"/>
        <v>9.0810025426801952E-4</v>
      </c>
      <c r="E4598" s="156">
        <v>-2.2520742789411404E-2</v>
      </c>
      <c r="G4598" s="156"/>
    </row>
    <row r="4599" spans="2:7" x14ac:dyDescent="0.2">
      <c r="B4599" s="230">
        <v>39224</v>
      </c>
      <c r="C4599" s="124">
        <v>56.58</v>
      </c>
      <c r="D4599" s="156">
        <f t="shared" si="72"/>
        <v>2.6673924877517671E-2</v>
      </c>
      <c r="E4599" s="156">
        <v>-2.2522522522522525E-2</v>
      </c>
      <c r="G4599" s="156"/>
    </row>
    <row r="4600" spans="2:7" x14ac:dyDescent="0.2">
      <c r="B4600" s="230">
        <v>39223</v>
      </c>
      <c r="C4600" s="124">
        <v>56.63</v>
      </c>
      <c r="D4600" s="156">
        <f t="shared" si="72"/>
        <v>8.837044892188806E-4</v>
      </c>
      <c r="E4600" s="156">
        <v>-2.2679448211363078E-2</v>
      </c>
      <c r="G4600" s="156"/>
    </row>
    <row r="4601" spans="2:7" x14ac:dyDescent="0.2">
      <c r="B4601" s="230">
        <v>39220</v>
      </c>
      <c r="C4601" s="124">
        <v>55.39</v>
      </c>
      <c r="D4601" s="156">
        <f t="shared" si="72"/>
        <v>-2.1896521278474339E-2</v>
      </c>
      <c r="E4601" s="156">
        <v>-2.2708970848767975E-2</v>
      </c>
      <c r="G4601" s="156"/>
    </row>
    <row r="4602" spans="2:7" x14ac:dyDescent="0.2">
      <c r="B4602" s="230">
        <v>39219</v>
      </c>
      <c r="C4602" s="124">
        <v>54.73</v>
      </c>
      <c r="D4602" s="156">
        <f t="shared" si="72"/>
        <v>-1.1915508214479214E-2</v>
      </c>
      <c r="E4602" s="156">
        <v>-2.2721893491124315E-2</v>
      </c>
      <c r="G4602" s="156"/>
    </row>
    <row r="4603" spans="2:7" x14ac:dyDescent="0.2">
      <c r="B4603" s="230">
        <v>39218</v>
      </c>
      <c r="C4603" s="124">
        <v>54.16</v>
      </c>
      <c r="D4603" s="156">
        <f t="shared" si="72"/>
        <v>-1.0414763383884531E-2</v>
      </c>
      <c r="E4603" s="156">
        <v>-2.2734399498275364E-2</v>
      </c>
      <c r="G4603" s="156"/>
    </row>
    <row r="4604" spans="2:7" x14ac:dyDescent="0.2">
      <c r="B4604" s="230">
        <v>39217</v>
      </c>
      <c r="C4604" s="124">
        <v>53.7</v>
      </c>
      <c r="D4604" s="156">
        <f t="shared" si="72"/>
        <v>-8.4933530280648772E-3</v>
      </c>
      <c r="E4604" s="156">
        <v>-2.2852789944772422E-2</v>
      </c>
      <c r="G4604" s="156"/>
    </row>
    <row r="4605" spans="2:7" x14ac:dyDescent="0.2">
      <c r="B4605" s="230">
        <v>39216</v>
      </c>
      <c r="C4605" s="124">
        <v>53.72</v>
      </c>
      <c r="D4605" s="156">
        <f t="shared" si="72"/>
        <v>3.7243947858465586E-4</v>
      </c>
      <c r="E4605" s="156">
        <v>-2.2889842632331868E-2</v>
      </c>
      <c r="G4605" s="156"/>
    </row>
    <row r="4606" spans="2:7" x14ac:dyDescent="0.2">
      <c r="B4606" s="230">
        <v>39213</v>
      </c>
      <c r="C4606" s="124">
        <v>53.75</v>
      </c>
      <c r="D4606" s="156">
        <f t="shared" ref="D4606:D4669" si="73">(C4606-C4605)/C4605</f>
        <v>5.5845122859272413E-4</v>
      </c>
      <c r="E4606" s="156">
        <v>-2.2993400042580336E-2</v>
      </c>
      <c r="G4606" s="156"/>
    </row>
    <row r="4607" spans="2:7" x14ac:dyDescent="0.2">
      <c r="B4607" s="230">
        <v>39212</v>
      </c>
      <c r="C4607" s="124">
        <v>54.26</v>
      </c>
      <c r="D4607" s="156">
        <f t="shared" si="73"/>
        <v>9.4883720930232195E-3</v>
      </c>
      <c r="E4607" s="156">
        <v>-2.2999999999999923E-2</v>
      </c>
      <c r="G4607" s="156"/>
    </row>
    <row r="4608" spans="2:7" x14ac:dyDescent="0.2">
      <c r="B4608" s="230">
        <v>39211</v>
      </c>
      <c r="C4608" s="124">
        <v>53.27</v>
      </c>
      <c r="D4608" s="156">
        <f t="shared" si="73"/>
        <v>-1.8245484703280409E-2</v>
      </c>
      <c r="E4608" s="156">
        <v>-2.3015137472968721E-2</v>
      </c>
      <c r="G4608" s="156"/>
    </row>
    <row r="4609" spans="2:7" x14ac:dyDescent="0.2">
      <c r="B4609" s="230">
        <v>39210</v>
      </c>
      <c r="C4609" s="124">
        <v>53.04</v>
      </c>
      <c r="D4609" s="156">
        <f t="shared" si="73"/>
        <v>-4.3176271822790305E-3</v>
      </c>
      <c r="E4609" s="156">
        <v>-2.3015165031222109E-2</v>
      </c>
      <c r="G4609" s="156"/>
    </row>
    <row r="4610" spans="2:7" x14ac:dyDescent="0.2">
      <c r="B4610" s="230">
        <v>39209</v>
      </c>
      <c r="C4610" s="124">
        <v>53.37</v>
      </c>
      <c r="D4610" s="156">
        <f t="shared" si="73"/>
        <v>6.221719457013543E-3</v>
      </c>
      <c r="E4610" s="156">
        <v>-2.307014106583076E-2</v>
      </c>
      <c r="G4610" s="156"/>
    </row>
    <row r="4611" spans="2:7" x14ac:dyDescent="0.2">
      <c r="B4611" s="230">
        <v>39206</v>
      </c>
      <c r="C4611" s="124">
        <v>53.38</v>
      </c>
      <c r="D4611" s="156">
        <f t="shared" si="73"/>
        <v>1.8737118231225625E-4</v>
      </c>
      <c r="E4611" s="156">
        <v>-2.3084511673791643E-2</v>
      </c>
      <c r="G4611" s="156"/>
    </row>
    <row r="4612" spans="2:7" x14ac:dyDescent="0.2">
      <c r="B4612" s="230">
        <v>39205</v>
      </c>
      <c r="C4612" s="124">
        <v>53.63</v>
      </c>
      <c r="D4612" s="156">
        <f t="shared" si="73"/>
        <v>4.683402023229674E-3</v>
      </c>
      <c r="E4612" s="156">
        <v>-2.3092554960280808E-2</v>
      </c>
      <c r="G4612" s="156"/>
    </row>
    <row r="4613" spans="2:7" x14ac:dyDescent="0.2">
      <c r="B4613" s="230">
        <v>39202</v>
      </c>
      <c r="C4613" s="124">
        <v>53.05</v>
      </c>
      <c r="D4613" s="156">
        <f t="shared" si="73"/>
        <v>-1.0814842438933533E-2</v>
      </c>
      <c r="E4613" s="156">
        <v>-2.3099133782483176E-2</v>
      </c>
      <c r="G4613" s="156"/>
    </row>
    <row r="4614" spans="2:7" x14ac:dyDescent="0.2">
      <c r="B4614" s="230">
        <v>39199</v>
      </c>
      <c r="C4614" s="124">
        <v>53.25</v>
      </c>
      <c r="D4614" s="156">
        <f t="shared" si="73"/>
        <v>3.7700282752121178E-3</v>
      </c>
      <c r="E4614" s="156">
        <v>-2.3163943257317278E-2</v>
      </c>
      <c r="G4614" s="156"/>
    </row>
    <row r="4615" spans="2:7" x14ac:dyDescent="0.2">
      <c r="B4615" s="230">
        <v>39198</v>
      </c>
      <c r="C4615" s="124">
        <v>53.55</v>
      </c>
      <c r="D4615" s="156">
        <f t="shared" si="73"/>
        <v>5.633802816901355E-3</v>
      </c>
      <c r="E4615" s="156">
        <v>-2.3164335664335713E-2</v>
      </c>
      <c r="G4615" s="156"/>
    </row>
    <row r="4616" spans="2:7" x14ac:dyDescent="0.2">
      <c r="B4616" s="230">
        <v>39197</v>
      </c>
      <c r="C4616" s="124">
        <v>53.63</v>
      </c>
      <c r="D4616" s="156">
        <f t="shared" si="73"/>
        <v>1.4939309056957125E-3</v>
      </c>
      <c r="E4616" s="156">
        <v>-2.320570941245113E-2</v>
      </c>
      <c r="G4616" s="156"/>
    </row>
    <row r="4617" spans="2:7" x14ac:dyDescent="0.2">
      <c r="B4617" s="230">
        <v>39196</v>
      </c>
      <c r="C4617" s="124">
        <v>51.86</v>
      </c>
      <c r="D4617" s="156">
        <f t="shared" si="73"/>
        <v>-3.3003915718814156E-2</v>
      </c>
      <c r="E4617" s="156">
        <v>-2.3282825616387712E-2</v>
      </c>
      <c r="G4617" s="156"/>
    </row>
    <row r="4618" spans="2:7" x14ac:dyDescent="0.2">
      <c r="B4618" s="230">
        <v>39195</v>
      </c>
      <c r="C4618" s="124">
        <v>51.81</v>
      </c>
      <c r="D4618" s="156">
        <f t="shared" si="73"/>
        <v>-9.6413420748162667E-4</v>
      </c>
      <c r="E4618" s="156">
        <v>-2.3334460601961489E-2</v>
      </c>
      <c r="G4618" s="156"/>
    </row>
    <row r="4619" spans="2:7" x14ac:dyDescent="0.2">
      <c r="B4619" s="230">
        <v>39192</v>
      </c>
      <c r="C4619" s="124">
        <v>53.17</v>
      </c>
      <c r="D4619" s="156">
        <f t="shared" si="73"/>
        <v>2.6249758733835154E-2</v>
      </c>
      <c r="E4619" s="156">
        <v>-2.3378409351363715E-2</v>
      </c>
      <c r="G4619" s="156"/>
    </row>
    <row r="4620" spans="2:7" x14ac:dyDescent="0.2">
      <c r="B4620" s="230">
        <v>39191</v>
      </c>
      <c r="C4620" s="124">
        <v>52.74</v>
      </c>
      <c r="D4620" s="156">
        <f t="shared" si="73"/>
        <v>-8.0872672559714077E-3</v>
      </c>
      <c r="E4620" s="156">
        <v>-2.3380922822263627E-2</v>
      </c>
      <c r="G4620" s="156"/>
    </row>
    <row r="4621" spans="2:7" x14ac:dyDescent="0.2">
      <c r="B4621" s="230">
        <v>39190</v>
      </c>
      <c r="C4621" s="124">
        <v>52.01</v>
      </c>
      <c r="D4621" s="156">
        <f t="shared" si="73"/>
        <v>-1.3841486537732347E-2</v>
      </c>
      <c r="E4621" s="156">
        <v>-2.3417489937797183E-2</v>
      </c>
      <c r="G4621" s="156"/>
    </row>
    <row r="4622" spans="2:7" x14ac:dyDescent="0.2">
      <c r="B4622" s="230">
        <v>39189</v>
      </c>
      <c r="C4622" s="124">
        <v>51.73</v>
      </c>
      <c r="D4622" s="156">
        <f t="shared" si="73"/>
        <v>-5.3835800807537229E-3</v>
      </c>
      <c r="E4622" s="156">
        <v>-2.3456457266109582E-2</v>
      </c>
      <c r="G4622" s="156"/>
    </row>
    <row r="4623" spans="2:7" x14ac:dyDescent="0.2">
      <c r="B4623" s="230">
        <v>39188</v>
      </c>
      <c r="C4623" s="124">
        <v>52.54</v>
      </c>
      <c r="D4623" s="156">
        <f t="shared" si="73"/>
        <v>1.5658225401121252E-2</v>
      </c>
      <c r="E4623" s="156">
        <v>-2.346368715083803E-2</v>
      </c>
      <c r="G4623" s="156"/>
    </row>
    <row r="4624" spans="2:7" x14ac:dyDescent="0.2">
      <c r="B4624" s="230">
        <v>39185</v>
      </c>
      <c r="C4624" s="124">
        <v>50.87</v>
      </c>
      <c r="D4624" s="156">
        <f t="shared" si="73"/>
        <v>-3.1785306433193793E-2</v>
      </c>
      <c r="E4624" s="156">
        <v>-2.3485038974101018E-2</v>
      </c>
      <c r="G4624" s="156"/>
    </row>
    <row r="4625" spans="2:7" x14ac:dyDescent="0.2">
      <c r="B4625" s="230">
        <v>39184</v>
      </c>
      <c r="C4625" s="124">
        <v>51.79</v>
      </c>
      <c r="D4625" s="156">
        <f t="shared" si="73"/>
        <v>1.8085315510123878E-2</v>
      </c>
      <c r="E4625" s="156">
        <v>-2.3506800709639317E-2</v>
      </c>
      <c r="G4625" s="156"/>
    </row>
    <row r="4626" spans="2:7" x14ac:dyDescent="0.2">
      <c r="B4626" s="230">
        <v>39183</v>
      </c>
      <c r="C4626" s="124">
        <v>53.2</v>
      </c>
      <c r="D4626" s="156">
        <f t="shared" si="73"/>
        <v>2.7225333075883446E-2</v>
      </c>
      <c r="E4626" s="156">
        <v>-2.3533585619678443E-2</v>
      </c>
      <c r="G4626" s="156"/>
    </row>
    <row r="4627" spans="2:7" x14ac:dyDescent="0.2">
      <c r="B4627" s="230">
        <v>39182</v>
      </c>
      <c r="C4627" s="124">
        <v>52.99</v>
      </c>
      <c r="D4627" s="156">
        <f t="shared" si="73"/>
        <v>-3.9473684210526473E-3</v>
      </c>
      <c r="E4627" s="156">
        <v>-2.3542600896861082E-2</v>
      </c>
      <c r="G4627" s="156"/>
    </row>
    <row r="4628" spans="2:7" x14ac:dyDescent="0.2">
      <c r="B4628" s="230">
        <v>39181</v>
      </c>
      <c r="C4628" s="124">
        <v>51.48</v>
      </c>
      <c r="D4628" s="156">
        <f t="shared" si="73"/>
        <v>-2.8495942630685129E-2</v>
      </c>
      <c r="E4628" s="156">
        <v>-2.3576183431952637E-2</v>
      </c>
      <c r="G4628" s="156"/>
    </row>
    <row r="4629" spans="2:7" x14ac:dyDescent="0.2">
      <c r="B4629" s="230">
        <v>39177</v>
      </c>
      <c r="C4629" s="124">
        <v>49.13</v>
      </c>
      <c r="D4629" s="156">
        <f t="shared" si="73"/>
        <v>-4.5648795648795544E-2</v>
      </c>
      <c r="E4629" s="156">
        <v>-2.3617291799110002E-2</v>
      </c>
      <c r="G4629" s="156"/>
    </row>
    <row r="4630" spans="2:7" x14ac:dyDescent="0.2">
      <c r="B4630" s="230">
        <v>39176</v>
      </c>
      <c r="C4630" s="124">
        <v>49.17</v>
      </c>
      <c r="D4630" s="156">
        <f t="shared" si="73"/>
        <v>8.141664970486291E-4</v>
      </c>
      <c r="E4630" s="156">
        <v>-2.3631979224633663E-2</v>
      </c>
      <c r="G4630" s="156"/>
    </row>
    <row r="4631" spans="2:7" x14ac:dyDescent="0.2">
      <c r="B4631" s="230">
        <v>39175</v>
      </c>
      <c r="C4631" s="124">
        <v>49.56</v>
      </c>
      <c r="D4631" s="156">
        <f t="shared" si="73"/>
        <v>7.9316656497864669E-3</v>
      </c>
      <c r="E4631" s="156">
        <v>-2.3653243451008218E-2</v>
      </c>
      <c r="G4631" s="156"/>
    </row>
    <row r="4632" spans="2:7" x14ac:dyDescent="0.2">
      <c r="B4632" s="230">
        <v>39174</v>
      </c>
      <c r="C4632" s="124">
        <v>48.66</v>
      </c>
      <c r="D4632" s="156">
        <f t="shared" si="73"/>
        <v>-1.8159806295399629E-2</v>
      </c>
      <c r="E4632" s="156">
        <v>-2.3674729799279388E-2</v>
      </c>
      <c r="G4632" s="156"/>
    </row>
    <row r="4633" spans="2:7" x14ac:dyDescent="0.2">
      <c r="B4633" s="230">
        <v>39171</v>
      </c>
      <c r="C4633" s="124">
        <v>50.1</v>
      </c>
      <c r="D4633" s="156">
        <f t="shared" si="73"/>
        <v>2.9593094944513048E-2</v>
      </c>
      <c r="E4633" s="156">
        <v>-2.3690558235699519E-2</v>
      </c>
      <c r="G4633" s="156"/>
    </row>
    <row r="4634" spans="2:7" x14ac:dyDescent="0.2">
      <c r="B4634" s="230">
        <v>39170</v>
      </c>
      <c r="C4634" s="124">
        <v>48.71</v>
      </c>
      <c r="D4634" s="156">
        <f t="shared" si="73"/>
        <v>-2.7744510978043924E-2</v>
      </c>
      <c r="E4634" s="156">
        <v>-2.369949046095509E-2</v>
      </c>
      <c r="G4634" s="156"/>
    </row>
    <row r="4635" spans="2:7" x14ac:dyDescent="0.2">
      <c r="B4635" s="230">
        <v>39169</v>
      </c>
      <c r="C4635" s="124">
        <v>47.52</v>
      </c>
      <c r="D4635" s="156">
        <f t="shared" si="73"/>
        <v>-2.4430301786080841E-2</v>
      </c>
      <c r="E4635" s="156">
        <v>-2.3708558211256659E-2</v>
      </c>
      <c r="G4635" s="156"/>
    </row>
    <row r="4636" spans="2:7" x14ac:dyDescent="0.2">
      <c r="B4636" s="230">
        <v>39167</v>
      </c>
      <c r="C4636" s="124">
        <v>47.15</v>
      </c>
      <c r="D4636" s="156">
        <f t="shared" si="73"/>
        <v>-7.7861952861953817E-3</v>
      </c>
      <c r="E4636" s="156">
        <v>-2.375614177360106E-2</v>
      </c>
      <c r="G4636" s="156"/>
    </row>
    <row r="4637" spans="2:7" x14ac:dyDescent="0.2">
      <c r="B4637" s="230">
        <v>39164</v>
      </c>
      <c r="C4637" s="124">
        <v>47.78</v>
      </c>
      <c r="D4637" s="156">
        <f t="shared" si="73"/>
        <v>1.3361611876988391E-2</v>
      </c>
      <c r="E4637" s="156">
        <v>-2.3772146221125737E-2</v>
      </c>
      <c r="G4637" s="156"/>
    </row>
    <row r="4638" spans="2:7" x14ac:dyDescent="0.2">
      <c r="B4638" s="230">
        <v>39163</v>
      </c>
      <c r="C4638" s="124">
        <v>49.51</v>
      </c>
      <c r="D4638" s="156">
        <f t="shared" si="73"/>
        <v>3.6207618250313871E-2</v>
      </c>
      <c r="E4638" s="156">
        <v>-2.3786151174205281E-2</v>
      </c>
      <c r="G4638" s="156"/>
    </row>
    <row r="4639" spans="2:7" x14ac:dyDescent="0.2">
      <c r="B4639" s="230">
        <v>39162</v>
      </c>
      <c r="C4639" s="124">
        <v>47.93</v>
      </c>
      <c r="D4639" s="156">
        <f t="shared" si="73"/>
        <v>-3.1912744900020162E-2</v>
      </c>
      <c r="E4639" s="156">
        <v>-2.3799735050934211E-2</v>
      </c>
      <c r="G4639" s="156"/>
    </row>
    <row r="4640" spans="2:7" x14ac:dyDescent="0.2">
      <c r="B4640" s="230">
        <v>39161</v>
      </c>
      <c r="C4640" s="124">
        <v>46.69</v>
      </c>
      <c r="D4640" s="156">
        <f t="shared" si="73"/>
        <v>-2.5871061965366201E-2</v>
      </c>
      <c r="E4640" s="156">
        <v>-2.3805446138037346E-2</v>
      </c>
      <c r="G4640" s="156"/>
    </row>
    <row r="4641" spans="2:7" x14ac:dyDescent="0.2">
      <c r="B4641" s="230">
        <v>39160</v>
      </c>
      <c r="C4641" s="124">
        <v>47.07</v>
      </c>
      <c r="D4641" s="156">
        <f t="shared" si="73"/>
        <v>8.1387877489827072E-3</v>
      </c>
      <c r="E4641" s="156">
        <v>-2.3862375138734723E-2</v>
      </c>
      <c r="G4641" s="156"/>
    </row>
    <row r="4642" spans="2:7" x14ac:dyDescent="0.2">
      <c r="B4642" s="230">
        <v>39157</v>
      </c>
      <c r="C4642" s="124">
        <v>48.08</v>
      </c>
      <c r="D4642" s="156">
        <f t="shared" si="73"/>
        <v>2.1457403866581643E-2</v>
      </c>
      <c r="E4642" s="156">
        <v>-2.3903818953323872E-2</v>
      </c>
      <c r="G4642" s="156"/>
    </row>
    <row r="4643" spans="2:7" x14ac:dyDescent="0.2">
      <c r="B4643" s="230">
        <v>39156</v>
      </c>
      <c r="C4643" s="124">
        <v>48.83</v>
      </c>
      <c r="D4643" s="156">
        <f t="shared" si="73"/>
        <v>1.5599001663893511E-2</v>
      </c>
      <c r="E4643" s="156">
        <v>-2.3971053821800141E-2</v>
      </c>
      <c r="G4643" s="156"/>
    </row>
    <row r="4644" spans="2:7" x14ac:dyDescent="0.2">
      <c r="B4644" s="230">
        <v>39155</v>
      </c>
      <c r="C4644" s="124">
        <v>47.37</v>
      </c>
      <c r="D4644" s="156">
        <f t="shared" si="73"/>
        <v>-2.9899651853368851E-2</v>
      </c>
      <c r="E4644" s="156">
        <v>-2.4008350730688858E-2</v>
      </c>
      <c r="G4644" s="156"/>
    </row>
    <row r="4645" spans="2:7" x14ac:dyDescent="0.2">
      <c r="B4645" s="230">
        <v>39154</v>
      </c>
      <c r="C4645" s="124">
        <v>49.37</v>
      </c>
      <c r="D4645" s="156">
        <f t="shared" si="73"/>
        <v>4.2220814861726831E-2</v>
      </c>
      <c r="E4645" s="156">
        <v>-2.4034773715162449E-2</v>
      </c>
      <c r="G4645" s="156"/>
    </row>
    <row r="4646" spans="2:7" x14ac:dyDescent="0.2">
      <c r="B4646" s="230">
        <v>39153</v>
      </c>
      <c r="C4646" s="124">
        <v>49.26</v>
      </c>
      <c r="D4646" s="156">
        <f t="shared" si="73"/>
        <v>-2.2280737289852022E-3</v>
      </c>
      <c r="E4646" s="156">
        <v>-2.4090437873327718E-2</v>
      </c>
      <c r="G4646" s="156"/>
    </row>
    <row r="4647" spans="2:7" x14ac:dyDescent="0.2">
      <c r="B4647" s="230">
        <v>39150</v>
      </c>
      <c r="C4647" s="124">
        <v>51.1</v>
      </c>
      <c r="D4647" s="156">
        <f t="shared" si="73"/>
        <v>3.7352821762078839E-2</v>
      </c>
      <c r="E4647" s="156">
        <v>-2.4229074889867842E-2</v>
      </c>
      <c r="G4647" s="156"/>
    </row>
    <row r="4648" spans="2:7" x14ac:dyDescent="0.2">
      <c r="B4648" s="230">
        <v>39149</v>
      </c>
      <c r="C4648" s="124">
        <v>53.02</v>
      </c>
      <c r="D4648" s="156">
        <f t="shared" si="73"/>
        <v>3.7573385518591032E-2</v>
      </c>
      <c r="E4648" s="156">
        <v>-2.4264563576543521E-2</v>
      </c>
      <c r="G4648" s="156"/>
    </row>
    <row r="4649" spans="2:7" x14ac:dyDescent="0.2">
      <c r="B4649" s="230">
        <v>39148</v>
      </c>
      <c r="C4649" s="124">
        <v>52.44</v>
      </c>
      <c r="D4649" s="156">
        <f t="shared" si="73"/>
        <v>-1.093926820067909E-2</v>
      </c>
      <c r="E4649" s="156">
        <v>-2.4298969600656077E-2</v>
      </c>
      <c r="G4649" s="156"/>
    </row>
    <row r="4650" spans="2:7" x14ac:dyDescent="0.2">
      <c r="B4650" s="230">
        <v>39147</v>
      </c>
      <c r="C4650" s="124">
        <v>53.72</v>
      </c>
      <c r="D4650" s="156">
        <f t="shared" si="73"/>
        <v>2.4408848207475232E-2</v>
      </c>
      <c r="E4650" s="156">
        <v>-2.4319506963535881E-2</v>
      </c>
      <c r="G4650" s="156"/>
    </row>
    <row r="4651" spans="2:7" x14ac:dyDescent="0.2">
      <c r="B4651" s="230">
        <v>39146</v>
      </c>
      <c r="C4651" s="124">
        <v>53.75</v>
      </c>
      <c r="D4651" s="156">
        <f t="shared" si="73"/>
        <v>5.5845122859272413E-4</v>
      </c>
      <c r="E4651" s="156">
        <v>-2.4366231848387973E-2</v>
      </c>
      <c r="G4651" s="156"/>
    </row>
    <row r="4652" spans="2:7" x14ac:dyDescent="0.2">
      <c r="B4652" s="230">
        <v>39143</v>
      </c>
      <c r="C4652" s="124">
        <v>55.26</v>
      </c>
      <c r="D4652" s="156">
        <f t="shared" si="73"/>
        <v>2.8093023255813917E-2</v>
      </c>
      <c r="E4652" s="156">
        <v>-2.4367956137678927E-2</v>
      </c>
      <c r="G4652" s="156"/>
    </row>
    <row r="4653" spans="2:7" x14ac:dyDescent="0.2">
      <c r="B4653" s="230">
        <v>39142</v>
      </c>
      <c r="C4653" s="124">
        <v>57.18</v>
      </c>
      <c r="D4653" s="156">
        <f t="shared" si="73"/>
        <v>3.4744842562432168E-2</v>
      </c>
      <c r="E4653" s="156">
        <v>-2.4390243902439074E-2</v>
      </c>
      <c r="G4653" s="156"/>
    </row>
    <row r="4654" spans="2:7" x14ac:dyDescent="0.2">
      <c r="B4654" s="230">
        <v>39141</v>
      </c>
      <c r="C4654" s="124">
        <v>56.91</v>
      </c>
      <c r="D4654" s="156">
        <f t="shared" si="73"/>
        <v>-4.7219307450157948E-3</v>
      </c>
      <c r="E4654" s="156">
        <v>-2.4395377717906029E-2</v>
      </c>
      <c r="G4654" s="156"/>
    </row>
    <row r="4655" spans="2:7" x14ac:dyDescent="0.2">
      <c r="B4655" s="230">
        <v>39140</v>
      </c>
      <c r="C4655" s="124">
        <v>54.76</v>
      </c>
      <c r="D4655" s="156">
        <f t="shared" si="73"/>
        <v>-3.7778949218063587E-2</v>
      </c>
      <c r="E4655" s="156">
        <v>-2.4423937669226875E-2</v>
      </c>
      <c r="G4655" s="156"/>
    </row>
    <row r="4656" spans="2:7" x14ac:dyDescent="0.2">
      <c r="B4656" s="230">
        <v>39139</v>
      </c>
      <c r="C4656" s="124">
        <v>56.45</v>
      </c>
      <c r="D4656" s="156">
        <f t="shared" si="73"/>
        <v>3.0861943024105276E-2</v>
      </c>
      <c r="E4656" s="156">
        <v>-2.4430301786080841E-2</v>
      </c>
      <c r="G4656" s="156"/>
    </row>
    <row r="4657" spans="2:7" x14ac:dyDescent="0.2">
      <c r="B4657" s="230">
        <v>39136</v>
      </c>
      <c r="C4657" s="124">
        <v>55.37</v>
      </c>
      <c r="D4657" s="156">
        <f t="shared" si="73"/>
        <v>-1.9131975199291502E-2</v>
      </c>
      <c r="E4657" s="156">
        <v>-2.4431865479064365E-2</v>
      </c>
      <c r="G4657" s="156"/>
    </row>
    <row r="4658" spans="2:7" x14ac:dyDescent="0.2">
      <c r="B4658" s="230">
        <v>39135</v>
      </c>
      <c r="C4658" s="124">
        <v>57.83</v>
      </c>
      <c r="D4658" s="156">
        <f t="shared" si="73"/>
        <v>4.4428390825356712E-2</v>
      </c>
      <c r="E4658" s="156">
        <v>-2.4454333545242561E-2</v>
      </c>
      <c r="G4658" s="156"/>
    </row>
    <row r="4659" spans="2:7" x14ac:dyDescent="0.2">
      <c r="B4659" s="230">
        <v>39134</v>
      </c>
      <c r="C4659" s="124">
        <v>57.83</v>
      </c>
      <c r="D4659" s="156">
        <f t="shared" si="73"/>
        <v>0</v>
      </c>
      <c r="E4659" s="156">
        <v>-2.4474628395694593E-2</v>
      </c>
      <c r="G4659" s="156"/>
    </row>
    <row r="4660" spans="2:7" x14ac:dyDescent="0.2">
      <c r="B4660" s="230">
        <v>39133</v>
      </c>
      <c r="C4660" s="124">
        <v>58.29</v>
      </c>
      <c r="D4660" s="156">
        <f t="shared" si="73"/>
        <v>7.9543489538302075E-3</v>
      </c>
      <c r="E4660" s="156">
        <v>-2.4553911849931255E-2</v>
      </c>
      <c r="G4660" s="156"/>
    </row>
    <row r="4661" spans="2:7" x14ac:dyDescent="0.2">
      <c r="B4661" s="230">
        <v>39132</v>
      </c>
      <c r="C4661" s="124">
        <v>57.81</v>
      </c>
      <c r="D4661" s="156">
        <f t="shared" si="73"/>
        <v>-8.2346886258362825E-3</v>
      </c>
      <c r="E4661" s="156">
        <v>-2.4591393012445652E-2</v>
      </c>
      <c r="G4661" s="156"/>
    </row>
    <row r="4662" spans="2:7" x14ac:dyDescent="0.2">
      <c r="B4662" s="230">
        <v>39128</v>
      </c>
      <c r="C4662" s="124">
        <v>57.76</v>
      </c>
      <c r="D4662" s="156">
        <f t="shared" si="73"/>
        <v>-8.6490226604401079E-4</v>
      </c>
      <c r="E4662" s="156">
        <v>-2.4597364568081925E-2</v>
      </c>
      <c r="G4662" s="156"/>
    </row>
    <row r="4663" spans="2:7" x14ac:dyDescent="0.2">
      <c r="B4663" s="230">
        <v>39127</v>
      </c>
      <c r="C4663" s="124">
        <v>57.66</v>
      </c>
      <c r="D4663" s="156">
        <f t="shared" si="73"/>
        <v>-1.7313019390581964E-3</v>
      </c>
      <c r="E4663" s="156">
        <v>-2.4603608529250955E-2</v>
      </c>
      <c r="G4663" s="156"/>
    </row>
    <row r="4664" spans="2:7" x14ac:dyDescent="0.2">
      <c r="B4664" s="230">
        <v>39126</v>
      </c>
      <c r="C4664" s="124">
        <v>57.41</v>
      </c>
      <c r="D4664" s="156">
        <f t="shared" si="73"/>
        <v>-4.3357613596947623E-3</v>
      </c>
      <c r="E4664" s="156">
        <v>-2.4669171703969907E-2</v>
      </c>
      <c r="G4664" s="156"/>
    </row>
    <row r="4665" spans="2:7" x14ac:dyDescent="0.2">
      <c r="B4665" s="230">
        <v>39125</v>
      </c>
      <c r="C4665" s="124">
        <v>58.12</v>
      </c>
      <c r="D4665" s="156">
        <f t="shared" si="73"/>
        <v>1.2367183417523095E-2</v>
      </c>
      <c r="E4665" s="156">
        <v>-2.4685068543905078E-2</v>
      </c>
      <c r="G4665" s="156"/>
    </row>
    <row r="4666" spans="2:7" x14ac:dyDescent="0.2">
      <c r="B4666" s="230">
        <v>39122</v>
      </c>
      <c r="C4666" s="124">
        <v>58.47</v>
      </c>
      <c r="D4666" s="156">
        <f t="shared" si="73"/>
        <v>6.0220233998623781E-3</v>
      </c>
      <c r="E4666" s="156">
        <v>-2.4685222001325415E-2</v>
      </c>
      <c r="G4666" s="156"/>
    </row>
    <row r="4667" spans="2:7" x14ac:dyDescent="0.2">
      <c r="B4667" s="230">
        <v>39121</v>
      </c>
      <c r="C4667" s="124">
        <v>58.49</v>
      </c>
      <c r="D4667" s="156">
        <f t="shared" si="73"/>
        <v>3.4205575508813283E-4</v>
      </c>
      <c r="E4667" s="156">
        <v>-2.4792435424354241E-2</v>
      </c>
      <c r="G4667" s="156"/>
    </row>
    <row r="4668" spans="2:7" x14ac:dyDescent="0.2">
      <c r="B4668" s="230">
        <v>39120</v>
      </c>
      <c r="C4668" s="124">
        <v>58.24</v>
      </c>
      <c r="D4668" s="156">
        <f t="shared" si="73"/>
        <v>-4.2742349119507606E-3</v>
      </c>
      <c r="E4668" s="156">
        <v>-2.4826579043446501E-2</v>
      </c>
      <c r="G4668" s="156"/>
    </row>
    <row r="4669" spans="2:7" x14ac:dyDescent="0.2">
      <c r="B4669" s="230">
        <v>39119</v>
      </c>
      <c r="C4669" s="124">
        <v>58.03</v>
      </c>
      <c r="D4669" s="156">
        <f t="shared" si="73"/>
        <v>-3.6057692307692453E-3</v>
      </c>
      <c r="E4669" s="156">
        <v>-2.4857868634329344E-2</v>
      </c>
      <c r="G4669" s="156"/>
    </row>
    <row r="4670" spans="2:7" x14ac:dyDescent="0.2">
      <c r="B4670" s="230">
        <v>39118</v>
      </c>
      <c r="C4670" s="124">
        <v>58.87</v>
      </c>
      <c r="D4670" s="156">
        <f t="shared" ref="D4670:D4733" si="74">(C4670-C4669)/C4669</f>
        <v>1.4475271411338898E-2</v>
      </c>
      <c r="E4670" s="156">
        <v>-2.4931333192478367E-2</v>
      </c>
      <c r="G4670" s="156"/>
    </row>
    <row r="4671" spans="2:7" x14ac:dyDescent="0.2">
      <c r="B4671" s="230">
        <v>39115</v>
      </c>
      <c r="C4671" s="124">
        <v>58.72</v>
      </c>
      <c r="D4671" s="156">
        <f t="shared" si="74"/>
        <v>-2.547987090198719E-3</v>
      </c>
      <c r="E4671" s="156">
        <v>-2.5006693440428312E-2</v>
      </c>
      <c r="G4671" s="156"/>
    </row>
    <row r="4672" spans="2:7" x14ac:dyDescent="0.2">
      <c r="B4672" s="230">
        <v>39114</v>
      </c>
      <c r="C4672" s="124">
        <v>57.96</v>
      </c>
      <c r="D4672" s="156">
        <f t="shared" si="74"/>
        <v>-1.2942779291553099E-2</v>
      </c>
      <c r="E4672" s="156">
        <v>-2.5041102820285696E-2</v>
      </c>
      <c r="G4672" s="156"/>
    </row>
    <row r="4673" spans="2:7" x14ac:dyDescent="0.2">
      <c r="B4673" s="230">
        <v>39113</v>
      </c>
      <c r="C4673" s="124">
        <v>57.88</v>
      </c>
      <c r="D4673" s="156">
        <f t="shared" si="74"/>
        <v>-1.3802622498274378E-3</v>
      </c>
      <c r="E4673" s="156">
        <v>-2.5044143613890495E-2</v>
      </c>
      <c r="G4673" s="156"/>
    </row>
    <row r="4674" spans="2:7" x14ac:dyDescent="0.2">
      <c r="B4674" s="230">
        <v>39111</v>
      </c>
      <c r="C4674" s="124">
        <v>56.91</v>
      </c>
      <c r="D4674" s="156">
        <f t="shared" si="74"/>
        <v>-1.6758811333794157E-2</v>
      </c>
      <c r="E4674" s="156">
        <v>-2.5057320668195236E-2</v>
      </c>
      <c r="G4674" s="156"/>
    </row>
    <row r="4675" spans="2:7" x14ac:dyDescent="0.2">
      <c r="B4675" s="230">
        <v>39107</v>
      </c>
      <c r="C4675" s="124">
        <v>58.95</v>
      </c>
      <c r="D4675" s="156">
        <f t="shared" si="74"/>
        <v>3.5846072746441859E-2</v>
      </c>
      <c r="E4675" s="156">
        <v>-2.5076504590275439E-2</v>
      </c>
      <c r="G4675" s="156"/>
    </row>
    <row r="4676" spans="2:7" x14ac:dyDescent="0.2">
      <c r="B4676" s="230">
        <v>39106</v>
      </c>
      <c r="C4676" s="124">
        <v>59.09</v>
      </c>
      <c r="D4676" s="156">
        <f t="shared" si="74"/>
        <v>2.3748939779474226E-3</v>
      </c>
      <c r="E4676" s="156">
        <v>-2.5080727208386729E-2</v>
      </c>
      <c r="G4676" s="156"/>
    </row>
    <row r="4677" spans="2:7" x14ac:dyDescent="0.2">
      <c r="B4677" s="230">
        <v>39105</v>
      </c>
      <c r="C4677" s="124">
        <v>58.75</v>
      </c>
      <c r="D4677" s="156">
        <f t="shared" si="74"/>
        <v>-5.7539346759181483E-3</v>
      </c>
      <c r="E4677" s="156">
        <v>-2.5115745482853263E-2</v>
      </c>
      <c r="G4677" s="156"/>
    </row>
    <row r="4678" spans="2:7" x14ac:dyDescent="0.2">
      <c r="B4678" s="230">
        <v>39104</v>
      </c>
      <c r="C4678" s="124">
        <v>59.32</v>
      </c>
      <c r="D4678" s="156">
        <f t="shared" si="74"/>
        <v>9.7021276595744728E-3</v>
      </c>
      <c r="E4678" s="156">
        <v>-2.5146038700255526E-2</v>
      </c>
      <c r="G4678" s="156"/>
    </row>
    <row r="4679" spans="2:7" x14ac:dyDescent="0.2">
      <c r="B4679" s="230">
        <v>39101</v>
      </c>
      <c r="C4679" s="124">
        <v>58.21</v>
      </c>
      <c r="D4679" s="156">
        <f t="shared" si="74"/>
        <v>-1.8712070128118669E-2</v>
      </c>
      <c r="E4679" s="156">
        <v>-2.5147137506688136E-2</v>
      </c>
      <c r="G4679" s="156"/>
    </row>
    <row r="4680" spans="2:7" x14ac:dyDescent="0.2">
      <c r="B4680" s="230">
        <v>39100</v>
      </c>
      <c r="C4680" s="124">
        <v>57.08</v>
      </c>
      <c r="D4680" s="156">
        <f t="shared" si="74"/>
        <v>-1.9412472083834436E-2</v>
      </c>
      <c r="E4680" s="156">
        <v>-2.5182076286878134E-2</v>
      </c>
      <c r="G4680" s="156"/>
    </row>
    <row r="4681" spans="2:7" x14ac:dyDescent="0.2">
      <c r="B4681" s="230">
        <v>39099</v>
      </c>
      <c r="C4681" s="124">
        <v>56.19</v>
      </c>
      <c r="D4681" s="156">
        <f t="shared" si="74"/>
        <v>-1.5592151366503163E-2</v>
      </c>
      <c r="E4681" s="156">
        <v>-2.5246489393486671E-2</v>
      </c>
      <c r="G4681" s="156"/>
    </row>
    <row r="4682" spans="2:7" x14ac:dyDescent="0.2">
      <c r="B4682" s="230">
        <v>39098</v>
      </c>
      <c r="C4682" s="124">
        <v>56.9</v>
      </c>
      <c r="D4682" s="156">
        <f t="shared" si="74"/>
        <v>1.2635700302544952E-2</v>
      </c>
      <c r="E4682" s="156">
        <v>-2.5251396648044717E-2</v>
      </c>
      <c r="G4682" s="156"/>
    </row>
    <row r="4683" spans="2:7" x14ac:dyDescent="0.2">
      <c r="B4683" s="230">
        <v>39097</v>
      </c>
      <c r="C4683" s="124">
        <v>57.01</v>
      </c>
      <c r="D4683" s="156">
        <f t="shared" si="74"/>
        <v>1.9332161687170375E-3</v>
      </c>
      <c r="E4683" s="156">
        <v>-2.5261324041811816E-2</v>
      </c>
      <c r="G4683" s="156"/>
    </row>
    <row r="4684" spans="2:7" x14ac:dyDescent="0.2">
      <c r="B4684" s="230">
        <v>39094</v>
      </c>
      <c r="C4684" s="124">
        <v>56.72</v>
      </c>
      <c r="D4684" s="156">
        <f t="shared" si="74"/>
        <v>-5.0868268724784975E-3</v>
      </c>
      <c r="E4684" s="156">
        <v>-2.537302128304169E-2</v>
      </c>
      <c r="G4684" s="156"/>
    </row>
    <row r="4685" spans="2:7" x14ac:dyDescent="0.2">
      <c r="B4685" s="230">
        <v>39093</v>
      </c>
      <c r="C4685" s="124">
        <v>56.09</v>
      </c>
      <c r="D4685" s="156">
        <f t="shared" si="74"/>
        <v>-1.110719322990119E-2</v>
      </c>
      <c r="E4685" s="156">
        <v>-2.5392219098576155E-2</v>
      </c>
      <c r="G4685" s="156"/>
    </row>
    <row r="4686" spans="2:7" x14ac:dyDescent="0.2">
      <c r="B4686" s="230">
        <v>39092</v>
      </c>
      <c r="C4686" s="124">
        <v>54.08</v>
      </c>
      <c r="D4686" s="156">
        <f t="shared" si="74"/>
        <v>-3.5835264753075503E-2</v>
      </c>
      <c r="E4686" s="156">
        <v>-2.5423728813559348E-2</v>
      </c>
      <c r="G4686" s="156"/>
    </row>
    <row r="4687" spans="2:7" x14ac:dyDescent="0.2">
      <c r="B4687" s="230">
        <v>39091</v>
      </c>
      <c r="C4687" s="124">
        <v>53.72</v>
      </c>
      <c r="D4687" s="156">
        <f t="shared" si="74"/>
        <v>-6.6568047337278004E-3</v>
      </c>
      <c r="E4687" s="156">
        <v>-2.5432577565632643E-2</v>
      </c>
      <c r="G4687" s="156"/>
    </row>
    <row r="4688" spans="2:7" x14ac:dyDescent="0.2">
      <c r="B4688" s="230">
        <v>39090</v>
      </c>
      <c r="C4688" s="124">
        <v>53.93</v>
      </c>
      <c r="D4688" s="156">
        <f t="shared" si="74"/>
        <v>3.909158600148936E-3</v>
      </c>
      <c r="E4688" s="156">
        <v>-2.5473241411544702E-2</v>
      </c>
      <c r="G4688" s="156"/>
    </row>
    <row r="4689" spans="2:7" x14ac:dyDescent="0.2">
      <c r="B4689" s="230">
        <v>39087</v>
      </c>
      <c r="C4689" s="124">
        <v>54.79</v>
      </c>
      <c r="D4689" s="156">
        <f t="shared" si="74"/>
        <v>1.5946597441127378E-2</v>
      </c>
      <c r="E4689" s="156">
        <v>-2.5526483726866622E-2</v>
      </c>
      <c r="G4689" s="156"/>
    </row>
    <row r="4690" spans="2:7" x14ac:dyDescent="0.2">
      <c r="B4690" s="230">
        <v>39086</v>
      </c>
      <c r="C4690" s="124">
        <v>56</v>
      </c>
      <c r="D4690" s="156">
        <f t="shared" si="74"/>
        <v>2.2084321956561431E-2</v>
      </c>
      <c r="E4690" s="156">
        <v>-2.5552803009450377E-2</v>
      </c>
      <c r="G4690" s="156"/>
    </row>
    <row r="4691" spans="2:7" x14ac:dyDescent="0.2">
      <c r="B4691" s="230">
        <v>39085</v>
      </c>
      <c r="C4691" s="124">
        <v>58.16</v>
      </c>
      <c r="D4691" s="156">
        <f t="shared" si="74"/>
        <v>3.8571428571428513E-2</v>
      </c>
      <c r="E4691" s="156">
        <v>-2.557504873294348E-2</v>
      </c>
      <c r="G4691" s="156"/>
    </row>
    <row r="4692" spans="2:7" x14ac:dyDescent="0.2">
      <c r="B4692" s="230">
        <v>39084</v>
      </c>
      <c r="C4692" s="124">
        <v>58.67</v>
      </c>
      <c r="D4692" s="156">
        <f t="shared" si="74"/>
        <v>8.768913342503527E-3</v>
      </c>
      <c r="E4692" s="156">
        <v>-2.561366061899676E-2</v>
      </c>
      <c r="G4692" s="156"/>
    </row>
    <row r="4693" spans="2:7" x14ac:dyDescent="0.2">
      <c r="B4693" s="230">
        <v>39080</v>
      </c>
      <c r="C4693" s="124">
        <v>58.37</v>
      </c>
      <c r="D4693" s="156">
        <f t="shared" si="74"/>
        <v>-5.1133458326232187E-3</v>
      </c>
      <c r="E4693" s="156">
        <v>-2.5616239729337898E-2</v>
      </c>
      <c r="G4693" s="156"/>
    </row>
    <row r="4694" spans="2:7" x14ac:dyDescent="0.2">
      <c r="B4694" s="230">
        <v>39079</v>
      </c>
      <c r="C4694" s="124">
        <v>58.97</v>
      </c>
      <c r="D4694" s="156">
        <f t="shared" si="74"/>
        <v>1.0279253040945716E-2</v>
      </c>
      <c r="E4694" s="156">
        <v>-2.5624999999999936E-2</v>
      </c>
      <c r="G4694" s="156"/>
    </row>
    <row r="4695" spans="2:7" x14ac:dyDescent="0.2">
      <c r="B4695" s="230">
        <v>39078</v>
      </c>
      <c r="C4695" s="124">
        <v>58.66</v>
      </c>
      <c r="D4695" s="156">
        <f t="shared" si="74"/>
        <v>-5.2569102933695483E-3</v>
      </c>
      <c r="E4695" s="156">
        <v>-2.5780334505166737E-2</v>
      </c>
      <c r="G4695" s="156"/>
    </row>
    <row r="4696" spans="2:7" x14ac:dyDescent="0.2">
      <c r="B4696" s="230">
        <v>39077</v>
      </c>
      <c r="C4696" s="124">
        <v>57.86</v>
      </c>
      <c r="D4696" s="156">
        <f t="shared" si="74"/>
        <v>-1.3637913399249867E-2</v>
      </c>
      <c r="E4696" s="156">
        <v>-2.579564489112238E-2</v>
      </c>
      <c r="G4696" s="156"/>
    </row>
    <row r="4697" spans="2:7" x14ac:dyDescent="0.2">
      <c r="B4697" s="230">
        <v>39073</v>
      </c>
      <c r="C4697" s="124">
        <v>56.22</v>
      </c>
      <c r="D4697" s="156">
        <f t="shared" si="74"/>
        <v>-2.8344279294849648E-2</v>
      </c>
      <c r="E4697" s="156">
        <v>-2.5816522574447713E-2</v>
      </c>
      <c r="G4697" s="156"/>
    </row>
    <row r="4698" spans="2:7" x14ac:dyDescent="0.2">
      <c r="B4698" s="230">
        <v>39072</v>
      </c>
      <c r="C4698" s="124">
        <v>56.6</v>
      </c>
      <c r="D4698" s="156">
        <f t="shared" si="74"/>
        <v>6.7591604411242007E-3</v>
      </c>
      <c r="E4698" s="156">
        <v>-2.5840707964601809E-2</v>
      </c>
      <c r="G4698" s="156"/>
    </row>
    <row r="4699" spans="2:7" x14ac:dyDescent="0.2">
      <c r="B4699" s="230">
        <v>39071</v>
      </c>
      <c r="C4699" s="124">
        <v>56.48</v>
      </c>
      <c r="D4699" s="156">
        <f t="shared" si="74"/>
        <v>-2.1201413427562642E-3</v>
      </c>
      <c r="E4699" s="156">
        <v>-2.5852262934748887E-2</v>
      </c>
      <c r="G4699" s="156"/>
    </row>
    <row r="4700" spans="2:7" x14ac:dyDescent="0.2">
      <c r="B4700" s="230">
        <v>39070</v>
      </c>
      <c r="C4700" s="124">
        <v>55.82</v>
      </c>
      <c r="D4700" s="156">
        <f t="shared" si="74"/>
        <v>-1.1685552407931952E-2</v>
      </c>
      <c r="E4700" s="156">
        <v>-2.5854700854700721E-2</v>
      </c>
      <c r="G4700" s="156"/>
    </row>
    <row r="4701" spans="2:7" x14ac:dyDescent="0.2">
      <c r="B4701" s="230">
        <v>39069</v>
      </c>
      <c r="C4701" s="124">
        <v>57.69</v>
      </c>
      <c r="D4701" s="156">
        <f t="shared" si="74"/>
        <v>3.3500537441777098E-2</v>
      </c>
      <c r="E4701" s="156">
        <v>-2.5871061965366201E-2</v>
      </c>
      <c r="G4701" s="156"/>
    </row>
    <row r="4702" spans="2:7" x14ac:dyDescent="0.2">
      <c r="B4702" s="230">
        <v>39066</v>
      </c>
      <c r="C4702" s="124">
        <v>57.89</v>
      </c>
      <c r="D4702" s="156">
        <f t="shared" si="74"/>
        <v>3.4668053388802714E-3</v>
      </c>
      <c r="E4702" s="156">
        <v>-2.5871559633027459E-2</v>
      </c>
      <c r="G4702" s="156"/>
    </row>
    <row r="4703" spans="2:7" x14ac:dyDescent="0.2">
      <c r="B4703" s="230">
        <v>39065</v>
      </c>
      <c r="C4703" s="124">
        <v>58.61</v>
      </c>
      <c r="D4703" s="156">
        <f t="shared" si="74"/>
        <v>1.2437381240283277E-2</v>
      </c>
      <c r="E4703" s="156">
        <v>-2.5890441015139268E-2</v>
      </c>
      <c r="G4703" s="156"/>
    </row>
    <row r="4704" spans="2:7" x14ac:dyDescent="0.2">
      <c r="B4704" s="230">
        <v>39064</v>
      </c>
      <c r="C4704" s="124">
        <v>57.49</v>
      </c>
      <c r="D4704" s="156">
        <f t="shared" si="74"/>
        <v>-1.9109367002218009E-2</v>
      </c>
      <c r="E4704" s="156">
        <v>-2.5924702774108327E-2</v>
      </c>
      <c r="G4704" s="156"/>
    </row>
    <row r="4705" spans="2:7" x14ac:dyDescent="0.2">
      <c r="B4705" s="230">
        <v>39063</v>
      </c>
      <c r="C4705" s="124">
        <v>57.48</v>
      </c>
      <c r="D4705" s="156">
        <f t="shared" si="74"/>
        <v>-1.7394329448608656E-4</v>
      </c>
      <c r="E4705" s="156">
        <v>-2.5929091871209248E-2</v>
      </c>
      <c r="G4705" s="156"/>
    </row>
    <row r="4706" spans="2:7" x14ac:dyDescent="0.2">
      <c r="B4706" s="230">
        <v>39062</v>
      </c>
      <c r="C4706" s="124">
        <v>59.65</v>
      </c>
      <c r="D4706" s="156">
        <f t="shared" si="74"/>
        <v>3.7752261656228282E-2</v>
      </c>
      <c r="E4706" s="156">
        <v>-2.5955299206921519E-2</v>
      </c>
      <c r="G4706" s="156"/>
    </row>
    <row r="4707" spans="2:7" x14ac:dyDescent="0.2">
      <c r="B4707" s="230">
        <v>39059</v>
      </c>
      <c r="C4707" s="124">
        <v>61.36</v>
      </c>
      <c r="D4707" s="156">
        <f t="shared" si="74"/>
        <v>2.8667225481978222E-2</v>
      </c>
      <c r="E4707" s="156">
        <v>-2.6009012539184966E-2</v>
      </c>
      <c r="G4707" s="156"/>
    </row>
    <row r="4708" spans="2:7" x14ac:dyDescent="0.2">
      <c r="B4708" s="230">
        <v>39058</v>
      </c>
      <c r="C4708" s="124">
        <v>61.92</v>
      </c>
      <c r="D4708" s="156">
        <f t="shared" si="74"/>
        <v>9.1264667535854351E-3</v>
      </c>
      <c r="E4708" s="156">
        <v>-2.6029055690072536E-2</v>
      </c>
      <c r="G4708" s="156"/>
    </row>
    <row r="4709" spans="2:7" x14ac:dyDescent="0.2">
      <c r="B4709" s="230">
        <v>39057</v>
      </c>
      <c r="C4709" s="124">
        <v>62.42</v>
      </c>
      <c r="D4709" s="156">
        <f t="shared" si="74"/>
        <v>8.0749354005167952E-3</v>
      </c>
      <c r="E4709" s="156">
        <v>-2.6064129008063014E-2</v>
      </c>
      <c r="G4709" s="156"/>
    </row>
    <row r="4710" spans="2:7" x14ac:dyDescent="0.2">
      <c r="B4710" s="230">
        <v>39056</v>
      </c>
      <c r="C4710" s="124">
        <v>63.1</v>
      </c>
      <c r="D4710" s="156">
        <f t="shared" si="74"/>
        <v>1.0893944248638252E-2</v>
      </c>
      <c r="E4710" s="156">
        <v>-2.6116178588574158E-2</v>
      </c>
      <c r="G4710" s="156"/>
    </row>
    <row r="4711" spans="2:7" x14ac:dyDescent="0.2">
      <c r="B4711" s="230">
        <v>39055</v>
      </c>
      <c r="C4711" s="124">
        <v>62.77</v>
      </c>
      <c r="D4711" s="156">
        <f t="shared" si="74"/>
        <v>-5.2297939778129677E-3</v>
      </c>
      <c r="E4711" s="156">
        <v>-2.6135202219301972E-2</v>
      </c>
      <c r="G4711" s="156"/>
    </row>
    <row r="4712" spans="2:7" x14ac:dyDescent="0.2">
      <c r="B4712" s="230">
        <v>39052</v>
      </c>
      <c r="C4712" s="124">
        <v>62.24</v>
      </c>
      <c r="D4712" s="156">
        <f t="shared" si="74"/>
        <v>-8.4435239764218753E-3</v>
      </c>
      <c r="E4712" s="156">
        <v>-2.6146592370338714E-2</v>
      </c>
      <c r="G4712" s="156"/>
    </row>
    <row r="4713" spans="2:7" x14ac:dyDescent="0.2">
      <c r="B4713" s="230">
        <v>39051</v>
      </c>
      <c r="C4713" s="124">
        <v>61.36</v>
      </c>
      <c r="D4713" s="156">
        <f t="shared" si="74"/>
        <v>-1.4138817480719835E-2</v>
      </c>
      <c r="E4713" s="156">
        <v>-2.6151421399801471E-2</v>
      </c>
      <c r="G4713" s="156"/>
    </row>
    <row r="4714" spans="2:7" x14ac:dyDescent="0.2">
      <c r="B4714" s="230">
        <v>39050</v>
      </c>
      <c r="C4714" s="124">
        <v>61.06</v>
      </c>
      <c r="D4714" s="156">
        <f t="shared" si="74"/>
        <v>-4.8891786179921307E-3</v>
      </c>
      <c r="E4714" s="156">
        <v>-2.6277971669061817E-2</v>
      </c>
      <c r="G4714" s="156"/>
    </row>
    <row r="4715" spans="2:7" x14ac:dyDescent="0.2">
      <c r="B4715" s="230">
        <v>39049</v>
      </c>
      <c r="C4715" s="124">
        <v>59.53</v>
      </c>
      <c r="D4715" s="156">
        <f t="shared" si="74"/>
        <v>-2.5057320668195236E-2</v>
      </c>
      <c r="E4715" s="156">
        <v>-2.639175257731961E-2</v>
      </c>
      <c r="G4715" s="156"/>
    </row>
    <row r="4716" spans="2:7" x14ac:dyDescent="0.2">
      <c r="B4716" s="230">
        <v>39048</v>
      </c>
      <c r="C4716" s="124">
        <v>59.96</v>
      </c>
      <c r="D4716" s="156">
        <f t="shared" si="74"/>
        <v>7.2232487821266541E-3</v>
      </c>
      <c r="E4716" s="156">
        <v>-2.6393706116233741E-2</v>
      </c>
      <c r="G4716" s="156"/>
    </row>
    <row r="4717" spans="2:7" x14ac:dyDescent="0.2">
      <c r="B4717" s="230">
        <v>39045</v>
      </c>
      <c r="C4717" s="124">
        <v>59.53</v>
      </c>
      <c r="D4717" s="156">
        <f t="shared" si="74"/>
        <v>-7.1714476317544977E-3</v>
      </c>
      <c r="E4717" s="156">
        <v>-2.6500999218003276E-2</v>
      </c>
      <c r="G4717" s="156"/>
    </row>
    <row r="4718" spans="2:7" x14ac:dyDescent="0.2">
      <c r="B4718" s="230">
        <v>39044</v>
      </c>
      <c r="C4718" s="124">
        <v>59.4</v>
      </c>
      <c r="D4718" s="156">
        <f t="shared" si="74"/>
        <v>-2.1837728876197304E-3</v>
      </c>
      <c r="E4718" s="156">
        <v>-2.6553781027516002E-2</v>
      </c>
      <c r="G4718" s="156"/>
    </row>
    <row r="4719" spans="2:7" x14ac:dyDescent="0.2">
      <c r="B4719" s="230">
        <v>39043</v>
      </c>
      <c r="C4719" s="124">
        <v>60.11</v>
      </c>
      <c r="D4719" s="156">
        <f t="shared" si="74"/>
        <v>1.1952861952861967E-2</v>
      </c>
      <c r="E4719" s="156">
        <v>-2.6675068262970059E-2</v>
      </c>
      <c r="G4719" s="156"/>
    </row>
    <row r="4720" spans="2:7" x14ac:dyDescent="0.2">
      <c r="B4720" s="230">
        <v>39042</v>
      </c>
      <c r="C4720" s="124">
        <v>60.94</v>
      </c>
      <c r="D4720" s="156">
        <f t="shared" si="74"/>
        <v>1.3808018632507042E-2</v>
      </c>
      <c r="E4720" s="156">
        <v>-2.6676411474511125E-2</v>
      </c>
      <c r="G4720" s="156"/>
    </row>
    <row r="4721" spans="2:7" x14ac:dyDescent="0.2">
      <c r="B4721" s="230">
        <v>39041</v>
      </c>
      <c r="C4721" s="124">
        <v>59.09</v>
      </c>
      <c r="D4721" s="156">
        <f t="shared" si="74"/>
        <v>-3.0357728913685499E-2</v>
      </c>
      <c r="E4721" s="156">
        <v>-2.6684881602914323E-2</v>
      </c>
      <c r="G4721" s="156"/>
    </row>
    <row r="4722" spans="2:7" x14ac:dyDescent="0.2">
      <c r="B4722" s="230">
        <v>39038</v>
      </c>
      <c r="C4722" s="124">
        <v>60.25</v>
      </c>
      <c r="D4722" s="156">
        <f t="shared" si="74"/>
        <v>1.9631071247249898E-2</v>
      </c>
      <c r="E4722" s="156">
        <v>-2.6748563503071133E-2</v>
      </c>
      <c r="G4722" s="156"/>
    </row>
    <row r="4723" spans="2:7" x14ac:dyDescent="0.2">
      <c r="B4723" s="230">
        <v>39037</v>
      </c>
      <c r="C4723" s="124">
        <v>61.47</v>
      </c>
      <c r="D4723" s="156">
        <f t="shared" si="74"/>
        <v>2.0248962655601641E-2</v>
      </c>
      <c r="E4723" s="156">
        <v>-2.6805753927769821E-2</v>
      </c>
      <c r="G4723" s="156"/>
    </row>
    <row r="4724" spans="2:7" x14ac:dyDescent="0.2">
      <c r="B4724" s="230">
        <v>39036</v>
      </c>
      <c r="C4724" s="124">
        <v>61.57</v>
      </c>
      <c r="D4724" s="156">
        <f t="shared" si="74"/>
        <v>1.6268098259313718E-3</v>
      </c>
      <c r="E4724" s="156">
        <v>-2.6819011346504763E-2</v>
      </c>
      <c r="G4724" s="156"/>
    </row>
    <row r="4725" spans="2:7" x14ac:dyDescent="0.2">
      <c r="B4725" s="230">
        <v>39035</v>
      </c>
      <c r="C4725" s="124">
        <v>61.03</v>
      </c>
      <c r="D4725" s="156">
        <f t="shared" si="74"/>
        <v>-8.7705051161279697E-3</v>
      </c>
      <c r="E4725" s="156">
        <v>-2.6877308165777641E-2</v>
      </c>
      <c r="G4725" s="156"/>
    </row>
    <row r="4726" spans="2:7" x14ac:dyDescent="0.2">
      <c r="B4726" s="230">
        <v>39034</v>
      </c>
      <c r="C4726" s="124">
        <v>61.49</v>
      </c>
      <c r="D4726" s="156">
        <f t="shared" si="74"/>
        <v>7.5372767491397813E-3</v>
      </c>
      <c r="E4726" s="156">
        <v>-2.6883686905632649E-2</v>
      </c>
      <c r="G4726" s="156"/>
    </row>
    <row r="4727" spans="2:7" x14ac:dyDescent="0.2">
      <c r="B4727" s="230">
        <v>39031</v>
      </c>
      <c r="C4727" s="124">
        <v>61.65</v>
      </c>
      <c r="D4727" s="156">
        <f t="shared" si="74"/>
        <v>2.6020491136769649E-3</v>
      </c>
      <c r="E4727" s="156">
        <v>-2.7020060999183779E-2</v>
      </c>
      <c r="G4727" s="156"/>
    </row>
    <row r="4728" spans="2:7" x14ac:dyDescent="0.2">
      <c r="B4728" s="230">
        <v>39030</v>
      </c>
      <c r="C4728" s="124">
        <v>62</v>
      </c>
      <c r="D4728" s="156">
        <f t="shared" si="74"/>
        <v>5.6772100567721237E-3</v>
      </c>
      <c r="E4728" s="156">
        <v>-2.7050997782705075E-2</v>
      </c>
      <c r="G4728" s="156"/>
    </row>
    <row r="4729" spans="2:7" x14ac:dyDescent="0.2">
      <c r="B4729" s="230">
        <v>39029</v>
      </c>
      <c r="C4729" s="124">
        <v>61.47</v>
      </c>
      <c r="D4729" s="156">
        <f t="shared" si="74"/>
        <v>-8.5483870967742112E-3</v>
      </c>
      <c r="E4729" s="156">
        <v>-2.7118644067796634E-2</v>
      </c>
      <c r="G4729" s="156"/>
    </row>
    <row r="4730" spans="2:7" x14ac:dyDescent="0.2">
      <c r="B4730" s="230">
        <v>39028</v>
      </c>
      <c r="C4730" s="124">
        <v>62.62</v>
      </c>
      <c r="D4730" s="156">
        <f t="shared" si="74"/>
        <v>1.8708312998210488E-2</v>
      </c>
      <c r="E4730" s="156">
        <v>-2.7126726348463723E-2</v>
      </c>
      <c r="G4730" s="156"/>
    </row>
    <row r="4731" spans="2:7" x14ac:dyDescent="0.2">
      <c r="B4731" s="230">
        <v>39027</v>
      </c>
      <c r="C4731" s="124">
        <v>63.4</v>
      </c>
      <c r="D4731" s="156">
        <f t="shared" si="74"/>
        <v>1.2456084318109248E-2</v>
      </c>
      <c r="E4731" s="156">
        <v>-2.7133307117577686E-2</v>
      </c>
      <c r="G4731" s="156"/>
    </row>
    <row r="4732" spans="2:7" x14ac:dyDescent="0.2">
      <c r="B4732" s="230">
        <v>39024</v>
      </c>
      <c r="C4732" s="124">
        <v>62.1</v>
      </c>
      <c r="D4732" s="156">
        <f t="shared" si="74"/>
        <v>-2.0504731861198694E-2</v>
      </c>
      <c r="E4732" s="156">
        <v>-2.7146707739699589E-2</v>
      </c>
      <c r="G4732" s="156"/>
    </row>
    <row r="4733" spans="2:7" x14ac:dyDescent="0.2">
      <c r="B4733" s="230">
        <v>39023</v>
      </c>
      <c r="C4733" s="124">
        <v>62.48</v>
      </c>
      <c r="D4733" s="156">
        <f t="shared" si="74"/>
        <v>6.1191626409016981E-3</v>
      </c>
      <c r="E4733" s="156">
        <v>-2.7296587926509103E-2</v>
      </c>
      <c r="G4733" s="156"/>
    </row>
    <row r="4734" spans="2:7" x14ac:dyDescent="0.2">
      <c r="B4734" s="230">
        <v>39022</v>
      </c>
      <c r="C4734" s="124">
        <v>63.25</v>
      </c>
      <c r="D4734" s="156">
        <f t="shared" ref="D4734:D4797" si="75">(C4734-C4733)/C4733</f>
        <v>1.2323943661971882E-2</v>
      </c>
      <c r="E4734" s="156">
        <v>-2.7360356947426022E-2</v>
      </c>
      <c r="G4734" s="156"/>
    </row>
    <row r="4735" spans="2:7" x14ac:dyDescent="0.2">
      <c r="B4735" s="230">
        <v>39021</v>
      </c>
      <c r="C4735" s="124">
        <v>62.98</v>
      </c>
      <c r="D4735" s="156">
        <f t="shared" si="75"/>
        <v>-4.268774703557362E-3</v>
      </c>
      <c r="E4735" s="156">
        <v>-2.7439724454649803E-2</v>
      </c>
      <c r="G4735" s="156"/>
    </row>
    <row r="4736" spans="2:7" x14ac:dyDescent="0.2">
      <c r="B4736" s="230">
        <v>39020</v>
      </c>
      <c r="C4736" s="124">
        <v>62.14</v>
      </c>
      <c r="D4736" s="156">
        <f t="shared" si="75"/>
        <v>-1.3337567481740177E-2</v>
      </c>
      <c r="E4736" s="156">
        <v>-2.7481964960494699E-2</v>
      </c>
      <c r="G4736" s="156"/>
    </row>
    <row r="4737" spans="2:7" x14ac:dyDescent="0.2">
      <c r="B4737" s="230">
        <v>39017</v>
      </c>
      <c r="C4737" s="124">
        <v>62.22</v>
      </c>
      <c r="D4737" s="156">
        <f t="shared" si="75"/>
        <v>1.2874155133569085E-3</v>
      </c>
      <c r="E4737" s="156">
        <v>-2.7498001598721008E-2</v>
      </c>
      <c r="G4737" s="156"/>
    </row>
    <row r="4738" spans="2:7" x14ac:dyDescent="0.2">
      <c r="B4738" s="230">
        <v>39016</v>
      </c>
      <c r="C4738" s="124">
        <v>61.03</v>
      </c>
      <c r="D4738" s="156">
        <f t="shared" si="75"/>
        <v>-1.9125683060109252E-2</v>
      </c>
      <c r="E4738" s="156">
        <v>-2.7533918595371132E-2</v>
      </c>
      <c r="G4738" s="156"/>
    </row>
    <row r="4739" spans="2:7" x14ac:dyDescent="0.2">
      <c r="B4739" s="230">
        <v>39013</v>
      </c>
      <c r="C4739" s="124">
        <v>61.31</v>
      </c>
      <c r="D4739" s="156">
        <f t="shared" si="75"/>
        <v>4.58790758643292E-3</v>
      </c>
      <c r="E4739" s="156">
        <v>-2.766645119586297E-2</v>
      </c>
      <c r="G4739" s="156"/>
    </row>
    <row r="4740" spans="2:7" x14ac:dyDescent="0.2">
      <c r="B4740" s="230">
        <v>39011</v>
      </c>
      <c r="C4740" s="124">
        <v>62.53</v>
      </c>
      <c r="D4740" s="156">
        <f t="shared" si="75"/>
        <v>1.9898874571847965E-2</v>
      </c>
      <c r="E4740" s="156">
        <v>-2.7677185721675976E-2</v>
      </c>
      <c r="G4740" s="156"/>
    </row>
    <row r="4741" spans="2:7" x14ac:dyDescent="0.2">
      <c r="B4741" s="230">
        <v>39010</v>
      </c>
      <c r="C4741" s="124">
        <v>61.77</v>
      </c>
      <c r="D4741" s="156">
        <f t="shared" si="75"/>
        <v>-1.2154166000319815E-2</v>
      </c>
      <c r="E4741" s="156">
        <v>-2.7690371302706185E-2</v>
      </c>
      <c r="G4741" s="156"/>
    </row>
    <row r="4742" spans="2:7" x14ac:dyDescent="0.2">
      <c r="B4742" s="230">
        <v>39009</v>
      </c>
      <c r="C4742" s="124">
        <v>63.2</v>
      </c>
      <c r="D4742" s="156">
        <f t="shared" si="75"/>
        <v>2.3150396632669577E-2</v>
      </c>
      <c r="E4742" s="156">
        <v>-2.7744510978043924E-2</v>
      </c>
      <c r="G4742" s="156"/>
    </row>
    <row r="4743" spans="2:7" x14ac:dyDescent="0.2">
      <c r="B4743" s="230">
        <v>39008</v>
      </c>
      <c r="C4743" s="124">
        <v>64.510000000000005</v>
      </c>
      <c r="D4743" s="156">
        <f t="shared" si="75"/>
        <v>2.0727848101265857E-2</v>
      </c>
      <c r="E4743" s="156">
        <v>-2.7788303650372652E-2</v>
      </c>
      <c r="G4743" s="156"/>
    </row>
    <row r="4744" spans="2:7" x14ac:dyDescent="0.2">
      <c r="B4744" s="230">
        <v>39007</v>
      </c>
      <c r="C4744" s="124">
        <v>64.22</v>
      </c>
      <c r="D4744" s="156">
        <f t="shared" si="75"/>
        <v>-4.4954270655713259E-3</v>
      </c>
      <c r="E4744" s="156">
        <v>-2.7846754168144736E-2</v>
      </c>
      <c r="G4744" s="156"/>
    </row>
    <row r="4745" spans="2:7" x14ac:dyDescent="0.2">
      <c r="B4745" s="230">
        <v>39006</v>
      </c>
      <c r="C4745" s="124">
        <v>64.52</v>
      </c>
      <c r="D4745" s="156">
        <f t="shared" si="75"/>
        <v>4.6714419184054369E-3</v>
      </c>
      <c r="E4745" s="156">
        <v>-2.7908189880020837E-2</v>
      </c>
      <c r="G4745" s="156"/>
    </row>
    <row r="4746" spans="2:7" x14ac:dyDescent="0.2">
      <c r="B4746" s="230">
        <v>39003</v>
      </c>
      <c r="C4746" s="124">
        <v>62.57</v>
      </c>
      <c r="D4746" s="156">
        <f t="shared" si="75"/>
        <v>-3.0223186608803406E-2</v>
      </c>
      <c r="E4746" s="156">
        <v>-2.7943760984182737E-2</v>
      </c>
      <c r="G4746" s="156"/>
    </row>
    <row r="4747" spans="2:7" x14ac:dyDescent="0.2">
      <c r="B4747" s="230">
        <v>39002</v>
      </c>
      <c r="C4747" s="124">
        <v>61.67</v>
      </c>
      <c r="D4747" s="156">
        <f t="shared" si="75"/>
        <v>-1.4383890043151647E-2</v>
      </c>
      <c r="E4747" s="156">
        <v>-2.8035576179427795E-2</v>
      </c>
      <c r="G4747" s="156"/>
    </row>
    <row r="4748" spans="2:7" x14ac:dyDescent="0.2">
      <c r="B4748" s="230">
        <v>39001</v>
      </c>
      <c r="C4748" s="124">
        <v>61.49</v>
      </c>
      <c r="D4748" s="156">
        <f t="shared" si="75"/>
        <v>-2.918761148046047E-3</v>
      </c>
      <c r="E4748" s="156">
        <v>-2.8127947860389343E-2</v>
      </c>
      <c r="G4748" s="156"/>
    </row>
    <row r="4749" spans="2:7" x14ac:dyDescent="0.2">
      <c r="B4749" s="230">
        <v>39000</v>
      </c>
      <c r="C4749" s="124">
        <v>61.36</v>
      </c>
      <c r="D4749" s="156">
        <f t="shared" si="75"/>
        <v>-2.114164904862621E-3</v>
      </c>
      <c r="E4749" s="156">
        <v>-2.8145996005084436E-2</v>
      </c>
      <c r="G4749" s="156"/>
    </row>
    <row r="4750" spans="2:7" x14ac:dyDescent="0.2">
      <c r="B4750" s="230">
        <v>38999</v>
      </c>
      <c r="C4750" s="124">
        <v>61.24</v>
      </c>
      <c r="D4750" s="156">
        <f t="shared" si="75"/>
        <v>-1.9556714471968295E-3</v>
      </c>
      <c r="E4750" s="156">
        <v>-2.8195726387659617E-2</v>
      </c>
      <c r="G4750" s="156"/>
    </row>
    <row r="4751" spans="2:7" x14ac:dyDescent="0.2">
      <c r="B4751" s="230">
        <v>38996</v>
      </c>
      <c r="C4751" s="124">
        <v>61.17</v>
      </c>
      <c r="D4751" s="156">
        <f t="shared" si="75"/>
        <v>-1.1430437622469022E-3</v>
      </c>
      <c r="E4751" s="156">
        <v>-2.8264645507658285E-2</v>
      </c>
      <c r="G4751" s="156"/>
    </row>
    <row r="4752" spans="2:7" x14ac:dyDescent="0.2">
      <c r="B4752" s="230">
        <v>38995</v>
      </c>
      <c r="C4752" s="124">
        <v>62.05</v>
      </c>
      <c r="D4752" s="156">
        <f t="shared" si="75"/>
        <v>1.4386136995259039E-2</v>
      </c>
      <c r="E4752" s="156">
        <v>-2.8326180257510665E-2</v>
      </c>
      <c r="G4752" s="156"/>
    </row>
    <row r="4753" spans="2:7" x14ac:dyDescent="0.2">
      <c r="B4753" s="230">
        <v>38994</v>
      </c>
      <c r="C4753" s="124">
        <v>61.34</v>
      </c>
      <c r="D4753" s="156">
        <f t="shared" si="75"/>
        <v>-1.144238517324728E-2</v>
      </c>
      <c r="E4753" s="156">
        <v>-2.8344279294849648E-2</v>
      </c>
      <c r="G4753" s="156"/>
    </row>
    <row r="4754" spans="2:7" x14ac:dyDescent="0.2">
      <c r="B4754" s="230">
        <v>38993</v>
      </c>
      <c r="C4754" s="124">
        <v>62.27</v>
      </c>
      <c r="D4754" s="156">
        <f t="shared" si="75"/>
        <v>1.5161395500489071E-2</v>
      </c>
      <c r="E4754" s="156">
        <v>-2.8449502133712661E-2</v>
      </c>
      <c r="G4754" s="156"/>
    </row>
    <row r="4755" spans="2:7" x14ac:dyDescent="0.2">
      <c r="B4755" s="230">
        <v>38989</v>
      </c>
      <c r="C4755" s="124">
        <v>62.22</v>
      </c>
      <c r="D4755" s="156">
        <f t="shared" si="75"/>
        <v>-8.0295487393615319E-4</v>
      </c>
      <c r="E4755" s="156">
        <v>-2.8474212034383915E-2</v>
      </c>
      <c r="G4755" s="156"/>
    </row>
    <row r="4756" spans="2:7" x14ac:dyDescent="0.2">
      <c r="B4756" s="230">
        <v>38988</v>
      </c>
      <c r="C4756" s="124">
        <v>61.09</v>
      </c>
      <c r="D4756" s="156">
        <f t="shared" si="75"/>
        <v>-1.8161362905817994E-2</v>
      </c>
      <c r="E4756" s="156">
        <v>-2.8495942630685129E-2</v>
      </c>
      <c r="G4756" s="156"/>
    </row>
    <row r="4757" spans="2:7" x14ac:dyDescent="0.2">
      <c r="B4757" s="230">
        <v>38987</v>
      </c>
      <c r="C4757" s="124">
        <v>61.54</v>
      </c>
      <c r="D4757" s="156">
        <f t="shared" si="75"/>
        <v>7.366181044360709E-3</v>
      </c>
      <c r="E4757" s="156">
        <v>-2.8573588328671868E-2</v>
      </c>
      <c r="G4757" s="156"/>
    </row>
    <row r="4758" spans="2:7" x14ac:dyDescent="0.2">
      <c r="B4758" s="230">
        <v>38986</v>
      </c>
      <c r="C4758" s="124">
        <v>60.91</v>
      </c>
      <c r="D4758" s="156">
        <f t="shared" si="75"/>
        <v>-1.0237244068898319E-2</v>
      </c>
      <c r="E4758" s="156">
        <v>-2.8639023782841513E-2</v>
      </c>
      <c r="G4758" s="156"/>
    </row>
    <row r="4759" spans="2:7" x14ac:dyDescent="0.2">
      <c r="B4759" s="230">
        <v>38985</v>
      </c>
      <c r="C4759" s="124">
        <v>61.14</v>
      </c>
      <c r="D4759" s="156">
        <f t="shared" si="75"/>
        <v>3.776063043835232E-3</v>
      </c>
      <c r="E4759" s="156">
        <v>-2.8648734680884882E-2</v>
      </c>
      <c r="G4759" s="156"/>
    </row>
    <row r="4760" spans="2:7" x14ac:dyDescent="0.2">
      <c r="B4760" s="230">
        <v>38982</v>
      </c>
      <c r="C4760" s="124">
        <v>62.32</v>
      </c>
      <c r="D4760" s="156">
        <f t="shared" si="75"/>
        <v>1.9299967288191031E-2</v>
      </c>
      <c r="E4760" s="156">
        <v>-2.8649386084583988E-2</v>
      </c>
      <c r="G4760" s="156"/>
    </row>
    <row r="4761" spans="2:7" x14ac:dyDescent="0.2">
      <c r="B4761" s="230">
        <v>38981</v>
      </c>
      <c r="C4761" s="124">
        <v>63.2</v>
      </c>
      <c r="D4761" s="156">
        <f t="shared" si="75"/>
        <v>1.412066752246474E-2</v>
      </c>
      <c r="E4761" s="156">
        <v>-2.866551272850083E-2</v>
      </c>
      <c r="G4761" s="156"/>
    </row>
    <row r="4762" spans="2:7" x14ac:dyDescent="0.2">
      <c r="B4762" s="230">
        <v>38980</v>
      </c>
      <c r="C4762" s="124">
        <v>62.09</v>
      </c>
      <c r="D4762" s="156">
        <f t="shared" si="75"/>
        <v>-1.7563291139240496E-2</v>
      </c>
      <c r="E4762" s="156">
        <v>-2.8907922912205647E-2</v>
      </c>
      <c r="G4762" s="156"/>
    </row>
    <row r="4763" spans="2:7" x14ac:dyDescent="0.2">
      <c r="B4763" s="230">
        <v>38979</v>
      </c>
      <c r="C4763" s="124">
        <v>61.03</v>
      </c>
      <c r="D4763" s="156">
        <f t="shared" si="75"/>
        <v>-1.7071992269286556E-2</v>
      </c>
      <c r="E4763" s="156">
        <v>-2.8938906752411606E-2</v>
      </c>
      <c r="G4763" s="156"/>
    </row>
    <row r="4764" spans="2:7" x14ac:dyDescent="0.2">
      <c r="B4764" s="230">
        <v>38978</v>
      </c>
      <c r="C4764" s="124">
        <v>62.07</v>
      </c>
      <c r="D4764" s="156">
        <f t="shared" si="75"/>
        <v>1.7040799606750763E-2</v>
      </c>
      <c r="E4764" s="156">
        <v>-2.8962076770289665E-2</v>
      </c>
      <c r="G4764" s="156"/>
    </row>
    <row r="4765" spans="2:7" x14ac:dyDescent="0.2">
      <c r="B4765" s="230">
        <v>38975</v>
      </c>
      <c r="C4765" s="124">
        <v>60.48</v>
      </c>
      <c r="D4765" s="156">
        <f t="shared" si="75"/>
        <v>-2.5616239729337898E-2</v>
      </c>
      <c r="E4765" s="156">
        <v>-2.9000698812019606E-2</v>
      </c>
      <c r="G4765" s="156"/>
    </row>
    <row r="4766" spans="2:7" x14ac:dyDescent="0.2">
      <c r="B4766" s="230">
        <v>38974</v>
      </c>
      <c r="C4766" s="124">
        <v>60.69</v>
      </c>
      <c r="D4766" s="156">
        <f t="shared" si="75"/>
        <v>3.4722222222222363E-3</v>
      </c>
      <c r="E4766" s="156">
        <v>-2.9044834307992158E-2</v>
      </c>
      <c r="G4766" s="156"/>
    </row>
    <row r="4767" spans="2:7" x14ac:dyDescent="0.2">
      <c r="B4767" s="230">
        <v>38973</v>
      </c>
      <c r="C4767" s="124">
        <v>60.61</v>
      </c>
      <c r="D4767" s="156">
        <f t="shared" si="75"/>
        <v>-1.3181743285549234E-3</v>
      </c>
      <c r="E4767" s="156">
        <v>-2.907306022276759E-2</v>
      </c>
      <c r="G4767" s="156"/>
    </row>
    <row r="4768" spans="2:7" x14ac:dyDescent="0.2">
      <c r="B4768" s="230">
        <v>38972</v>
      </c>
      <c r="C4768" s="124">
        <v>60.21</v>
      </c>
      <c r="D4768" s="156">
        <f t="shared" si="75"/>
        <v>-6.5995710278831639E-3</v>
      </c>
      <c r="E4768" s="156">
        <v>-2.9220779220779175E-2</v>
      </c>
      <c r="G4768" s="156"/>
    </row>
    <row r="4769" spans="2:7" x14ac:dyDescent="0.2">
      <c r="B4769" s="230">
        <v>38971</v>
      </c>
      <c r="C4769" s="124">
        <v>60.36</v>
      </c>
      <c r="D4769" s="156">
        <f t="shared" si="75"/>
        <v>2.4912805181863239E-3</v>
      </c>
      <c r="E4769" s="156">
        <v>-2.9225092250922444E-2</v>
      </c>
      <c r="G4769" s="156"/>
    </row>
    <row r="4770" spans="2:7" x14ac:dyDescent="0.2">
      <c r="B4770" s="230">
        <v>38968</v>
      </c>
      <c r="C4770" s="124">
        <v>62.3</v>
      </c>
      <c r="D4770" s="156">
        <f t="shared" si="75"/>
        <v>3.2140490390987368E-2</v>
      </c>
      <c r="E4770" s="156">
        <v>-2.9278550630863834E-2</v>
      </c>
      <c r="G4770" s="156"/>
    </row>
    <row r="4771" spans="2:7" x14ac:dyDescent="0.2">
      <c r="B4771" s="230">
        <v>38967</v>
      </c>
      <c r="C4771" s="124">
        <v>61.64</v>
      </c>
      <c r="D4771" s="156">
        <f t="shared" si="75"/>
        <v>-1.0593900481540876E-2</v>
      </c>
      <c r="E4771" s="156">
        <v>-2.9363784665579075E-2</v>
      </c>
      <c r="G4771" s="156"/>
    </row>
    <row r="4772" spans="2:7" x14ac:dyDescent="0.2">
      <c r="B4772" s="230">
        <v>38966</v>
      </c>
      <c r="C4772" s="124">
        <v>62.68</v>
      </c>
      <c r="D4772" s="156">
        <f t="shared" si="75"/>
        <v>1.687216093445813E-2</v>
      </c>
      <c r="E4772" s="156">
        <v>-2.9656587556622496E-2</v>
      </c>
      <c r="G4772" s="156"/>
    </row>
    <row r="4773" spans="2:7" x14ac:dyDescent="0.2">
      <c r="B4773" s="230">
        <v>38965</v>
      </c>
      <c r="C4773" s="124">
        <v>62.22</v>
      </c>
      <c r="D4773" s="156">
        <f t="shared" si="75"/>
        <v>-7.3388640714741682E-3</v>
      </c>
      <c r="E4773" s="156">
        <v>-2.9695091305076242E-2</v>
      </c>
      <c r="G4773" s="156"/>
    </row>
    <row r="4774" spans="2:7" x14ac:dyDescent="0.2">
      <c r="B4774" s="230">
        <v>38964</v>
      </c>
      <c r="C4774" s="124">
        <v>63.03</v>
      </c>
      <c r="D4774" s="156">
        <f t="shared" si="75"/>
        <v>1.301832208293157E-2</v>
      </c>
      <c r="E4774" s="156">
        <v>-2.9712021941185371E-2</v>
      </c>
      <c r="G4774" s="156"/>
    </row>
    <row r="4775" spans="2:7" x14ac:dyDescent="0.2">
      <c r="B4775" s="230">
        <v>38961</v>
      </c>
      <c r="C4775" s="124">
        <v>62.83</v>
      </c>
      <c r="D4775" s="156">
        <f t="shared" si="75"/>
        <v>-3.1730921783278253E-3</v>
      </c>
      <c r="E4775" s="156">
        <v>-2.9723825869870511E-2</v>
      </c>
      <c r="G4775" s="156"/>
    </row>
    <row r="4776" spans="2:7" x14ac:dyDescent="0.2">
      <c r="B4776" s="230">
        <v>38960</v>
      </c>
      <c r="C4776" s="124">
        <v>63.48</v>
      </c>
      <c r="D4776" s="156">
        <f t="shared" si="75"/>
        <v>1.0345376412541758E-2</v>
      </c>
      <c r="E4776" s="156">
        <v>-2.9724770642201918E-2</v>
      </c>
      <c r="G4776" s="156"/>
    </row>
    <row r="4777" spans="2:7" x14ac:dyDescent="0.2">
      <c r="B4777" s="230">
        <v>38959</v>
      </c>
      <c r="C4777" s="124">
        <v>62.1</v>
      </c>
      <c r="D4777" s="156">
        <f t="shared" si="75"/>
        <v>-2.1739130434782539E-2</v>
      </c>
      <c r="E4777" s="156">
        <v>-2.9752637951911413E-2</v>
      </c>
      <c r="G4777" s="156"/>
    </row>
    <row r="4778" spans="2:7" x14ac:dyDescent="0.2">
      <c r="B4778" s="230">
        <v>38958</v>
      </c>
      <c r="C4778" s="124">
        <v>61.21</v>
      </c>
      <c r="D4778" s="156">
        <f t="shared" si="75"/>
        <v>-1.4331723027375211E-2</v>
      </c>
      <c r="E4778" s="156">
        <v>-2.982716049382712E-2</v>
      </c>
      <c r="G4778" s="156"/>
    </row>
    <row r="4779" spans="2:7" x14ac:dyDescent="0.2">
      <c r="B4779" s="230">
        <v>38957</v>
      </c>
      <c r="C4779" s="124">
        <v>59.7</v>
      </c>
      <c r="D4779" s="156">
        <f t="shared" si="75"/>
        <v>-2.4669171703969907E-2</v>
      </c>
      <c r="E4779" s="156">
        <v>-2.9899651853368851E-2</v>
      </c>
      <c r="G4779" s="156"/>
    </row>
    <row r="4780" spans="2:7" x14ac:dyDescent="0.2">
      <c r="B4780" s="230">
        <v>38954</v>
      </c>
      <c r="C4780" s="124">
        <v>59.72</v>
      </c>
      <c r="D4780" s="156">
        <f t="shared" si="75"/>
        <v>3.3500837520931357E-4</v>
      </c>
      <c r="E4780" s="156">
        <v>-3.0091438071487866E-2</v>
      </c>
      <c r="G4780" s="156"/>
    </row>
    <row r="4781" spans="2:7" x14ac:dyDescent="0.2">
      <c r="B4781" s="230">
        <v>38953</v>
      </c>
      <c r="C4781" s="124">
        <v>59.68</v>
      </c>
      <c r="D4781" s="156">
        <f t="shared" si="75"/>
        <v>-6.6979236436703199E-4</v>
      </c>
      <c r="E4781" s="156">
        <v>-3.0101694915254221E-2</v>
      </c>
      <c r="G4781" s="156"/>
    </row>
    <row r="4782" spans="2:7" x14ac:dyDescent="0.2">
      <c r="B4782" s="230">
        <v>38952</v>
      </c>
      <c r="C4782" s="124">
        <v>59.27</v>
      </c>
      <c r="D4782" s="156">
        <f t="shared" si="75"/>
        <v>-6.8699731903484685E-3</v>
      </c>
      <c r="E4782" s="156">
        <v>-3.0136500620457366E-2</v>
      </c>
      <c r="G4782" s="156"/>
    </row>
    <row r="4783" spans="2:7" x14ac:dyDescent="0.2">
      <c r="B4783" s="230">
        <v>38951</v>
      </c>
      <c r="C4783" s="124">
        <v>60.3</v>
      </c>
      <c r="D4783" s="156">
        <f t="shared" si="75"/>
        <v>1.7378100219335144E-2</v>
      </c>
      <c r="E4783" s="156">
        <v>-3.0223186608803406E-2</v>
      </c>
      <c r="G4783" s="156"/>
    </row>
    <row r="4784" spans="2:7" x14ac:dyDescent="0.2">
      <c r="B4784" s="230">
        <v>38950</v>
      </c>
      <c r="C4784" s="124">
        <v>59.91</v>
      </c>
      <c r="D4784" s="156">
        <f t="shared" si="75"/>
        <v>-6.4676616915422987E-3</v>
      </c>
      <c r="E4784" s="156">
        <v>-3.0357728913685499E-2</v>
      </c>
      <c r="G4784" s="156"/>
    </row>
    <row r="4785" spans="2:7" x14ac:dyDescent="0.2">
      <c r="B4785" s="230">
        <v>38947</v>
      </c>
      <c r="C4785" s="124">
        <v>59.58</v>
      </c>
      <c r="D4785" s="156">
        <f t="shared" si="75"/>
        <v>-5.5082623935903572E-3</v>
      </c>
      <c r="E4785" s="156">
        <v>-3.0367770486799967E-2</v>
      </c>
      <c r="G4785" s="156"/>
    </row>
    <row r="4786" spans="2:7" x14ac:dyDescent="0.2">
      <c r="B4786" s="230">
        <v>38946</v>
      </c>
      <c r="C4786" s="124">
        <v>60.03</v>
      </c>
      <c r="D4786" s="156">
        <f t="shared" si="75"/>
        <v>7.5528700906344892E-3</v>
      </c>
      <c r="E4786" s="156">
        <v>-3.0497298287388942E-2</v>
      </c>
      <c r="G4786" s="156"/>
    </row>
    <row r="4787" spans="2:7" x14ac:dyDescent="0.2">
      <c r="B4787" s="230">
        <v>38945</v>
      </c>
      <c r="C4787" s="124">
        <v>59.96</v>
      </c>
      <c r="D4787" s="156">
        <f t="shared" si="75"/>
        <v>-1.1660836248542444E-3</v>
      </c>
      <c r="E4787" s="156">
        <v>-3.0550621669626979E-2</v>
      </c>
      <c r="G4787" s="156"/>
    </row>
    <row r="4788" spans="2:7" x14ac:dyDescent="0.2">
      <c r="B4788" s="230">
        <v>38943</v>
      </c>
      <c r="C4788" s="124">
        <v>59.19</v>
      </c>
      <c r="D4788" s="156">
        <f t="shared" si="75"/>
        <v>-1.284189459639765E-2</v>
      </c>
      <c r="E4788" s="156">
        <v>-3.0580539656582251E-2</v>
      </c>
      <c r="G4788" s="156"/>
    </row>
    <row r="4789" spans="2:7" x14ac:dyDescent="0.2">
      <c r="B4789" s="230">
        <v>38940</v>
      </c>
      <c r="C4789" s="124">
        <v>58.09</v>
      </c>
      <c r="D4789" s="156">
        <f t="shared" si="75"/>
        <v>-1.8584220307484276E-2</v>
      </c>
      <c r="E4789" s="156">
        <v>-3.0595223564831693E-2</v>
      </c>
      <c r="G4789" s="156"/>
    </row>
    <row r="4790" spans="2:7" x14ac:dyDescent="0.2">
      <c r="B4790" s="230">
        <v>38939</v>
      </c>
      <c r="C4790" s="124">
        <v>58.44</v>
      </c>
      <c r="D4790" s="156">
        <f t="shared" si="75"/>
        <v>6.0251334136683472E-3</v>
      </c>
      <c r="E4790" s="156">
        <v>-3.0670043748560884E-2</v>
      </c>
      <c r="G4790" s="156"/>
    </row>
    <row r="4791" spans="2:7" x14ac:dyDescent="0.2">
      <c r="B4791" s="230">
        <v>38938</v>
      </c>
      <c r="C4791" s="124">
        <v>59.27</v>
      </c>
      <c r="D4791" s="156">
        <f t="shared" si="75"/>
        <v>1.4202600958247869E-2</v>
      </c>
      <c r="E4791" s="156">
        <v>-3.0681227249089896E-2</v>
      </c>
      <c r="G4791" s="156"/>
    </row>
    <row r="4792" spans="2:7" x14ac:dyDescent="0.2">
      <c r="B4792" s="230">
        <v>38937</v>
      </c>
      <c r="C4792" s="124">
        <v>57.1</v>
      </c>
      <c r="D4792" s="156">
        <f t="shared" si="75"/>
        <v>-3.6612114054327682E-2</v>
      </c>
      <c r="E4792" s="156">
        <v>-3.0693870213913409E-2</v>
      </c>
      <c r="G4792" s="156"/>
    </row>
    <row r="4793" spans="2:7" x14ac:dyDescent="0.2">
      <c r="B4793" s="230">
        <v>38936</v>
      </c>
      <c r="C4793" s="124">
        <v>55.82</v>
      </c>
      <c r="D4793" s="156">
        <f t="shared" si="75"/>
        <v>-2.2416812609457111E-2</v>
      </c>
      <c r="E4793" s="156">
        <v>-3.0816213214880605E-2</v>
      </c>
      <c r="G4793" s="156"/>
    </row>
    <row r="4794" spans="2:7" x14ac:dyDescent="0.2">
      <c r="B4794" s="230">
        <v>38933</v>
      </c>
      <c r="C4794" s="124">
        <v>55.75</v>
      </c>
      <c r="D4794" s="156">
        <f t="shared" si="75"/>
        <v>-1.2540308133285611E-3</v>
      </c>
      <c r="E4794" s="156">
        <v>-3.0894308943089456E-2</v>
      </c>
      <c r="G4794" s="156"/>
    </row>
    <row r="4795" spans="2:7" x14ac:dyDescent="0.2">
      <c r="B4795" s="230">
        <v>38932</v>
      </c>
      <c r="C4795" s="124">
        <v>57</v>
      </c>
      <c r="D4795" s="156">
        <f t="shared" si="75"/>
        <v>2.2421524663677129E-2</v>
      </c>
      <c r="E4795" s="156">
        <v>-3.0936743864500505E-2</v>
      </c>
      <c r="G4795" s="156"/>
    </row>
    <row r="4796" spans="2:7" x14ac:dyDescent="0.2">
      <c r="B4796" s="230">
        <v>38931</v>
      </c>
      <c r="C4796" s="124">
        <v>57.48</v>
      </c>
      <c r="D4796" s="156">
        <f t="shared" si="75"/>
        <v>8.4210526315788917E-3</v>
      </c>
      <c r="E4796" s="156">
        <v>-3.09715120525932E-2</v>
      </c>
      <c r="G4796" s="156"/>
    </row>
    <row r="4797" spans="2:7" x14ac:dyDescent="0.2">
      <c r="B4797" s="230">
        <v>38930</v>
      </c>
      <c r="C4797" s="124">
        <v>56.1</v>
      </c>
      <c r="D4797" s="156">
        <f t="shared" si="75"/>
        <v>-2.4008350730688858E-2</v>
      </c>
      <c r="E4797" s="156">
        <v>-3.111858704793935E-2</v>
      </c>
      <c r="G4797" s="156"/>
    </row>
    <row r="4798" spans="2:7" x14ac:dyDescent="0.2">
      <c r="B4798" s="230">
        <v>38929</v>
      </c>
      <c r="C4798" s="124">
        <v>55.49</v>
      </c>
      <c r="D4798" s="156">
        <f t="shared" ref="D4798:D4861" si="76">(C4798-C4797)/C4797</f>
        <v>-1.0873440285204981E-2</v>
      </c>
      <c r="E4798" s="156">
        <v>-3.1138371874412485E-2</v>
      </c>
      <c r="G4798" s="156"/>
    </row>
    <row r="4799" spans="2:7" x14ac:dyDescent="0.2">
      <c r="B4799" s="230">
        <v>38926</v>
      </c>
      <c r="C4799" s="124">
        <v>54.54</v>
      </c>
      <c r="D4799" s="156">
        <f t="shared" si="76"/>
        <v>-1.7120201838169091E-2</v>
      </c>
      <c r="E4799" s="156">
        <v>-3.1204051625551441E-2</v>
      </c>
      <c r="G4799" s="156"/>
    </row>
    <row r="4800" spans="2:7" x14ac:dyDescent="0.2">
      <c r="B4800" s="230">
        <v>38925</v>
      </c>
      <c r="C4800" s="124">
        <v>55.34</v>
      </c>
      <c r="D4800" s="156">
        <f t="shared" si="76"/>
        <v>1.4668133480014747E-2</v>
      </c>
      <c r="E4800" s="156">
        <v>-3.1274433150899138E-2</v>
      </c>
      <c r="G4800" s="156"/>
    </row>
    <row r="4801" spans="2:7" x14ac:dyDescent="0.2">
      <c r="B4801" s="230">
        <v>38924</v>
      </c>
      <c r="C4801" s="124">
        <v>55.69</v>
      </c>
      <c r="D4801" s="156">
        <f t="shared" si="76"/>
        <v>6.324539212143012E-3</v>
      </c>
      <c r="E4801" s="156">
        <v>-3.1290743155150007E-2</v>
      </c>
      <c r="G4801" s="156"/>
    </row>
    <row r="4802" spans="2:7" x14ac:dyDescent="0.2">
      <c r="B4802" s="230">
        <v>38923</v>
      </c>
      <c r="C4802" s="124">
        <v>54.4</v>
      </c>
      <c r="D4802" s="156">
        <f t="shared" si="76"/>
        <v>-2.3163943257317278E-2</v>
      </c>
      <c r="E4802" s="156">
        <v>-3.1701444622792847E-2</v>
      </c>
      <c r="G4802" s="156"/>
    </row>
    <row r="4803" spans="2:7" x14ac:dyDescent="0.2">
      <c r="B4803" s="230">
        <v>38922</v>
      </c>
      <c r="C4803" s="124">
        <v>54.48</v>
      </c>
      <c r="D4803" s="156">
        <f t="shared" si="76"/>
        <v>1.4705882352940864E-3</v>
      </c>
      <c r="E4803" s="156">
        <v>-3.1704967662033956E-2</v>
      </c>
      <c r="G4803" s="156"/>
    </row>
    <row r="4804" spans="2:7" x14ac:dyDescent="0.2">
      <c r="B4804" s="230">
        <v>38919</v>
      </c>
      <c r="C4804" s="124">
        <v>55.46</v>
      </c>
      <c r="D4804" s="156">
        <f t="shared" si="76"/>
        <v>1.7988252569750441E-2</v>
      </c>
      <c r="E4804" s="156">
        <v>-3.1741952065797066E-2</v>
      </c>
      <c r="G4804" s="156"/>
    </row>
    <row r="4805" spans="2:7" x14ac:dyDescent="0.2">
      <c r="B4805" s="230">
        <v>38918</v>
      </c>
      <c r="C4805" s="124">
        <v>58.03</v>
      </c>
      <c r="D4805" s="156">
        <f t="shared" si="76"/>
        <v>4.6339704291381179E-2</v>
      </c>
      <c r="E4805" s="156">
        <v>-3.1785306433193793E-2</v>
      </c>
      <c r="G4805" s="156"/>
    </row>
    <row r="4806" spans="2:7" x14ac:dyDescent="0.2">
      <c r="B4806" s="230">
        <v>38917</v>
      </c>
      <c r="C4806" s="124">
        <v>55.52</v>
      </c>
      <c r="D4806" s="156">
        <f t="shared" si="76"/>
        <v>-4.3253489574358053E-2</v>
      </c>
      <c r="E4806" s="156">
        <v>-3.1790997796663459E-2</v>
      </c>
      <c r="G4806" s="156"/>
    </row>
    <row r="4807" spans="2:7" x14ac:dyDescent="0.2">
      <c r="B4807" s="230">
        <v>38916</v>
      </c>
      <c r="C4807" s="124">
        <v>56.24</v>
      </c>
      <c r="D4807" s="156">
        <f t="shared" si="76"/>
        <v>1.2968299711815541E-2</v>
      </c>
      <c r="E4807" s="156">
        <v>-3.1912744900020162E-2</v>
      </c>
      <c r="G4807" s="156"/>
    </row>
    <row r="4808" spans="2:7" x14ac:dyDescent="0.2">
      <c r="B4808" s="230">
        <v>38915</v>
      </c>
      <c r="C4808" s="124">
        <v>57.05</v>
      </c>
      <c r="D4808" s="156">
        <f t="shared" si="76"/>
        <v>1.4402560455191948E-2</v>
      </c>
      <c r="E4808" s="156">
        <v>-3.1950672645740003E-2</v>
      </c>
      <c r="G4808" s="156"/>
    </row>
    <row r="4809" spans="2:7" x14ac:dyDescent="0.2">
      <c r="B4809" s="230">
        <v>38912</v>
      </c>
      <c r="C4809" s="124">
        <v>58.52</v>
      </c>
      <c r="D4809" s="156">
        <f t="shared" si="76"/>
        <v>2.5766871165644276E-2</v>
      </c>
      <c r="E4809" s="156">
        <v>-3.1976166832174767E-2</v>
      </c>
      <c r="G4809" s="156"/>
    </row>
    <row r="4810" spans="2:7" x14ac:dyDescent="0.2">
      <c r="B4810" s="230">
        <v>38911</v>
      </c>
      <c r="C4810" s="124">
        <v>60.05</v>
      </c>
      <c r="D4810" s="156">
        <f t="shared" si="76"/>
        <v>2.6144907723854988E-2</v>
      </c>
      <c r="E4810" s="156">
        <v>-3.2091097308488616E-2</v>
      </c>
      <c r="G4810" s="156"/>
    </row>
    <row r="4811" spans="2:7" x14ac:dyDescent="0.2">
      <c r="B4811" s="230">
        <v>38910</v>
      </c>
      <c r="C4811" s="124">
        <v>60.15</v>
      </c>
      <c r="D4811" s="156">
        <f t="shared" si="76"/>
        <v>1.6652789342215058E-3</v>
      </c>
      <c r="E4811" s="156">
        <v>-3.23914541695383E-2</v>
      </c>
      <c r="G4811" s="156"/>
    </row>
    <row r="4812" spans="2:7" x14ac:dyDescent="0.2">
      <c r="B4812" s="230">
        <v>38909</v>
      </c>
      <c r="C4812" s="124">
        <v>58.34</v>
      </c>
      <c r="D4812" s="156">
        <f t="shared" si="76"/>
        <v>-3.0091438071487866E-2</v>
      </c>
      <c r="E4812" s="156">
        <v>-3.2479190468418503E-2</v>
      </c>
      <c r="G4812" s="156"/>
    </row>
    <row r="4813" spans="2:7" x14ac:dyDescent="0.2">
      <c r="B4813" s="230">
        <v>38908</v>
      </c>
      <c r="C4813" s="124">
        <v>58.04</v>
      </c>
      <c r="D4813" s="156">
        <f t="shared" si="76"/>
        <v>-5.1422694549195106E-3</v>
      </c>
      <c r="E4813" s="156">
        <v>-3.2485369640511151E-2</v>
      </c>
      <c r="G4813" s="156"/>
    </row>
    <row r="4814" spans="2:7" x14ac:dyDescent="0.2">
      <c r="B4814" s="230">
        <v>38905</v>
      </c>
      <c r="C4814" s="124">
        <v>58.04</v>
      </c>
      <c r="D4814" s="156">
        <f t="shared" si="76"/>
        <v>0</v>
      </c>
      <c r="E4814" s="156">
        <v>-3.2537023024537912E-2</v>
      </c>
      <c r="G4814" s="156"/>
    </row>
    <row r="4815" spans="2:7" x14ac:dyDescent="0.2">
      <c r="B4815" s="230">
        <v>38904</v>
      </c>
      <c r="C4815" s="124">
        <v>60.18</v>
      </c>
      <c r="D4815" s="156">
        <f t="shared" si="76"/>
        <v>3.6871123363197804E-2</v>
      </c>
      <c r="E4815" s="156">
        <v>-3.2586234302972458E-2</v>
      </c>
      <c r="G4815" s="156"/>
    </row>
    <row r="4816" spans="2:7" x14ac:dyDescent="0.2">
      <c r="B4816" s="230">
        <v>38903</v>
      </c>
      <c r="C4816" s="124">
        <v>61.21</v>
      </c>
      <c r="D4816" s="156">
        <f t="shared" si="76"/>
        <v>1.7115320704553027E-2</v>
      </c>
      <c r="E4816" s="156">
        <v>-3.2618972581153489E-2</v>
      </c>
      <c r="G4816" s="156"/>
    </row>
    <row r="4817" spans="2:7" x14ac:dyDescent="0.2">
      <c r="B4817" s="230">
        <v>38902</v>
      </c>
      <c r="C4817" s="124">
        <v>59.3</v>
      </c>
      <c r="D4817" s="156">
        <f t="shared" si="76"/>
        <v>-3.1204051625551441E-2</v>
      </c>
      <c r="E4817" s="156">
        <v>-3.2803291448904731E-2</v>
      </c>
      <c r="G4817" s="156"/>
    </row>
    <row r="4818" spans="2:7" x14ac:dyDescent="0.2">
      <c r="B4818" s="230">
        <v>38901</v>
      </c>
      <c r="C4818" s="124">
        <v>61.32</v>
      </c>
      <c r="D4818" s="156">
        <f t="shared" si="76"/>
        <v>3.4064080944350816E-2</v>
      </c>
      <c r="E4818" s="156">
        <v>-3.2909021243986508E-2</v>
      </c>
      <c r="G4818" s="156"/>
    </row>
    <row r="4819" spans="2:7" x14ac:dyDescent="0.2">
      <c r="B4819" s="230">
        <v>38898</v>
      </c>
      <c r="C4819" s="124">
        <v>60.46</v>
      </c>
      <c r="D4819" s="156">
        <f t="shared" si="76"/>
        <v>-1.4024787997390728E-2</v>
      </c>
      <c r="E4819" s="156">
        <v>-3.2999629217649158E-2</v>
      </c>
      <c r="G4819" s="156"/>
    </row>
    <row r="4820" spans="2:7" x14ac:dyDescent="0.2">
      <c r="B4820" s="230">
        <v>38897</v>
      </c>
      <c r="C4820" s="124">
        <v>58.27</v>
      </c>
      <c r="D4820" s="156">
        <f t="shared" si="76"/>
        <v>-3.6222295732715806E-2</v>
      </c>
      <c r="E4820" s="156">
        <v>-3.3001031282227457E-2</v>
      </c>
      <c r="G4820" s="156"/>
    </row>
    <row r="4821" spans="2:7" x14ac:dyDescent="0.2">
      <c r="B4821" s="230">
        <v>38896</v>
      </c>
      <c r="C4821" s="124">
        <v>58.69</v>
      </c>
      <c r="D4821" s="156">
        <f t="shared" si="76"/>
        <v>7.2078256392653951E-3</v>
      </c>
      <c r="E4821" s="156">
        <v>-3.3003915718814156E-2</v>
      </c>
      <c r="G4821" s="156"/>
    </row>
    <row r="4822" spans="2:7" x14ac:dyDescent="0.2">
      <c r="B4822" s="230">
        <v>38895</v>
      </c>
      <c r="C4822" s="124">
        <v>58.32</v>
      </c>
      <c r="D4822" s="156">
        <f t="shared" si="76"/>
        <v>-6.3043107854830029E-3</v>
      </c>
      <c r="E4822" s="156">
        <v>-3.30744895024448E-2</v>
      </c>
      <c r="G4822" s="156"/>
    </row>
    <row r="4823" spans="2:7" x14ac:dyDescent="0.2">
      <c r="B4823" s="230">
        <v>38894</v>
      </c>
      <c r="C4823" s="124">
        <v>55.12</v>
      </c>
      <c r="D4823" s="156">
        <f t="shared" si="76"/>
        <v>-5.4869684499314175E-2</v>
      </c>
      <c r="E4823" s="156">
        <v>-3.3108866442199653E-2</v>
      </c>
      <c r="G4823" s="156"/>
    </row>
    <row r="4824" spans="2:7" x14ac:dyDescent="0.2">
      <c r="B4824" s="230">
        <v>38893</v>
      </c>
      <c r="C4824" s="124">
        <v>56.93</v>
      </c>
      <c r="D4824" s="156">
        <f t="shared" si="76"/>
        <v>3.2837445573294675E-2</v>
      </c>
      <c r="E4824" s="156">
        <v>-3.3127388017234395E-2</v>
      </c>
      <c r="G4824" s="156"/>
    </row>
    <row r="4825" spans="2:7" x14ac:dyDescent="0.2">
      <c r="B4825" s="230">
        <v>38891</v>
      </c>
      <c r="C4825" s="124">
        <v>56.62</v>
      </c>
      <c r="D4825" s="156">
        <f t="shared" si="76"/>
        <v>-5.4452836817144258E-3</v>
      </c>
      <c r="E4825" s="156">
        <v>-3.315038419319434E-2</v>
      </c>
      <c r="G4825" s="156"/>
    </row>
    <row r="4826" spans="2:7" x14ac:dyDescent="0.2">
      <c r="B4826" s="230">
        <v>38890</v>
      </c>
      <c r="C4826" s="124">
        <v>56.63</v>
      </c>
      <c r="D4826" s="156">
        <f t="shared" si="76"/>
        <v>1.76616036736226E-4</v>
      </c>
      <c r="E4826" s="156">
        <v>-3.3481858688733351E-2</v>
      </c>
      <c r="G4826" s="156"/>
    </row>
    <row r="4827" spans="2:7" x14ac:dyDescent="0.2">
      <c r="B4827" s="230">
        <v>38889</v>
      </c>
      <c r="C4827" s="124">
        <v>55.94</v>
      </c>
      <c r="D4827" s="156">
        <f t="shared" si="76"/>
        <v>-1.2184354582376917E-2</v>
      </c>
      <c r="E4827" s="156">
        <v>-3.3565945568736925E-2</v>
      </c>
      <c r="G4827" s="156"/>
    </row>
    <row r="4828" spans="2:7" x14ac:dyDescent="0.2">
      <c r="B4828" s="230">
        <v>38888</v>
      </c>
      <c r="C4828" s="124">
        <v>53.58</v>
      </c>
      <c r="D4828" s="156">
        <f t="shared" si="76"/>
        <v>-4.2188058634250972E-2</v>
      </c>
      <c r="E4828" s="156">
        <v>-3.3619895609456517E-2</v>
      </c>
      <c r="G4828" s="156"/>
    </row>
    <row r="4829" spans="2:7" x14ac:dyDescent="0.2">
      <c r="B4829" s="230">
        <v>38887</v>
      </c>
      <c r="C4829" s="124">
        <v>54.54</v>
      </c>
      <c r="D4829" s="156">
        <f t="shared" si="76"/>
        <v>1.7917133258678629E-2</v>
      </c>
      <c r="E4829" s="156">
        <v>-3.3745913124708087E-2</v>
      </c>
      <c r="G4829" s="156"/>
    </row>
    <row r="4830" spans="2:7" x14ac:dyDescent="0.2">
      <c r="B4830" s="230">
        <v>38884</v>
      </c>
      <c r="C4830" s="124">
        <v>54.1</v>
      </c>
      <c r="D4830" s="156">
        <f t="shared" si="76"/>
        <v>-8.0674734140080261E-3</v>
      </c>
      <c r="E4830" s="156">
        <v>-3.3752860411899295E-2</v>
      </c>
      <c r="G4830" s="156"/>
    </row>
    <row r="4831" spans="2:7" x14ac:dyDescent="0.2">
      <c r="B4831" s="230">
        <v>38883</v>
      </c>
      <c r="C4831" s="124">
        <v>51.58</v>
      </c>
      <c r="D4831" s="156">
        <f t="shared" si="76"/>
        <v>-4.6580406654343862E-2</v>
      </c>
      <c r="E4831" s="156">
        <v>-3.3949835317962952E-2</v>
      </c>
      <c r="G4831" s="156"/>
    </row>
    <row r="4832" spans="2:7" x14ac:dyDescent="0.2">
      <c r="B4832" s="230">
        <v>38882</v>
      </c>
      <c r="C4832" s="124">
        <v>48.84</v>
      </c>
      <c r="D4832" s="156">
        <f t="shared" si="76"/>
        <v>-5.3121364870104597E-2</v>
      </c>
      <c r="E4832" s="156">
        <v>-3.4030057004664001E-2</v>
      </c>
      <c r="G4832" s="156"/>
    </row>
    <row r="4833" spans="2:7" x14ac:dyDescent="0.2">
      <c r="B4833" s="230">
        <v>38881</v>
      </c>
      <c r="C4833" s="124">
        <v>48.48</v>
      </c>
      <c r="D4833" s="156">
        <f t="shared" si="76"/>
        <v>-7.371007371007504E-3</v>
      </c>
      <c r="E4833" s="156">
        <v>-3.415171545483163E-2</v>
      </c>
      <c r="G4833" s="156"/>
    </row>
    <row r="4834" spans="2:7" x14ac:dyDescent="0.2">
      <c r="B4834" s="230">
        <v>38880</v>
      </c>
      <c r="C4834" s="124">
        <v>51.18</v>
      </c>
      <c r="D4834" s="156">
        <f t="shared" si="76"/>
        <v>5.5693069306930756E-2</v>
      </c>
      <c r="E4834" s="156">
        <v>-3.4320639398213365E-2</v>
      </c>
      <c r="G4834" s="156"/>
    </row>
    <row r="4835" spans="2:7" x14ac:dyDescent="0.2">
      <c r="B4835" s="230">
        <v>38877</v>
      </c>
      <c r="C4835" s="124">
        <v>53.2</v>
      </c>
      <c r="D4835" s="156">
        <f t="shared" si="76"/>
        <v>3.946854239937482E-2</v>
      </c>
      <c r="E4835" s="156">
        <v>-3.4413888462129387E-2</v>
      </c>
      <c r="G4835" s="156"/>
    </row>
    <row r="4836" spans="2:7" x14ac:dyDescent="0.2">
      <c r="B4836" s="230">
        <v>38876</v>
      </c>
      <c r="C4836" s="124">
        <v>48.94</v>
      </c>
      <c r="D4836" s="156">
        <f t="shared" si="76"/>
        <v>-8.007518796992491E-2</v>
      </c>
      <c r="E4836" s="156">
        <v>-3.4572643709699494E-2</v>
      </c>
      <c r="G4836" s="156"/>
    </row>
    <row r="4837" spans="2:7" x14ac:dyDescent="0.2">
      <c r="B4837" s="230">
        <v>38875</v>
      </c>
      <c r="C4837" s="124">
        <v>50.32</v>
      </c>
      <c r="D4837" s="156">
        <f t="shared" si="76"/>
        <v>2.8197793216183136E-2</v>
      </c>
      <c r="E4837" s="156">
        <v>-3.4815045073049451E-2</v>
      </c>
      <c r="G4837" s="156"/>
    </row>
    <row r="4838" spans="2:7" x14ac:dyDescent="0.2">
      <c r="B4838" s="230">
        <v>38874</v>
      </c>
      <c r="C4838" s="124">
        <v>50.57</v>
      </c>
      <c r="D4838" s="156">
        <f t="shared" si="76"/>
        <v>4.9682034976152624E-3</v>
      </c>
      <c r="E4838" s="156">
        <v>-3.5079961677352722E-2</v>
      </c>
      <c r="G4838" s="156"/>
    </row>
    <row r="4839" spans="2:7" x14ac:dyDescent="0.2">
      <c r="B4839" s="230">
        <v>38873</v>
      </c>
      <c r="C4839" s="124">
        <v>53.05</v>
      </c>
      <c r="D4839" s="156">
        <f t="shared" si="76"/>
        <v>4.9040933359699362E-2</v>
      </c>
      <c r="E4839" s="156">
        <v>-3.5133507327845814E-2</v>
      </c>
      <c r="G4839" s="156"/>
    </row>
    <row r="4840" spans="2:7" x14ac:dyDescent="0.2">
      <c r="B4840" s="230">
        <v>38870</v>
      </c>
      <c r="C4840" s="124">
        <v>54.5</v>
      </c>
      <c r="D4840" s="156">
        <f t="shared" si="76"/>
        <v>2.7332704995287518E-2</v>
      </c>
      <c r="E4840" s="156">
        <v>-3.5139092240117131E-2</v>
      </c>
      <c r="G4840" s="156"/>
    </row>
    <row r="4841" spans="2:7" x14ac:dyDescent="0.2">
      <c r="B4841" s="230">
        <v>38869</v>
      </c>
      <c r="C4841" s="124">
        <v>53.09</v>
      </c>
      <c r="D4841" s="156">
        <f t="shared" si="76"/>
        <v>-2.5871559633027459E-2</v>
      </c>
      <c r="E4841" s="156">
        <v>-3.5627530364372439E-2</v>
      </c>
      <c r="G4841" s="156"/>
    </row>
    <row r="4842" spans="2:7" x14ac:dyDescent="0.2">
      <c r="B4842" s="230">
        <v>38868</v>
      </c>
      <c r="C4842" s="124">
        <v>54.83</v>
      </c>
      <c r="D4842" s="156">
        <f t="shared" si="76"/>
        <v>3.2774533810510355E-2</v>
      </c>
      <c r="E4842" s="156">
        <v>-3.566878980891712E-2</v>
      </c>
      <c r="G4842" s="156"/>
    </row>
    <row r="4843" spans="2:7" x14ac:dyDescent="0.2">
      <c r="B4843" s="230">
        <v>38867</v>
      </c>
      <c r="C4843" s="124">
        <v>58.51</v>
      </c>
      <c r="D4843" s="156">
        <f t="shared" si="76"/>
        <v>6.7116542039029725E-2</v>
      </c>
      <c r="E4843" s="156">
        <v>-3.5709329756232935E-2</v>
      </c>
      <c r="G4843" s="156"/>
    </row>
    <row r="4844" spans="2:7" x14ac:dyDescent="0.2">
      <c r="B4844" s="230">
        <v>38866</v>
      </c>
      <c r="C4844" s="124">
        <v>58.99</v>
      </c>
      <c r="D4844" s="156">
        <f t="shared" si="76"/>
        <v>8.2037258588276186E-3</v>
      </c>
      <c r="E4844" s="156">
        <v>-3.572057012141467E-2</v>
      </c>
      <c r="G4844" s="156"/>
    </row>
    <row r="4845" spans="2:7" x14ac:dyDescent="0.2">
      <c r="B4845" s="230">
        <v>38863</v>
      </c>
      <c r="C4845" s="124">
        <v>60.73</v>
      </c>
      <c r="D4845" s="156">
        <f t="shared" si="76"/>
        <v>2.9496524834717663E-2</v>
      </c>
      <c r="E4845" s="156">
        <v>-3.5730387736699905E-2</v>
      </c>
      <c r="G4845" s="156"/>
    </row>
    <row r="4846" spans="2:7" x14ac:dyDescent="0.2">
      <c r="B4846" s="230">
        <v>38862</v>
      </c>
      <c r="C4846" s="124">
        <v>60.13</v>
      </c>
      <c r="D4846" s="156">
        <f t="shared" si="76"/>
        <v>-9.8797958175530116E-3</v>
      </c>
      <c r="E4846" s="156">
        <v>-3.5835264753075503E-2</v>
      </c>
      <c r="G4846" s="156"/>
    </row>
    <row r="4847" spans="2:7" x14ac:dyDescent="0.2">
      <c r="B4847" s="230">
        <v>38861</v>
      </c>
      <c r="C4847" s="124">
        <v>57.71</v>
      </c>
      <c r="D4847" s="156">
        <f t="shared" si="76"/>
        <v>-4.0246133377681716E-2</v>
      </c>
      <c r="E4847" s="156">
        <v>-3.5929117216712742E-2</v>
      </c>
      <c r="G4847" s="156"/>
    </row>
    <row r="4848" spans="2:7" x14ac:dyDescent="0.2">
      <c r="B4848" s="230">
        <v>38860</v>
      </c>
      <c r="C4848" s="124">
        <v>59</v>
      </c>
      <c r="D4848" s="156">
        <f t="shared" si="76"/>
        <v>2.2353145035522423E-2</v>
      </c>
      <c r="E4848" s="156">
        <v>-3.6095653481726449E-2</v>
      </c>
      <c r="G4848" s="156"/>
    </row>
    <row r="4849" spans="2:7" x14ac:dyDescent="0.2">
      <c r="B4849" s="230">
        <v>38859</v>
      </c>
      <c r="C4849" s="124">
        <v>56.87</v>
      </c>
      <c r="D4849" s="156">
        <f t="shared" si="76"/>
        <v>-3.6101694915254279E-2</v>
      </c>
      <c r="E4849" s="156">
        <v>-3.6101694915254279E-2</v>
      </c>
      <c r="G4849" s="156"/>
    </row>
    <row r="4850" spans="2:7" x14ac:dyDescent="0.2">
      <c r="B4850" s="230">
        <v>38856</v>
      </c>
      <c r="C4850" s="124">
        <v>59.63</v>
      </c>
      <c r="D4850" s="156">
        <f t="shared" si="76"/>
        <v>4.8531739053982857E-2</v>
      </c>
      <c r="E4850" s="156">
        <v>-3.6189924724956572E-2</v>
      </c>
      <c r="G4850" s="156"/>
    </row>
    <row r="4851" spans="2:7" x14ac:dyDescent="0.2">
      <c r="B4851" s="230">
        <v>38855</v>
      </c>
      <c r="C4851" s="124">
        <v>63.36</v>
      </c>
      <c r="D4851" s="156">
        <f t="shared" si="76"/>
        <v>6.2552406506791822E-2</v>
      </c>
      <c r="E4851" s="156">
        <v>-3.6222295732715806E-2</v>
      </c>
      <c r="G4851" s="156"/>
    </row>
    <row r="4852" spans="2:7" x14ac:dyDescent="0.2">
      <c r="B4852" s="230">
        <v>38854</v>
      </c>
      <c r="C4852" s="124">
        <v>67.72</v>
      </c>
      <c r="D4852" s="156">
        <f t="shared" si="76"/>
        <v>6.8813131313131298E-2</v>
      </c>
      <c r="E4852" s="156">
        <v>-3.6337209302325583E-2</v>
      </c>
      <c r="G4852" s="156"/>
    </row>
    <row r="4853" spans="2:7" x14ac:dyDescent="0.2">
      <c r="B4853" s="230">
        <v>38853</v>
      </c>
      <c r="C4853" s="124">
        <v>64.569999999999993</v>
      </c>
      <c r="D4853" s="156">
        <f t="shared" si="76"/>
        <v>-4.6515062020082779E-2</v>
      </c>
      <c r="E4853" s="156">
        <v>-3.6421835798944611E-2</v>
      </c>
      <c r="G4853" s="156"/>
    </row>
    <row r="4854" spans="2:7" x14ac:dyDescent="0.2">
      <c r="B4854" s="230">
        <v>38852</v>
      </c>
      <c r="C4854" s="124">
        <v>63.31</v>
      </c>
      <c r="D4854" s="156">
        <f t="shared" si="76"/>
        <v>-1.9513706055443565E-2</v>
      </c>
      <c r="E4854" s="156">
        <v>-3.6436753594930649E-2</v>
      </c>
      <c r="G4854" s="156"/>
    </row>
    <row r="4855" spans="2:7" x14ac:dyDescent="0.2">
      <c r="B4855" s="230">
        <v>38849</v>
      </c>
      <c r="C4855" s="124">
        <v>66.790000000000006</v>
      </c>
      <c r="D4855" s="156">
        <f t="shared" si="76"/>
        <v>5.496761964934456E-2</v>
      </c>
      <c r="E4855" s="156">
        <v>-3.6533119909608731E-2</v>
      </c>
      <c r="G4855" s="156"/>
    </row>
    <row r="4856" spans="2:7" x14ac:dyDescent="0.2">
      <c r="B4856" s="230">
        <v>38848</v>
      </c>
      <c r="C4856" s="124">
        <v>67.540000000000006</v>
      </c>
      <c r="D4856" s="156">
        <f t="shared" si="76"/>
        <v>1.1229225932025751E-2</v>
      </c>
      <c r="E4856" s="156">
        <v>-3.65475607766357E-2</v>
      </c>
      <c r="G4856" s="156"/>
    </row>
    <row r="4857" spans="2:7" x14ac:dyDescent="0.2">
      <c r="B4857" s="230">
        <v>38847</v>
      </c>
      <c r="C4857" s="124">
        <v>67.97</v>
      </c>
      <c r="D4857" s="156">
        <f t="shared" si="76"/>
        <v>6.3665975718091884E-3</v>
      </c>
      <c r="E4857" s="156">
        <v>-3.6612114054327682E-2</v>
      </c>
      <c r="G4857" s="156"/>
    </row>
    <row r="4858" spans="2:7" x14ac:dyDescent="0.2">
      <c r="B4858" s="230">
        <v>38846</v>
      </c>
      <c r="C4858" s="124">
        <v>68.400000000000006</v>
      </c>
      <c r="D4858" s="156">
        <f t="shared" si="76"/>
        <v>6.3263204354863448E-3</v>
      </c>
      <c r="E4858" s="156">
        <v>-3.6738978306507949E-2</v>
      </c>
      <c r="G4858" s="156"/>
    </row>
    <row r="4859" spans="2:7" x14ac:dyDescent="0.2">
      <c r="B4859" s="230">
        <v>38845</v>
      </c>
      <c r="C4859" s="124">
        <v>68.88</v>
      </c>
      <c r="D4859" s="156">
        <f t="shared" si="76"/>
        <v>7.0175438596489729E-3</v>
      </c>
      <c r="E4859" s="156">
        <v>-3.6847646262595714E-2</v>
      </c>
      <c r="G4859" s="156"/>
    </row>
    <row r="4860" spans="2:7" x14ac:dyDescent="0.2">
      <c r="B4860" s="230">
        <v>38842</v>
      </c>
      <c r="C4860" s="124">
        <v>69.099999999999994</v>
      </c>
      <c r="D4860" s="156">
        <f t="shared" si="76"/>
        <v>3.1939605110336655E-3</v>
      </c>
      <c r="E4860" s="156">
        <v>-3.6858046412186443E-2</v>
      </c>
      <c r="G4860" s="156"/>
    </row>
    <row r="4861" spans="2:7" x14ac:dyDescent="0.2">
      <c r="B4861" s="230">
        <v>38841</v>
      </c>
      <c r="C4861" s="124">
        <v>69.41</v>
      </c>
      <c r="D4861" s="156">
        <f t="shared" si="76"/>
        <v>4.4862518089725367E-3</v>
      </c>
      <c r="E4861" s="156">
        <v>-3.6858974358974242E-2</v>
      </c>
      <c r="G4861" s="156"/>
    </row>
    <row r="4862" spans="2:7" x14ac:dyDescent="0.2">
      <c r="B4862" s="230">
        <v>38840</v>
      </c>
      <c r="C4862" s="124">
        <v>69.25</v>
      </c>
      <c r="D4862" s="156">
        <f t="shared" ref="D4862:D4925" si="77">(C4862-C4861)/C4861</f>
        <v>-2.3051433511020974E-3</v>
      </c>
      <c r="E4862" s="156">
        <v>-3.6913183279742821E-2</v>
      </c>
      <c r="G4862" s="156"/>
    </row>
    <row r="4863" spans="2:7" x14ac:dyDescent="0.2">
      <c r="B4863" s="230">
        <v>38839</v>
      </c>
      <c r="C4863" s="124">
        <v>68.78</v>
      </c>
      <c r="D4863" s="156">
        <f t="shared" si="77"/>
        <v>-6.7870036101082866E-3</v>
      </c>
      <c r="E4863" s="156">
        <v>-3.7231577321180147E-2</v>
      </c>
      <c r="G4863" s="156"/>
    </row>
    <row r="4864" spans="2:7" x14ac:dyDescent="0.2">
      <c r="B4864" s="230">
        <v>38836</v>
      </c>
      <c r="C4864" s="124">
        <v>67.540000000000006</v>
      </c>
      <c r="D4864" s="156">
        <f t="shared" si="77"/>
        <v>-1.8028496656004579E-2</v>
      </c>
      <c r="E4864" s="156">
        <v>-3.7242731133616487E-2</v>
      </c>
      <c r="G4864" s="156"/>
    </row>
    <row r="4865" spans="2:7" x14ac:dyDescent="0.2">
      <c r="B4865" s="230">
        <v>38835</v>
      </c>
      <c r="C4865" s="124">
        <v>66.59</v>
      </c>
      <c r="D4865" s="156">
        <f t="shared" si="77"/>
        <v>-1.4065738821439189E-2</v>
      </c>
      <c r="E4865" s="156">
        <v>-3.7319762510602254E-2</v>
      </c>
      <c r="G4865" s="156"/>
    </row>
    <row r="4866" spans="2:7" x14ac:dyDescent="0.2">
      <c r="B4866" s="230">
        <v>38834</v>
      </c>
      <c r="C4866" s="124">
        <v>67.22</v>
      </c>
      <c r="D4866" s="156">
        <f t="shared" si="77"/>
        <v>9.4608800120137473E-3</v>
      </c>
      <c r="E4866" s="156">
        <v>-3.7329005332715097E-2</v>
      </c>
      <c r="G4866" s="156"/>
    </row>
    <row r="4867" spans="2:7" x14ac:dyDescent="0.2">
      <c r="B4867" s="230">
        <v>38833</v>
      </c>
      <c r="C4867" s="124">
        <v>66.81</v>
      </c>
      <c r="D4867" s="156">
        <f t="shared" si="77"/>
        <v>-6.0993751859565095E-3</v>
      </c>
      <c r="E4867" s="156">
        <v>-3.7432413697490487E-2</v>
      </c>
      <c r="G4867" s="156"/>
    </row>
    <row r="4868" spans="2:7" x14ac:dyDescent="0.2">
      <c r="B4868" s="230">
        <v>38832</v>
      </c>
      <c r="C4868" s="124">
        <v>65.400000000000006</v>
      </c>
      <c r="D4868" s="156">
        <f t="shared" si="77"/>
        <v>-2.110462505612927E-2</v>
      </c>
      <c r="E4868" s="156">
        <v>-3.7506745817593182E-2</v>
      </c>
      <c r="G4868" s="156"/>
    </row>
    <row r="4869" spans="2:7" x14ac:dyDescent="0.2">
      <c r="B4869" s="230">
        <v>38831</v>
      </c>
      <c r="C4869" s="124">
        <v>67.459999999999994</v>
      </c>
      <c r="D4869" s="156">
        <f t="shared" si="77"/>
        <v>3.1498470948012045E-2</v>
      </c>
      <c r="E4869" s="156">
        <v>-3.7778949218063587E-2</v>
      </c>
      <c r="G4869" s="156"/>
    </row>
    <row r="4870" spans="2:7" x14ac:dyDescent="0.2">
      <c r="B4870" s="230">
        <v>38828</v>
      </c>
      <c r="C4870" s="124">
        <v>66.430000000000007</v>
      </c>
      <c r="D4870" s="156">
        <f t="shared" si="77"/>
        <v>-1.5268307144974607E-2</v>
      </c>
      <c r="E4870" s="156">
        <v>-3.7785105798296234E-2</v>
      </c>
      <c r="G4870" s="156"/>
    </row>
    <row r="4871" spans="2:7" x14ac:dyDescent="0.2">
      <c r="B4871" s="230">
        <v>38827</v>
      </c>
      <c r="C4871" s="124">
        <v>66.489999999999995</v>
      </c>
      <c r="D4871" s="156">
        <f t="shared" si="77"/>
        <v>9.0320638265825766E-4</v>
      </c>
      <c r="E4871" s="156">
        <v>-3.7786561264822147E-2</v>
      </c>
      <c r="G4871" s="156"/>
    </row>
    <row r="4872" spans="2:7" x14ac:dyDescent="0.2">
      <c r="B4872" s="230">
        <v>38826</v>
      </c>
      <c r="C4872" s="124">
        <v>65.75</v>
      </c>
      <c r="D4872" s="156">
        <f t="shared" si="77"/>
        <v>-1.1129493156865618E-2</v>
      </c>
      <c r="E4872" s="156">
        <v>-3.7811515325121815E-2</v>
      </c>
      <c r="G4872" s="156"/>
    </row>
    <row r="4873" spans="2:7" x14ac:dyDescent="0.2">
      <c r="B4873" s="230">
        <v>38825</v>
      </c>
      <c r="C4873" s="124">
        <v>65.569999999999993</v>
      </c>
      <c r="D4873" s="156">
        <f t="shared" si="77"/>
        <v>-2.7376425855514344E-3</v>
      </c>
      <c r="E4873" s="156">
        <v>-3.7842190016103082E-2</v>
      </c>
      <c r="G4873" s="156"/>
    </row>
    <row r="4874" spans="2:7" x14ac:dyDescent="0.2">
      <c r="B4874" s="230">
        <v>38824</v>
      </c>
      <c r="C4874" s="124">
        <v>63.96</v>
      </c>
      <c r="D4874" s="156">
        <f t="shared" si="77"/>
        <v>-2.4553911849931255E-2</v>
      </c>
      <c r="E4874" s="156">
        <v>-3.7883242335153222E-2</v>
      </c>
      <c r="G4874" s="156"/>
    </row>
    <row r="4875" spans="2:7" x14ac:dyDescent="0.2">
      <c r="B4875" s="230">
        <v>38820</v>
      </c>
      <c r="C4875" s="124">
        <v>62.6</v>
      </c>
      <c r="D4875" s="156">
        <f t="shared" si="77"/>
        <v>-2.1263289555972474E-2</v>
      </c>
      <c r="E4875" s="156">
        <v>-3.8144439333357025E-2</v>
      </c>
      <c r="G4875" s="156"/>
    </row>
    <row r="4876" spans="2:7" x14ac:dyDescent="0.2">
      <c r="B4876" s="230">
        <v>38819</v>
      </c>
      <c r="C4876" s="124">
        <v>63.71</v>
      </c>
      <c r="D4876" s="156">
        <f t="shared" si="77"/>
        <v>1.7731629392971238E-2</v>
      </c>
      <c r="E4876" s="156">
        <v>-3.8166544923301612E-2</v>
      </c>
      <c r="G4876" s="156"/>
    </row>
    <row r="4877" spans="2:7" x14ac:dyDescent="0.2">
      <c r="B4877" s="230">
        <v>38817</v>
      </c>
      <c r="C4877" s="124">
        <v>66</v>
      </c>
      <c r="D4877" s="156">
        <f t="shared" si="77"/>
        <v>3.5944121801914912E-2</v>
      </c>
      <c r="E4877" s="156">
        <v>-3.8305190744215178E-2</v>
      </c>
      <c r="G4877" s="156"/>
    </row>
    <row r="4878" spans="2:7" x14ac:dyDescent="0.2">
      <c r="B4878" s="230">
        <v>38814</v>
      </c>
      <c r="C4878" s="124">
        <v>66.180000000000007</v>
      </c>
      <c r="D4878" s="156">
        <f t="shared" si="77"/>
        <v>2.7272727272728307E-3</v>
      </c>
      <c r="E4878" s="156">
        <v>-3.8314906595501297E-2</v>
      </c>
      <c r="G4878" s="156"/>
    </row>
    <row r="4879" spans="2:7" x14ac:dyDescent="0.2">
      <c r="B4879" s="230">
        <v>38812</v>
      </c>
      <c r="C4879" s="124">
        <v>68.28</v>
      </c>
      <c r="D4879" s="156">
        <f t="shared" si="77"/>
        <v>3.1731640979147692E-2</v>
      </c>
      <c r="E4879" s="156">
        <v>-3.8666951506088489E-2</v>
      </c>
      <c r="G4879" s="156"/>
    </row>
    <row r="4880" spans="2:7" x14ac:dyDescent="0.2">
      <c r="B4880" s="230">
        <v>38811</v>
      </c>
      <c r="C4880" s="124">
        <v>67.64</v>
      </c>
      <c r="D4880" s="156">
        <f t="shared" si="77"/>
        <v>-9.3731693028705418E-3</v>
      </c>
      <c r="E4880" s="156">
        <v>-3.8937040784900324E-2</v>
      </c>
      <c r="G4880" s="156"/>
    </row>
    <row r="4881" spans="2:7" x14ac:dyDescent="0.2">
      <c r="B4881" s="230">
        <v>38810</v>
      </c>
      <c r="C4881" s="124">
        <v>66.05</v>
      </c>
      <c r="D4881" s="156">
        <f t="shared" si="77"/>
        <v>-2.3506800709639317E-2</v>
      </c>
      <c r="E4881" s="156">
        <v>-3.9110429447852826E-2</v>
      </c>
      <c r="G4881" s="156"/>
    </row>
    <row r="4882" spans="2:7" x14ac:dyDescent="0.2">
      <c r="B4882" s="230">
        <v>38807</v>
      </c>
      <c r="C4882" s="124">
        <v>64.69</v>
      </c>
      <c r="D4882" s="156">
        <f t="shared" si="77"/>
        <v>-2.0590461771385307E-2</v>
      </c>
      <c r="E4882" s="156">
        <v>-3.9361826016070918E-2</v>
      </c>
      <c r="G4882" s="156"/>
    </row>
    <row r="4883" spans="2:7" x14ac:dyDescent="0.2">
      <c r="B4883" s="230">
        <v>38806</v>
      </c>
      <c r="C4883" s="124">
        <v>66.489999999999995</v>
      </c>
      <c r="D4883" s="156">
        <f t="shared" si="77"/>
        <v>2.7825011593754789E-2</v>
      </c>
      <c r="E4883" s="156">
        <v>-3.9382650345928666E-2</v>
      </c>
      <c r="G4883" s="156"/>
    </row>
    <row r="4884" spans="2:7" x14ac:dyDescent="0.2">
      <c r="B4884" s="230">
        <v>38805</v>
      </c>
      <c r="C4884" s="124">
        <v>64.040000000000006</v>
      </c>
      <c r="D4884" s="156">
        <f t="shared" si="77"/>
        <v>-3.6847646262595714E-2</v>
      </c>
      <c r="E4884" s="156">
        <v>-3.9383396153474463E-2</v>
      </c>
      <c r="G4884" s="156"/>
    </row>
    <row r="4885" spans="2:7" x14ac:dyDescent="0.2">
      <c r="B4885" s="230">
        <v>38804</v>
      </c>
      <c r="C4885" s="124">
        <v>63.98</v>
      </c>
      <c r="D4885" s="156">
        <f t="shared" si="77"/>
        <v>-9.3691442848234505E-4</v>
      </c>
      <c r="E4885" s="156">
        <v>-3.9753466872110871E-2</v>
      </c>
      <c r="G4885" s="156"/>
    </row>
    <row r="4886" spans="2:7" x14ac:dyDescent="0.2">
      <c r="B4886" s="230">
        <v>38803</v>
      </c>
      <c r="C4886" s="124">
        <v>63.96</v>
      </c>
      <c r="D4886" s="156">
        <f t="shared" si="77"/>
        <v>-3.1259768677705565E-4</v>
      </c>
      <c r="E4886" s="156">
        <v>-3.9765319426336342E-2</v>
      </c>
      <c r="G4886" s="156"/>
    </row>
    <row r="4887" spans="2:7" x14ac:dyDescent="0.2">
      <c r="B4887" s="230">
        <v>38800</v>
      </c>
      <c r="C4887" s="124">
        <v>61.51</v>
      </c>
      <c r="D4887" s="156">
        <f t="shared" si="77"/>
        <v>-3.8305190744215178E-2</v>
      </c>
      <c r="E4887" s="156">
        <v>-3.9987882459860784E-2</v>
      </c>
      <c r="G4887" s="156"/>
    </row>
    <row r="4888" spans="2:7" x14ac:dyDescent="0.2">
      <c r="B4888" s="230">
        <v>38799</v>
      </c>
      <c r="C4888" s="124">
        <v>59.3</v>
      </c>
      <c r="D4888" s="156">
        <f t="shared" si="77"/>
        <v>-3.5929117216712742E-2</v>
      </c>
      <c r="E4888" s="156">
        <v>-4.0024937655860446E-2</v>
      </c>
      <c r="G4888" s="156"/>
    </row>
    <row r="4889" spans="2:7" x14ac:dyDescent="0.2">
      <c r="B4889" s="230">
        <v>38798</v>
      </c>
      <c r="C4889" s="124">
        <v>58.64</v>
      </c>
      <c r="D4889" s="156">
        <f t="shared" si="77"/>
        <v>-1.112984822934227E-2</v>
      </c>
      <c r="E4889" s="156">
        <v>-4.0045334340763107E-2</v>
      </c>
      <c r="G4889" s="156"/>
    </row>
    <row r="4890" spans="2:7" x14ac:dyDescent="0.2">
      <c r="B4890" s="230">
        <v>38797</v>
      </c>
      <c r="C4890" s="124">
        <v>59.19</v>
      </c>
      <c r="D4890" s="156">
        <f t="shared" si="77"/>
        <v>9.379263301500634E-3</v>
      </c>
      <c r="E4890" s="156">
        <v>-4.0170307293595046E-2</v>
      </c>
      <c r="G4890" s="156"/>
    </row>
    <row r="4891" spans="2:7" x14ac:dyDescent="0.2">
      <c r="B4891" s="230">
        <v>38796</v>
      </c>
      <c r="C4891" s="124">
        <v>58.74</v>
      </c>
      <c r="D4891" s="156">
        <f t="shared" si="77"/>
        <v>-7.6026355803344445E-3</v>
      </c>
      <c r="E4891" s="156">
        <v>-4.0246133377681716E-2</v>
      </c>
      <c r="G4891" s="156"/>
    </row>
    <row r="4892" spans="2:7" x14ac:dyDescent="0.2">
      <c r="B4892" s="230">
        <v>38793</v>
      </c>
      <c r="C4892" s="124">
        <v>58.19</v>
      </c>
      <c r="D4892" s="156">
        <f t="shared" si="77"/>
        <v>-9.3632958801498842E-3</v>
      </c>
      <c r="E4892" s="156">
        <v>-4.0454419506788603E-2</v>
      </c>
      <c r="G4892" s="156"/>
    </row>
    <row r="4893" spans="2:7" x14ac:dyDescent="0.2">
      <c r="B4893" s="230">
        <v>38792</v>
      </c>
      <c r="C4893" s="124">
        <v>57.54</v>
      </c>
      <c r="D4893" s="156">
        <f t="shared" si="77"/>
        <v>-1.117030417597523E-2</v>
      </c>
      <c r="E4893" s="156">
        <v>-4.059829059829053E-2</v>
      </c>
      <c r="G4893" s="156"/>
    </row>
    <row r="4894" spans="2:7" x14ac:dyDescent="0.2">
      <c r="B4894" s="230">
        <v>38790</v>
      </c>
      <c r="C4894" s="124">
        <v>58.31</v>
      </c>
      <c r="D4894" s="156">
        <f t="shared" si="77"/>
        <v>1.3381995133820006E-2</v>
      </c>
      <c r="E4894" s="156">
        <v>-4.0660423854115328E-2</v>
      </c>
      <c r="G4894" s="156"/>
    </row>
    <row r="4895" spans="2:7" x14ac:dyDescent="0.2">
      <c r="B4895" s="230">
        <v>38789</v>
      </c>
      <c r="C4895" s="124">
        <v>58.04</v>
      </c>
      <c r="D4895" s="156">
        <f t="shared" si="77"/>
        <v>-4.6304235980106859E-3</v>
      </c>
      <c r="E4895" s="156">
        <v>-4.0929495642989172E-2</v>
      </c>
      <c r="G4895" s="156"/>
    </row>
    <row r="4896" spans="2:7" x14ac:dyDescent="0.2">
      <c r="B4896" s="230">
        <v>38786</v>
      </c>
      <c r="C4896" s="124">
        <v>59</v>
      </c>
      <c r="D4896" s="156">
        <f t="shared" si="77"/>
        <v>1.6540317022742952E-2</v>
      </c>
      <c r="E4896" s="156">
        <v>-4.1666666666666567E-2</v>
      </c>
      <c r="G4896" s="156"/>
    </row>
    <row r="4897" spans="2:7" x14ac:dyDescent="0.2">
      <c r="B4897" s="230">
        <v>38785</v>
      </c>
      <c r="C4897" s="124">
        <v>57.4</v>
      </c>
      <c r="D4897" s="156">
        <f t="shared" si="77"/>
        <v>-2.7118644067796634E-2</v>
      </c>
      <c r="E4897" s="156">
        <v>-4.2188058634250972E-2</v>
      </c>
      <c r="G4897" s="156"/>
    </row>
    <row r="4898" spans="2:7" x14ac:dyDescent="0.2">
      <c r="B4898" s="230">
        <v>38784</v>
      </c>
      <c r="C4898" s="124">
        <v>57.63</v>
      </c>
      <c r="D4898" s="156">
        <f t="shared" si="77"/>
        <v>4.0069686411150522E-3</v>
      </c>
      <c r="E4898" s="156">
        <v>-4.2402826855123678E-2</v>
      </c>
      <c r="G4898" s="156"/>
    </row>
    <row r="4899" spans="2:7" x14ac:dyDescent="0.2">
      <c r="B4899" s="230">
        <v>38783</v>
      </c>
      <c r="C4899" s="124">
        <v>58.95</v>
      </c>
      <c r="D4899" s="156">
        <f t="shared" si="77"/>
        <v>2.2904737116085375E-2</v>
      </c>
      <c r="E4899" s="156">
        <v>-4.2613352016815063E-2</v>
      </c>
      <c r="G4899" s="156"/>
    </row>
    <row r="4900" spans="2:7" x14ac:dyDescent="0.2">
      <c r="B4900" s="230">
        <v>38782</v>
      </c>
      <c r="C4900" s="124">
        <v>59.14</v>
      </c>
      <c r="D4900" s="156">
        <f t="shared" si="77"/>
        <v>3.2230703986428789E-3</v>
      </c>
      <c r="E4900" s="156">
        <v>-4.2727882037533464E-2</v>
      </c>
      <c r="G4900" s="156"/>
    </row>
    <row r="4901" spans="2:7" x14ac:dyDescent="0.2">
      <c r="B4901" s="230">
        <v>38779</v>
      </c>
      <c r="C4901" s="124">
        <v>57.76</v>
      </c>
      <c r="D4901" s="156">
        <f t="shared" si="77"/>
        <v>-2.3334460601961489E-2</v>
      </c>
      <c r="E4901" s="156">
        <v>-4.2733533462828918E-2</v>
      </c>
      <c r="G4901" s="156"/>
    </row>
    <row r="4902" spans="2:7" x14ac:dyDescent="0.2">
      <c r="B4902" s="230">
        <v>38778</v>
      </c>
      <c r="C4902" s="124">
        <v>58.57</v>
      </c>
      <c r="D4902" s="156">
        <f t="shared" si="77"/>
        <v>1.4023545706371231E-2</v>
      </c>
      <c r="E4902" s="156">
        <v>-4.2819928362097075E-2</v>
      </c>
      <c r="G4902" s="156"/>
    </row>
    <row r="4903" spans="2:7" x14ac:dyDescent="0.2">
      <c r="B4903" s="230">
        <v>38777</v>
      </c>
      <c r="C4903" s="124">
        <v>57.63</v>
      </c>
      <c r="D4903" s="156">
        <f t="shared" si="77"/>
        <v>-1.604917193102267E-2</v>
      </c>
      <c r="E4903" s="156">
        <v>-4.3010752688171922E-2</v>
      </c>
      <c r="G4903" s="156"/>
    </row>
    <row r="4904" spans="2:7" x14ac:dyDescent="0.2">
      <c r="B4904" s="230">
        <v>38776</v>
      </c>
      <c r="C4904" s="124">
        <v>57.16</v>
      </c>
      <c r="D4904" s="156">
        <f t="shared" si="77"/>
        <v>-8.1554745792123198E-3</v>
      </c>
      <c r="E4904" s="156">
        <v>-4.3178313448583666E-2</v>
      </c>
      <c r="G4904" s="156"/>
    </row>
    <row r="4905" spans="2:7" x14ac:dyDescent="0.2">
      <c r="B4905" s="230">
        <v>38775</v>
      </c>
      <c r="C4905" s="124">
        <v>55.06</v>
      </c>
      <c r="D4905" s="156">
        <f t="shared" si="77"/>
        <v>-3.6738978306507949E-2</v>
      </c>
      <c r="E4905" s="156">
        <v>-4.3253489574358053E-2</v>
      </c>
      <c r="G4905" s="156"/>
    </row>
    <row r="4906" spans="2:7" x14ac:dyDescent="0.2">
      <c r="B4906" s="230">
        <v>38772</v>
      </c>
      <c r="C4906" s="124">
        <v>54.2</v>
      </c>
      <c r="D4906" s="156">
        <f t="shared" si="77"/>
        <v>-1.5619324373410813E-2</v>
      </c>
      <c r="E4906" s="156">
        <v>-4.4392523364486056E-2</v>
      </c>
      <c r="G4906" s="156"/>
    </row>
    <row r="4907" spans="2:7" x14ac:dyDescent="0.2">
      <c r="B4907" s="230">
        <v>38771</v>
      </c>
      <c r="C4907" s="124">
        <v>55.03</v>
      </c>
      <c r="D4907" s="156">
        <f t="shared" si="77"/>
        <v>1.5313653136531333E-2</v>
      </c>
      <c r="E4907" s="156">
        <v>-4.5425176278899949E-2</v>
      </c>
      <c r="G4907" s="156"/>
    </row>
    <row r="4908" spans="2:7" x14ac:dyDescent="0.2">
      <c r="B4908" s="230">
        <v>38770</v>
      </c>
      <c r="C4908" s="124">
        <v>54.23</v>
      </c>
      <c r="D4908" s="156">
        <f t="shared" si="77"/>
        <v>-1.4537524986371148E-2</v>
      </c>
      <c r="E4908" s="156">
        <v>-4.5468798996550618E-2</v>
      </c>
      <c r="G4908" s="156"/>
    </row>
    <row r="4909" spans="2:7" x14ac:dyDescent="0.2">
      <c r="B4909" s="230">
        <v>38769</v>
      </c>
      <c r="C4909" s="124">
        <v>54.45</v>
      </c>
      <c r="D4909" s="156">
        <f t="shared" si="77"/>
        <v>4.0567951318459519E-3</v>
      </c>
      <c r="E4909" s="156">
        <v>-4.5511111111111155E-2</v>
      </c>
      <c r="G4909" s="156"/>
    </row>
    <row r="4910" spans="2:7" x14ac:dyDescent="0.2">
      <c r="B4910" s="230">
        <v>38768</v>
      </c>
      <c r="C4910" s="124">
        <v>53.98</v>
      </c>
      <c r="D4910" s="156">
        <f t="shared" si="77"/>
        <v>-8.6317722681360145E-3</v>
      </c>
      <c r="E4910" s="156">
        <v>-4.5648795648795544E-2</v>
      </c>
      <c r="G4910" s="156"/>
    </row>
    <row r="4911" spans="2:7" x14ac:dyDescent="0.2">
      <c r="B4911" s="230">
        <v>38765</v>
      </c>
      <c r="C4911" s="124">
        <v>53.63</v>
      </c>
      <c r="D4911" s="156">
        <f t="shared" si="77"/>
        <v>-6.4838829195997469E-3</v>
      </c>
      <c r="E4911" s="156">
        <v>-4.5888860950465245E-2</v>
      </c>
      <c r="G4911" s="156"/>
    </row>
    <row r="4912" spans="2:7" x14ac:dyDescent="0.2">
      <c r="B4912" s="230">
        <v>38764</v>
      </c>
      <c r="C4912" s="124">
        <v>55.12</v>
      </c>
      <c r="D4912" s="156">
        <f t="shared" si="77"/>
        <v>2.7782957300018549E-2</v>
      </c>
      <c r="E4912" s="156">
        <v>-4.6464936182418023E-2</v>
      </c>
      <c r="G4912" s="156"/>
    </row>
    <row r="4913" spans="2:7" x14ac:dyDescent="0.2">
      <c r="B4913" s="230">
        <v>38763</v>
      </c>
      <c r="C4913" s="124">
        <v>56.63</v>
      </c>
      <c r="D4913" s="156">
        <f t="shared" si="77"/>
        <v>2.7394775036284565E-2</v>
      </c>
      <c r="E4913" s="156">
        <v>-4.6515062020082779E-2</v>
      </c>
      <c r="G4913" s="156"/>
    </row>
    <row r="4914" spans="2:7" x14ac:dyDescent="0.2">
      <c r="B4914" s="230">
        <v>38762</v>
      </c>
      <c r="C4914" s="124">
        <v>54.21</v>
      </c>
      <c r="D4914" s="156">
        <f t="shared" si="77"/>
        <v>-4.2733533462828918E-2</v>
      </c>
      <c r="E4914" s="156">
        <v>-4.6580406654343862E-2</v>
      </c>
      <c r="G4914" s="156"/>
    </row>
    <row r="4915" spans="2:7" x14ac:dyDescent="0.2">
      <c r="B4915" s="230">
        <v>38761</v>
      </c>
      <c r="C4915" s="124">
        <v>54.03</v>
      </c>
      <c r="D4915" s="156">
        <f t="shared" si="77"/>
        <v>-3.3204205866076315E-3</v>
      </c>
      <c r="E4915" s="156">
        <v>-4.6764705882353041E-2</v>
      </c>
      <c r="G4915" s="156"/>
    </row>
    <row r="4916" spans="2:7" x14ac:dyDescent="0.2">
      <c r="B4916" s="230">
        <v>38758</v>
      </c>
      <c r="C4916" s="124">
        <v>54.06</v>
      </c>
      <c r="D4916" s="156">
        <f t="shared" si="77"/>
        <v>5.5524708495282508E-4</v>
      </c>
      <c r="E4916" s="156">
        <v>-4.6964392451541284E-2</v>
      </c>
      <c r="G4916" s="156"/>
    </row>
    <row r="4917" spans="2:7" x14ac:dyDescent="0.2">
      <c r="B4917" s="230">
        <v>38756</v>
      </c>
      <c r="C4917" s="124">
        <v>52.77</v>
      </c>
      <c r="D4917" s="156">
        <f t="shared" si="77"/>
        <v>-2.3862375138734723E-2</v>
      </c>
      <c r="E4917" s="156">
        <v>-4.7420289855072503E-2</v>
      </c>
      <c r="G4917" s="156"/>
    </row>
    <row r="4918" spans="2:7" x14ac:dyDescent="0.2">
      <c r="B4918" s="230">
        <v>38755</v>
      </c>
      <c r="C4918" s="124">
        <v>53.33</v>
      </c>
      <c r="D4918" s="156">
        <f t="shared" si="77"/>
        <v>1.0612090202766631E-2</v>
      </c>
      <c r="E4918" s="156">
        <v>-4.7575559904327019E-2</v>
      </c>
      <c r="G4918" s="156"/>
    </row>
    <row r="4919" spans="2:7" x14ac:dyDescent="0.2">
      <c r="B4919" s="230">
        <v>38754</v>
      </c>
      <c r="C4919" s="124">
        <v>51.94</v>
      </c>
      <c r="D4919" s="156">
        <f t="shared" si="77"/>
        <v>-2.6064129008063014E-2</v>
      </c>
      <c r="E4919" s="156">
        <v>-4.7715627668659194E-2</v>
      </c>
      <c r="G4919" s="156"/>
    </row>
    <row r="4920" spans="2:7" x14ac:dyDescent="0.2">
      <c r="B4920" s="230">
        <v>38751</v>
      </c>
      <c r="C4920" s="124">
        <v>50.53</v>
      </c>
      <c r="D4920" s="156">
        <f t="shared" si="77"/>
        <v>-2.7146707739699589E-2</v>
      </c>
      <c r="E4920" s="156">
        <v>-4.8021174691202449E-2</v>
      </c>
      <c r="G4920" s="156"/>
    </row>
    <row r="4921" spans="2:7" x14ac:dyDescent="0.2">
      <c r="B4921" s="230">
        <v>38750</v>
      </c>
      <c r="C4921" s="124">
        <v>51.61</v>
      </c>
      <c r="D4921" s="156">
        <f t="shared" si="77"/>
        <v>2.1373441519889142E-2</v>
      </c>
      <c r="E4921" s="156">
        <v>-4.9620096138936205E-2</v>
      </c>
      <c r="G4921" s="156"/>
    </row>
    <row r="4922" spans="2:7" x14ac:dyDescent="0.2">
      <c r="B4922" s="230">
        <v>38749</v>
      </c>
      <c r="C4922" s="124">
        <v>51.4</v>
      </c>
      <c r="D4922" s="156">
        <f t="shared" si="77"/>
        <v>-4.0689788800620198E-3</v>
      </c>
      <c r="E4922" s="156">
        <v>-5.0717466600692727E-2</v>
      </c>
      <c r="G4922" s="156"/>
    </row>
    <row r="4923" spans="2:7" x14ac:dyDescent="0.2">
      <c r="B4923" s="230">
        <v>38748</v>
      </c>
      <c r="C4923" s="124">
        <v>51.31</v>
      </c>
      <c r="D4923" s="156">
        <f t="shared" si="77"/>
        <v>-1.7509727626458425E-3</v>
      </c>
      <c r="E4923" s="156">
        <v>-5.0735415633779611E-2</v>
      </c>
      <c r="G4923" s="156"/>
    </row>
    <row r="4924" spans="2:7" x14ac:dyDescent="0.2">
      <c r="B4924" s="230">
        <v>38747</v>
      </c>
      <c r="C4924" s="124">
        <v>51.46</v>
      </c>
      <c r="D4924" s="156">
        <f t="shared" si="77"/>
        <v>2.9234067433248599E-3</v>
      </c>
      <c r="E4924" s="156">
        <v>-5.1009928106812805E-2</v>
      </c>
      <c r="G4924" s="156"/>
    </row>
    <row r="4925" spans="2:7" x14ac:dyDescent="0.2">
      <c r="B4925" s="230">
        <v>38744</v>
      </c>
      <c r="C4925" s="124">
        <v>51.53</v>
      </c>
      <c r="D4925" s="156">
        <f t="shared" si="77"/>
        <v>1.3602798289933985E-3</v>
      </c>
      <c r="E4925" s="156">
        <v>-5.1207983193277198E-2</v>
      </c>
      <c r="G4925" s="156"/>
    </row>
    <row r="4926" spans="2:7" x14ac:dyDescent="0.2">
      <c r="B4926" s="230">
        <v>38742</v>
      </c>
      <c r="C4926" s="124">
        <v>52.29</v>
      </c>
      <c r="D4926" s="156">
        <f t="shared" ref="D4926:D4966" si="78">(C4926-C4925)/C4925</f>
        <v>1.4748690083446496E-2</v>
      </c>
      <c r="E4926" s="156">
        <v>-5.1649928263988627E-2</v>
      </c>
      <c r="G4926" s="156"/>
    </row>
    <row r="4927" spans="2:7" x14ac:dyDescent="0.2">
      <c r="B4927" s="230">
        <v>38741</v>
      </c>
      <c r="C4927" s="124">
        <v>51.28</v>
      </c>
      <c r="D4927" s="156">
        <f t="shared" si="78"/>
        <v>-1.9315356664754216E-2</v>
      </c>
      <c r="E4927" s="156">
        <v>-5.1848927490459246E-2</v>
      </c>
      <c r="G4927" s="156"/>
    </row>
    <row r="4928" spans="2:7" x14ac:dyDescent="0.2">
      <c r="B4928" s="230">
        <v>38740</v>
      </c>
      <c r="C4928" s="124">
        <v>50.35</v>
      </c>
      <c r="D4928" s="156">
        <f t="shared" si="78"/>
        <v>-1.8135725429017154E-2</v>
      </c>
      <c r="E4928" s="156">
        <v>-5.1927089484665949E-2</v>
      </c>
      <c r="G4928" s="156"/>
    </row>
    <row r="4929" spans="2:7" x14ac:dyDescent="0.2">
      <c r="B4929" s="230">
        <v>38737</v>
      </c>
      <c r="C4929" s="124">
        <v>48.74</v>
      </c>
      <c r="D4929" s="156">
        <f t="shared" si="78"/>
        <v>-3.1976166832174767E-2</v>
      </c>
      <c r="E4929" s="156">
        <v>-5.212293022356803E-2</v>
      </c>
      <c r="G4929" s="156"/>
    </row>
    <row r="4930" spans="2:7" x14ac:dyDescent="0.2">
      <c r="B4930" s="230">
        <v>38736</v>
      </c>
      <c r="C4930" s="124">
        <v>47.43</v>
      </c>
      <c r="D4930" s="156">
        <f t="shared" si="78"/>
        <v>-2.6877308165777641E-2</v>
      </c>
      <c r="E4930" s="156">
        <v>-5.2915938344191935E-2</v>
      </c>
      <c r="G4930" s="156"/>
    </row>
    <row r="4931" spans="2:7" x14ac:dyDescent="0.2">
      <c r="B4931" s="230">
        <v>38735</v>
      </c>
      <c r="C4931" s="124">
        <v>46.85</v>
      </c>
      <c r="D4931" s="156">
        <f t="shared" si="78"/>
        <v>-1.2228547332911623E-2</v>
      </c>
      <c r="E4931" s="156">
        <v>-5.3121364870104597E-2</v>
      </c>
      <c r="G4931" s="156"/>
    </row>
    <row r="4932" spans="2:7" x14ac:dyDescent="0.2">
      <c r="B4932" s="230">
        <v>38734</v>
      </c>
      <c r="C4932" s="124">
        <v>47.22</v>
      </c>
      <c r="D4932" s="156">
        <f t="shared" si="78"/>
        <v>7.8975453575239572E-3</v>
      </c>
      <c r="E4932" s="156">
        <v>-5.3483880552666785E-2</v>
      </c>
      <c r="G4932" s="156"/>
    </row>
    <row r="4933" spans="2:7" x14ac:dyDescent="0.2">
      <c r="B4933" s="230">
        <v>38733</v>
      </c>
      <c r="C4933" s="124">
        <v>47.8</v>
      </c>
      <c r="D4933" s="156">
        <f t="shared" si="78"/>
        <v>1.2282930961456974E-2</v>
      </c>
      <c r="E4933" s="156">
        <v>-5.420020120724349E-2</v>
      </c>
      <c r="G4933" s="156"/>
    </row>
    <row r="4934" spans="2:7" x14ac:dyDescent="0.2">
      <c r="B4934" s="230">
        <v>38730</v>
      </c>
      <c r="C4934" s="124">
        <v>48.23</v>
      </c>
      <c r="D4934" s="156">
        <f t="shared" si="78"/>
        <v>8.9958158995815853E-3</v>
      </c>
      <c r="E4934" s="156">
        <v>-5.4419677171406597E-2</v>
      </c>
      <c r="G4934" s="156"/>
    </row>
    <row r="4935" spans="2:7" x14ac:dyDescent="0.2">
      <c r="B4935" s="230">
        <v>38729</v>
      </c>
      <c r="C4935" s="124">
        <v>47.93</v>
      </c>
      <c r="D4935" s="156">
        <f t="shared" si="78"/>
        <v>-6.220194899440124E-3</v>
      </c>
      <c r="E4935" s="156">
        <v>-5.4757815183785571E-2</v>
      </c>
      <c r="G4935" s="156"/>
    </row>
    <row r="4936" spans="2:7" x14ac:dyDescent="0.2">
      <c r="B4936" s="230">
        <v>38727</v>
      </c>
      <c r="C4936" s="124">
        <v>47.35</v>
      </c>
      <c r="D4936" s="156">
        <f t="shared" si="78"/>
        <v>-1.2100980596703491E-2</v>
      </c>
      <c r="E4936" s="156">
        <v>-5.4869684499314175E-2</v>
      </c>
      <c r="G4936" s="156"/>
    </row>
    <row r="4937" spans="2:7" x14ac:dyDescent="0.2">
      <c r="B4937" s="230">
        <v>38726</v>
      </c>
      <c r="C4937" s="124">
        <v>48.18</v>
      </c>
      <c r="D4937" s="156">
        <f t="shared" si="78"/>
        <v>1.7529039070749701E-2</v>
      </c>
      <c r="E4937" s="156">
        <v>-5.5036496350365033E-2</v>
      </c>
      <c r="G4937" s="156"/>
    </row>
    <row r="4938" spans="2:7" x14ac:dyDescent="0.2">
      <c r="B4938" s="230">
        <v>38723</v>
      </c>
      <c r="C4938" s="124">
        <v>48.21</v>
      </c>
      <c r="D4938" s="156">
        <f t="shared" si="78"/>
        <v>6.2266500622667369E-4</v>
      </c>
      <c r="E4938" s="156">
        <v>-5.5183946488294354E-2</v>
      </c>
      <c r="G4938" s="156"/>
    </row>
    <row r="4939" spans="2:7" x14ac:dyDescent="0.2">
      <c r="B4939" s="230">
        <v>38722</v>
      </c>
      <c r="C4939" s="124">
        <v>48.2</v>
      </c>
      <c r="D4939" s="156">
        <f t="shared" si="78"/>
        <v>-2.0742584526027815E-4</v>
      </c>
      <c r="E4939" s="156">
        <v>-5.601484730892526E-2</v>
      </c>
      <c r="G4939" s="156"/>
    </row>
    <row r="4940" spans="2:7" x14ac:dyDescent="0.2">
      <c r="B4940" s="230">
        <v>38721</v>
      </c>
      <c r="C4940" s="124">
        <v>48.71</v>
      </c>
      <c r="D4940" s="156">
        <f t="shared" si="78"/>
        <v>1.0580912863070498E-2</v>
      </c>
      <c r="E4940" s="156">
        <v>-5.6094072779278581E-2</v>
      </c>
      <c r="G4940" s="156"/>
    </row>
    <row r="4941" spans="2:7" x14ac:dyDescent="0.2">
      <c r="B4941" s="230">
        <v>38720</v>
      </c>
      <c r="C4941" s="124">
        <v>47.43</v>
      </c>
      <c r="D4941" s="156">
        <f t="shared" si="78"/>
        <v>-2.6277971669061817E-2</v>
      </c>
      <c r="E4941" s="156">
        <v>-5.7312252964426984E-2</v>
      </c>
      <c r="G4941" s="156"/>
    </row>
    <row r="4942" spans="2:7" x14ac:dyDescent="0.2">
      <c r="B4942" s="230">
        <v>38719</v>
      </c>
      <c r="C4942" s="124">
        <v>46.44</v>
      </c>
      <c r="D4942" s="156">
        <f t="shared" si="78"/>
        <v>-2.0872865275142358E-2</v>
      </c>
      <c r="E4942" s="156">
        <v>-5.7403783431180647E-2</v>
      </c>
      <c r="G4942" s="156"/>
    </row>
    <row r="4943" spans="2:7" x14ac:dyDescent="0.2">
      <c r="B4943" s="230">
        <v>38716</v>
      </c>
      <c r="C4943" s="124">
        <v>47.1</v>
      </c>
      <c r="D4943" s="156">
        <f t="shared" si="78"/>
        <v>1.4211886304909641E-2</v>
      </c>
      <c r="E4943" s="156">
        <v>-5.7864450127877311E-2</v>
      </c>
      <c r="G4943" s="156"/>
    </row>
    <row r="4944" spans="2:7" x14ac:dyDescent="0.2">
      <c r="B4944" s="230">
        <v>38715</v>
      </c>
      <c r="C4944" s="124">
        <v>46.21</v>
      </c>
      <c r="D4944" s="156">
        <f t="shared" si="78"/>
        <v>-1.8895966029724005E-2</v>
      </c>
      <c r="E4944" s="156">
        <v>-5.7904036971591563E-2</v>
      </c>
      <c r="G4944" s="156"/>
    </row>
    <row r="4945" spans="2:7" x14ac:dyDescent="0.2">
      <c r="B4945" s="230">
        <v>38714</v>
      </c>
      <c r="C4945" s="124">
        <v>45.89</v>
      </c>
      <c r="D4945" s="156">
        <f t="shared" si="78"/>
        <v>-6.9249080285652513E-3</v>
      </c>
      <c r="E4945" s="156">
        <v>-5.8062777852620269E-2</v>
      </c>
      <c r="G4945" s="156"/>
    </row>
    <row r="4946" spans="2:7" x14ac:dyDescent="0.2">
      <c r="B4946" s="230">
        <v>38713</v>
      </c>
      <c r="C4946" s="124">
        <v>46.8</v>
      </c>
      <c r="D4946" s="156">
        <f t="shared" si="78"/>
        <v>1.9830028328611825E-2</v>
      </c>
      <c r="E4946" s="156">
        <v>-5.80910023947998E-2</v>
      </c>
      <c r="G4946" s="156"/>
    </row>
    <row r="4947" spans="2:7" x14ac:dyDescent="0.2">
      <c r="B4947" s="230">
        <v>38712</v>
      </c>
      <c r="C4947" s="124">
        <v>45.59</v>
      </c>
      <c r="D4947" s="156">
        <f t="shared" si="78"/>
        <v>-2.5854700854700721E-2</v>
      </c>
      <c r="E4947" s="156">
        <v>-5.8809909701319697E-2</v>
      </c>
      <c r="G4947" s="156"/>
    </row>
    <row r="4948" spans="2:7" x14ac:dyDescent="0.2">
      <c r="B4948" s="230">
        <v>38709</v>
      </c>
      <c r="C4948" s="124">
        <v>46.19</v>
      </c>
      <c r="D4948" s="156">
        <f t="shared" si="78"/>
        <v>1.3160780872998339E-2</v>
      </c>
      <c r="E4948" s="156">
        <v>-5.9847105933745967E-2</v>
      </c>
      <c r="G4948" s="156"/>
    </row>
    <row r="4949" spans="2:7" x14ac:dyDescent="0.2">
      <c r="B4949" s="230">
        <v>38708</v>
      </c>
      <c r="C4949" s="124">
        <v>47.09</v>
      </c>
      <c r="D4949" s="156">
        <f t="shared" si="78"/>
        <v>1.9484736956051216E-2</v>
      </c>
      <c r="E4949" s="156">
        <v>-6.1309800278680923E-2</v>
      </c>
      <c r="G4949" s="156"/>
    </row>
    <row r="4950" spans="2:7" x14ac:dyDescent="0.2">
      <c r="B4950" s="230">
        <v>38707</v>
      </c>
      <c r="C4950" s="124">
        <v>46.95</v>
      </c>
      <c r="D4950" s="156">
        <f t="shared" si="78"/>
        <v>-2.9730303673816214E-3</v>
      </c>
      <c r="E4950" s="156">
        <v>-6.3921993499458291E-2</v>
      </c>
      <c r="G4950" s="156"/>
    </row>
    <row r="4951" spans="2:7" x14ac:dyDescent="0.2">
      <c r="B4951" s="230">
        <v>38706</v>
      </c>
      <c r="C4951" s="124">
        <v>47.55</v>
      </c>
      <c r="D4951" s="156">
        <f t="shared" si="78"/>
        <v>1.277955271565483E-2</v>
      </c>
      <c r="E4951" s="156">
        <v>-6.3990858448793084E-2</v>
      </c>
      <c r="G4951" s="156"/>
    </row>
    <row r="4952" spans="2:7" x14ac:dyDescent="0.2">
      <c r="B4952" s="230">
        <v>38705</v>
      </c>
      <c r="C4952" s="124">
        <v>48</v>
      </c>
      <c r="D4952" s="156">
        <f t="shared" si="78"/>
        <v>9.4637223974764016E-3</v>
      </c>
      <c r="E4952" s="156">
        <v>-6.4134275618374606E-2</v>
      </c>
      <c r="G4952" s="156"/>
    </row>
    <row r="4953" spans="2:7" x14ac:dyDescent="0.2">
      <c r="B4953" s="230">
        <v>38702</v>
      </c>
      <c r="C4953" s="124">
        <v>46.77</v>
      </c>
      <c r="D4953" s="156">
        <f t="shared" si="78"/>
        <v>-2.5624999999999936E-2</v>
      </c>
      <c r="E4953" s="156">
        <v>-6.4643057897695338E-2</v>
      </c>
      <c r="G4953" s="156"/>
    </row>
    <row r="4954" spans="2:7" x14ac:dyDescent="0.2">
      <c r="B4954" s="230">
        <v>38701</v>
      </c>
      <c r="C4954" s="124">
        <v>46.52</v>
      </c>
      <c r="D4954" s="156">
        <f t="shared" si="78"/>
        <v>-5.3453068206115026E-3</v>
      </c>
      <c r="E4954" s="156">
        <v>-6.5474236954381274E-2</v>
      </c>
      <c r="G4954" s="156"/>
    </row>
    <row r="4955" spans="2:7" x14ac:dyDescent="0.2">
      <c r="B4955" s="230">
        <v>38700</v>
      </c>
      <c r="C4955" s="124">
        <v>47.77</v>
      </c>
      <c r="D4955" s="156">
        <f t="shared" si="78"/>
        <v>2.6870163370593291E-2</v>
      </c>
      <c r="E4955" s="156">
        <v>-6.5921130076515538E-2</v>
      </c>
      <c r="G4955" s="156"/>
    </row>
    <row r="4956" spans="2:7" x14ac:dyDescent="0.2">
      <c r="B4956" s="230">
        <v>38699</v>
      </c>
      <c r="C4956" s="124">
        <v>46.97</v>
      </c>
      <c r="D4956" s="156">
        <f t="shared" si="78"/>
        <v>-1.6746912288046978E-2</v>
      </c>
      <c r="E4956" s="156">
        <v>-6.8890948409020741E-2</v>
      </c>
      <c r="G4956" s="156"/>
    </row>
    <row r="4957" spans="2:7" x14ac:dyDescent="0.2">
      <c r="B4957" s="230">
        <v>38698</v>
      </c>
      <c r="C4957" s="124">
        <v>45.89</v>
      </c>
      <c r="D4957" s="156">
        <f t="shared" si="78"/>
        <v>-2.2993400042580336E-2</v>
      </c>
      <c r="E4957" s="156">
        <v>-6.9859751256946226E-2</v>
      </c>
      <c r="G4957" s="156"/>
    </row>
    <row r="4958" spans="2:7" x14ac:dyDescent="0.2">
      <c r="B4958" s="230">
        <v>38695</v>
      </c>
      <c r="C4958" s="124">
        <v>45.36</v>
      </c>
      <c r="D4958" s="156">
        <f t="shared" si="78"/>
        <v>-1.1549357158422339E-2</v>
      </c>
      <c r="E4958" s="156">
        <v>-7.2801397786837516E-2</v>
      </c>
      <c r="G4958" s="156"/>
    </row>
    <row r="4959" spans="2:7" x14ac:dyDescent="0.2">
      <c r="B4959" s="230">
        <v>38694</v>
      </c>
      <c r="C4959" s="124">
        <v>44.85</v>
      </c>
      <c r="D4959" s="156">
        <f t="shared" si="78"/>
        <v>-1.1243386243386199E-2</v>
      </c>
      <c r="E4959" s="156">
        <v>-7.5151731524455562E-2</v>
      </c>
      <c r="G4959" s="156"/>
    </row>
    <row r="4960" spans="2:7" x14ac:dyDescent="0.2">
      <c r="B4960" s="230">
        <v>38693</v>
      </c>
      <c r="C4960" s="124">
        <v>44.93</v>
      </c>
      <c r="D4960" s="156">
        <f t="shared" si="78"/>
        <v>1.7837235228539195E-3</v>
      </c>
      <c r="E4960" s="156">
        <v>-7.6334755111045718E-2</v>
      </c>
      <c r="G4960" s="156"/>
    </row>
    <row r="4961" spans="2:7" x14ac:dyDescent="0.2">
      <c r="B4961" s="230">
        <v>38692</v>
      </c>
      <c r="C4961" s="124">
        <v>44.27</v>
      </c>
      <c r="D4961" s="156">
        <f t="shared" si="78"/>
        <v>-1.4689517026485568E-2</v>
      </c>
      <c r="E4961" s="156">
        <v>-7.7777777777777807E-2</v>
      </c>
      <c r="G4961" s="156"/>
    </row>
    <row r="4962" spans="2:7" x14ac:dyDescent="0.2">
      <c r="B4962" s="230">
        <v>38691</v>
      </c>
      <c r="C4962" s="124">
        <v>44.48</v>
      </c>
      <c r="D4962" s="156">
        <f t="shared" si="78"/>
        <v>4.7436187034107461E-3</v>
      </c>
      <c r="E4962" s="156">
        <v>-8.007518796992491E-2</v>
      </c>
      <c r="G4962" s="156"/>
    </row>
    <row r="4963" spans="2:7" x14ac:dyDescent="0.2">
      <c r="B4963" s="230">
        <v>38688</v>
      </c>
      <c r="C4963" s="124">
        <v>45.58</v>
      </c>
      <c r="D4963" s="156">
        <f t="shared" si="78"/>
        <v>2.4730215827338163E-2</v>
      </c>
      <c r="E4963" s="156">
        <v>-8.1414111779375159E-2</v>
      </c>
      <c r="G4963" s="156"/>
    </row>
    <row r="4964" spans="2:7" x14ac:dyDescent="0.2">
      <c r="B4964" s="230">
        <v>38687</v>
      </c>
      <c r="C4964" s="124">
        <v>45.01</v>
      </c>
      <c r="D4964" s="156">
        <f t="shared" si="78"/>
        <v>-1.2505484861781491E-2</v>
      </c>
      <c r="E4964" s="156">
        <v>-8.2560465539188929E-2</v>
      </c>
      <c r="G4964" s="156"/>
    </row>
    <row r="4965" spans="2:7" x14ac:dyDescent="0.2">
      <c r="B4965" s="230">
        <v>38686</v>
      </c>
      <c r="C4965" s="124">
        <v>44.58</v>
      </c>
      <c r="D4965" s="156">
        <f t="shared" si="78"/>
        <v>-9.5534325705398746E-3</v>
      </c>
      <c r="E4965" s="156">
        <v>-9.1288423199962901E-2</v>
      </c>
      <c r="G4965" s="156"/>
    </row>
    <row r="4966" spans="2:7" x14ac:dyDescent="0.2">
      <c r="B4966" s="230">
        <v>38685</v>
      </c>
      <c r="C4966" s="124">
        <v>45.38</v>
      </c>
      <c r="D4966" s="156">
        <f t="shared" si="78"/>
        <v>1.7945266935845767E-2</v>
      </c>
      <c r="E4966" s="156">
        <v>-0.10010214504596526</v>
      </c>
      <c r="G4966" s="156"/>
    </row>
  </sheetData>
  <mergeCells count="2">
    <mergeCell ref="B3:K4"/>
    <mergeCell ref="G6:H6"/>
  </mergeCells>
  <pageMargins left="0.25" right="0.25" top="0.75" bottom="0.75" header="0.3" footer="0.3"/>
  <pageSetup orientation="portrait" r:id="rId1"/>
  <headerFooter>
    <oddHeader>&amp;L&amp;"-,Bold"&amp;8&amp;K07-049ITC Ltd
NSE: ITC(INE154A01025)
401.25 INR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Historical Financial Statemen</vt:lpstr>
      <vt:lpstr>Ratio Analysis</vt:lpstr>
      <vt:lpstr>Sheet1</vt:lpstr>
      <vt:lpstr>Forecasting</vt:lpstr>
      <vt:lpstr>Data Sheet</vt:lpstr>
      <vt:lpstr>Quarters</vt:lpstr>
      <vt:lpstr>WACC</vt:lpstr>
      <vt:lpstr>Balance Sheet</vt:lpstr>
      <vt:lpstr>Cash Flow</vt:lpstr>
      <vt:lpstr>Customization</vt:lpstr>
      <vt:lpstr>Raw Data</vt:lpstr>
      <vt:lpstr>Reg. Beta</vt:lpstr>
      <vt:lpstr>Intrinsic Growth</vt:lpstr>
      <vt:lpstr>Common Size Statement</vt:lpstr>
      <vt:lpstr>Ind.details</vt:lpstr>
      <vt:lpstr>Equity Value</vt:lpstr>
      <vt:lpstr>Sheet2</vt:lpstr>
      <vt:lpstr>Comps_Val</vt:lpstr>
      <vt:lpstr>FTF_Analysis</vt:lpstr>
      <vt:lpstr>VAR_MCS</vt:lpstr>
      <vt:lpstr>S_VAR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Md Sarim</cp:lastModifiedBy>
  <cp:lastPrinted>2026-01-19T16:29:15Z</cp:lastPrinted>
  <dcterms:created xsi:type="dcterms:W3CDTF">2012-08-17T09:55:37Z</dcterms:created>
  <dcterms:modified xsi:type="dcterms:W3CDTF">2026-07-21T09:51:03Z</dcterms:modified>
</cp:coreProperties>
</file>